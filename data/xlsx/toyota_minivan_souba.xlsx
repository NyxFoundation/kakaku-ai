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推移_落札中央値" sheetId="8" state="visible" r:id="rId8"/>
    <sheet xmlns:r="http://schemas.openxmlformats.org/officeDocument/2006/relationships" name="推移_小売中央値" sheetId="9" state="visible" r:id="rId9"/>
    <sheet xmlns:r="http://schemas.openxmlformats.org/officeDocument/2006/relationships" name="車種サマリ" sheetId="10" state="visible" r:id="rId10"/>
    <sheet xmlns:r="http://schemas.openxmlformats.org/officeDocument/2006/relationships" name="口コミ_年式別" sheetId="11" state="visible" r:id="rId11"/>
    <sheet xmlns:r="http://schemas.openxmlformats.org/officeDocument/2006/relationships" name="口コミ_明細" sheetId="12" state="visible" r:id="rId12"/>
    <sheet xmlns:r="http://schemas.openxmlformats.org/officeDocument/2006/relationships" name="壊れやすい点" sheetId="13" state="visible" r:id="rId13"/>
    <sheet xmlns:r="http://schemas.openxmlformats.org/officeDocument/2006/relationships" name="リコール" sheetId="14" state="visible" r:id="rId14"/>
    <sheet xmlns:r="http://schemas.openxmlformats.org/officeDocument/2006/relationships" name="落札明細" sheetId="15" state="visible" r:id="rId15"/>
  </sheets>
  <definedNames>
    <definedName name="_xlnm._FilterDatabase" localSheetId="4" hidden="1">'車種マスタ'!$A$1:$J$24</definedName>
    <definedName name="_xlnm._FilterDatabase" localSheetId="5" hidden="1">'相場_最新'!$A$1:$R$112</definedName>
    <definedName name="_xlnm._FilterDatabase" localSheetId="6" hidden="1">'相場_時系列'!$A$1:$S$112</definedName>
    <definedName name="_xlnm._FilterDatabase" localSheetId="9" hidden="1">'車種サマリ'!$A$1:$U$12</definedName>
    <definedName name="_xlnm._FilterDatabase" localSheetId="10" hidden="1">'口コミ_年式別'!$A$1:$M$87</definedName>
    <definedName name="_xlnm._FilterDatabase" localSheetId="11" hidden="1">'口コミ_明細'!$A$1:$P$312</definedName>
    <definedName name="_xlnm._FilterDatabase" localSheetId="12" hidden="1">'壊れやすい点'!$A$1:$J$434</definedName>
    <definedName name="_xlnm._FilterDatabase" localSheetId="13" hidden="1">'リコール'!$A$1:$J$196</definedName>
    <definedName name="_xlnm._FilterDatabase" localSheetId="14" hidden="1">'落札明細'!$A$1:$L$777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'グラフ_車種別'!$A$5:$A$15</f>
            </numRef>
          </cat>
          <val>
            <numRef>
              <f>'グラフ_車種別'!$B$5:$B$15</f>
            </numRef>
          </val>
        </ser>
        <ser>
          <idx val="1"/>
          <order val="1"/>
          <tx>
            <strRef>
              <f>'グラフ_車種別'!C4</f>
            </strRef>
          </tx>
          <spPr>
            <a:ln xmlns:a="http://schemas.openxmlformats.org/drawingml/2006/main">
              <a:prstDash val="solid"/>
            </a:ln>
          </spPr>
          <cat>
            <numRef>
              <f>'グラフ_車種別'!$A$5:$A$15</f>
            </numRef>
          </cat>
          <val>
            <numRef>
              <f>'グラフ_車種別'!$C$5:$C$15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'グラフ_年式別'!$B$6:$N$6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'グラフ_年式別'!$B$7:$N$7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'グラフ_年式別'!$B$8:$N$8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'グラフ_年式別'!$B$9:$N$9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'グラフ_年式別'!$B$10:$N$10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'グラフ_年式別'!$B$11:$N$11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'グラフ_年式別'!$B$12:$N$12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'グラフ_年式別'!$B$13:$N$13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15</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26" customWidth="1" min="1" max="1"/>
    <col width="110" customWidth="1" min="2" max="2"/>
  </cols>
  <sheetData>
    <row r="1">
      <c r="A1" s="1" t="inlineStr">
        <is>
          <t>トヨタ ミニバン 中古車相場データベース</t>
        </is>
      </c>
    </row>
    <row r="3">
      <c r="A3" s="2" t="inlineStr">
        <is>
          <t>生成日時</t>
        </is>
      </c>
      <c r="B3" s="3" t="inlineStr">
        <is>
          <t>2026-08-22 10:52</t>
        </is>
      </c>
    </row>
    <row r="4">
      <c r="A4" s="2" t="inlineStr">
        <is>
          <t>対象</t>
        </is>
      </c>
      <c r="B4" s="3" t="inlineStr">
        <is>
          <t>トヨタのミニバン 11車種 / 2013年式以降</t>
        </is>
      </c>
    </row>
    <row r="5">
      <c r="A5" s="2" t="inlineStr">
        <is>
          <t>収録スナップショット</t>
        </is>
      </c>
      <c r="B5" s="3" t="inlineStr">
        <is>
          <t>1件: 2026-08-22</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推移_落札中央値</t>
        </is>
      </c>
      <c r="B13" s="3" t="inlineStr">
        <is>
          <t>行=車種×年式 / 列=時点。折れ線グラフはここから引く。</t>
        </is>
      </c>
    </row>
    <row r="14">
      <c r="A14" s="2" t="inlineStr">
        <is>
          <t>推移_小売中央値</t>
        </is>
      </c>
      <c r="B14" s="3" t="inlineStr">
        <is>
          <t>同上、小売（カーセンサー掲載）側。</t>
        </is>
      </c>
    </row>
    <row r="15">
      <c r="A15" s="2" t="inlineStr">
        <is>
          <t>車種サマリ</t>
        </is>
      </c>
      <c r="B15" s="3" t="inlineStr">
        <is>
          <t>車種単位の価格レンジ・掲載台数・満足度など。</t>
        </is>
      </c>
    </row>
    <row r="16">
      <c r="A16" s="2" t="inlineStr">
        <is>
          <t>口コミ_年式別</t>
        </is>
      </c>
      <c r="B16" s="3" t="inlineStr">
        <is>
          <t>みんカラのレビューを年式で集計したもの。</t>
        </is>
      </c>
    </row>
    <row r="17">
      <c r="A17" s="2" t="inlineStr">
        <is>
          <t>口コミ_明細</t>
        </is>
      </c>
      <c r="B17" s="3" t="inlineStr">
        <is>
          <t>レビュー個票（満足点・不満点・総評）。</t>
        </is>
      </c>
    </row>
    <row r="18">
      <c r="A18" s="2" t="inlineStr">
        <is>
          <t>壊れやすい点</t>
        </is>
      </c>
      <c r="B18" s="3" t="inlineStr">
        <is>
          <t>国交省に寄せられた不具合通報を 世代 × 装置 で集計。整備観点の弱点はここ。世代 =「（車種全体）」の行は車種まるごとのロールアップ。</t>
        </is>
      </c>
    </row>
    <row r="19">
      <c r="A19" s="2" t="inlineStr">
        <is>
          <t>リコール</t>
        </is>
      </c>
      <c r="B19" s="3" t="inlineStr">
        <is>
          <t>国交省リコール届出。不具合装置・状況・改善措置つき。</t>
        </is>
      </c>
    </row>
    <row r="20">
      <c r="A20" s="2" t="inlineStr">
        <is>
          <t>落札明細</t>
        </is>
      </c>
      <c r="B20" s="3" t="inlineStr">
        <is>
          <t>ヤフオク!の落札 1 台ずつ。年式・走行距離・修復歴つき。</t>
        </is>
      </c>
    </row>
    <row r="21">
      <c r="A21" s="2" t="inlineStr">
        <is>
          <t>車種マスタ</t>
        </is>
      </c>
      <c r="B21" s="3" t="inlineStr">
        <is>
          <t>車種・世代・型式の一覧。</t>
        </is>
      </c>
    </row>
    <row r="22">
      <c r="A22" s="2" t="inlineStr"/>
      <c r="B22" s="3" t="inlineStr"/>
    </row>
    <row r="23">
      <c r="A23" s="4" t="inlineStr">
        <is>
          <t>■ 相場の作り方</t>
        </is>
      </c>
      <c r="B23" s="3" t="inlineStr"/>
    </row>
    <row r="24">
      <c r="A24" s="2" t="inlineStr">
        <is>
          <t>オークション相場</t>
        </is>
      </c>
      <c r="B24" s="3" t="inlineStr">
        <is>
          <t>ヤフオク!「中古車・新車」カテゴリの終了180日間の落札から、carSpec.modelDate を年式として集計。メーター交換車・修復歴ありは除外（除外件数は別途保持）。</t>
        </is>
      </c>
    </row>
    <row r="25">
      <c r="A25" s="2" t="inlineStr">
        <is>
          <t>小売相場</t>
        </is>
      </c>
      <c r="B25" s="3" t="inlineStr">
        <is>
          <t>カーセンサーの相場ページにある「価格帯 × 年式」度数分布から、ビン内一様分布を仮定したグループ中央値で推定。最上位ビン（420万円以上）は幅20万円と仮定。</t>
        </is>
      </c>
    </row>
    <row r="26">
      <c r="A26" s="2" t="inlineStr">
        <is>
          <t>小売プレミアム</t>
        </is>
      </c>
      <c r="B26" s="3" t="inlineStr">
        <is>
          <t>(小売中央値 / 落札中央値 - 1) × 100。業販と小売の価格差の目安。</t>
        </is>
      </c>
    </row>
    <row r="27">
      <c r="A27" s="2" t="inlineStr"/>
      <c r="B27" s="3" t="inlineStr"/>
    </row>
    <row r="28">
      <c r="A28" s="4" t="inlineStr">
        <is>
          <t>■ 出典</t>
        </is>
      </c>
      <c r="B28" s="3" t="inlineStr"/>
    </row>
    <row r="29">
      <c r="A29" s="2" t="inlineStr">
        <is>
          <t>ヤフオク!</t>
        </is>
      </c>
      <c r="B29" s="3" t="inlineStr">
        <is>
          <t>https://auctions.yahoo.co.jp/closedsearch/closedsearch （robots.txt で Allow）</t>
        </is>
      </c>
    </row>
    <row r="30">
      <c r="A30" s="2" t="inlineStr">
        <is>
          <t>カーセンサー</t>
        </is>
      </c>
      <c r="B30" s="3" t="inlineStr">
        <is>
          <t>https://www.carsensor.net/usedcar/souba/</t>
        </is>
      </c>
    </row>
    <row r="31">
      <c r="A31" s="2" t="inlineStr">
        <is>
          <t>価格.com</t>
        </is>
      </c>
      <c r="B31" s="3" t="inlineStr">
        <is>
          <t>https://kakaku.com/kuruma/</t>
        </is>
      </c>
    </row>
    <row r="32">
      <c r="A32" s="2" t="inlineStr">
        <is>
          <t>みんカラ</t>
        </is>
      </c>
      <c r="B32" s="3" t="inlineStr">
        <is>
          <t>https://minkara.carview.co.jp/car/toyota/</t>
        </is>
      </c>
    </row>
    <row r="33">
      <c r="A33" s="2" t="inlineStr">
        <is>
          <t>国土交通省</t>
        </is>
      </c>
      <c r="B33" s="3" t="inlineStr">
        <is>
          <t>https://renrakuda.mlit.go.jp/renrakuda/ （リコール届出情報 / 自動車不具合情報ホットライン）</t>
        </is>
      </c>
    </row>
    <row r="34">
      <c r="A34" s="2" t="inlineStr"/>
      <c r="B34" s="3" t="inlineStr"/>
    </row>
    <row r="35">
      <c r="A35" s="4" t="inlineStr">
        <is>
          <t>■ 注意</t>
        </is>
      </c>
      <c r="B35" s="3" t="inlineStr"/>
    </row>
    <row r="36">
      <c r="A36" s="2" t="inlineStr">
        <is>
          <t>サンプル数</t>
        </is>
      </c>
      <c r="B36" s="3" t="inlineStr">
        <is>
          <t>年式によっては落札件数が 1〜2 台しかない。auction_n を必ず見ること。週次で積み上がるので、時系列シート側で複数週をまとめれば精度は上がる。</t>
        </is>
      </c>
    </row>
    <row r="37">
      <c r="A37" s="2" t="inlineStr">
        <is>
          <t>価格の単位</t>
        </is>
      </c>
      <c r="B37" s="3" t="inlineStr">
        <is>
          <t>すべて万円（税込・諸費用別）。走行距離は km。</t>
        </is>
      </c>
    </row>
    <row r="38">
      <c r="A38" s="2" t="inlineStr">
        <is>
          <t>更新</t>
        </is>
      </c>
      <c r="B38" s="3" t="inlineStr">
        <is>
          <t>毎週クロールして新しい時点の行を追記する。過去の行は書き換えない。</t>
        </is>
      </c>
    </row>
    <row r="39">
      <c r="A39" s="2" t="inlineStr">
        <is>
          <t>リポジトリ</t>
        </is>
      </c>
      <c r="B39" s="3" t="inlineStr">
        <is>
          <t>https://github.com/NyxFoundation/kakaku-ai</t>
        </is>
      </c>
    </row>
    <row r="40">
      <c r="A40" s="2" t="inlineStr"/>
      <c r="B40" s="3" t="inlineStr"/>
    </row>
    <row r="41">
      <c r="A41" s="4" t="inlineStr">
        <is>
          <t>■ 今回のスナップショット行数</t>
        </is>
      </c>
      <c r="B41" s="3" t="inlineStr"/>
    </row>
    <row r="42">
      <c r="A42" s="2" t="inlineStr">
        <is>
          <t>相場_時系列</t>
        </is>
      </c>
      <c r="B42" s="3" t="inlineStr">
        <is>
          <t>111</t>
        </is>
      </c>
    </row>
    <row r="43">
      <c r="A43" s="2" t="inlineStr">
        <is>
          <t>相場_最新</t>
        </is>
      </c>
      <c r="B43" s="3" t="inlineStr">
        <is>
          <t>111</t>
        </is>
      </c>
    </row>
    <row r="44">
      <c r="A44" s="2" t="inlineStr">
        <is>
          <t>口コミ_明細</t>
        </is>
      </c>
      <c r="B44" s="3" t="inlineStr">
        <is>
          <t>311</t>
        </is>
      </c>
    </row>
    <row r="45">
      <c r="A45" s="2" t="inlineStr">
        <is>
          <t>壊れやすい点</t>
        </is>
      </c>
      <c r="B45" s="3" t="inlineStr">
        <is>
          <t>433</t>
        </is>
      </c>
    </row>
    <row r="46">
      <c r="A46" s="2" t="inlineStr">
        <is>
          <t>リコール</t>
        </is>
      </c>
      <c r="B46" s="3" t="inlineStr">
        <is>
          <t>195</t>
        </is>
      </c>
    </row>
    <row r="47">
      <c r="A47" s="2" t="inlineStr">
        <is>
          <t>落札明細</t>
        </is>
      </c>
      <c r="B47" s="3" t="inlineStr">
        <is>
          <t>776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シエンタ 2016年（170系）</t>
        </is>
      </c>
      <c r="B5" s="9" t="n">
        <v>159.4</v>
      </c>
      <c r="C5" s="10" t="n">
        <v>41.4</v>
      </c>
      <c r="D5" s="10" t="n">
        <v>107.4</v>
      </c>
      <c r="E5" s="10" t="n">
        <v>66</v>
      </c>
      <c r="F5" s="11" t="n">
        <v>6</v>
      </c>
      <c r="G5" s="11" t="n">
        <v>547</v>
      </c>
      <c r="H5" s="11" t="n">
        <v>220000</v>
      </c>
      <c r="I5" s="11" t="n">
        <v>39000</v>
      </c>
    </row>
    <row r="6">
      <c r="A6" s="8" t="inlineStr">
        <is>
          <t>エスティマ 2014年（50系）</t>
        </is>
      </c>
      <c r="B6" s="9" t="n">
        <v>144</v>
      </c>
      <c r="C6" s="10" t="n">
        <v>46.8</v>
      </c>
      <c r="D6" s="10" t="n">
        <v>114.2</v>
      </c>
      <c r="E6" s="10" t="n">
        <v>67.40000000000001</v>
      </c>
      <c r="F6" s="11" t="n">
        <v>4</v>
      </c>
      <c r="G6" s="11" t="n">
        <v>97</v>
      </c>
      <c r="H6" s="11" t="n">
        <v>269500</v>
      </c>
      <c r="I6" s="11" t="n">
        <v>87000</v>
      </c>
    </row>
    <row r="7">
      <c r="A7" s="8" t="inlineStr">
        <is>
          <t>ヴェルファイア 2013年（20系）</t>
        </is>
      </c>
      <c r="B7" s="9" t="n">
        <v>129.9</v>
      </c>
      <c r="C7" s="10" t="n">
        <v>47.5</v>
      </c>
      <c r="D7" s="10" t="n">
        <v>109.2</v>
      </c>
      <c r="E7" s="10" t="n">
        <v>61.7</v>
      </c>
      <c r="F7" s="11" t="n">
        <v>10</v>
      </c>
      <c r="G7" s="11" t="n">
        <v>244</v>
      </c>
      <c r="H7" s="11" t="n">
        <v>154000</v>
      </c>
      <c r="I7" s="11" t="n">
        <v>67000</v>
      </c>
    </row>
    <row r="8">
      <c r="A8" s="8" t="inlineStr">
        <is>
          <t>シエンタ 2017年（170系）</t>
        </is>
      </c>
      <c r="B8" s="9" t="n">
        <v>118.9</v>
      </c>
      <c r="C8" s="10" t="n">
        <v>55</v>
      </c>
      <c r="D8" s="10" t="n">
        <v>120.4</v>
      </c>
      <c r="E8" s="10" t="n">
        <v>65.40000000000001</v>
      </c>
      <c r="F8" s="11" t="n">
        <v>4</v>
      </c>
      <c r="G8" s="11" t="n">
        <v>475</v>
      </c>
      <c r="H8" s="11" t="n">
        <v>126000</v>
      </c>
      <c r="I8" s="11" t="n">
        <v>39000</v>
      </c>
    </row>
    <row r="9">
      <c r="A9" s="8" t="inlineStr">
        <is>
          <t>プリウスα 2015年（40系）</t>
        </is>
      </c>
      <c r="B9" s="9" t="n">
        <v>118.1</v>
      </c>
      <c r="C9" s="10" t="n">
        <v>57.5</v>
      </c>
      <c r="D9" s="10" t="n">
        <v>125.4</v>
      </c>
      <c r="E9" s="10" t="n">
        <v>67.90000000000001</v>
      </c>
      <c r="F9" s="11" t="n">
        <v>4</v>
      </c>
      <c r="G9" s="11" t="n">
        <v>210</v>
      </c>
      <c r="H9" s="11" t="n">
        <v>147860</v>
      </c>
      <c r="I9" s="11" t="n">
        <v>88000</v>
      </c>
    </row>
    <row r="10">
      <c r="A10" s="8" t="inlineStr">
        <is>
          <t>エスティマ 2013年（50系）</t>
        </is>
      </c>
      <c r="B10" s="9" t="n">
        <v>114.9</v>
      </c>
      <c r="C10" s="10" t="n">
        <v>43.5</v>
      </c>
      <c r="D10" s="10" t="n">
        <v>93.5</v>
      </c>
      <c r="E10" s="10" t="n">
        <v>50</v>
      </c>
      <c r="F10" s="11" t="n">
        <v>10</v>
      </c>
      <c r="G10" s="11" t="n">
        <v>194</v>
      </c>
      <c r="H10" s="11" t="n">
        <v>148827</v>
      </c>
      <c r="I10" s="11" t="n">
        <v>87000</v>
      </c>
    </row>
    <row r="11">
      <c r="A11" s="8" t="inlineStr">
        <is>
          <t>エスクァイア 2015年（80系）</t>
        </is>
      </c>
      <c r="B11" s="9" t="n">
        <v>110.7</v>
      </c>
      <c r="C11" s="10" t="n">
        <v>64.5</v>
      </c>
      <c r="D11" s="10" t="n">
        <v>135.9</v>
      </c>
      <c r="E11" s="10" t="n">
        <v>71.40000000000001</v>
      </c>
      <c r="F11" s="11" t="n">
        <v>9</v>
      </c>
      <c r="G11" s="11" t="n">
        <v>232</v>
      </c>
      <c r="H11" s="11" t="n">
        <v>154500</v>
      </c>
      <c r="I11" s="11" t="n">
        <v>73000</v>
      </c>
    </row>
    <row r="12">
      <c r="A12" s="8" t="inlineStr">
        <is>
          <t>ヴォクシー 2013年（70系）</t>
        </is>
      </c>
      <c r="B12" s="9" t="n">
        <v>103</v>
      </c>
      <c r="C12" s="10" t="n">
        <v>36.5</v>
      </c>
      <c r="D12" s="10" t="n">
        <v>74.09999999999999</v>
      </c>
      <c r="E12" s="10" t="n">
        <v>37.6</v>
      </c>
      <c r="F12" s="11" t="n">
        <v>4</v>
      </c>
      <c r="G12" s="11" t="n">
        <v>138</v>
      </c>
      <c r="H12" s="11" t="n">
        <v>138111</v>
      </c>
      <c r="I12" s="11" t="n">
        <v>53000</v>
      </c>
    </row>
    <row r="13">
      <c r="A13" s="8" t="inlineStr">
        <is>
          <t>プリウスα 2014年（40系）</t>
        </is>
      </c>
      <c r="B13" s="9" t="n">
        <v>102.6</v>
      </c>
      <c r="C13" s="10" t="n">
        <v>45.6</v>
      </c>
      <c r="D13" s="10" t="n">
        <v>92.40000000000001</v>
      </c>
      <c r="E13" s="10" t="n">
        <v>46.8</v>
      </c>
      <c r="F13" s="11" t="n">
        <v>4</v>
      </c>
      <c r="G13" s="11" t="n">
        <v>120</v>
      </c>
      <c r="H13" s="11" t="n">
        <v>136000</v>
      </c>
      <c r="I13" s="11" t="n">
        <v>88000</v>
      </c>
    </row>
    <row r="14">
      <c r="A14" s="8" t="inlineStr">
        <is>
          <t>ヴォクシー 2015年（80系）</t>
        </is>
      </c>
      <c r="B14" s="9" t="n">
        <v>101.6</v>
      </c>
      <c r="C14" s="10" t="n">
        <v>68</v>
      </c>
      <c r="D14" s="10" t="n">
        <v>137.1</v>
      </c>
      <c r="E14" s="10" t="n">
        <v>69.09999999999999</v>
      </c>
      <c r="F14" s="11" t="n">
        <v>16</v>
      </c>
      <c r="G14" s="11" t="n">
        <v>387</v>
      </c>
      <c r="H14" s="11" t="n">
        <v>152300</v>
      </c>
      <c r="I14" s="11" t="n">
        <v>53000</v>
      </c>
    </row>
    <row r="15">
      <c r="A15" s="8" t="inlineStr">
        <is>
          <t>アルファード 2013年（20系）</t>
        </is>
      </c>
      <c r="B15" s="9" t="n">
        <v>93.3</v>
      </c>
      <c r="C15" s="10" t="n">
        <v>62.5</v>
      </c>
      <c r="D15" s="10" t="n">
        <v>120.8</v>
      </c>
      <c r="E15" s="10" t="n">
        <v>58.3</v>
      </c>
      <c r="F15" s="11" t="n">
        <v>5</v>
      </c>
      <c r="G15" s="11" t="n">
        <v>172</v>
      </c>
      <c r="H15" s="11" t="n">
        <v>128000</v>
      </c>
      <c r="I15" s="11" t="n">
        <v>44000</v>
      </c>
    </row>
    <row r="16">
      <c r="A16" s="8" t="inlineStr">
        <is>
          <t>プリウスα 2013年（40系）</t>
        </is>
      </c>
      <c r="B16" s="9" t="n">
        <v>89.90000000000001</v>
      </c>
      <c r="C16" s="10" t="n">
        <v>42.4</v>
      </c>
      <c r="D16" s="10" t="n">
        <v>80.5</v>
      </c>
      <c r="E16" s="10" t="n">
        <v>38.1</v>
      </c>
      <c r="F16" s="11" t="n">
        <v>6</v>
      </c>
      <c r="G16" s="11" t="n">
        <v>248</v>
      </c>
      <c r="H16" s="11" t="n">
        <v>169000</v>
      </c>
      <c r="I16" s="11" t="n">
        <v>88000</v>
      </c>
    </row>
    <row r="17">
      <c r="A17" s="8" t="inlineStr">
        <is>
          <t>シエンタ 2015年</t>
        </is>
      </c>
      <c r="B17" s="9" t="n">
        <v>79.3</v>
      </c>
      <c r="C17" s="10" t="n">
        <v>55.5</v>
      </c>
      <c r="D17" s="10" t="n">
        <v>99.5</v>
      </c>
      <c r="E17" s="10" t="n">
        <v>44</v>
      </c>
      <c r="F17" s="11" t="n">
        <v>10</v>
      </c>
      <c r="G17" s="11" t="n">
        <v>383</v>
      </c>
      <c r="H17" s="11" t="n">
        <v>102250</v>
      </c>
      <c r="I17" s="11" t="n">
        <v>39000</v>
      </c>
    </row>
    <row r="18">
      <c r="A18" s="8" t="inlineStr">
        <is>
          <t>プリウスα 2017年（40系）</t>
        </is>
      </c>
      <c r="B18" s="9" t="n">
        <v>74.8</v>
      </c>
      <c r="C18" s="10" t="n">
        <v>93.40000000000001</v>
      </c>
      <c r="D18" s="10" t="n">
        <v>163.3</v>
      </c>
      <c r="E18" s="10" t="n">
        <v>69.90000000000001</v>
      </c>
      <c r="F18" s="11" t="n">
        <v>4</v>
      </c>
      <c r="G18" s="11" t="n">
        <v>61</v>
      </c>
      <c r="H18" s="11" t="n">
        <v>96000</v>
      </c>
      <c r="I18" s="11" t="n">
        <v>88000</v>
      </c>
    </row>
    <row r="19">
      <c r="A19" s="8" t="inlineStr">
        <is>
          <t>シエンタ 2024年（10系）</t>
        </is>
      </c>
      <c r="B19" s="9" t="n">
        <v>74.3</v>
      </c>
      <c r="C19" s="10" t="n">
        <v>160.1</v>
      </c>
      <c r="D19" s="10" t="n">
        <v>279.1</v>
      </c>
      <c r="E19" s="10" t="n">
        <v>119</v>
      </c>
      <c r="F19" s="11" t="n">
        <v>3</v>
      </c>
      <c r="G19" s="11" t="n">
        <v>383</v>
      </c>
      <c r="H19" s="11" t="n">
        <v>35130</v>
      </c>
      <c r="I19" s="11" t="n">
        <v>39000</v>
      </c>
    </row>
    <row r="20">
      <c r="A20" s="8" t="inlineStr">
        <is>
          <t>アルファード 2017年（30系前期）</t>
        </is>
      </c>
      <c r="B20" s="9" t="n">
        <v>68.7</v>
      </c>
      <c r="C20" s="10" t="n">
        <v>150</v>
      </c>
      <c r="D20" s="10" t="n">
        <v>253</v>
      </c>
      <c r="E20" s="10" t="n">
        <v>103</v>
      </c>
      <c r="F20" s="11" t="n">
        <v>5</v>
      </c>
      <c r="G20" s="11" t="n">
        <v>313</v>
      </c>
      <c r="H20" s="11" t="n">
        <v>138000</v>
      </c>
      <c r="I20" s="11" t="n">
        <v>44000</v>
      </c>
    </row>
    <row r="21">
      <c r="A21" s="8" t="inlineStr">
        <is>
          <t>ノア 2014年（80系）</t>
        </is>
      </c>
      <c r="B21" s="9" t="n">
        <v>67.8</v>
      </c>
      <c r="C21" s="10" t="n">
        <v>72.40000000000001</v>
      </c>
      <c r="D21" s="10" t="n">
        <v>121.5</v>
      </c>
      <c r="E21" s="10" t="n">
        <v>49.1</v>
      </c>
      <c r="F21" s="11" t="n">
        <v>6</v>
      </c>
      <c r="G21" s="11" t="n">
        <v>204</v>
      </c>
      <c r="H21" s="11" t="n">
        <v>159070</v>
      </c>
      <c r="I21" s="11" t="n">
        <v>46000</v>
      </c>
    </row>
    <row r="22">
      <c r="A22" s="8" t="inlineStr">
        <is>
          <t>ヴェルファイア 2016年（30系前期）</t>
        </is>
      </c>
      <c r="B22" s="9" t="n">
        <v>64.3</v>
      </c>
      <c r="C22" s="10" t="n">
        <v>140.1</v>
      </c>
      <c r="D22" s="10" t="n">
        <v>230.2</v>
      </c>
      <c r="E22" s="10" t="n">
        <v>90.09999999999999</v>
      </c>
      <c r="F22" s="11" t="n">
        <v>6</v>
      </c>
      <c r="G22" s="11" t="n">
        <v>349</v>
      </c>
      <c r="H22" s="11" t="n">
        <v>150000</v>
      </c>
      <c r="I22" s="11" t="n">
        <v>67000</v>
      </c>
    </row>
    <row r="23">
      <c r="A23" s="8" t="inlineStr">
        <is>
          <t>ヴォクシー 2014年（80系）</t>
        </is>
      </c>
      <c r="B23" s="9" t="n">
        <v>63.5</v>
      </c>
      <c r="C23" s="10" t="n">
        <v>75</v>
      </c>
      <c r="D23" s="10" t="n">
        <v>122.6</v>
      </c>
      <c r="E23" s="10" t="n">
        <v>47.6</v>
      </c>
      <c r="F23" s="11" t="n">
        <v>17</v>
      </c>
      <c r="G23" s="11" t="n">
        <v>395</v>
      </c>
      <c r="H23" s="11" t="n">
        <v>150700</v>
      </c>
      <c r="I23" s="11" t="n">
        <v>53000</v>
      </c>
    </row>
    <row r="24">
      <c r="A24" s="8" t="inlineStr">
        <is>
          <t>シエンタ 2019年（170系）</t>
        </is>
      </c>
      <c r="B24" s="9" t="n">
        <v>59.4</v>
      </c>
      <c r="C24" s="10" t="n">
        <v>101.4</v>
      </c>
      <c r="D24" s="10" t="n">
        <v>161.6</v>
      </c>
      <c r="E24" s="10" t="n">
        <v>60.2</v>
      </c>
      <c r="F24" s="11" t="n">
        <v>6</v>
      </c>
      <c r="G24" s="11" t="n">
        <v>519</v>
      </c>
      <c r="H24" s="11" t="n">
        <v>75334</v>
      </c>
      <c r="I24" s="11" t="n">
        <v>39000</v>
      </c>
    </row>
    <row r="25">
      <c r="A25" s="8" t="inlineStr">
        <is>
          <t>アルファード 2015年（30系前期）</t>
        </is>
      </c>
      <c r="B25" s="9" t="n">
        <v>53.8</v>
      </c>
      <c r="C25" s="10" t="n">
        <v>147.1</v>
      </c>
      <c r="D25" s="10" t="n">
        <v>226.3</v>
      </c>
      <c r="E25" s="10" t="n">
        <v>79.2</v>
      </c>
      <c r="F25" s="11" t="n">
        <v>4</v>
      </c>
      <c r="G25" s="11" t="n">
        <v>297</v>
      </c>
      <c r="H25" s="11" t="n">
        <v>155000</v>
      </c>
      <c r="I25" s="11" t="n">
        <v>44000</v>
      </c>
    </row>
    <row r="26">
      <c r="A26" s="8" t="inlineStr">
        <is>
          <t>アルファード 2020年（30系後期）</t>
        </is>
      </c>
      <c r="B26" s="9" t="n">
        <v>50.6</v>
      </c>
      <c r="C26" s="10" t="n">
        <v>246</v>
      </c>
      <c r="D26" s="10" t="n">
        <v>370.4</v>
      </c>
      <c r="E26" s="10" t="n">
        <v>124.4</v>
      </c>
      <c r="F26" s="11" t="n">
        <v>7</v>
      </c>
      <c r="G26" s="11" t="n">
        <v>710</v>
      </c>
      <c r="H26" s="11" t="n">
        <v>97400</v>
      </c>
      <c r="I26" s="11" t="n">
        <v>44000</v>
      </c>
    </row>
    <row r="27">
      <c r="A27" s="8" t="inlineStr">
        <is>
          <t>ノア 2015年（80系）</t>
        </is>
      </c>
      <c r="B27" s="9" t="n">
        <v>46.1</v>
      </c>
      <c r="C27" s="10" t="n">
        <v>86.40000000000001</v>
      </c>
      <c r="D27" s="10" t="n">
        <v>126.2</v>
      </c>
      <c r="E27" s="10" t="n">
        <v>39.8</v>
      </c>
      <c r="F27" s="11" t="n">
        <v>6</v>
      </c>
      <c r="G27" s="11" t="n">
        <v>196</v>
      </c>
      <c r="H27" s="11" t="n">
        <v>127000</v>
      </c>
      <c r="I27" s="11" t="n">
        <v>46000</v>
      </c>
    </row>
    <row r="28">
      <c r="A28" s="8" t="inlineStr">
        <is>
          <t>ヴェルファイア 2015年（30系前期）</t>
        </is>
      </c>
      <c r="B28" s="9" t="n">
        <v>46</v>
      </c>
      <c r="C28" s="10" t="n">
        <v>147.9</v>
      </c>
      <c r="D28" s="10" t="n">
        <v>215.9</v>
      </c>
      <c r="E28" s="10" t="n">
        <v>68</v>
      </c>
      <c r="F28" s="11" t="n">
        <v>8</v>
      </c>
      <c r="G28" s="11" t="n">
        <v>409</v>
      </c>
      <c r="H28" s="11" t="n">
        <v>166225</v>
      </c>
      <c r="I28" s="11" t="n">
        <v>67000</v>
      </c>
    </row>
    <row r="29">
      <c r="A29" s="8" t="inlineStr">
        <is>
          <t>ヴォクシー 2023年（90系）</t>
        </is>
      </c>
      <c r="B29" s="9" t="n">
        <v>39</v>
      </c>
      <c r="C29" s="10" t="n">
        <v>268</v>
      </c>
      <c r="D29" s="10" t="n">
        <v>372.4</v>
      </c>
      <c r="E29" s="10" t="n">
        <v>104.4</v>
      </c>
      <c r="F29" s="11" t="n">
        <v>3</v>
      </c>
      <c r="G29" s="11" t="n">
        <v>1019</v>
      </c>
      <c r="H29" s="11" t="n">
        <v>21000</v>
      </c>
      <c r="I29" s="11" t="n">
        <v>53000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v>
      </c>
      <c r="D5" s="10" t="n">
        <v>88.09999999999999</v>
      </c>
      <c r="E5" s="11" t="n">
        <v>43</v>
      </c>
      <c r="F5" s="11" t="n">
        <v>7208</v>
      </c>
      <c r="G5" s="11" t="n">
        <v>97400</v>
      </c>
      <c r="H5" s="11" t="n">
        <v>44000</v>
      </c>
      <c r="I5" s="8" t="inlineStr">
        <is>
          <t>2013〜2025年</t>
        </is>
      </c>
    </row>
    <row r="6">
      <c r="A6" s="8" t="inlineStr">
        <is>
          <t>ヴェルファイア</t>
        </is>
      </c>
      <c r="B6" s="10" t="n">
        <v>112.4</v>
      </c>
      <c r="C6" s="10" t="n">
        <v>215.9</v>
      </c>
      <c r="D6" s="10" t="n">
        <v>103.5</v>
      </c>
      <c r="E6" s="11" t="n">
        <v>32</v>
      </c>
      <c r="F6" s="11" t="n">
        <v>3393</v>
      </c>
      <c r="G6" s="11" t="n">
        <v>144500</v>
      </c>
      <c r="H6" s="11" t="n">
        <v>67000</v>
      </c>
      <c r="I6" s="8" t="inlineStr">
        <is>
          <t>2013〜2023年</t>
        </is>
      </c>
    </row>
    <row r="7">
      <c r="A7" s="8" t="inlineStr">
        <is>
          <t>ノア</t>
        </is>
      </c>
      <c r="B7" s="10" t="n">
        <v>96.8</v>
      </c>
      <c r="C7" s="10" t="n">
        <v>126.2</v>
      </c>
      <c r="D7" s="10" t="n">
        <v>29.4</v>
      </c>
      <c r="E7" s="11" t="n">
        <v>19</v>
      </c>
      <c r="F7" s="11" t="n">
        <v>3793</v>
      </c>
      <c r="G7" s="11" t="n">
        <v>115566</v>
      </c>
      <c r="H7" s="11" t="n">
        <v>46000</v>
      </c>
      <c r="I7" s="8" t="inlineStr">
        <is>
          <t>2014〜2023年</t>
        </is>
      </c>
    </row>
    <row r="8">
      <c r="A8" s="8" t="inlineStr">
        <is>
          <t>ヴォクシー</t>
        </is>
      </c>
      <c r="B8" s="10" t="n">
        <v>76.8</v>
      </c>
      <c r="C8" s="10" t="n">
        <v>137.1</v>
      </c>
      <c r="D8" s="10" t="n">
        <v>60.3</v>
      </c>
      <c r="E8" s="11" t="n">
        <v>55</v>
      </c>
      <c r="F8" s="11" t="n">
        <v>6401</v>
      </c>
      <c r="G8" s="11" t="n">
        <v>129100</v>
      </c>
      <c r="H8" s="11" t="n">
        <v>53000</v>
      </c>
      <c r="I8" s="8" t="inlineStr">
        <is>
          <t>2013〜2024年</t>
        </is>
      </c>
    </row>
    <row r="9">
      <c r="A9" s="8" t="inlineStr">
        <is>
          <t>シエンタ</t>
        </is>
      </c>
      <c r="B9" s="10" t="n">
        <v>70.09999999999999</v>
      </c>
      <c r="C9" s="10" t="n">
        <v>120.4</v>
      </c>
      <c r="D9" s="10" t="n">
        <v>50.3</v>
      </c>
      <c r="E9" s="11" t="n">
        <v>38</v>
      </c>
      <c r="F9" s="11" t="n">
        <v>5568</v>
      </c>
      <c r="G9" s="11" t="n">
        <v>79362</v>
      </c>
      <c r="H9" s="11" t="n">
        <v>39000</v>
      </c>
      <c r="I9" s="8" t="inlineStr">
        <is>
          <t>2013〜2025年</t>
        </is>
      </c>
    </row>
    <row r="10">
      <c r="A10" s="8" t="inlineStr">
        <is>
          <t>エスクァイア</t>
        </is>
      </c>
      <c r="B10" s="10" t="n">
        <v>64.5</v>
      </c>
      <c r="C10" s="10" t="n">
        <v>135.9</v>
      </c>
      <c r="D10" s="10" t="n">
        <v>71.40000000000001</v>
      </c>
      <c r="E10" s="11" t="n">
        <v>15</v>
      </c>
      <c r="F10" s="11" t="n">
        <v>1229</v>
      </c>
      <c r="G10" s="11" t="n">
        <v>153000</v>
      </c>
      <c r="H10" s="11" t="n">
        <v>73000</v>
      </c>
      <c r="I10" s="8" t="inlineStr">
        <is>
          <t>2014〜2017年</t>
        </is>
      </c>
    </row>
    <row r="11">
      <c r="A11" s="8" t="inlineStr">
        <is>
          <t>プリウスα</t>
        </is>
      </c>
      <c r="B11" s="10" t="n">
        <v>55</v>
      </c>
      <c r="C11" s="10" t="n">
        <v>92.40000000000001</v>
      </c>
      <c r="D11" s="10" t="n">
        <v>37.4</v>
      </c>
      <c r="E11" s="11" t="n">
        <v>19</v>
      </c>
      <c r="F11" s="11" t="n">
        <v>796</v>
      </c>
      <c r="G11" s="11" t="n">
        <v>136000</v>
      </c>
      <c r="H11" s="11" t="n">
        <v>88000</v>
      </c>
      <c r="I11" s="8" t="inlineStr">
        <is>
          <t>2013〜2017年</t>
        </is>
      </c>
    </row>
    <row r="12">
      <c r="A12" s="8" t="inlineStr">
        <is>
          <t>エスティマ</t>
        </is>
      </c>
      <c r="B12" s="10" t="n">
        <v>49</v>
      </c>
      <c r="C12" s="10" t="n">
        <v>93.5</v>
      </c>
      <c r="D12" s="10" t="n">
        <v>44.5</v>
      </c>
      <c r="E12" s="11" t="n">
        <v>18</v>
      </c>
      <c r="F12" s="11" t="n">
        <v>644</v>
      </c>
      <c r="G12" s="11" t="n">
        <v>177500</v>
      </c>
      <c r="H12" s="11" t="n">
        <v>87000</v>
      </c>
      <c r="I12" s="8" t="inlineStr">
        <is>
          <t>2013〜2017年</t>
        </is>
      </c>
    </row>
    <row r="13">
      <c r="A13" s="8" t="inlineStr">
        <is>
          <t>グランエース</t>
        </is>
      </c>
      <c r="B13" s="10" t="n"/>
      <c r="C13" s="10" t="n"/>
      <c r="D13" s="10" t="n"/>
      <c r="E13" s="11" t="n"/>
      <c r="F13" s="11" t="n">
        <v>58</v>
      </c>
      <c r="G13" s="11" t="n"/>
      <c r="H13" s="11" t="n">
        <v>44000</v>
      </c>
      <c r="I13" s="8" t="inlineStr"/>
    </row>
    <row r="14">
      <c r="A14" s="8" t="inlineStr">
        <is>
          <t>ウィッシュ</t>
        </is>
      </c>
      <c r="B14" s="10" t="n"/>
      <c r="C14" s="10" t="n"/>
      <c r="D14" s="10" t="n"/>
      <c r="E14" s="11" t="n"/>
      <c r="F14" s="11" t="n">
        <v>32</v>
      </c>
      <c r="G14" s="11" t="n"/>
      <c r="H14" s="11" t="n">
        <v>88000</v>
      </c>
      <c r="I14" s="8" t="inlineStr"/>
    </row>
    <row r="15">
      <c r="A15" s="8" t="inlineStr">
        <is>
          <t>アイシス</t>
        </is>
      </c>
      <c r="B15" s="10" t="n"/>
      <c r="C15" s="10" t="n"/>
      <c r="D15" s="10" t="n"/>
      <c r="E15" s="11" t="n"/>
      <c r="F15" s="11" t="n">
        <v>37</v>
      </c>
      <c r="G15" s="11" t="n"/>
      <c r="H15" s="11" t="n">
        <v>81000</v>
      </c>
      <c r="I15"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row>
    <row r="6">
      <c r="A6" s="8" t="inlineStr">
        <is>
          <t>ヴォクシー</t>
        </is>
      </c>
      <c r="B6" s="10" t="n">
        <v>36.5</v>
      </c>
      <c r="C6" s="10" t="n">
        <v>75</v>
      </c>
      <c r="D6" s="10" t="n">
        <v>68</v>
      </c>
      <c r="E6" s="10" t="n">
        <v>120</v>
      </c>
      <c r="F6" s="10" t="n">
        <v>123.3</v>
      </c>
      <c r="G6" s="10" t="n">
        <v>143.7</v>
      </c>
      <c r="H6" s="10" t="n">
        <v>151.2</v>
      </c>
      <c r="I6" s="10" t="n"/>
      <c r="J6" s="10" t="n">
        <v>178</v>
      </c>
      <c r="K6" s="10" t="n"/>
      <c r="L6" s="10" t="n">
        <v>268</v>
      </c>
      <c r="M6" s="10" t="n">
        <v>340.3</v>
      </c>
      <c r="N6" s="10" t="n"/>
    </row>
    <row r="7">
      <c r="A7" s="8" t="inlineStr">
        <is>
          <t>アルファード</t>
        </is>
      </c>
      <c r="B7" s="10" t="n">
        <v>62.5</v>
      </c>
      <c r="C7" s="10" t="n">
        <v>67</v>
      </c>
      <c r="D7" s="10" t="n">
        <v>147.1</v>
      </c>
      <c r="E7" s="10" t="n">
        <v>218.8</v>
      </c>
      <c r="F7" s="10" t="n">
        <v>150</v>
      </c>
      <c r="G7" s="10" t="n">
        <v>286.6</v>
      </c>
      <c r="H7" s="10" t="n">
        <v>282.1</v>
      </c>
      <c r="I7" s="10" t="n">
        <v>246</v>
      </c>
      <c r="J7" s="10" t="n"/>
      <c r="K7" s="10" t="n">
        <v>468</v>
      </c>
      <c r="L7" s="10" t="n">
        <v>631.5</v>
      </c>
      <c r="M7" s="10" t="n">
        <v>504.1</v>
      </c>
      <c r="N7" s="10" t="n">
        <v>657.6</v>
      </c>
    </row>
    <row r="8">
      <c r="A8" s="8" t="inlineStr">
        <is>
          <t>シエンタ</t>
        </is>
      </c>
      <c r="B8" s="10" t="n">
        <v>32.5</v>
      </c>
      <c r="C8" s="10" t="n"/>
      <c r="D8" s="10" t="n">
        <v>55.5</v>
      </c>
      <c r="E8" s="10" t="n">
        <v>41.4</v>
      </c>
      <c r="F8" s="10" t="n">
        <v>55</v>
      </c>
      <c r="G8" s="10" t="n">
        <v>165.1</v>
      </c>
      <c r="H8" s="10" t="n">
        <v>101.4</v>
      </c>
      <c r="I8" s="10" t="n">
        <v>98.7</v>
      </c>
      <c r="J8" s="10" t="n">
        <v>81</v>
      </c>
      <c r="K8" s="10" t="n"/>
      <c r="L8" s="10" t="n">
        <v>209.9</v>
      </c>
      <c r="M8" s="10" t="n">
        <v>160.1</v>
      </c>
      <c r="N8" s="10" t="n">
        <v>165.1</v>
      </c>
    </row>
    <row r="9">
      <c r="A9" s="8" t="inlineStr">
        <is>
          <t>ヴェルファイア</t>
        </is>
      </c>
      <c r="B9" s="10" t="n">
        <v>47.5</v>
      </c>
      <c r="C9" s="10" t="n">
        <v>72</v>
      </c>
      <c r="D9" s="10" t="n">
        <v>147.9</v>
      </c>
      <c r="E9" s="10" t="n">
        <v>140.1</v>
      </c>
      <c r="F9" s="10" t="n">
        <v>199.6</v>
      </c>
      <c r="G9" s="10" t="n">
        <v>300.5</v>
      </c>
      <c r="H9" s="10" t="n">
        <v>238.3</v>
      </c>
      <c r="I9" s="10" t="n"/>
      <c r="J9" s="10" t="n"/>
      <c r="K9" s="10" t="n">
        <v>265.3</v>
      </c>
      <c r="L9" s="10" t="n">
        <v>599</v>
      </c>
      <c r="M9" s="10" t="n"/>
      <c r="N9" s="10" t="n"/>
    </row>
    <row r="10">
      <c r="A10" s="8" t="inlineStr">
        <is>
          <t>ノア</t>
        </is>
      </c>
      <c r="B10" s="10" t="n"/>
      <c r="C10" s="10" t="n">
        <v>72.40000000000001</v>
      </c>
      <c r="D10" s="10" t="n">
        <v>86.40000000000001</v>
      </c>
      <c r="E10" s="10" t="n">
        <v>128.3</v>
      </c>
      <c r="F10" s="10" t="n">
        <v>169.8</v>
      </c>
      <c r="G10" s="10" t="n">
        <v>133</v>
      </c>
      <c r="H10" s="10" t="n"/>
      <c r="I10" s="10" t="n">
        <v>144.7</v>
      </c>
      <c r="J10" s="10" t="n"/>
      <c r="K10" s="10" t="n"/>
      <c r="L10" s="10" t="n">
        <v>292.1</v>
      </c>
      <c r="M10" s="10" t="n"/>
      <c r="N10" s="10" t="n"/>
    </row>
    <row r="11">
      <c r="A11" s="8" t="inlineStr">
        <is>
          <t>プリウスα</t>
        </is>
      </c>
      <c r="B11" s="10" t="n">
        <v>42.4</v>
      </c>
      <c r="C11" s="10" t="n">
        <v>45.6</v>
      </c>
      <c r="D11" s="10" t="n">
        <v>57.5</v>
      </c>
      <c r="E11" s="10" t="n">
        <v>65</v>
      </c>
      <c r="F11" s="10" t="n">
        <v>93.40000000000001</v>
      </c>
      <c r="G11" s="10" t="n"/>
      <c r="H11" s="10" t="n"/>
      <c r="I11" s="10" t="n"/>
      <c r="J11" s="10" t="n"/>
      <c r="K11" s="10" t="n"/>
      <c r="L11" s="10" t="n"/>
      <c r="M11" s="10" t="n"/>
      <c r="N11" s="10" t="n"/>
    </row>
    <row r="12">
      <c r="A12" s="8" t="inlineStr">
        <is>
          <t>エスティマ</t>
        </is>
      </c>
      <c r="B12" s="10" t="n">
        <v>43.5</v>
      </c>
      <c r="C12" s="10" t="n">
        <v>46.8</v>
      </c>
      <c r="D12" s="10" t="n">
        <v>85</v>
      </c>
      <c r="E12" s="10" t="n">
        <v>108.8</v>
      </c>
      <c r="F12" s="10" t="n">
        <v>96</v>
      </c>
      <c r="G12" s="10" t="n"/>
      <c r="H12" s="10" t="n"/>
      <c r="I12" s="10" t="n"/>
      <c r="J12" s="10" t="n"/>
      <c r="K12" s="10" t="n"/>
      <c r="L12" s="10" t="n"/>
      <c r="M12" s="10" t="n"/>
      <c r="N12" s="10" t="n"/>
    </row>
    <row r="13">
      <c r="A13" s="8" t="inlineStr">
        <is>
          <t>エスクァイア</t>
        </is>
      </c>
      <c r="B13" s="10" t="n"/>
      <c r="C13" s="10" t="n">
        <v>105</v>
      </c>
      <c r="D13" s="10" t="n">
        <v>64.5</v>
      </c>
      <c r="E13" s="10" t="n">
        <v>105.7</v>
      </c>
      <c r="F13" s="10" t="n">
        <v>58.2</v>
      </c>
      <c r="G13" s="10" t="n"/>
      <c r="H13" s="10" t="n"/>
      <c r="I13" s="10" t="n"/>
      <c r="J13" s="10" t="n"/>
      <c r="K13" s="10" t="n"/>
      <c r="L13" s="10" t="n"/>
      <c r="M13" s="10" t="n"/>
      <c r="N13" s="10" t="n"/>
    </row>
    <row r="15">
      <c r="A15" s="12" t="inlineStr">
        <is>
          <t>■ 落札件数（この数が少ないほど上の中央値はブレる）</t>
        </is>
      </c>
    </row>
    <row r="16">
      <c r="A16" s="7" t="inlineStr">
        <is>
          <t>車種</t>
        </is>
      </c>
      <c r="B16" s="7" t="inlineStr">
        <is>
          <t>2013年</t>
        </is>
      </c>
      <c r="C16" s="7" t="inlineStr">
        <is>
          <t>2014年</t>
        </is>
      </c>
      <c r="D16" s="7" t="inlineStr">
        <is>
          <t>2015年</t>
        </is>
      </c>
      <c r="E16" s="7" t="inlineStr">
        <is>
          <t>2016年</t>
        </is>
      </c>
      <c r="F16" s="7" t="inlineStr">
        <is>
          <t>2017年</t>
        </is>
      </c>
      <c r="G16" s="7" t="inlineStr">
        <is>
          <t>2018年</t>
        </is>
      </c>
      <c r="H16" s="7" t="inlineStr">
        <is>
          <t>2019年</t>
        </is>
      </c>
      <c r="I16" s="7" t="inlineStr">
        <is>
          <t>2020年</t>
        </is>
      </c>
      <c r="J16" s="7" t="inlineStr">
        <is>
          <t>2021年</t>
        </is>
      </c>
      <c r="K16" s="7" t="inlineStr">
        <is>
          <t>2022年</t>
        </is>
      </c>
      <c r="L16" s="7" t="inlineStr">
        <is>
          <t>2023年</t>
        </is>
      </c>
      <c r="M16" s="7" t="inlineStr">
        <is>
          <t>2024年</t>
        </is>
      </c>
      <c r="N16" s="7" t="inlineStr">
        <is>
          <t>2025年</t>
        </is>
      </c>
    </row>
    <row r="17">
      <c r="A17" s="8" t="inlineStr">
        <is>
          <t>ヴォクシー</t>
        </is>
      </c>
      <c r="B17" s="11" t="n">
        <v>4</v>
      </c>
      <c r="C17" s="11" t="n">
        <v>17</v>
      </c>
      <c r="D17" s="11" t="n">
        <v>16</v>
      </c>
      <c r="E17" s="11" t="n">
        <v>7</v>
      </c>
      <c r="F17" s="11" t="n">
        <v>2</v>
      </c>
      <c r="G17" s="11" t="n">
        <v>2</v>
      </c>
      <c r="H17" s="11" t="n">
        <v>2</v>
      </c>
      <c r="I17" s="11" t="n"/>
      <c r="J17" s="11" t="n">
        <v>1</v>
      </c>
      <c r="K17" s="11" t="n"/>
      <c r="L17" s="11" t="n">
        <v>3</v>
      </c>
      <c r="M17" s="11" t="n">
        <v>1</v>
      </c>
      <c r="N17" s="11" t="n"/>
    </row>
    <row r="18">
      <c r="A18" s="8" t="inlineStr">
        <is>
          <t>アルファード</t>
        </is>
      </c>
      <c r="B18" s="11" t="n">
        <v>5</v>
      </c>
      <c r="C18" s="11" t="n">
        <v>2</v>
      </c>
      <c r="D18" s="11" t="n">
        <v>4</v>
      </c>
      <c r="E18" s="11" t="n">
        <v>2</v>
      </c>
      <c r="F18" s="11" t="n">
        <v>5</v>
      </c>
      <c r="G18" s="11" t="n">
        <v>6</v>
      </c>
      <c r="H18" s="11" t="n">
        <v>3</v>
      </c>
      <c r="I18" s="11" t="n">
        <v>7</v>
      </c>
      <c r="J18" s="11" t="n"/>
      <c r="K18" s="11" t="n">
        <v>1</v>
      </c>
      <c r="L18" s="11" t="n">
        <v>2</v>
      </c>
      <c r="M18" s="11" t="n">
        <v>2</v>
      </c>
      <c r="N18" s="11" t="n">
        <v>4</v>
      </c>
    </row>
    <row r="19">
      <c r="A19" s="8" t="inlineStr">
        <is>
          <t>シエンタ</t>
        </is>
      </c>
      <c r="B19" s="11" t="n">
        <v>2</v>
      </c>
      <c r="C19" s="11" t="n"/>
      <c r="D19" s="11" t="n">
        <v>10</v>
      </c>
      <c r="E19" s="11" t="n">
        <v>6</v>
      </c>
      <c r="F19" s="11" t="n">
        <v>4</v>
      </c>
      <c r="G19" s="11" t="n">
        <v>1</v>
      </c>
      <c r="H19" s="11" t="n">
        <v>6</v>
      </c>
      <c r="I19" s="11" t="n">
        <v>2</v>
      </c>
      <c r="J19" s="11" t="n">
        <v>1</v>
      </c>
      <c r="K19" s="11" t="n"/>
      <c r="L19" s="11" t="n">
        <v>2</v>
      </c>
      <c r="M19" s="11" t="n">
        <v>3</v>
      </c>
      <c r="N19" s="11" t="n">
        <v>1</v>
      </c>
    </row>
    <row r="20">
      <c r="A20" s="8" t="inlineStr">
        <is>
          <t>ヴェルファイア</t>
        </is>
      </c>
      <c r="B20" s="11" t="n">
        <v>10</v>
      </c>
      <c r="C20" s="11" t="n">
        <v>2</v>
      </c>
      <c r="D20" s="11" t="n">
        <v>8</v>
      </c>
      <c r="E20" s="11" t="n">
        <v>6</v>
      </c>
      <c r="F20" s="11" t="n">
        <v>1</v>
      </c>
      <c r="G20" s="11" t="n">
        <v>2</v>
      </c>
      <c r="H20" s="11" t="n">
        <v>1</v>
      </c>
      <c r="I20" s="11" t="n"/>
      <c r="J20" s="11" t="n"/>
      <c r="K20" s="11" t="n">
        <v>1</v>
      </c>
      <c r="L20" s="11" t="n">
        <v>1</v>
      </c>
      <c r="M20" s="11" t="n"/>
      <c r="N20" s="11" t="n"/>
    </row>
    <row r="21">
      <c r="A21" s="8" t="inlineStr">
        <is>
          <t>ノア</t>
        </is>
      </c>
      <c r="B21" s="11" t="n"/>
      <c r="C21" s="11" t="n">
        <v>6</v>
      </c>
      <c r="D21" s="11" t="n">
        <v>6</v>
      </c>
      <c r="E21" s="11" t="n">
        <v>2</v>
      </c>
      <c r="F21" s="11" t="n">
        <v>2</v>
      </c>
      <c r="G21" s="11" t="n">
        <v>1</v>
      </c>
      <c r="H21" s="11" t="n"/>
      <c r="I21" s="11" t="n">
        <v>1</v>
      </c>
      <c r="J21" s="11" t="n"/>
      <c r="K21" s="11" t="n"/>
      <c r="L21" s="11" t="n">
        <v>1</v>
      </c>
      <c r="M21" s="11" t="n"/>
      <c r="N21" s="11" t="n"/>
    </row>
    <row r="22">
      <c r="A22" s="8" t="inlineStr">
        <is>
          <t>プリウスα</t>
        </is>
      </c>
      <c r="B22" s="11" t="n">
        <v>6</v>
      </c>
      <c r="C22" s="11" t="n">
        <v>4</v>
      </c>
      <c r="D22" s="11" t="n">
        <v>4</v>
      </c>
      <c r="E22" s="11" t="n">
        <v>1</v>
      </c>
      <c r="F22" s="11" t="n">
        <v>4</v>
      </c>
      <c r="G22" s="11" t="n"/>
      <c r="H22" s="11" t="n"/>
      <c r="I22" s="11" t="n"/>
      <c r="J22" s="11" t="n"/>
      <c r="K22" s="11" t="n"/>
      <c r="L22" s="11" t="n"/>
      <c r="M22" s="11" t="n"/>
      <c r="N22" s="11" t="n"/>
    </row>
    <row r="23">
      <c r="A23" s="8" t="inlineStr">
        <is>
          <t>エスティマ</t>
        </is>
      </c>
      <c r="B23" s="11" t="n">
        <v>10</v>
      </c>
      <c r="C23" s="11" t="n">
        <v>4</v>
      </c>
      <c r="D23" s="11" t="n">
        <v>1</v>
      </c>
      <c r="E23" s="11" t="n">
        <v>1</v>
      </c>
      <c r="F23" s="11" t="n">
        <v>2</v>
      </c>
      <c r="G23" s="11" t="n"/>
      <c r="H23" s="11" t="n"/>
      <c r="I23" s="11" t="n"/>
      <c r="J23" s="11" t="n"/>
      <c r="K23" s="11" t="n"/>
      <c r="L23" s="11" t="n"/>
      <c r="M23" s="11" t="n"/>
      <c r="N23" s="11" t="n"/>
    </row>
    <row r="24">
      <c r="A24" s="8" t="inlineStr">
        <is>
          <t>エスクァイア</t>
        </is>
      </c>
      <c r="B24" s="11" t="n"/>
      <c r="C24" s="11" t="n">
        <v>3</v>
      </c>
      <c r="D24" s="11" t="n">
        <v>9</v>
      </c>
      <c r="E24" s="11" t="n">
        <v>2</v>
      </c>
      <c r="F24" s="11" t="n">
        <v>1</v>
      </c>
      <c r="G24" s="11" t="n"/>
      <c r="H24" s="11" t="n"/>
      <c r="I24" s="11" t="n"/>
      <c r="J24" s="11" t="n"/>
      <c r="K24" s="11" t="n"/>
      <c r="L24" s="11" t="n"/>
      <c r="M24" s="11" t="n"/>
      <c r="N24" s="11" t="n"/>
    </row>
  </sheetData>
  <conditionalFormatting sqref="B6:N6">
    <cfRule type="colorScale" priority="1">
      <colorScale>
        <cfvo type="min"/>
        <cfvo type="percentile" val="50"/>
        <cfvo type="max"/>
        <color rgb="00FFFFFF"/>
        <color rgb="00BDD7EE"/>
        <color rgb="002E75B6"/>
      </colorScale>
    </cfRule>
  </conditionalFormatting>
  <conditionalFormatting sqref="B7:N7">
    <cfRule type="colorScale" priority="1">
      <colorScale>
        <cfvo type="min"/>
        <cfvo type="percentile" val="50"/>
        <cfvo type="max"/>
        <color rgb="00FFFFFF"/>
        <color rgb="00BDD7EE"/>
        <color rgb="002E75B6"/>
      </colorScale>
    </cfRule>
  </conditionalFormatting>
  <conditionalFormatting sqref="B8:N8">
    <cfRule type="colorScale" priority="1">
      <colorScale>
        <cfvo type="min"/>
        <cfvo type="percentile" val="50"/>
        <cfvo type="max"/>
        <color rgb="00FFFFFF"/>
        <color rgb="00BDD7EE"/>
        <color rgb="002E75B6"/>
      </colorScale>
    </cfRule>
  </conditionalFormatting>
  <conditionalFormatting sqref="B9:N9">
    <cfRule type="colorScale" priority="1">
      <colorScale>
        <cfvo type="min"/>
        <cfvo type="percentile" val="50"/>
        <cfvo type="max"/>
        <color rgb="00FFFFFF"/>
        <color rgb="00BDD7EE"/>
        <color rgb="002E75B6"/>
      </colorScale>
    </cfRule>
  </conditionalFormatting>
  <conditionalFormatting sqref="B10:N10">
    <cfRule type="colorScale" priority="1">
      <colorScale>
        <cfvo type="min"/>
        <cfvo type="percentile" val="50"/>
        <cfvo type="max"/>
        <color rgb="00FFFFFF"/>
        <color rgb="00BDD7EE"/>
        <color rgb="002E75B6"/>
      </colorScale>
    </cfRule>
  </conditionalFormatting>
  <conditionalFormatting sqref="B11:N11">
    <cfRule type="colorScale" priority="1">
      <colorScale>
        <cfvo type="min"/>
        <cfvo type="percentile" val="50"/>
        <cfvo type="max"/>
        <color rgb="00FFFFFF"/>
        <color rgb="00BDD7EE"/>
        <color rgb="002E75B6"/>
      </colorScale>
    </cfRule>
  </conditionalFormatting>
  <conditionalFormatting sqref="B12:N12">
    <cfRule type="colorScale" priority="1">
      <colorScale>
        <cfvo type="min"/>
        <cfvo type="percentile" val="50"/>
        <cfvo type="max"/>
        <color rgb="00FFFFFF"/>
        <color rgb="00BDD7EE"/>
        <color rgb="002E75B6"/>
      </colorScale>
    </cfRule>
  </conditionalFormatting>
  <conditionalFormatting sqref="B13:N1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トヨタ</t>
        </is>
      </c>
      <c r="B2" s="13" t="inlineStr">
        <is>
          <t>アルファード</t>
        </is>
      </c>
      <c r="C2" s="13" t="inlineStr">
        <is>
          <t>alphard</t>
        </is>
      </c>
      <c r="D2" s="13" t="inlineStr">
        <is>
          <t>20系</t>
        </is>
      </c>
      <c r="E2" s="13" t="inlineStr">
        <is>
          <t>2008/05〜2015/01</t>
        </is>
      </c>
      <c r="F2" s="14" t="inlineStr">
        <is>
          <t>DBA-ANH20W, DBA-ANH25W, DBA-GGH20W, DBA-GGH25W, DAA-ATH20W</t>
        </is>
      </c>
      <c r="G2" s="13" t="inlineStr">
        <is>
          <t>TO_S009, TO_S010</t>
        </is>
      </c>
      <c r="H2" s="13" t="inlineStr">
        <is>
          <t>70100110661</t>
        </is>
      </c>
      <c r="I2" s="13" t="inlineStr">
        <is>
          <t>alphard</t>
        </is>
      </c>
      <c r="J2" s="13" t="inlineStr">
        <is>
          <t>2084049538, 2084231229</t>
        </is>
      </c>
    </row>
    <row r="3">
      <c r="A3" s="8" t="inlineStr">
        <is>
          <t>トヨタ</t>
        </is>
      </c>
      <c r="B3" s="8" t="inlineStr">
        <is>
          <t>アルファード</t>
        </is>
      </c>
      <c r="C3" s="8" t="inlineStr">
        <is>
          <t>alphard</t>
        </is>
      </c>
      <c r="D3" s="8" t="inlineStr">
        <is>
          <t>30系前期</t>
        </is>
      </c>
      <c r="E3" s="8" t="inlineStr">
        <is>
          <t>2015/01〜2017/12</t>
        </is>
      </c>
      <c r="F3" s="14" t="inlineStr">
        <is>
          <t>DBA-AGH30W, DBA-AGH35W, DBA-GGH30W, DBA-GGH35W, DAA-AYH30W</t>
        </is>
      </c>
      <c r="G3" s="8" t="inlineStr">
        <is>
          <t>TO_S009, TO_S010</t>
        </is>
      </c>
      <c r="H3" s="8" t="inlineStr">
        <is>
          <t>70100110661</t>
        </is>
      </c>
      <c r="I3" s="8" t="inlineStr">
        <is>
          <t>alphard</t>
        </is>
      </c>
      <c r="J3" s="8" t="inlineStr">
        <is>
          <t>2084049538, 2084231229</t>
        </is>
      </c>
    </row>
    <row r="4">
      <c r="A4" s="13" t="inlineStr">
        <is>
          <t>トヨタ</t>
        </is>
      </c>
      <c r="B4" s="13" t="inlineStr">
        <is>
          <t>アルファード</t>
        </is>
      </c>
      <c r="C4" s="13" t="inlineStr">
        <is>
          <t>alphard</t>
        </is>
      </c>
      <c r="D4" s="13" t="inlineStr">
        <is>
          <t>30系後期</t>
        </is>
      </c>
      <c r="E4" s="13" t="inlineStr">
        <is>
          <t>2017/12〜2023/06</t>
        </is>
      </c>
      <c r="F4" s="14" t="inlineStr">
        <is>
          <t>3BA-AGH30W, 3BA-AGH35W, 3BA-GGH30W, 3BA-GGH35W, 6AA-AYH30W</t>
        </is>
      </c>
      <c r="G4" s="13" t="inlineStr">
        <is>
          <t>TO_S009, TO_S010</t>
        </is>
      </c>
      <c r="H4" s="13" t="inlineStr">
        <is>
          <t>70100110661</t>
        </is>
      </c>
      <c r="I4" s="13" t="inlineStr">
        <is>
          <t>alphard</t>
        </is>
      </c>
      <c r="J4" s="13" t="inlineStr">
        <is>
          <t>2084049538, 2084231229</t>
        </is>
      </c>
    </row>
    <row r="5">
      <c r="A5" s="8" t="inlineStr">
        <is>
          <t>トヨタ</t>
        </is>
      </c>
      <c r="B5" s="8" t="inlineStr">
        <is>
          <t>アルファード</t>
        </is>
      </c>
      <c r="C5" s="8" t="inlineStr">
        <is>
          <t>alphard</t>
        </is>
      </c>
      <c r="D5" s="8" t="inlineStr">
        <is>
          <t>40系</t>
        </is>
      </c>
      <c r="E5" s="8" t="inlineStr">
        <is>
          <t>2023/06〜</t>
        </is>
      </c>
      <c r="F5" s="14" t="inlineStr">
        <is>
          <t>3BA-AGH40W, 3BA-AGH45W, 6AA-AAHH40W, 6AA-AAHH45W</t>
        </is>
      </c>
      <c r="G5" s="8" t="inlineStr">
        <is>
          <t>TO_S009, TO_S010</t>
        </is>
      </c>
      <c r="H5" s="8" t="inlineStr">
        <is>
          <t>70100110661</t>
        </is>
      </c>
      <c r="I5" s="8" t="inlineStr">
        <is>
          <t>alphard</t>
        </is>
      </c>
      <c r="J5" s="8" t="inlineStr">
        <is>
          <t>2084049538, 2084231229</t>
        </is>
      </c>
    </row>
    <row r="6">
      <c r="A6" s="13" t="inlineStr">
        <is>
          <t>トヨタ</t>
        </is>
      </c>
      <c r="B6" s="13" t="inlineStr">
        <is>
          <t>ヴェルファイア</t>
        </is>
      </c>
      <c r="C6" s="13" t="inlineStr">
        <is>
          <t>vellfire</t>
        </is>
      </c>
      <c r="D6" s="13" t="inlineStr">
        <is>
          <t>20系</t>
        </is>
      </c>
      <c r="E6" s="13" t="inlineStr">
        <is>
          <t>2008/05〜2015/01</t>
        </is>
      </c>
      <c r="F6" s="14" t="inlineStr">
        <is>
          <t>DBA-ANH20W, DBA-ANH25W, DBA-GGH20W, DBA-GGH25W, DAA-ATH20W</t>
        </is>
      </c>
      <c r="G6" s="13" t="inlineStr">
        <is>
          <t>TO_S200, TO_S222</t>
        </is>
      </c>
      <c r="H6" s="13" t="inlineStr">
        <is>
          <t>70100110662</t>
        </is>
      </c>
      <c r="I6" s="13" t="inlineStr">
        <is>
          <t>vellfire</t>
        </is>
      </c>
      <c r="J6" s="13" t="inlineStr">
        <is>
          <t>2084231724, 2084299521</t>
        </is>
      </c>
    </row>
    <row r="7">
      <c r="A7" s="8" t="inlineStr">
        <is>
          <t>トヨタ</t>
        </is>
      </c>
      <c r="B7" s="8" t="inlineStr">
        <is>
          <t>ヴェルファイア</t>
        </is>
      </c>
      <c r="C7" s="8" t="inlineStr">
        <is>
          <t>vellfire</t>
        </is>
      </c>
      <c r="D7" s="8" t="inlineStr">
        <is>
          <t>30系前期</t>
        </is>
      </c>
      <c r="E7" s="8" t="inlineStr">
        <is>
          <t>2015/01〜2017/12</t>
        </is>
      </c>
      <c r="F7" s="14" t="inlineStr">
        <is>
          <t>DBA-AGH30W, DBA-AGH35W, DBA-GGH30W, DBA-GGH35W, DAA-AYH30W</t>
        </is>
      </c>
      <c r="G7" s="8" t="inlineStr">
        <is>
          <t>TO_S200, TO_S222</t>
        </is>
      </c>
      <c r="H7" s="8" t="inlineStr">
        <is>
          <t>70100110662</t>
        </is>
      </c>
      <c r="I7" s="8" t="inlineStr">
        <is>
          <t>vellfire</t>
        </is>
      </c>
      <c r="J7" s="8" t="inlineStr">
        <is>
          <t>2084231724, 2084299521</t>
        </is>
      </c>
    </row>
    <row r="8">
      <c r="A8" s="13" t="inlineStr">
        <is>
          <t>トヨタ</t>
        </is>
      </c>
      <c r="B8" s="13" t="inlineStr">
        <is>
          <t>ヴェルファイア</t>
        </is>
      </c>
      <c r="C8" s="13" t="inlineStr">
        <is>
          <t>vellfire</t>
        </is>
      </c>
      <c r="D8" s="13" t="inlineStr">
        <is>
          <t>30系後期</t>
        </is>
      </c>
      <c r="E8" s="13" t="inlineStr">
        <is>
          <t>2017/12〜2023/06</t>
        </is>
      </c>
      <c r="F8" s="14" t="inlineStr">
        <is>
          <t>3BA-AGH30W, 3BA-AGH35W, 3BA-GGH30W, 3BA-GGH35W, 6AA-AYH30W</t>
        </is>
      </c>
      <c r="G8" s="13" t="inlineStr">
        <is>
          <t>TO_S200, TO_S222</t>
        </is>
      </c>
      <c r="H8" s="13" t="inlineStr">
        <is>
          <t>70100110662</t>
        </is>
      </c>
      <c r="I8" s="13" t="inlineStr">
        <is>
          <t>vellfire</t>
        </is>
      </c>
      <c r="J8" s="13" t="inlineStr">
        <is>
          <t>2084231724, 2084299521</t>
        </is>
      </c>
    </row>
    <row r="9">
      <c r="A9" s="8" t="inlineStr">
        <is>
          <t>トヨタ</t>
        </is>
      </c>
      <c r="B9" s="8" t="inlineStr">
        <is>
          <t>ヴェルファイア</t>
        </is>
      </c>
      <c r="C9" s="8" t="inlineStr">
        <is>
          <t>vellfire</t>
        </is>
      </c>
      <c r="D9" s="8" t="inlineStr">
        <is>
          <t>40系</t>
        </is>
      </c>
      <c r="E9" s="8" t="inlineStr">
        <is>
          <t>2023/06〜</t>
        </is>
      </c>
      <c r="F9" s="14" t="inlineStr">
        <is>
          <t>3BA-TAHA40W, 3BA-TAHA45W, 6AA-AAHH40W, 6AA-AAHH45W</t>
        </is>
      </c>
      <c r="G9" s="8" t="inlineStr">
        <is>
          <t>TO_S200, TO_S222</t>
        </is>
      </c>
      <c r="H9" s="8" t="inlineStr">
        <is>
          <t>70100110662</t>
        </is>
      </c>
      <c r="I9" s="8" t="inlineStr">
        <is>
          <t>vellfire</t>
        </is>
      </c>
      <c r="J9" s="8" t="inlineStr">
        <is>
          <t>2084231724, 2084299521</t>
        </is>
      </c>
    </row>
    <row r="10">
      <c r="A10" s="13" t="inlineStr">
        <is>
          <t>トヨタ</t>
        </is>
      </c>
      <c r="B10" s="13" t="inlineStr">
        <is>
          <t>ノア</t>
        </is>
      </c>
      <c r="C10" s="13" t="inlineStr">
        <is>
          <t>noah</t>
        </is>
      </c>
      <c r="D10" s="13" t="inlineStr">
        <is>
          <t>70系</t>
        </is>
      </c>
      <c r="E10" s="13" t="inlineStr">
        <is>
          <t>2007/06〜2014/01</t>
        </is>
      </c>
      <c r="F10" s="14" t="inlineStr">
        <is>
          <t>DBA-ZRR70W, DBA-ZRR75W, DBA-ZRR70G, DBA-ZRR75G</t>
        </is>
      </c>
      <c r="G10" s="13" t="inlineStr">
        <is>
          <t>TO_S108</t>
        </is>
      </c>
      <c r="H10" s="13" t="inlineStr">
        <is>
          <t>70100110045</t>
        </is>
      </c>
      <c r="I10" s="13" t="inlineStr">
        <is>
          <t>noah</t>
        </is>
      </c>
      <c r="J10" s="13" t="inlineStr">
        <is>
          <t>2084016682</t>
        </is>
      </c>
    </row>
    <row r="11">
      <c r="A11" s="8" t="inlineStr">
        <is>
          <t>トヨタ</t>
        </is>
      </c>
      <c r="B11" s="8" t="inlineStr">
        <is>
          <t>ノア</t>
        </is>
      </c>
      <c r="C11" s="8" t="inlineStr">
        <is>
          <t>noah</t>
        </is>
      </c>
      <c r="D11" s="8" t="inlineStr">
        <is>
          <t>80系</t>
        </is>
      </c>
      <c r="E11" s="8" t="inlineStr">
        <is>
          <t>2014/01〜2022/01</t>
        </is>
      </c>
      <c r="F11" s="14" t="inlineStr">
        <is>
          <t>DBA-ZRR80W, DBA-ZRR85W, DBA-ZRR80G, DBA-ZRR85G, DAA-ZWR80W, DAA-ZWR80G, 3BA-ZRR80W, 3BA-ZRR85W, 3BA-ZRR80G, 3BA-ZRR85G, 6AA-ZWR80W, 6AA-ZWR80G</t>
        </is>
      </c>
      <c r="G11" s="8" t="inlineStr">
        <is>
          <t>TO_S108</t>
        </is>
      </c>
      <c r="H11" s="8" t="inlineStr">
        <is>
          <t>70100110045</t>
        </is>
      </c>
      <c r="I11" s="8" t="inlineStr">
        <is>
          <t>noah</t>
        </is>
      </c>
      <c r="J11" s="8" t="inlineStr">
        <is>
          <t>2084016682</t>
        </is>
      </c>
    </row>
    <row r="12">
      <c r="A12" s="13" t="inlineStr">
        <is>
          <t>トヨタ</t>
        </is>
      </c>
      <c r="B12" s="13" t="inlineStr">
        <is>
          <t>ノア</t>
        </is>
      </c>
      <c r="C12" s="13" t="inlineStr">
        <is>
          <t>noah</t>
        </is>
      </c>
      <c r="D12" s="13" t="inlineStr">
        <is>
          <t>90系</t>
        </is>
      </c>
      <c r="E12" s="13" t="inlineStr">
        <is>
          <t>2022/01〜</t>
        </is>
      </c>
      <c r="F12" s="14" t="inlineStr">
        <is>
          <t>6BA-MZRA90W, 6BA-MZRA95W, 6AA-ZWR90W, 6AA-ZWR95W</t>
        </is>
      </c>
      <c r="G12" s="13" t="inlineStr">
        <is>
          <t>TO_S108</t>
        </is>
      </c>
      <c r="H12" s="13" t="inlineStr">
        <is>
          <t>70100110045</t>
        </is>
      </c>
      <c r="I12" s="13" t="inlineStr">
        <is>
          <t>noah</t>
        </is>
      </c>
      <c r="J12" s="13" t="inlineStr">
        <is>
          <t>2084016682</t>
        </is>
      </c>
    </row>
    <row r="13">
      <c r="A13" s="8" t="inlineStr">
        <is>
          <t>トヨタ</t>
        </is>
      </c>
      <c r="B13" s="8" t="inlineStr">
        <is>
          <t>ヴォクシー</t>
        </is>
      </c>
      <c r="C13" s="8" t="inlineStr">
        <is>
          <t>voxy</t>
        </is>
      </c>
      <c r="D13" s="8" t="inlineStr">
        <is>
          <t>70系</t>
        </is>
      </c>
      <c r="E13" s="8" t="inlineStr">
        <is>
          <t>2007/06〜2014/01</t>
        </is>
      </c>
      <c r="F13" s="14" t="inlineStr">
        <is>
          <t>DBA-ZRR70W, DBA-ZRR75W, DBA-ZRR70G, DBA-ZRR75G</t>
        </is>
      </c>
      <c r="G13" s="8" t="inlineStr">
        <is>
          <t>TO_S021</t>
        </is>
      </c>
      <c r="H13" s="8" t="inlineStr">
        <is>
          <t>70100110019</t>
        </is>
      </c>
      <c r="I13" s="8" t="inlineStr">
        <is>
          <t>voxy</t>
        </is>
      </c>
      <c r="J13" s="8" t="inlineStr">
        <is>
          <t>2084049058</t>
        </is>
      </c>
    </row>
    <row r="14">
      <c r="A14" s="13" t="inlineStr">
        <is>
          <t>トヨタ</t>
        </is>
      </c>
      <c r="B14" s="13" t="inlineStr">
        <is>
          <t>ヴォクシー</t>
        </is>
      </c>
      <c r="C14" s="13" t="inlineStr">
        <is>
          <t>voxy</t>
        </is>
      </c>
      <c r="D14" s="13" t="inlineStr">
        <is>
          <t>80系</t>
        </is>
      </c>
      <c r="E14" s="13" t="inlineStr">
        <is>
          <t>2014/01〜2022/01</t>
        </is>
      </c>
      <c r="F14" s="14" t="inlineStr">
        <is>
          <t>DBA-ZRR80W, DBA-ZRR85W, DBA-ZRR80G, DBA-ZRR85G, DAA-ZWR80W, DAA-ZWR80G, 3BA-ZRR80W, 3BA-ZRR85W, 3BA-ZRR80G, 3BA-ZRR85G, 6AA-ZWR80W, 6AA-ZWR80G</t>
        </is>
      </c>
      <c r="G14" s="13" t="inlineStr">
        <is>
          <t>TO_S021</t>
        </is>
      </c>
      <c r="H14" s="13" t="inlineStr">
        <is>
          <t>70100110019</t>
        </is>
      </c>
      <c r="I14" s="13" t="inlineStr">
        <is>
          <t>voxy</t>
        </is>
      </c>
      <c r="J14" s="13" t="inlineStr">
        <is>
          <t>2084049058</t>
        </is>
      </c>
    </row>
    <row r="15">
      <c r="A15" s="8" t="inlineStr">
        <is>
          <t>トヨタ</t>
        </is>
      </c>
      <c r="B15" s="8" t="inlineStr">
        <is>
          <t>ヴォクシー</t>
        </is>
      </c>
      <c r="C15" s="8" t="inlineStr">
        <is>
          <t>voxy</t>
        </is>
      </c>
      <c r="D15" s="8" t="inlineStr">
        <is>
          <t>90系</t>
        </is>
      </c>
      <c r="E15" s="8" t="inlineStr">
        <is>
          <t>2022/01〜</t>
        </is>
      </c>
      <c r="F15" s="14" t="inlineStr">
        <is>
          <t>6BA-MZRA90W, 6BA-MZRA95W, 6AA-ZWR90W, 6AA-ZWR95W</t>
        </is>
      </c>
      <c r="G15" s="8" t="inlineStr">
        <is>
          <t>TO_S021</t>
        </is>
      </c>
      <c r="H15" s="8" t="inlineStr">
        <is>
          <t>70100110019</t>
        </is>
      </c>
      <c r="I15" s="8" t="inlineStr">
        <is>
          <t>voxy</t>
        </is>
      </c>
      <c r="J15" s="8" t="inlineStr">
        <is>
          <t>2084049058</t>
        </is>
      </c>
    </row>
    <row r="16">
      <c r="A16" s="13" t="inlineStr">
        <is>
          <t>トヨタ</t>
        </is>
      </c>
      <c r="B16" s="13" t="inlineStr">
        <is>
          <t>エスクァイア</t>
        </is>
      </c>
      <c r="C16" s="13" t="inlineStr">
        <is>
          <t>esquire</t>
        </is>
      </c>
      <c r="D16" s="13" t="inlineStr">
        <is>
          <t>80系</t>
        </is>
      </c>
      <c r="E16" s="13" t="inlineStr">
        <is>
          <t>2014/10〜2021/12</t>
        </is>
      </c>
      <c r="F16" s="14" t="inlineStr">
        <is>
          <t>DBA-ZRR80G, DBA-ZRR85G, DAA-ZWR80G, 3BA-ZRR80G, 3BA-ZRR85G, 6AA-ZWR80G</t>
        </is>
      </c>
      <c r="G16" s="13" t="inlineStr">
        <is>
          <t>TO_S234</t>
        </is>
      </c>
      <c r="H16" s="13" t="inlineStr"/>
      <c r="I16" s="13" t="inlineStr">
        <is>
          <t>esquire</t>
        </is>
      </c>
      <c r="J16" s="13" t="inlineStr">
        <is>
          <t>2084315387, 2084315388</t>
        </is>
      </c>
    </row>
    <row r="17">
      <c r="A17" s="8" t="inlineStr">
        <is>
          <t>トヨタ</t>
        </is>
      </c>
      <c r="B17" s="8" t="inlineStr">
        <is>
          <t>シエンタ</t>
        </is>
      </c>
      <c r="C17" s="8" t="inlineStr">
        <is>
          <t>sienta</t>
        </is>
      </c>
      <c r="D17" s="8" t="inlineStr">
        <is>
          <t>80系</t>
        </is>
      </c>
      <c r="E17" s="8" t="inlineStr">
        <is>
          <t>2003/09〜2015/06</t>
        </is>
      </c>
      <c r="F17" s="14" t="inlineStr">
        <is>
          <t>DBA-NCP81G, DBA-NCP85G</t>
        </is>
      </c>
      <c r="G17" s="8" t="inlineStr">
        <is>
          <t>TO_S077</t>
        </is>
      </c>
      <c r="H17" s="8" t="inlineStr">
        <is>
          <t>70100110391</t>
        </is>
      </c>
      <c r="I17" s="8" t="inlineStr">
        <is>
          <t>sienta</t>
        </is>
      </c>
      <c r="J17" s="8" t="inlineStr">
        <is>
          <t>2084054059</t>
        </is>
      </c>
    </row>
    <row r="18">
      <c r="A18" s="13" t="inlineStr">
        <is>
          <t>トヨタ</t>
        </is>
      </c>
      <c r="B18" s="13" t="inlineStr">
        <is>
          <t>シエンタ</t>
        </is>
      </c>
      <c r="C18" s="13" t="inlineStr">
        <is>
          <t>sienta</t>
        </is>
      </c>
      <c r="D18" s="13" t="inlineStr">
        <is>
          <t>170系</t>
        </is>
      </c>
      <c r="E18" s="13" t="inlineStr">
        <is>
          <t>2015/07〜2022/08</t>
        </is>
      </c>
      <c r="F18" s="14" t="inlineStr">
        <is>
          <t>DBA-NSP170G, DBA-NSP172G, DBA-NCP175G, DAA-NHP170G, 5BA-NSP170G, 5BA-NSP172G, 6AA-NHP170G</t>
        </is>
      </c>
      <c r="G18" s="13" t="inlineStr">
        <is>
          <t>TO_S077</t>
        </is>
      </c>
      <c r="H18" s="13" t="inlineStr">
        <is>
          <t>70100110391</t>
        </is>
      </c>
      <c r="I18" s="13" t="inlineStr">
        <is>
          <t>sienta</t>
        </is>
      </c>
      <c r="J18" s="13" t="inlineStr">
        <is>
          <t>2084054059</t>
        </is>
      </c>
    </row>
    <row r="19">
      <c r="A19" s="8" t="inlineStr">
        <is>
          <t>トヨタ</t>
        </is>
      </c>
      <c r="B19" s="8" t="inlineStr">
        <is>
          <t>シエンタ</t>
        </is>
      </c>
      <c r="C19" s="8" t="inlineStr">
        <is>
          <t>sienta</t>
        </is>
      </c>
      <c r="D19" s="8" t="inlineStr">
        <is>
          <t>10系</t>
        </is>
      </c>
      <c r="E19" s="8" t="inlineStr">
        <is>
          <t>2022/08〜</t>
        </is>
      </c>
      <c r="F19" s="14" t="inlineStr">
        <is>
          <t>5BA-MXPC10G, 5BA-MXPC15G, 6AA-MXPL10G, 6AA-MXPL15G</t>
        </is>
      </c>
      <c r="G19" s="8" t="inlineStr">
        <is>
          <t>TO_S077</t>
        </is>
      </c>
      <c r="H19" s="8" t="inlineStr">
        <is>
          <t>70100110391</t>
        </is>
      </c>
      <c r="I19" s="8" t="inlineStr">
        <is>
          <t>sienta</t>
        </is>
      </c>
      <c r="J19" s="8" t="inlineStr">
        <is>
          <t>2084054059</t>
        </is>
      </c>
    </row>
    <row r="20">
      <c r="A20" s="13" t="inlineStr">
        <is>
          <t>トヨタ</t>
        </is>
      </c>
      <c r="B20" s="13" t="inlineStr">
        <is>
          <t>エスティマ</t>
        </is>
      </c>
      <c r="C20" s="13" t="inlineStr">
        <is>
          <t>estima</t>
        </is>
      </c>
      <c r="D20" s="13" t="inlineStr">
        <is>
          <t>50系</t>
        </is>
      </c>
      <c r="E20" s="13" t="inlineStr">
        <is>
          <t>2006/01〜2019/10</t>
        </is>
      </c>
      <c r="F20" s="14" t="inlineStr">
        <is>
          <t>DBA-ACR50W, DBA-ACR55W, DBA-GSR50W, DBA-GSR55W, DAA-AHR20W</t>
        </is>
      </c>
      <c r="G20" s="13" t="inlineStr">
        <is>
          <t>TO_S023, TO_S024</t>
        </is>
      </c>
      <c r="H20" s="13" t="inlineStr">
        <is>
          <t>70100110021</t>
        </is>
      </c>
      <c r="I20" s="13" t="inlineStr">
        <is>
          <t>estima</t>
        </is>
      </c>
      <c r="J20" s="13" t="inlineStr">
        <is>
          <t>2084016637, 2084231230</t>
        </is>
      </c>
    </row>
    <row r="21">
      <c r="A21" s="8" t="inlineStr">
        <is>
          <t>トヨタ</t>
        </is>
      </c>
      <c r="B21" s="8" t="inlineStr">
        <is>
          <t>ウィッシュ</t>
        </is>
      </c>
      <c r="C21" s="8" t="inlineStr">
        <is>
          <t>wish</t>
        </is>
      </c>
      <c r="D21" s="8" t="inlineStr">
        <is>
          <t>20系</t>
        </is>
      </c>
      <c r="E21" s="8" t="inlineStr">
        <is>
          <t>2009/04〜2017/10</t>
        </is>
      </c>
      <c r="F21" s="14" t="inlineStr">
        <is>
          <t>DBA-ZGE20W, DBA-ZGE20G, DBA-ZGE21G, DBA-ZGE22W, DBA-ZGE25W, DBA-ZGE25G</t>
        </is>
      </c>
      <c r="G21" s="8" t="inlineStr">
        <is>
          <t>TO_S014</t>
        </is>
      </c>
      <c r="H21" s="8" t="inlineStr">
        <is>
          <t>70100110323</t>
        </is>
      </c>
      <c r="I21" s="8" t="inlineStr">
        <is>
          <t>wish</t>
        </is>
      </c>
      <c r="J21" s="8" t="inlineStr">
        <is>
          <t>2084051733</t>
        </is>
      </c>
    </row>
    <row r="22">
      <c r="A22" s="13" t="inlineStr">
        <is>
          <t>トヨタ</t>
        </is>
      </c>
      <c r="B22" s="13" t="inlineStr">
        <is>
          <t>プリウスα</t>
        </is>
      </c>
      <c r="C22" s="13" t="inlineStr">
        <is>
          <t>prius_alpha</t>
        </is>
      </c>
      <c r="D22" s="13" t="inlineStr">
        <is>
          <t>40系</t>
        </is>
      </c>
      <c r="E22" s="13" t="inlineStr">
        <is>
          <t>2011/05〜2021/03</t>
        </is>
      </c>
      <c r="F22" s="14" t="inlineStr">
        <is>
          <t>DAA-ZVW40W, DAA-ZVW41W</t>
        </is>
      </c>
      <c r="G22" s="13" t="inlineStr">
        <is>
          <t>TO_S220</t>
        </is>
      </c>
      <c r="H22" s="13" t="inlineStr"/>
      <c r="I22" s="13" t="inlineStr">
        <is>
          <t>prius_alpha</t>
        </is>
      </c>
      <c r="J22" s="13" t="inlineStr">
        <is>
          <t>2084299524</t>
        </is>
      </c>
    </row>
    <row r="23">
      <c r="A23" s="8" t="inlineStr">
        <is>
          <t>トヨタ</t>
        </is>
      </c>
      <c r="B23" s="8" t="inlineStr">
        <is>
          <t>アイシス</t>
        </is>
      </c>
      <c r="C23" s="8" t="inlineStr">
        <is>
          <t>isis</t>
        </is>
      </c>
      <c r="D23" s="8" t="inlineStr">
        <is>
          <t>10系</t>
        </is>
      </c>
      <c r="E23" s="8" t="inlineStr">
        <is>
          <t>2004/09〜2017/12</t>
        </is>
      </c>
      <c r="F23" s="14" t="inlineStr">
        <is>
          <t>DBA-ZGM10W, DBA-ZGM10G, DBA-ZGM11W, DBA-ZGM15W, DBA-ZGM15G, DBA-ANM10W, DBA-ANM10G, DBA-ANM15W, DBA-ANM15G</t>
        </is>
      </c>
      <c r="G23" s="8" t="inlineStr">
        <is>
          <t>TO_S001</t>
        </is>
      </c>
      <c r="H23" s="8" t="inlineStr">
        <is>
          <t>70100110472</t>
        </is>
      </c>
      <c r="I23" s="8" t="inlineStr">
        <is>
          <t>isis</t>
        </is>
      </c>
      <c r="J23" s="8" t="inlineStr">
        <is>
          <t>2084058459</t>
        </is>
      </c>
    </row>
    <row r="24">
      <c r="A24" s="13" t="inlineStr">
        <is>
          <t>トヨタ</t>
        </is>
      </c>
      <c r="B24" s="13" t="inlineStr">
        <is>
          <t>グランエース</t>
        </is>
      </c>
      <c r="C24" s="13" t="inlineStr">
        <is>
          <t>granace</t>
        </is>
      </c>
      <c r="D24" s="13" t="inlineStr">
        <is>
          <t>300系</t>
        </is>
      </c>
      <c r="E24" s="13" t="inlineStr">
        <is>
          <t>2019/12〜2024/06</t>
        </is>
      </c>
      <c r="F24" s="14" t="inlineStr">
        <is>
          <t>3DA-GDH303W</t>
        </is>
      </c>
      <c r="G24" s="13" t="inlineStr">
        <is>
          <t>TO_S248</t>
        </is>
      </c>
      <c r="H24" s="13" t="inlineStr"/>
      <c r="I24" s="13" t="inlineStr">
        <is>
          <t>granace</t>
        </is>
      </c>
      <c r="J24" s="13" t="inlineStr"/>
    </row>
  </sheetData>
  <autoFilter ref="A1:J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18" customWidth="1" min="12" max="12"/>
    <col width="24" customWidth="1" min="13" max="13"/>
    <col width="24" customWidth="1" min="14" max="14"/>
    <col width="22" customWidth="1" min="15" max="15"/>
    <col width="24" customWidth="1" min="16" max="16"/>
    <col width="24" customWidth="1" min="17" max="17"/>
    <col width="24" customWidth="1" min="18" max="18"/>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小売
掲載台数</t>
        </is>
      </c>
      <c r="M1" s="7" t="inlineStr">
        <is>
          <t>小売
25%(万円)</t>
        </is>
      </c>
      <c r="N1" s="7" t="inlineStr">
        <is>
          <t>小売
中央値(万円)</t>
        </is>
      </c>
      <c r="O1" s="7" t="inlineStr">
        <is>
          <t>小売
平均(万円)</t>
        </is>
      </c>
      <c r="P1" s="7" t="inlineStr">
        <is>
          <t>小売
75%(万円)</t>
        </is>
      </c>
      <c r="Q1" s="7" t="inlineStr">
        <is>
          <t>小売−落札
(万円)</t>
        </is>
      </c>
      <c r="R1" s="7" t="inlineStr">
        <is>
          <t>小売プレミアム
(%)</t>
        </is>
      </c>
    </row>
    <row r="2">
      <c r="A2" s="13" t="inlineStr">
        <is>
          <t>アルファード</t>
        </is>
      </c>
      <c r="B2" s="13" t="inlineStr">
        <is>
          <t>20系</t>
        </is>
      </c>
      <c r="C2" s="13" t="n">
        <v>2013</v>
      </c>
      <c r="D2" s="15" t="n">
        <v>5</v>
      </c>
      <c r="E2" s="16" t="n">
        <v>59.8</v>
      </c>
      <c r="F2" s="16" t="n">
        <v>60.4</v>
      </c>
      <c r="G2" s="16" t="n">
        <v>62.5</v>
      </c>
      <c r="H2" s="16" t="n">
        <v>67.5</v>
      </c>
      <c r="I2" s="16" t="n">
        <v>74.8</v>
      </c>
      <c r="J2" s="16" t="n">
        <v>80.2</v>
      </c>
      <c r="K2" s="15" t="n">
        <v>128000</v>
      </c>
      <c r="L2" s="15" t="n">
        <v>172</v>
      </c>
      <c r="M2" s="16" t="n">
        <v>95</v>
      </c>
      <c r="N2" s="16" t="n">
        <v>120.8</v>
      </c>
      <c r="O2" s="16" t="n">
        <v>122.6</v>
      </c>
      <c r="P2" s="16" t="n">
        <v>150</v>
      </c>
      <c r="Q2" s="16" t="n">
        <v>58.3</v>
      </c>
      <c r="R2" s="17" t="n">
        <v>93.3</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125</v>
      </c>
      <c r="M3" s="10" t="n">
        <v>100.4</v>
      </c>
      <c r="N3" s="10" t="n">
        <v>128.8</v>
      </c>
      <c r="O3" s="10" t="n">
        <v>130.8</v>
      </c>
      <c r="P3" s="10" t="n">
        <v>158.7</v>
      </c>
      <c r="Q3" s="10" t="n">
        <v>61.8</v>
      </c>
      <c r="R3" s="9" t="n">
        <v>92.2</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297</v>
      </c>
      <c r="M4" s="16" t="n">
        <v>187.9</v>
      </c>
      <c r="N4" s="16" t="n">
        <v>226.3</v>
      </c>
      <c r="O4" s="16" t="n">
        <v>226.9</v>
      </c>
      <c r="P4" s="16" t="n">
        <v>261.9</v>
      </c>
      <c r="Q4" s="16" t="n">
        <v>79.2</v>
      </c>
      <c r="R4" s="17" t="n">
        <v>53.8</v>
      </c>
    </row>
    <row r="5">
      <c r="A5" s="8" t="inlineStr">
        <is>
          <t>アルファード</t>
        </is>
      </c>
      <c r="B5" s="8" t="inlineStr">
        <is>
          <t>30系前期</t>
        </is>
      </c>
      <c r="C5" s="8" t="n">
        <v>2016</v>
      </c>
      <c r="D5" s="11" t="n">
        <v>2</v>
      </c>
      <c r="E5" s="10" t="n">
        <v>139.5</v>
      </c>
      <c r="F5" s="10" t="n">
        <v>179.2</v>
      </c>
      <c r="G5" s="10" t="n">
        <v>218.8</v>
      </c>
      <c r="H5" s="10" t="n">
        <v>218.8</v>
      </c>
      <c r="I5" s="10" t="n">
        <v>258.5</v>
      </c>
      <c r="J5" s="10" t="n">
        <v>298.1</v>
      </c>
      <c r="K5" s="11" t="n">
        <v>148000</v>
      </c>
      <c r="L5" s="11" t="n">
        <v>251</v>
      </c>
      <c r="M5" s="10" t="n">
        <v>211.1</v>
      </c>
      <c r="N5" s="10" t="n">
        <v>243.5</v>
      </c>
      <c r="O5" s="10" t="n">
        <v>260.3</v>
      </c>
      <c r="P5" s="10" t="n">
        <v>280.7</v>
      </c>
      <c r="Q5" s="10" t="n">
        <v>24.7</v>
      </c>
      <c r="R5" s="9" t="n">
        <v>11.3</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313</v>
      </c>
      <c r="M6" s="16" t="n">
        <v>218.3</v>
      </c>
      <c r="N6" s="16" t="n">
        <v>253</v>
      </c>
      <c r="O6" s="16" t="n">
        <v>269.2</v>
      </c>
      <c r="P6" s="16" t="n">
        <v>286</v>
      </c>
      <c r="Q6" s="16" t="n">
        <v>103</v>
      </c>
      <c r="R6" s="17" t="n">
        <v>68.7</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425</v>
      </c>
      <c r="M7" s="10" t="n">
        <v>286.7</v>
      </c>
      <c r="N7" s="10" t="n">
        <v>339</v>
      </c>
      <c r="O7" s="10" t="n">
        <v>343.8</v>
      </c>
      <c r="P7" s="10" t="n">
        <v>388.1</v>
      </c>
      <c r="Q7" s="10" t="n">
        <v>52.4</v>
      </c>
      <c r="R7" s="9" t="n">
        <v>18.3</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502</v>
      </c>
      <c r="M8" s="16" t="n">
        <v>318.2</v>
      </c>
      <c r="N8" s="16" t="n">
        <v>365.6</v>
      </c>
      <c r="O8" s="16" t="n">
        <v>369.2</v>
      </c>
      <c r="P8" s="16" t="n">
        <v>407.5</v>
      </c>
      <c r="Q8" s="16" t="n">
        <v>83.5</v>
      </c>
      <c r="R8" s="17" t="n">
        <v>29.6</v>
      </c>
    </row>
    <row r="9">
      <c r="A9" s="8" t="inlineStr">
        <is>
          <t>アルファード</t>
        </is>
      </c>
      <c r="B9" s="8" t="inlineStr">
        <is>
          <t>30系後期</t>
        </is>
      </c>
      <c r="C9" s="8" t="n">
        <v>2020</v>
      </c>
      <c r="D9" s="11" t="n">
        <v>7</v>
      </c>
      <c r="E9" s="10" t="n">
        <v>200.3</v>
      </c>
      <c r="F9" s="10" t="n">
        <v>232.7</v>
      </c>
      <c r="G9" s="10" t="n">
        <v>246</v>
      </c>
      <c r="H9" s="10" t="n">
        <v>258.9</v>
      </c>
      <c r="I9" s="10" t="n">
        <v>267.8</v>
      </c>
      <c r="J9" s="10" t="n">
        <v>365</v>
      </c>
      <c r="K9" s="11" t="n">
        <v>97400</v>
      </c>
      <c r="L9" s="11" t="n">
        <v>710</v>
      </c>
      <c r="M9" s="10" t="n">
        <v>330.5</v>
      </c>
      <c r="N9" s="10" t="n">
        <v>370.4</v>
      </c>
      <c r="O9" s="10" t="n">
        <v>370.3</v>
      </c>
      <c r="P9" s="10" t="n">
        <v>411.5</v>
      </c>
      <c r="Q9" s="10" t="n">
        <v>124.4</v>
      </c>
      <c r="R9" s="9" t="n">
        <v>50.6</v>
      </c>
    </row>
    <row r="10">
      <c r="A10" s="13" t="inlineStr">
        <is>
          <t>アルファード</t>
        </is>
      </c>
      <c r="B10" s="13" t="inlineStr">
        <is>
          <t>30系後期</t>
        </is>
      </c>
      <c r="C10" s="13" t="n">
        <v>2021</v>
      </c>
      <c r="D10" s="15" t="n"/>
      <c r="E10" s="16" t="n"/>
      <c r="F10" s="16" t="n"/>
      <c r="G10" s="16" t="n"/>
      <c r="H10" s="16" t="n"/>
      <c r="I10" s="16" t="n"/>
      <c r="J10" s="16" t="n"/>
      <c r="K10" s="15" t="n"/>
      <c r="L10" s="15" t="n">
        <v>1288</v>
      </c>
      <c r="M10" s="16" t="n">
        <v>351.2</v>
      </c>
      <c r="N10" s="16" t="n">
        <v>388.5</v>
      </c>
      <c r="O10" s="16" t="n">
        <v>390.6</v>
      </c>
      <c r="P10" s="16" t="n">
        <v>427.7</v>
      </c>
      <c r="Q10" s="16" t="n"/>
      <c r="R10" s="17" t="n"/>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584</v>
      </c>
      <c r="M11" s="10" t="n">
        <v>396.3</v>
      </c>
      <c r="N11" s="10" t="n">
        <v>441.7</v>
      </c>
      <c r="O11" s="10" t="n">
        <v>434.8</v>
      </c>
      <c r="P11" s="10" t="n">
        <v>474.8</v>
      </c>
      <c r="Q11" s="10" t="n">
        <v>-26.3</v>
      </c>
      <c r="R11" s="9" t="n">
        <v>-5.6</v>
      </c>
    </row>
    <row r="12">
      <c r="A12" s="13" t="inlineStr">
        <is>
          <t>アルファード</t>
        </is>
      </c>
      <c r="B12" s="13" t="inlineStr">
        <is>
          <t>40系</t>
        </is>
      </c>
      <c r="C12" s="13" t="n">
        <v>2023</v>
      </c>
      <c r="D12" s="15" t="n">
        <v>2</v>
      </c>
      <c r="E12" s="16" t="n">
        <v>522.9</v>
      </c>
      <c r="F12" s="16" t="n">
        <v>577.2</v>
      </c>
      <c r="G12" s="16" t="n">
        <v>631.5</v>
      </c>
      <c r="H12" s="16" t="n">
        <v>631.5</v>
      </c>
      <c r="I12" s="16" t="n">
        <v>685.7</v>
      </c>
      <c r="J12" s="16" t="n">
        <v>740</v>
      </c>
      <c r="K12" s="15" t="n">
        <v>48000</v>
      </c>
      <c r="L12" s="15" t="n">
        <v>804</v>
      </c>
      <c r="M12" s="16" t="n">
        <v>513.6</v>
      </c>
      <c r="N12" s="16" t="n">
        <v>572.9</v>
      </c>
      <c r="O12" s="16" t="n">
        <v>573</v>
      </c>
      <c r="P12" s="16" t="n">
        <v>619.8</v>
      </c>
      <c r="Q12" s="16" t="n">
        <v>-58.6</v>
      </c>
      <c r="R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818</v>
      </c>
      <c r="M13" s="10" t="n">
        <v>585.3</v>
      </c>
      <c r="N13" s="10" t="n">
        <v>617.2</v>
      </c>
      <c r="O13" s="10" t="n">
        <v>633.2</v>
      </c>
      <c r="P13" s="10" t="n">
        <v>654.9</v>
      </c>
      <c r="Q13" s="10" t="n">
        <v>113.1</v>
      </c>
      <c r="R13" s="9" t="n">
        <v>22.4</v>
      </c>
    </row>
    <row r="14">
      <c r="A14" s="13" t="inlineStr">
        <is>
          <t>アルファード</t>
        </is>
      </c>
      <c r="B14" s="13" t="inlineStr">
        <is>
          <t>40系</t>
        </is>
      </c>
      <c r="C14" s="13" t="n">
        <v>2025</v>
      </c>
      <c r="D14" s="15" t="n">
        <v>4</v>
      </c>
      <c r="E14" s="16" t="n">
        <v>500.1</v>
      </c>
      <c r="F14" s="16" t="n">
        <v>533.8</v>
      </c>
      <c r="G14" s="16" t="n">
        <v>657.6</v>
      </c>
      <c r="H14" s="16" t="n">
        <v>651.3</v>
      </c>
      <c r="I14" s="16" t="n">
        <v>775.2</v>
      </c>
      <c r="J14" s="16" t="n">
        <v>789.8</v>
      </c>
      <c r="K14" s="15" t="n">
        <v>15000</v>
      </c>
      <c r="L14" s="15" t="n">
        <v>649</v>
      </c>
      <c r="M14" s="16" t="n">
        <v>597.2</v>
      </c>
      <c r="N14" s="16" t="n">
        <v>639.4</v>
      </c>
      <c r="O14" s="16" t="n">
        <v>653.4</v>
      </c>
      <c r="P14" s="16" t="n">
        <v>691.5</v>
      </c>
      <c r="Q14" s="16" t="n">
        <v>-18.2</v>
      </c>
      <c r="R14" s="17" t="n">
        <v>-2.8</v>
      </c>
    </row>
    <row r="15">
      <c r="A15" s="8" t="inlineStr">
        <is>
          <t>アルファード</t>
        </is>
      </c>
      <c r="B15" s="8" t="inlineStr">
        <is>
          <t>40系</t>
        </is>
      </c>
      <c r="C15" s="8" t="n">
        <v>2026</v>
      </c>
      <c r="D15" s="11" t="n"/>
      <c r="E15" s="10" t="n"/>
      <c r="F15" s="10" t="n"/>
      <c r="G15" s="10" t="n"/>
      <c r="H15" s="10" t="n"/>
      <c r="I15" s="10" t="n"/>
      <c r="J15" s="10" t="n"/>
      <c r="K15" s="11" t="n"/>
      <c r="L15" s="11" t="n">
        <v>270</v>
      </c>
      <c r="M15" s="10" t="n">
        <v>631.7</v>
      </c>
      <c r="N15" s="10" t="n">
        <v>688.6</v>
      </c>
      <c r="O15" s="10" t="n">
        <v>687.7</v>
      </c>
      <c r="P15" s="10" t="n">
        <v>747.5</v>
      </c>
      <c r="Q15" s="10" t="n"/>
      <c r="R15" s="9" t="n"/>
    </row>
    <row r="16">
      <c r="A16" s="13" t="inlineStr">
        <is>
          <t>ヴェルファイア</t>
        </is>
      </c>
      <c r="B16" s="13" t="inlineStr">
        <is>
          <t>20系</t>
        </is>
      </c>
      <c r="C16" s="13" t="n">
        <v>2013</v>
      </c>
      <c r="D16" s="15" t="n">
        <v>10</v>
      </c>
      <c r="E16" s="16" t="n">
        <v>32.1</v>
      </c>
      <c r="F16" s="16" t="n">
        <v>43.5</v>
      </c>
      <c r="G16" s="16" t="n">
        <v>47.5</v>
      </c>
      <c r="H16" s="16" t="n">
        <v>50.7</v>
      </c>
      <c r="I16" s="16" t="n">
        <v>56.1</v>
      </c>
      <c r="J16" s="16" t="n">
        <v>79.8</v>
      </c>
      <c r="K16" s="15" t="n">
        <v>154000</v>
      </c>
      <c r="L16" s="15" t="n">
        <v>244</v>
      </c>
      <c r="M16" s="16" t="n">
        <v>85.2</v>
      </c>
      <c r="N16" s="16" t="n">
        <v>109.2</v>
      </c>
      <c r="O16" s="16" t="n">
        <v>113.3</v>
      </c>
      <c r="P16" s="16" t="n">
        <v>138.8</v>
      </c>
      <c r="Q16" s="16" t="n">
        <v>61.7</v>
      </c>
      <c r="R16" s="17" t="n">
        <v>129.9</v>
      </c>
    </row>
    <row r="17">
      <c r="A17" s="8" t="inlineStr">
        <is>
          <t>ヴェルファイア</t>
        </is>
      </c>
      <c r="B17" s="8" t="inlineStr">
        <is>
          <t>20系</t>
        </is>
      </c>
      <c r="C17" s="8" t="n">
        <v>2014</v>
      </c>
      <c r="D17" s="11" t="n">
        <v>2</v>
      </c>
      <c r="E17" s="10" t="n">
        <v>64.09999999999999</v>
      </c>
      <c r="F17" s="10" t="n">
        <v>68.09999999999999</v>
      </c>
      <c r="G17" s="10" t="n">
        <v>72</v>
      </c>
      <c r="H17" s="10" t="n">
        <v>72</v>
      </c>
      <c r="I17" s="10" t="n">
        <v>76</v>
      </c>
      <c r="J17" s="10" t="n">
        <v>80</v>
      </c>
      <c r="K17" s="11" t="n">
        <v>159600</v>
      </c>
      <c r="L17" s="11" t="n">
        <v>151</v>
      </c>
      <c r="M17" s="10" t="n">
        <v>97.3</v>
      </c>
      <c r="N17" s="10" t="n">
        <v>125</v>
      </c>
      <c r="O17" s="10" t="n">
        <v>125.6</v>
      </c>
      <c r="P17" s="10" t="n">
        <v>146.2</v>
      </c>
      <c r="Q17" s="10" t="n">
        <v>53</v>
      </c>
      <c r="R17" s="9" t="n">
        <v>73.59999999999999</v>
      </c>
    </row>
    <row r="18">
      <c r="A18" s="13" t="inlineStr">
        <is>
          <t>ヴェルファイア</t>
        </is>
      </c>
      <c r="B18" s="13" t="inlineStr">
        <is>
          <t>30系前期</t>
        </is>
      </c>
      <c r="C18" s="13" t="n">
        <v>2015</v>
      </c>
      <c r="D18" s="15" t="n">
        <v>8</v>
      </c>
      <c r="E18" s="16" t="n">
        <v>86.09999999999999</v>
      </c>
      <c r="F18" s="16" t="n">
        <v>117.4</v>
      </c>
      <c r="G18" s="16" t="n">
        <v>147.9</v>
      </c>
      <c r="H18" s="16" t="n">
        <v>150.6</v>
      </c>
      <c r="I18" s="16" t="n">
        <v>170.9</v>
      </c>
      <c r="J18" s="16" t="n">
        <v>258</v>
      </c>
      <c r="K18" s="15" t="n">
        <v>166225</v>
      </c>
      <c r="L18" s="15" t="n">
        <v>409</v>
      </c>
      <c r="M18" s="16" t="n">
        <v>179.4</v>
      </c>
      <c r="N18" s="16" t="n">
        <v>215.9</v>
      </c>
      <c r="O18" s="16" t="n">
        <v>221.3</v>
      </c>
      <c r="P18" s="16" t="n">
        <v>251.8</v>
      </c>
      <c r="Q18" s="16" t="n">
        <v>68</v>
      </c>
      <c r="R18" s="17" t="n">
        <v>46</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349</v>
      </c>
      <c r="M19" s="10" t="n">
        <v>197.6</v>
      </c>
      <c r="N19" s="10" t="n">
        <v>230.2</v>
      </c>
      <c r="O19" s="10" t="n">
        <v>235.2</v>
      </c>
      <c r="P19" s="10" t="n">
        <v>267</v>
      </c>
      <c r="Q19" s="10" t="n">
        <v>90.09999999999999</v>
      </c>
      <c r="R19" s="9" t="n">
        <v>64.3</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352</v>
      </c>
      <c r="M20" s="16" t="n">
        <v>200.4</v>
      </c>
      <c r="N20" s="16" t="n">
        <v>229.7</v>
      </c>
      <c r="O20" s="16" t="n">
        <v>240.8</v>
      </c>
      <c r="P20" s="16" t="n">
        <v>265.1</v>
      </c>
      <c r="Q20" s="16" t="n">
        <v>30.1</v>
      </c>
      <c r="R20" s="17" t="n">
        <v>15.1</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383</v>
      </c>
      <c r="M21" s="10" t="n">
        <v>272.9</v>
      </c>
      <c r="N21" s="10" t="n">
        <v>315.5</v>
      </c>
      <c r="O21" s="10" t="n">
        <v>321.6</v>
      </c>
      <c r="P21" s="10" t="n">
        <v>360.5</v>
      </c>
      <c r="Q21" s="10" t="n">
        <v>15</v>
      </c>
      <c r="R21" s="9" t="n">
        <v>5</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300</v>
      </c>
      <c r="M22" s="16" t="n">
        <v>279.1</v>
      </c>
      <c r="N22" s="16" t="n">
        <v>329.4</v>
      </c>
      <c r="O22" s="16" t="n">
        <v>332.6</v>
      </c>
      <c r="P22" s="16" t="n">
        <v>378.3</v>
      </c>
      <c r="Q22" s="16" t="n">
        <v>91.09999999999999</v>
      </c>
      <c r="R22" s="17" t="n">
        <v>38.2</v>
      </c>
    </row>
    <row r="23">
      <c r="A23" s="8" t="inlineStr">
        <is>
          <t>ヴェルファイア</t>
        </is>
      </c>
      <c r="B23" s="8" t="inlineStr">
        <is>
          <t>30系後期</t>
        </is>
      </c>
      <c r="C23" s="8" t="n">
        <v>2020</v>
      </c>
      <c r="D23" s="11" t="n"/>
      <c r="E23" s="10" t="n"/>
      <c r="F23" s="10" t="n"/>
      <c r="G23" s="10" t="n"/>
      <c r="H23" s="10" t="n"/>
      <c r="I23" s="10" t="n"/>
      <c r="J23" s="10" t="n"/>
      <c r="K23" s="11" t="n"/>
      <c r="L23" s="11" t="n">
        <v>138</v>
      </c>
      <c r="M23" s="10" t="n">
        <v>306.2</v>
      </c>
      <c r="N23" s="10" t="n">
        <v>355.6</v>
      </c>
      <c r="O23" s="10" t="n">
        <v>353.5</v>
      </c>
      <c r="P23" s="10" t="n">
        <v>389.5</v>
      </c>
      <c r="Q23" s="10" t="n"/>
      <c r="R23" s="9" t="n"/>
    </row>
    <row r="24">
      <c r="A24" s="13" t="inlineStr">
        <is>
          <t>ヴェルファイア</t>
        </is>
      </c>
      <c r="B24" s="13" t="inlineStr">
        <is>
          <t>30系後期</t>
        </is>
      </c>
      <c r="C24" s="13" t="n">
        <v>2021</v>
      </c>
      <c r="D24" s="15" t="n"/>
      <c r="E24" s="16" t="n"/>
      <c r="F24" s="16" t="n"/>
      <c r="G24" s="16" t="n"/>
      <c r="H24" s="16" t="n"/>
      <c r="I24" s="16" t="n"/>
      <c r="J24" s="16" t="n"/>
      <c r="K24" s="15" t="n"/>
      <c r="L24" s="15" t="n">
        <v>99</v>
      </c>
      <c r="M24" s="16" t="n">
        <v>335</v>
      </c>
      <c r="N24" s="16" t="n">
        <v>371.4</v>
      </c>
      <c r="O24" s="16" t="n">
        <v>366.5</v>
      </c>
      <c r="P24" s="16" t="n">
        <v>397.7</v>
      </c>
      <c r="Q24" s="16" t="n"/>
      <c r="R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17</v>
      </c>
      <c r="M25" s="10" t="n">
        <v>391.2</v>
      </c>
      <c r="N25" s="10" t="n">
        <v>415</v>
      </c>
      <c r="O25" s="10" t="n">
        <v>421.8</v>
      </c>
      <c r="P25" s="10" t="n">
        <v>457.5</v>
      </c>
      <c r="Q25" s="10" t="n">
        <v>149.7</v>
      </c>
      <c r="R25" s="9" t="n">
        <v>56.4</v>
      </c>
    </row>
    <row r="26">
      <c r="A26" s="13" t="inlineStr">
        <is>
          <t>ヴェルファイア</t>
        </is>
      </c>
      <c r="B26" s="13" t="inlineStr">
        <is>
          <t>40系</t>
        </is>
      </c>
      <c r="C26" s="13" t="n">
        <v>2023</v>
      </c>
      <c r="D26" s="15" t="n">
        <v>1</v>
      </c>
      <c r="E26" s="16" t="n">
        <v>599</v>
      </c>
      <c r="F26" s="16" t="n">
        <v>599</v>
      </c>
      <c r="G26" s="16" t="n">
        <v>599</v>
      </c>
      <c r="H26" s="16" t="n">
        <v>599</v>
      </c>
      <c r="I26" s="16" t="n">
        <v>599</v>
      </c>
      <c r="J26" s="16" t="n">
        <v>599</v>
      </c>
      <c r="K26" s="15" t="n">
        <v>27000</v>
      </c>
      <c r="L26" s="15" t="n">
        <v>270</v>
      </c>
      <c r="M26" s="16" t="n">
        <v>629.3</v>
      </c>
      <c r="N26" s="16" t="n">
        <v>660.2</v>
      </c>
      <c r="O26" s="16" t="n">
        <v>672.5</v>
      </c>
      <c r="P26" s="16" t="n">
        <v>695.4</v>
      </c>
      <c r="Q26" s="16" t="n">
        <v>61.2</v>
      </c>
      <c r="R26" s="17" t="n">
        <v>10.2</v>
      </c>
    </row>
    <row r="27">
      <c r="A27" s="8" t="inlineStr">
        <is>
          <t>ヴェルファイア</t>
        </is>
      </c>
      <c r="B27" s="8" t="inlineStr">
        <is>
          <t>40系</t>
        </is>
      </c>
      <c r="C27" s="8" t="n">
        <v>2024</v>
      </c>
      <c r="D27" s="11" t="n"/>
      <c r="E27" s="10" t="n"/>
      <c r="F27" s="10" t="n"/>
      <c r="G27" s="10" t="n"/>
      <c r="H27" s="10" t="n"/>
      <c r="I27" s="10" t="n"/>
      <c r="J27" s="10" t="n"/>
      <c r="K27" s="11" t="n"/>
      <c r="L27" s="11" t="n">
        <v>324</v>
      </c>
      <c r="M27" s="10" t="n">
        <v>644.6</v>
      </c>
      <c r="N27" s="10" t="n">
        <v>679.1</v>
      </c>
      <c r="O27" s="10" t="n">
        <v>695.5</v>
      </c>
      <c r="P27" s="10" t="n">
        <v>730</v>
      </c>
      <c r="Q27" s="10" t="n"/>
      <c r="R27" s="9" t="n"/>
    </row>
    <row r="28">
      <c r="A28" s="13" t="inlineStr">
        <is>
          <t>ヴェルファイア</t>
        </is>
      </c>
      <c r="B28" s="13" t="inlineStr">
        <is>
          <t>40系</t>
        </is>
      </c>
      <c r="C28" s="13" t="n">
        <v>2025</v>
      </c>
      <c r="D28" s="15" t="n"/>
      <c r="E28" s="16" t="n"/>
      <c r="F28" s="16" t="n"/>
      <c r="G28" s="16" t="n"/>
      <c r="H28" s="16" t="n"/>
      <c r="I28" s="16" t="n"/>
      <c r="J28" s="16" t="n"/>
      <c r="K28" s="15" t="n"/>
      <c r="L28" s="15" t="n">
        <v>251</v>
      </c>
      <c r="M28" s="16" t="n">
        <v>710.8</v>
      </c>
      <c r="N28" s="16" t="n">
        <v>765.4</v>
      </c>
      <c r="O28" s="16" t="n">
        <v>768.4</v>
      </c>
      <c r="P28" s="16" t="n">
        <v>842.3</v>
      </c>
      <c r="Q28" s="16" t="n"/>
      <c r="R28" s="17" t="n"/>
    </row>
    <row r="29">
      <c r="A29" s="8" t="inlineStr">
        <is>
          <t>ヴェルファイア</t>
        </is>
      </c>
      <c r="B29" s="8" t="inlineStr">
        <is>
          <t>40系</t>
        </is>
      </c>
      <c r="C29" s="8" t="n">
        <v>2026</v>
      </c>
      <c r="D29" s="11" t="n"/>
      <c r="E29" s="10" t="n"/>
      <c r="F29" s="10" t="n"/>
      <c r="G29" s="10" t="n"/>
      <c r="H29" s="10" t="n"/>
      <c r="I29" s="10" t="n"/>
      <c r="J29" s="10" t="n"/>
      <c r="K29" s="11" t="n"/>
      <c r="L29" s="11" t="n">
        <v>106</v>
      </c>
      <c r="M29" s="10" t="n">
        <v>765</v>
      </c>
      <c r="N29" s="10" t="n">
        <v>797.1</v>
      </c>
      <c r="O29" s="10" t="n">
        <v>796</v>
      </c>
      <c r="P29" s="10" t="n">
        <v>842.1</v>
      </c>
      <c r="Q29" s="10" t="n"/>
      <c r="R29" s="9" t="n"/>
    </row>
    <row r="30">
      <c r="A30" s="13" t="inlineStr">
        <is>
          <t>ノア</t>
        </is>
      </c>
      <c r="B30" s="13" t="inlineStr">
        <is>
          <t>70系</t>
        </is>
      </c>
      <c r="C30" s="13" t="n">
        <v>2013</v>
      </c>
      <c r="D30" s="15" t="n"/>
      <c r="E30" s="16" t="n"/>
      <c r="F30" s="16" t="n"/>
      <c r="G30" s="16" t="n"/>
      <c r="H30" s="16" t="n"/>
      <c r="I30" s="16" t="n"/>
      <c r="J30" s="16" t="n"/>
      <c r="K30" s="15" t="n"/>
      <c r="L30" s="15" t="n">
        <v>50</v>
      </c>
      <c r="M30" s="16" t="n">
        <v>76.5</v>
      </c>
      <c r="N30" s="16" t="n">
        <v>95</v>
      </c>
      <c r="O30" s="16" t="n">
        <v>100.3</v>
      </c>
      <c r="P30" s="16" t="n">
        <v>116</v>
      </c>
      <c r="Q30" s="16" t="n"/>
      <c r="R30" s="17" t="n"/>
    </row>
    <row r="31">
      <c r="A31" s="8" t="inlineStr">
        <is>
          <t>ノア</t>
        </is>
      </c>
      <c r="B31" s="8" t="inlineStr">
        <is>
          <t>80系</t>
        </is>
      </c>
      <c r="C31" s="8" t="n">
        <v>2014</v>
      </c>
      <c r="D31" s="11" t="n">
        <v>6</v>
      </c>
      <c r="E31" s="10" t="n">
        <v>50</v>
      </c>
      <c r="F31" s="10" t="n">
        <v>54.5</v>
      </c>
      <c r="G31" s="10" t="n">
        <v>72.40000000000001</v>
      </c>
      <c r="H31" s="10" t="n">
        <v>82.2</v>
      </c>
      <c r="I31" s="10" t="n">
        <v>112.6</v>
      </c>
      <c r="J31" s="10" t="n">
        <v>123.8</v>
      </c>
      <c r="K31" s="11" t="n">
        <v>159070</v>
      </c>
      <c r="L31" s="11" t="n">
        <v>204</v>
      </c>
      <c r="M31" s="10" t="n">
        <v>94.3</v>
      </c>
      <c r="N31" s="10" t="n">
        <v>121.5</v>
      </c>
      <c r="O31" s="10" t="n">
        <v>124.5</v>
      </c>
      <c r="P31" s="10" t="n">
        <v>148.2</v>
      </c>
      <c r="Q31" s="10" t="n">
        <v>49.1</v>
      </c>
      <c r="R31" s="9" t="n">
        <v>67.8</v>
      </c>
    </row>
    <row r="32">
      <c r="A32" s="13" t="inlineStr">
        <is>
          <t>ノア</t>
        </is>
      </c>
      <c r="B32" s="13" t="inlineStr">
        <is>
          <t>80系</t>
        </is>
      </c>
      <c r="C32" s="13" t="n">
        <v>2015</v>
      </c>
      <c r="D32" s="15" t="n">
        <v>6</v>
      </c>
      <c r="E32" s="16" t="n">
        <v>58.3</v>
      </c>
      <c r="F32" s="16" t="n">
        <v>73.59999999999999</v>
      </c>
      <c r="G32" s="16" t="n">
        <v>86.40000000000001</v>
      </c>
      <c r="H32" s="16" t="n">
        <v>89.40000000000001</v>
      </c>
      <c r="I32" s="16" t="n">
        <v>89.90000000000001</v>
      </c>
      <c r="J32" s="16" t="n">
        <v>145</v>
      </c>
      <c r="K32" s="15" t="n">
        <v>127000</v>
      </c>
      <c r="L32" s="15" t="n">
        <v>196</v>
      </c>
      <c r="M32" s="16" t="n">
        <v>105.4</v>
      </c>
      <c r="N32" s="16" t="n">
        <v>126.2</v>
      </c>
      <c r="O32" s="16" t="n">
        <v>132</v>
      </c>
      <c r="P32" s="16" t="n">
        <v>156.5</v>
      </c>
      <c r="Q32" s="16" t="n">
        <v>39.8</v>
      </c>
      <c r="R32" s="17" t="n">
        <v>46.1</v>
      </c>
    </row>
    <row r="33">
      <c r="A33" s="8" t="inlineStr">
        <is>
          <t>ノア</t>
        </is>
      </c>
      <c r="B33" s="8" t="inlineStr">
        <is>
          <t>80系</t>
        </is>
      </c>
      <c r="C33" s="8" t="n">
        <v>2016</v>
      </c>
      <c r="D33" s="11" t="n">
        <v>2</v>
      </c>
      <c r="E33" s="10" t="n">
        <v>96.8</v>
      </c>
      <c r="F33" s="10" t="n">
        <v>112.5</v>
      </c>
      <c r="G33" s="10" t="n">
        <v>128.3</v>
      </c>
      <c r="H33" s="10" t="n">
        <v>128.3</v>
      </c>
      <c r="I33" s="10" t="n">
        <v>144.1</v>
      </c>
      <c r="J33" s="10" t="n">
        <v>159.8</v>
      </c>
      <c r="K33" s="11" t="n">
        <v>141360</v>
      </c>
      <c r="L33" s="11" t="n">
        <v>156</v>
      </c>
      <c r="M33" s="10" t="n">
        <v>126.6</v>
      </c>
      <c r="N33" s="10" t="n">
        <v>149.8</v>
      </c>
      <c r="O33" s="10" t="n">
        <v>154.9</v>
      </c>
      <c r="P33" s="10" t="n">
        <v>180.3</v>
      </c>
      <c r="Q33" s="10" t="n">
        <v>21.5</v>
      </c>
      <c r="R33" s="9" t="n">
        <v>16.8</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253</v>
      </c>
      <c r="M34" s="16" t="n">
        <v>150.8</v>
      </c>
      <c r="N34" s="16" t="n">
        <v>178.9</v>
      </c>
      <c r="O34" s="16" t="n">
        <v>181.5</v>
      </c>
      <c r="P34" s="16" t="n">
        <v>212.1</v>
      </c>
      <c r="Q34" s="16" t="n">
        <v>9.1</v>
      </c>
      <c r="R34" s="17" t="n">
        <v>5.4</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257</v>
      </c>
      <c r="M35" s="10" t="n">
        <v>179.4</v>
      </c>
      <c r="N35" s="10" t="n">
        <v>207.7</v>
      </c>
      <c r="O35" s="10" t="n">
        <v>209.6</v>
      </c>
      <c r="P35" s="10" t="n">
        <v>242</v>
      </c>
      <c r="Q35" s="10" t="n">
        <v>74.7</v>
      </c>
      <c r="R35" s="9" t="n">
        <v>56.2</v>
      </c>
    </row>
    <row r="36">
      <c r="A36" s="13" t="inlineStr">
        <is>
          <t>ノア</t>
        </is>
      </c>
      <c r="B36" s="13" t="inlineStr">
        <is>
          <t>80系</t>
        </is>
      </c>
      <c r="C36" s="13" t="n">
        <v>2019</v>
      </c>
      <c r="D36" s="15" t="n"/>
      <c r="E36" s="16" t="n"/>
      <c r="F36" s="16" t="n"/>
      <c r="G36" s="16" t="n"/>
      <c r="H36" s="16" t="n"/>
      <c r="I36" s="16" t="n"/>
      <c r="J36" s="16" t="n"/>
      <c r="K36" s="15" t="n"/>
      <c r="L36" s="15" t="n">
        <v>265</v>
      </c>
      <c r="M36" s="16" t="n">
        <v>200.9</v>
      </c>
      <c r="N36" s="16" t="n">
        <v>231.9</v>
      </c>
      <c r="O36" s="16" t="n">
        <v>227.2</v>
      </c>
      <c r="P36" s="16" t="n">
        <v>255.4</v>
      </c>
      <c r="Q36" s="16" t="n"/>
      <c r="R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165</v>
      </c>
      <c r="M37" s="10" t="n">
        <v>221.9</v>
      </c>
      <c r="N37" s="10" t="n">
        <v>249</v>
      </c>
      <c r="O37" s="10" t="n">
        <v>243.8</v>
      </c>
      <c r="P37" s="10" t="n">
        <v>270</v>
      </c>
      <c r="Q37" s="10" t="n">
        <v>104.3</v>
      </c>
      <c r="R37" s="9" t="n">
        <v>72.09999999999999</v>
      </c>
    </row>
    <row r="38">
      <c r="A38" s="13" t="inlineStr">
        <is>
          <t>ノア</t>
        </is>
      </c>
      <c r="B38" s="13" t="inlineStr">
        <is>
          <t>80系</t>
        </is>
      </c>
      <c r="C38" s="13" t="n">
        <v>2021</v>
      </c>
      <c r="D38" s="15" t="n"/>
      <c r="E38" s="16" t="n"/>
      <c r="F38" s="16" t="n"/>
      <c r="G38" s="16" t="n"/>
      <c r="H38" s="16" t="n"/>
      <c r="I38" s="16" t="n"/>
      <c r="J38" s="16" t="n"/>
      <c r="K38" s="15" t="n"/>
      <c r="L38" s="15" t="n">
        <v>290</v>
      </c>
      <c r="M38" s="16" t="n">
        <v>241.8</v>
      </c>
      <c r="N38" s="16" t="n">
        <v>266.9</v>
      </c>
      <c r="O38" s="16" t="n">
        <v>262.4</v>
      </c>
      <c r="P38" s="16" t="n">
        <v>287.9</v>
      </c>
      <c r="Q38" s="16" t="n"/>
      <c r="R38" s="17" t="n"/>
    </row>
    <row r="39">
      <c r="A39" s="8" t="inlineStr">
        <is>
          <t>ノア</t>
        </is>
      </c>
      <c r="B39" s="8" t="inlineStr">
        <is>
          <t>90系</t>
        </is>
      </c>
      <c r="C39" s="8" t="n">
        <v>2022</v>
      </c>
      <c r="D39" s="11" t="n"/>
      <c r="E39" s="10" t="n"/>
      <c r="F39" s="10" t="n"/>
      <c r="G39" s="10" t="n"/>
      <c r="H39" s="10" t="n"/>
      <c r="I39" s="10" t="n"/>
      <c r="J39" s="10" t="n"/>
      <c r="K39" s="11" t="n"/>
      <c r="L39" s="11" t="n">
        <v>547</v>
      </c>
      <c r="M39" s="10" t="n">
        <v>303.5</v>
      </c>
      <c r="N39" s="10" t="n">
        <v>339.6</v>
      </c>
      <c r="O39" s="10" t="n">
        <v>335.3</v>
      </c>
      <c r="P39" s="10" t="n">
        <v>372.4</v>
      </c>
      <c r="Q39" s="10" t="n"/>
      <c r="R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782</v>
      </c>
      <c r="M40" s="16" t="n">
        <v>331.6</v>
      </c>
      <c r="N40" s="16" t="n">
        <v>361</v>
      </c>
      <c r="O40" s="16" t="n">
        <v>354.1</v>
      </c>
      <c r="P40" s="16" t="n">
        <v>383.3</v>
      </c>
      <c r="Q40" s="16" t="n">
        <v>68.90000000000001</v>
      </c>
      <c r="R40" s="17" t="n">
        <v>23.6</v>
      </c>
    </row>
    <row r="41">
      <c r="A41" s="8" t="inlineStr">
        <is>
          <t>ノア</t>
        </is>
      </c>
      <c r="B41" s="8" t="inlineStr">
        <is>
          <t>90系</t>
        </is>
      </c>
      <c r="C41" s="8" t="n">
        <v>2024</v>
      </c>
      <c r="D41" s="11" t="n"/>
      <c r="E41" s="10" t="n"/>
      <c r="F41" s="10" t="n"/>
      <c r="G41" s="10" t="n"/>
      <c r="H41" s="10" t="n"/>
      <c r="I41" s="10" t="n"/>
      <c r="J41" s="10" t="n"/>
      <c r="K41" s="11" t="n"/>
      <c r="L41" s="11" t="n">
        <v>314</v>
      </c>
      <c r="M41" s="10" t="n">
        <v>338.8</v>
      </c>
      <c r="N41" s="10" t="n">
        <v>371.5</v>
      </c>
      <c r="O41" s="10" t="n">
        <v>364.5</v>
      </c>
      <c r="P41" s="10" t="n">
        <v>396.6</v>
      </c>
      <c r="Q41" s="10" t="n"/>
      <c r="R41" s="9" t="n"/>
    </row>
    <row r="42">
      <c r="A42" s="13" t="inlineStr">
        <is>
          <t>ノア</t>
        </is>
      </c>
      <c r="B42" s="13" t="inlineStr">
        <is>
          <t>90系</t>
        </is>
      </c>
      <c r="C42" s="13" t="n">
        <v>2025</v>
      </c>
      <c r="D42" s="15" t="n"/>
      <c r="E42" s="16" t="n"/>
      <c r="F42" s="16" t="n"/>
      <c r="G42" s="16" t="n"/>
      <c r="H42" s="16" t="n"/>
      <c r="I42" s="16" t="n"/>
      <c r="J42" s="16" t="n"/>
      <c r="K42" s="15" t="n"/>
      <c r="L42" s="15" t="n">
        <v>201</v>
      </c>
      <c r="M42" s="16" t="n">
        <v>371.8</v>
      </c>
      <c r="N42" s="16" t="n">
        <v>402.9</v>
      </c>
      <c r="O42" s="16" t="n">
        <v>395.9</v>
      </c>
      <c r="P42" s="16" t="n">
        <v>432.1</v>
      </c>
      <c r="Q42" s="16" t="n"/>
      <c r="R42" s="17" t="n"/>
    </row>
    <row r="43">
      <c r="A43" s="8" t="inlineStr">
        <is>
          <t>ノア</t>
        </is>
      </c>
      <c r="B43" s="8" t="inlineStr">
        <is>
          <t>90系</t>
        </is>
      </c>
      <c r="C43" s="8" t="n">
        <v>2026</v>
      </c>
      <c r="D43" s="11" t="n"/>
      <c r="E43" s="10" t="n"/>
      <c r="F43" s="10" t="n"/>
      <c r="G43" s="10" t="n"/>
      <c r="H43" s="10" t="n"/>
      <c r="I43" s="10" t="n"/>
      <c r="J43" s="10" t="n"/>
      <c r="K43" s="11" t="n"/>
      <c r="L43" s="11" t="n">
        <v>113</v>
      </c>
      <c r="M43" s="10" t="n">
        <v>416.2</v>
      </c>
      <c r="N43" s="10" t="n">
        <v>446.8</v>
      </c>
      <c r="O43" s="10" t="n">
        <v>428.3</v>
      </c>
      <c r="P43" s="10" t="n">
        <v>455.9</v>
      </c>
      <c r="Q43" s="10" t="n"/>
      <c r="R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138</v>
      </c>
      <c r="M44" s="16" t="n">
        <v>59</v>
      </c>
      <c r="N44" s="16" t="n">
        <v>74.09999999999999</v>
      </c>
      <c r="O44" s="16" t="n">
        <v>83.3</v>
      </c>
      <c r="P44" s="16" t="n">
        <v>98.8</v>
      </c>
      <c r="Q44" s="16" t="n">
        <v>37.6</v>
      </c>
      <c r="R44" s="17" t="n">
        <v>103</v>
      </c>
    </row>
    <row r="45">
      <c r="A45" s="8" t="inlineStr">
        <is>
          <t>ヴォクシー</t>
        </is>
      </c>
      <c r="B45" s="8" t="inlineStr">
        <is>
          <t>80系</t>
        </is>
      </c>
      <c r="C45" s="8" t="n">
        <v>2014</v>
      </c>
      <c r="D45" s="11" t="n">
        <v>17</v>
      </c>
      <c r="E45" s="10" t="n">
        <v>50.2</v>
      </c>
      <c r="F45" s="10" t="n">
        <v>62.1</v>
      </c>
      <c r="G45" s="10" t="n">
        <v>75</v>
      </c>
      <c r="H45" s="10" t="n">
        <v>78.2</v>
      </c>
      <c r="I45" s="10" t="n">
        <v>79.59999999999999</v>
      </c>
      <c r="J45" s="10" t="n">
        <v>138</v>
      </c>
      <c r="K45" s="11" t="n">
        <v>150700</v>
      </c>
      <c r="L45" s="11" t="n">
        <v>395</v>
      </c>
      <c r="M45" s="10" t="n">
        <v>99.3</v>
      </c>
      <c r="N45" s="10" t="n">
        <v>122.6</v>
      </c>
      <c r="O45" s="10" t="n">
        <v>129.6</v>
      </c>
      <c r="P45" s="10" t="n">
        <v>149.8</v>
      </c>
      <c r="Q45" s="10" t="n">
        <v>47.6</v>
      </c>
      <c r="R45" s="9" t="n">
        <v>63.5</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387</v>
      </c>
      <c r="M46" s="16" t="n">
        <v>110.5</v>
      </c>
      <c r="N46" s="16" t="n">
        <v>137.1</v>
      </c>
      <c r="O46" s="16" t="n">
        <v>138.6</v>
      </c>
      <c r="P46" s="16" t="n">
        <v>162.9</v>
      </c>
      <c r="Q46" s="16" t="n">
        <v>69.09999999999999</v>
      </c>
      <c r="R46" s="17" t="n">
        <v>101.6</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344</v>
      </c>
      <c r="M47" s="10" t="n">
        <v>134.9</v>
      </c>
      <c r="N47" s="10" t="n">
        <v>160.2</v>
      </c>
      <c r="O47" s="10" t="n">
        <v>161</v>
      </c>
      <c r="P47" s="10" t="n">
        <v>186.1</v>
      </c>
      <c r="Q47" s="10" t="n">
        <v>40.2</v>
      </c>
      <c r="R47" s="9" t="n">
        <v>33.5</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502</v>
      </c>
      <c r="M48" s="16" t="n">
        <v>161.1</v>
      </c>
      <c r="N48" s="16" t="n">
        <v>191.1</v>
      </c>
      <c r="O48" s="16" t="n">
        <v>192.1</v>
      </c>
      <c r="P48" s="16" t="n">
        <v>221.2</v>
      </c>
      <c r="Q48" s="16" t="n">
        <v>67.8</v>
      </c>
      <c r="R48" s="17" t="n">
        <v>55</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507</v>
      </c>
      <c r="M49" s="10" t="n">
        <v>186.9</v>
      </c>
      <c r="N49" s="10" t="n">
        <v>214.4</v>
      </c>
      <c r="O49" s="10" t="n">
        <v>214.1</v>
      </c>
      <c r="P49" s="10" t="n">
        <v>243.6</v>
      </c>
      <c r="Q49" s="10" t="n">
        <v>70.7</v>
      </c>
      <c r="R49" s="9" t="n">
        <v>49.2</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503</v>
      </c>
      <c r="M50" s="16" t="n">
        <v>204.4</v>
      </c>
      <c r="N50" s="16" t="n">
        <v>236</v>
      </c>
      <c r="O50" s="16" t="n">
        <v>231.8</v>
      </c>
      <c r="P50" s="16" t="n">
        <v>260.7</v>
      </c>
      <c r="Q50" s="16" t="n">
        <v>84.8</v>
      </c>
      <c r="R50" s="17" t="n">
        <v>56.1</v>
      </c>
    </row>
    <row r="51">
      <c r="A51" s="8" t="inlineStr">
        <is>
          <t>ヴォクシー</t>
        </is>
      </c>
      <c r="B51" s="8" t="inlineStr">
        <is>
          <t>80系</t>
        </is>
      </c>
      <c r="C51" s="8" t="n">
        <v>2020</v>
      </c>
      <c r="D51" s="11" t="n"/>
      <c r="E51" s="10" t="n"/>
      <c r="F51" s="10" t="n"/>
      <c r="G51" s="10" t="n"/>
      <c r="H51" s="10" t="n"/>
      <c r="I51" s="10" t="n"/>
      <c r="J51" s="10" t="n"/>
      <c r="K51" s="11" t="n"/>
      <c r="L51" s="11" t="n">
        <v>328</v>
      </c>
      <c r="M51" s="10" t="n">
        <v>231.4</v>
      </c>
      <c r="N51" s="10" t="n">
        <v>256.9</v>
      </c>
      <c r="O51" s="10" t="n">
        <v>253.3</v>
      </c>
      <c r="P51" s="10" t="n">
        <v>277.9</v>
      </c>
      <c r="Q51" s="10" t="n"/>
      <c r="R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702</v>
      </c>
      <c r="M52" s="16" t="n">
        <v>255.3</v>
      </c>
      <c r="N52" s="16" t="n">
        <v>275.5</v>
      </c>
      <c r="O52" s="16" t="n">
        <v>275.4</v>
      </c>
      <c r="P52" s="16" t="n">
        <v>296.4</v>
      </c>
      <c r="Q52" s="16" t="n">
        <v>97.5</v>
      </c>
      <c r="R52" s="17" t="n">
        <v>54.8</v>
      </c>
    </row>
    <row r="53">
      <c r="A53" s="8" t="inlineStr">
        <is>
          <t>ヴォクシー</t>
        </is>
      </c>
      <c r="B53" s="8" t="inlineStr">
        <is>
          <t>90系</t>
        </is>
      </c>
      <c r="C53" s="8" t="n">
        <v>2022</v>
      </c>
      <c r="D53" s="11" t="n"/>
      <c r="E53" s="10" t="n"/>
      <c r="F53" s="10" t="n"/>
      <c r="G53" s="10" t="n"/>
      <c r="H53" s="10" t="n"/>
      <c r="I53" s="10" t="n"/>
      <c r="J53" s="10" t="n"/>
      <c r="K53" s="11" t="n"/>
      <c r="L53" s="11" t="n">
        <v>652</v>
      </c>
      <c r="M53" s="10" t="n">
        <v>333.1</v>
      </c>
      <c r="N53" s="10" t="n">
        <v>355.5</v>
      </c>
      <c r="O53" s="10" t="n">
        <v>354</v>
      </c>
      <c r="P53" s="10" t="n">
        <v>378</v>
      </c>
      <c r="Q53" s="10" t="n"/>
      <c r="R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1019</v>
      </c>
      <c r="M54" s="16" t="n">
        <v>346.4</v>
      </c>
      <c r="N54" s="16" t="n">
        <v>372.4</v>
      </c>
      <c r="O54" s="16" t="n">
        <v>368.4</v>
      </c>
      <c r="P54" s="16" t="n">
        <v>394.5</v>
      </c>
      <c r="Q54" s="16" t="n">
        <v>104.4</v>
      </c>
      <c r="R54" s="17" t="n">
        <v>39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438</v>
      </c>
      <c r="M55" s="10" t="n">
        <v>357.1</v>
      </c>
      <c r="N55" s="10" t="n">
        <v>384.1</v>
      </c>
      <c r="O55" s="10" t="n">
        <v>381.4</v>
      </c>
      <c r="P55" s="10" t="n">
        <v>407.5</v>
      </c>
      <c r="Q55" s="10" t="n">
        <v>43.8</v>
      </c>
      <c r="R55" s="9" t="n">
        <v>12.9</v>
      </c>
    </row>
    <row r="56">
      <c r="A56" s="13" t="inlineStr">
        <is>
          <t>ヴォクシー</t>
        </is>
      </c>
      <c r="B56" s="13" t="inlineStr">
        <is>
          <t>90系</t>
        </is>
      </c>
      <c r="C56" s="13" t="n">
        <v>2025</v>
      </c>
      <c r="D56" s="15" t="n"/>
      <c r="E56" s="16" t="n"/>
      <c r="F56" s="16" t="n"/>
      <c r="G56" s="16" t="n"/>
      <c r="H56" s="16" t="n"/>
      <c r="I56" s="16" t="n"/>
      <c r="J56" s="16" t="n"/>
      <c r="K56" s="15" t="n"/>
      <c r="L56" s="15" t="n">
        <v>300</v>
      </c>
      <c r="M56" s="16" t="n">
        <v>391.1</v>
      </c>
      <c r="N56" s="16" t="n">
        <v>416.9</v>
      </c>
      <c r="O56" s="16" t="n">
        <v>415.2</v>
      </c>
      <c r="P56" s="16" t="n">
        <v>440.2</v>
      </c>
      <c r="Q56" s="16" t="n"/>
      <c r="R56" s="17" t="n"/>
    </row>
    <row r="57">
      <c r="A57" s="8" t="inlineStr">
        <is>
          <t>ヴォクシー</t>
        </is>
      </c>
      <c r="B57" s="8" t="inlineStr">
        <is>
          <t>90系</t>
        </is>
      </c>
      <c r="C57" s="8" t="n">
        <v>2026</v>
      </c>
      <c r="D57" s="11" t="n"/>
      <c r="E57" s="10" t="n"/>
      <c r="F57" s="10" t="n"/>
      <c r="G57" s="10" t="n"/>
      <c r="H57" s="10" t="n"/>
      <c r="I57" s="10" t="n"/>
      <c r="J57" s="10" t="n"/>
      <c r="K57" s="11" t="n"/>
      <c r="L57" s="11" t="n">
        <v>186</v>
      </c>
      <c r="M57" s="10" t="n">
        <v>440</v>
      </c>
      <c r="N57" s="10" t="n">
        <v>469</v>
      </c>
      <c r="O57" s="10" t="n">
        <v>454.8</v>
      </c>
      <c r="P57" s="10" t="n">
        <v>479.8</v>
      </c>
      <c r="Q57" s="10" t="n"/>
      <c r="R57" s="9" t="n"/>
    </row>
    <row r="58">
      <c r="A58" s="13" t="inlineStr">
        <is>
          <t>エスクァイア</t>
        </is>
      </c>
      <c r="B58" s="13" t="inlineStr"/>
      <c r="C58" s="13" t="n">
        <v>2014</v>
      </c>
      <c r="D58" s="15" t="n">
        <v>3</v>
      </c>
      <c r="E58" s="16" t="n">
        <v>54.3</v>
      </c>
      <c r="F58" s="16" t="n">
        <v>79.7</v>
      </c>
      <c r="G58" s="16" t="n">
        <v>105</v>
      </c>
      <c r="H58" s="16" t="n">
        <v>104.1</v>
      </c>
      <c r="I58" s="16" t="n">
        <v>129</v>
      </c>
      <c r="J58" s="16" t="n">
        <v>153</v>
      </c>
      <c r="K58" s="15" t="n">
        <v>125435</v>
      </c>
      <c r="L58" s="15" t="n">
        <v>51</v>
      </c>
      <c r="M58" s="16" t="n">
        <v>98.5</v>
      </c>
      <c r="N58" s="16" t="n">
        <v>122</v>
      </c>
      <c r="O58" s="16" t="n">
        <v>126.4</v>
      </c>
      <c r="P58" s="16" t="n">
        <v>152.2</v>
      </c>
      <c r="Q58" s="16" t="n">
        <v>17</v>
      </c>
      <c r="R58" s="17" t="n">
        <v>16.2</v>
      </c>
    </row>
    <row r="59">
      <c r="A59" s="8" t="inlineStr">
        <is>
          <t>エスクァイア</t>
        </is>
      </c>
      <c r="B59" s="8" t="inlineStr">
        <is>
          <t>80系</t>
        </is>
      </c>
      <c r="C59" s="8" t="n">
        <v>2015</v>
      </c>
      <c r="D59" s="11" t="n">
        <v>9</v>
      </c>
      <c r="E59" s="10" t="n">
        <v>49.8</v>
      </c>
      <c r="F59" s="10" t="n">
        <v>58.9</v>
      </c>
      <c r="G59" s="10" t="n">
        <v>64.5</v>
      </c>
      <c r="H59" s="10" t="n">
        <v>74.3</v>
      </c>
      <c r="I59" s="10" t="n">
        <v>90</v>
      </c>
      <c r="J59" s="10" t="n">
        <v>110</v>
      </c>
      <c r="K59" s="11" t="n">
        <v>154500</v>
      </c>
      <c r="L59" s="11" t="n">
        <v>232</v>
      </c>
      <c r="M59" s="10" t="n">
        <v>104.5</v>
      </c>
      <c r="N59" s="10" t="n">
        <v>135.9</v>
      </c>
      <c r="O59" s="10" t="n">
        <v>138.4</v>
      </c>
      <c r="P59" s="10" t="n">
        <v>164.5</v>
      </c>
      <c r="Q59" s="10" t="n">
        <v>71.40000000000001</v>
      </c>
      <c r="R59" s="9" t="n">
        <v>110.7</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139</v>
      </c>
      <c r="M60" s="16" t="n">
        <v>127.7</v>
      </c>
      <c r="N60" s="16" t="n">
        <v>152</v>
      </c>
      <c r="O60" s="16" t="n">
        <v>155.4</v>
      </c>
      <c r="P60" s="16" t="n">
        <v>179.5</v>
      </c>
      <c r="Q60" s="16" t="n">
        <v>46.3</v>
      </c>
      <c r="R60" s="17" t="n">
        <v>43.8</v>
      </c>
    </row>
    <row r="61">
      <c r="A61" s="8" t="inlineStr">
        <is>
          <t>エスクァイア</t>
        </is>
      </c>
      <c r="B61" s="8" t="inlineStr">
        <is>
          <t>80系</t>
        </is>
      </c>
      <c r="C61" s="8" t="n">
        <v>2017</v>
      </c>
      <c r="D61" s="11" t="n">
        <v>1</v>
      </c>
      <c r="E61" s="10" t="n">
        <v>58.2</v>
      </c>
      <c r="F61" s="10" t="n">
        <v>58.2</v>
      </c>
      <c r="G61" s="10" t="n">
        <v>58.2</v>
      </c>
      <c r="H61" s="10" t="n">
        <v>58.2</v>
      </c>
      <c r="I61" s="10" t="n">
        <v>58.2</v>
      </c>
      <c r="J61" s="10" t="n">
        <v>58.2</v>
      </c>
      <c r="K61" s="11" t="n">
        <v>284630</v>
      </c>
      <c r="L61" s="11" t="n">
        <v>189</v>
      </c>
      <c r="M61" s="10" t="n">
        <v>150.3</v>
      </c>
      <c r="N61" s="10" t="n">
        <v>180.4</v>
      </c>
      <c r="O61" s="10" t="n">
        <v>185.5</v>
      </c>
      <c r="P61" s="10" t="n">
        <v>223</v>
      </c>
      <c r="Q61" s="10" t="n">
        <v>122.2</v>
      </c>
      <c r="R61" s="9" t="n">
        <v>210</v>
      </c>
    </row>
    <row r="62">
      <c r="A62" s="13" t="inlineStr">
        <is>
          <t>エスクァイア</t>
        </is>
      </c>
      <c r="B62" s="13" t="inlineStr">
        <is>
          <t>80系</t>
        </is>
      </c>
      <c r="C62" s="13" t="n">
        <v>2018</v>
      </c>
      <c r="D62" s="15" t="n"/>
      <c r="E62" s="16" t="n"/>
      <c r="F62" s="16" t="n"/>
      <c r="G62" s="16" t="n"/>
      <c r="H62" s="16" t="n"/>
      <c r="I62" s="16" t="n"/>
      <c r="J62" s="16" t="n"/>
      <c r="K62" s="15" t="n"/>
      <c r="L62" s="15" t="n">
        <v>174</v>
      </c>
      <c r="M62" s="16" t="n">
        <v>179.6</v>
      </c>
      <c r="N62" s="16" t="n">
        <v>215</v>
      </c>
      <c r="O62" s="16" t="n">
        <v>212.6</v>
      </c>
      <c r="P62" s="16" t="n">
        <v>244</v>
      </c>
      <c r="Q62" s="16" t="n"/>
      <c r="R62" s="17" t="n"/>
    </row>
    <row r="63">
      <c r="A63" s="8" t="inlineStr">
        <is>
          <t>エスクァイア</t>
        </is>
      </c>
      <c r="B63" s="8" t="inlineStr">
        <is>
          <t>80系</t>
        </is>
      </c>
      <c r="C63" s="8" t="n">
        <v>2019</v>
      </c>
      <c r="D63" s="11" t="n"/>
      <c r="E63" s="10" t="n"/>
      <c r="F63" s="10" t="n"/>
      <c r="G63" s="10" t="n"/>
      <c r="H63" s="10" t="n"/>
      <c r="I63" s="10" t="n"/>
      <c r="J63" s="10" t="n"/>
      <c r="K63" s="11" t="n"/>
      <c r="L63" s="11" t="n">
        <v>198</v>
      </c>
      <c r="M63" s="10" t="n">
        <v>209.3</v>
      </c>
      <c r="N63" s="10" t="n">
        <v>239.1</v>
      </c>
      <c r="O63" s="10" t="n">
        <v>235.7</v>
      </c>
      <c r="P63" s="10" t="n">
        <v>264.2</v>
      </c>
      <c r="Q63" s="10" t="n"/>
      <c r="R63" s="9" t="n"/>
    </row>
    <row r="64">
      <c r="A64" s="13" t="inlineStr">
        <is>
          <t>エスクァイア</t>
        </is>
      </c>
      <c r="B64" s="13" t="inlineStr">
        <is>
          <t>80系</t>
        </is>
      </c>
      <c r="C64" s="13" t="n">
        <v>2020</v>
      </c>
      <c r="D64" s="15" t="n"/>
      <c r="E64" s="16" t="n"/>
      <c r="F64" s="16" t="n"/>
      <c r="G64" s="16" t="n"/>
      <c r="H64" s="16" t="n"/>
      <c r="I64" s="16" t="n"/>
      <c r="J64" s="16" t="n"/>
      <c r="K64" s="15" t="n"/>
      <c r="L64" s="15" t="n">
        <v>124</v>
      </c>
      <c r="M64" s="16" t="n">
        <v>232</v>
      </c>
      <c r="N64" s="16" t="n">
        <v>253.9</v>
      </c>
      <c r="O64" s="16" t="n">
        <v>250.8</v>
      </c>
      <c r="P64" s="16" t="n">
        <v>274.6</v>
      </c>
      <c r="Q64" s="16" t="n"/>
      <c r="R64" s="17" t="n"/>
    </row>
    <row r="65">
      <c r="A65" s="8" t="inlineStr">
        <is>
          <t>エスクァイア</t>
        </is>
      </c>
      <c r="B65" s="8" t="inlineStr">
        <is>
          <t>80系</t>
        </is>
      </c>
      <c r="C65" s="8" t="n">
        <v>2021</v>
      </c>
      <c r="D65" s="11" t="n"/>
      <c r="E65" s="10" t="n"/>
      <c r="F65" s="10" t="n"/>
      <c r="G65" s="10" t="n"/>
      <c r="H65" s="10" t="n"/>
      <c r="I65" s="10" t="n"/>
      <c r="J65" s="10" t="n"/>
      <c r="K65" s="11" t="n"/>
      <c r="L65" s="11" t="n">
        <v>120</v>
      </c>
      <c r="M65" s="10" t="n">
        <v>259.3</v>
      </c>
      <c r="N65" s="10" t="n">
        <v>281.3</v>
      </c>
      <c r="O65" s="10" t="n">
        <v>282.7</v>
      </c>
      <c r="P65" s="10" t="n">
        <v>300.6</v>
      </c>
      <c r="Q65" s="10" t="n"/>
      <c r="R65" s="9" t="n"/>
    </row>
    <row r="66">
      <c r="A66" s="13" t="inlineStr">
        <is>
          <t>エスクァイア</t>
        </is>
      </c>
      <c r="B66" s="13" t="inlineStr"/>
      <c r="C66" s="13" t="n">
        <v>2022</v>
      </c>
      <c r="D66" s="15" t="n"/>
      <c r="E66" s="16" t="n"/>
      <c r="F66" s="16" t="n"/>
      <c r="G66" s="16" t="n"/>
      <c r="H66" s="16" t="n"/>
      <c r="I66" s="16" t="n"/>
      <c r="J66" s="16" t="n"/>
      <c r="K66" s="15" t="n"/>
      <c r="L66" s="15" t="n">
        <v>2</v>
      </c>
      <c r="M66" s="16" t="n">
        <v>275</v>
      </c>
      <c r="N66" s="16" t="n">
        <v>285</v>
      </c>
      <c r="O66" s="16" t="n">
        <v>305</v>
      </c>
      <c r="P66" s="16" t="n">
        <v>335</v>
      </c>
      <c r="Q66" s="16" t="n"/>
      <c r="R66" s="17" t="n"/>
    </row>
    <row r="67">
      <c r="A67" s="8" t="inlineStr">
        <is>
          <t>シエンタ</t>
        </is>
      </c>
      <c r="B67" s="8" t="inlineStr">
        <is>
          <t>80系</t>
        </is>
      </c>
      <c r="C67" s="8" t="n">
        <v>2013</v>
      </c>
      <c r="D67" s="11" t="n">
        <v>2</v>
      </c>
      <c r="E67" s="10" t="n">
        <v>20</v>
      </c>
      <c r="F67" s="10" t="n">
        <v>26.2</v>
      </c>
      <c r="G67" s="10" t="n">
        <v>32.5</v>
      </c>
      <c r="H67" s="10" t="n">
        <v>32.5</v>
      </c>
      <c r="I67" s="10" t="n">
        <v>38.8</v>
      </c>
      <c r="J67" s="10" t="n">
        <v>45</v>
      </c>
      <c r="K67" s="11" t="n">
        <v>165020</v>
      </c>
      <c r="L67" s="11" t="n">
        <v>50</v>
      </c>
      <c r="M67" s="10" t="n">
        <v>45.4</v>
      </c>
      <c r="N67" s="10" t="n">
        <v>55.8</v>
      </c>
      <c r="O67" s="10" t="n">
        <v>58.8</v>
      </c>
      <c r="P67" s="10" t="n">
        <v>70</v>
      </c>
      <c r="Q67" s="10" t="n">
        <v>23.3</v>
      </c>
      <c r="R67" s="9" t="n">
        <v>71.7</v>
      </c>
    </row>
    <row r="68">
      <c r="A68" s="13" t="inlineStr">
        <is>
          <t>シエンタ</t>
        </is>
      </c>
      <c r="B68" s="13" t="inlineStr">
        <is>
          <t>80系</t>
        </is>
      </c>
      <c r="C68" s="13" t="n">
        <v>2014</v>
      </c>
      <c r="D68" s="15" t="n"/>
      <c r="E68" s="16" t="n"/>
      <c r="F68" s="16" t="n"/>
      <c r="G68" s="16" t="n"/>
      <c r="H68" s="16" t="n"/>
      <c r="I68" s="16" t="n"/>
      <c r="J68" s="16" t="n"/>
      <c r="K68" s="15" t="n"/>
      <c r="L68" s="15" t="n">
        <v>31</v>
      </c>
      <c r="M68" s="16" t="n">
        <v>59.2</v>
      </c>
      <c r="N68" s="16" t="n">
        <v>73.59999999999999</v>
      </c>
      <c r="O68" s="16" t="n">
        <v>84.8</v>
      </c>
      <c r="P68" s="16" t="n">
        <v>89.40000000000001</v>
      </c>
      <c r="Q68" s="16" t="n"/>
      <c r="R68" s="17" t="n"/>
    </row>
    <row r="69">
      <c r="A69" s="8" t="inlineStr">
        <is>
          <t>シエンタ</t>
        </is>
      </c>
      <c r="B69" s="8" t="inlineStr"/>
      <c r="C69" s="8" t="n">
        <v>2015</v>
      </c>
      <c r="D69" s="11" t="n">
        <v>10</v>
      </c>
      <c r="E69" s="10" t="n">
        <v>40</v>
      </c>
      <c r="F69" s="10" t="n">
        <v>48.4</v>
      </c>
      <c r="G69" s="10" t="n">
        <v>55.5</v>
      </c>
      <c r="H69" s="10" t="n">
        <v>55.8</v>
      </c>
      <c r="I69" s="10" t="n">
        <v>65</v>
      </c>
      <c r="J69" s="10" t="n">
        <v>71.90000000000001</v>
      </c>
      <c r="K69" s="11" t="n">
        <v>102250</v>
      </c>
      <c r="L69" s="11" t="n">
        <v>383</v>
      </c>
      <c r="M69" s="10" t="n">
        <v>80.5</v>
      </c>
      <c r="N69" s="10" t="n">
        <v>99.5</v>
      </c>
      <c r="O69" s="10" t="n">
        <v>100.1</v>
      </c>
      <c r="P69" s="10" t="n">
        <v>120.4</v>
      </c>
      <c r="Q69" s="10" t="n">
        <v>44</v>
      </c>
      <c r="R69" s="9" t="n">
        <v>79.3</v>
      </c>
    </row>
    <row r="70">
      <c r="A70" s="13" t="inlineStr">
        <is>
          <t>シエンタ</t>
        </is>
      </c>
      <c r="B70" s="13" t="inlineStr">
        <is>
          <t>170系</t>
        </is>
      </c>
      <c r="C70" s="13" t="n">
        <v>2016</v>
      </c>
      <c r="D70" s="15" t="n">
        <v>6</v>
      </c>
      <c r="E70" s="16" t="n">
        <v>32.8</v>
      </c>
      <c r="F70" s="16" t="n">
        <v>37.5</v>
      </c>
      <c r="G70" s="16" t="n">
        <v>41.4</v>
      </c>
      <c r="H70" s="16" t="n">
        <v>43.3</v>
      </c>
      <c r="I70" s="16" t="n">
        <v>43.8</v>
      </c>
      <c r="J70" s="16" t="n">
        <v>63.5</v>
      </c>
      <c r="K70" s="15" t="n">
        <v>220000</v>
      </c>
      <c r="L70" s="15" t="n">
        <v>547</v>
      </c>
      <c r="M70" s="16" t="n">
        <v>87.40000000000001</v>
      </c>
      <c r="N70" s="16" t="n">
        <v>107.4</v>
      </c>
      <c r="O70" s="16" t="n">
        <v>108.6</v>
      </c>
      <c r="P70" s="16" t="n">
        <v>128.9</v>
      </c>
      <c r="Q70" s="16" t="n">
        <v>66</v>
      </c>
      <c r="R70" s="17" t="n">
        <v>159.4</v>
      </c>
    </row>
    <row r="71">
      <c r="A71" s="8" t="inlineStr">
        <is>
          <t>シエンタ</t>
        </is>
      </c>
      <c r="B71" s="8" t="inlineStr">
        <is>
          <t>170系</t>
        </is>
      </c>
      <c r="C71" s="8" t="n">
        <v>2017</v>
      </c>
      <c r="D71" s="11" t="n">
        <v>4</v>
      </c>
      <c r="E71" s="10" t="n">
        <v>25</v>
      </c>
      <c r="F71" s="10" t="n">
        <v>36</v>
      </c>
      <c r="G71" s="10" t="n">
        <v>55</v>
      </c>
      <c r="H71" s="10" t="n">
        <v>54.5</v>
      </c>
      <c r="I71" s="10" t="n">
        <v>73.59999999999999</v>
      </c>
      <c r="J71" s="10" t="n">
        <v>83.09999999999999</v>
      </c>
      <c r="K71" s="11" t="n">
        <v>126000</v>
      </c>
      <c r="L71" s="11" t="n">
        <v>475</v>
      </c>
      <c r="M71" s="10" t="n">
        <v>100.9</v>
      </c>
      <c r="N71" s="10" t="n">
        <v>120.4</v>
      </c>
      <c r="O71" s="10" t="n">
        <v>119.7</v>
      </c>
      <c r="P71" s="10" t="n">
        <v>138.1</v>
      </c>
      <c r="Q71" s="10" t="n">
        <v>65.40000000000001</v>
      </c>
      <c r="R71" s="9" t="n">
        <v>118.9</v>
      </c>
    </row>
    <row r="72">
      <c r="A72" s="13" t="inlineStr">
        <is>
          <t>シエンタ</t>
        </is>
      </c>
      <c r="B72" s="13" t="inlineStr">
        <is>
          <t>170系</t>
        </is>
      </c>
      <c r="C72" s="13" t="n">
        <v>2018</v>
      </c>
      <c r="D72" s="15" t="n">
        <v>1</v>
      </c>
      <c r="E72" s="16" t="n">
        <v>165.1</v>
      </c>
      <c r="F72" s="16" t="n">
        <v>165.1</v>
      </c>
      <c r="G72" s="16" t="n">
        <v>165.1</v>
      </c>
      <c r="H72" s="16" t="n">
        <v>165.1</v>
      </c>
      <c r="I72" s="16" t="n">
        <v>165.1</v>
      </c>
      <c r="J72" s="16" t="n">
        <v>165.1</v>
      </c>
      <c r="K72" s="15" t="n">
        <v>43793</v>
      </c>
      <c r="L72" s="15" t="n">
        <v>450</v>
      </c>
      <c r="M72" s="16" t="n">
        <v>121.5</v>
      </c>
      <c r="N72" s="16" t="n">
        <v>141.3</v>
      </c>
      <c r="O72" s="16" t="n">
        <v>140.5</v>
      </c>
      <c r="P72" s="16" t="n">
        <v>159.9</v>
      </c>
      <c r="Q72" s="16" t="n">
        <v>-23.8</v>
      </c>
      <c r="R72" s="17" t="n">
        <v>-14.4</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519</v>
      </c>
      <c r="M73" s="10" t="n">
        <v>142.1</v>
      </c>
      <c r="N73" s="10" t="n">
        <v>161.6</v>
      </c>
      <c r="O73" s="10" t="n">
        <v>160.2</v>
      </c>
      <c r="P73" s="10" t="n">
        <v>177.4</v>
      </c>
      <c r="Q73" s="10" t="n">
        <v>60.2</v>
      </c>
      <c r="R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264</v>
      </c>
      <c r="M74" s="16" t="n">
        <v>147.1</v>
      </c>
      <c r="N74" s="16" t="n">
        <v>170.3</v>
      </c>
      <c r="O74" s="16" t="n">
        <v>168.8</v>
      </c>
      <c r="P74" s="16" t="n">
        <v>190.2</v>
      </c>
      <c r="Q74" s="16" t="n">
        <v>71.59999999999999</v>
      </c>
      <c r="R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421</v>
      </c>
      <c r="M75" s="10" t="n">
        <v>164</v>
      </c>
      <c r="N75" s="10" t="n">
        <v>181.9</v>
      </c>
      <c r="O75" s="10" t="n">
        <v>180.4</v>
      </c>
      <c r="P75" s="10" t="n">
        <v>198.1</v>
      </c>
      <c r="Q75" s="10" t="n">
        <v>100.9</v>
      </c>
      <c r="R75" s="9" t="n">
        <v>124.6</v>
      </c>
    </row>
    <row r="76">
      <c r="A76" s="13" t="inlineStr">
        <is>
          <t>シエンタ</t>
        </is>
      </c>
      <c r="B76" s="13" t="inlineStr">
        <is>
          <t>170系</t>
        </is>
      </c>
      <c r="C76" s="13" t="n">
        <v>2022</v>
      </c>
      <c r="D76" s="15" t="n">
        <v>1</v>
      </c>
      <c r="E76" s="16" t="n">
        <v>120.1</v>
      </c>
      <c r="F76" s="16" t="n">
        <v>120.1</v>
      </c>
      <c r="G76" s="16" t="n">
        <v>120.1</v>
      </c>
      <c r="H76" s="16" t="n">
        <v>120.1</v>
      </c>
      <c r="I76" s="16" t="n">
        <v>120.1</v>
      </c>
      <c r="J76" s="16" t="n">
        <v>120.1</v>
      </c>
      <c r="K76" s="15" t="n"/>
      <c r="L76" s="15" t="n">
        <v>453</v>
      </c>
      <c r="M76" s="16" t="n">
        <v>204.5</v>
      </c>
      <c r="N76" s="16" t="n">
        <v>237.9</v>
      </c>
      <c r="O76" s="16" t="n">
        <v>233.8</v>
      </c>
      <c r="P76" s="16" t="n">
        <v>265.1</v>
      </c>
      <c r="Q76" s="16" t="n">
        <v>117.8</v>
      </c>
      <c r="R76" s="17" t="n">
        <v>98.09999999999999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951</v>
      </c>
      <c r="M77" s="10" t="n">
        <v>241.2</v>
      </c>
      <c r="N77" s="10" t="n">
        <v>264.7</v>
      </c>
      <c r="O77" s="10" t="n">
        <v>261</v>
      </c>
      <c r="P77" s="10" t="n">
        <v>282.9</v>
      </c>
      <c r="Q77" s="10" t="n">
        <v>54.8</v>
      </c>
      <c r="R77" s="9" t="n">
        <v>26.1</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383</v>
      </c>
      <c r="M78" s="16" t="n">
        <v>253</v>
      </c>
      <c r="N78" s="16" t="n">
        <v>279.1</v>
      </c>
      <c r="O78" s="16" t="n">
        <v>274.6</v>
      </c>
      <c r="P78" s="16" t="n">
        <v>298.6</v>
      </c>
      <c r="Q78" s="16" t="n">
        <v>119</v>
      </c>
      <c r="R78" s="17" t="n">
        <v>74.3</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269</v>
      </c>
      <c r="M79" s="10" t="n">
        <v>279</v>
      </c>
      <c r="N79" s="10" t="n">
        <v>303.6</v>
      </c>
      <c r="O79" s="10" t="n">
        <v>297.2</v>
      </c>
      <c r="P79" s="10" t="n">
        <v>318.4</v>
      </c>
      <c r="Q79" s="10" t="n">
        <v>138.5</v>
      </c>
      <c r="R79" s="9" t="n">
        <v>83.90000000000001</v>
      </c>
    </row>
    <row r="80">
      <c r="A80" s="13" t="inlineStr">
        <is>
          <t>シエンタ</t>
        </is>
      </c>
      <c r="B80" s="13" t="inlineStr">
        <is>
          <t>10系</t>
        </is>
      </c>
      <c r="C80" s="13" t="n">
        <v>2026</v>
      </c>
      <c r="D80" s="15" t="n"/>
      <c r="E80" s="16" t="n"/>
      <c r="F80" s="16" t="n"/>
      <c r="G80" s="16" t="n"/>
      <c r="H80" s="16" t="n"/>
      <c r="I80" s="16" t="n"/>
      <c r="J80" s="16" t="n"/>
      <c r="K80" s="15" t="n"/>
      <c r="L80" s="15" t="n">
        <v>372</v>
      </c>
      <c r="M80" s="16" t="n">
        <v>320</v>
      </c>
      <c r="N80" s="16" t="n">
        <v>340.7</v>
      </c>
      <c r="O80" s="16" t="n">
        <v>331.5</v>
      </c>
      <c r="P80" s="16" t="n">
        <v>353.1</v>
      </c>
      <c r="Q80" s="16" t="n"/>
      <c r="R80" s="17" t="n"/>
    </row>
    <row r="81">
      <c r="A81" s="8" t="inlineStr">
        <is>
          <t>エスティマ</t>
        </is>
      </c>
      <c r="B81" s="8" t="inlineStr">
        <is>
          <t>50系</t>
        </is>
      </c>
      <c r="C81" s="8" t="n">
        <v>2013</v>
      </c>
      <c r="D81" s="11" t="n">
        <v>10</v>
      </c>
      <c r="E81" s="10" t="n">
        <v>32.8</v>
      </c>
      <c r="F81" s="10" t="n">
        <v>38.5</v>
      </c>
      <c r="G81" s="10" t="n">
        <v>43.5</v>
      </c>
      <c r="H81" s="10" t="n">
        <v>45.2</v>
      </c>
      <c r="I81" s="10" t="n">
        <v>49.9</v>
      </c>
      <c r="J81" s="10" t="n">
        <v>66.8</v>
      </c>
      <c r="K81" s="11" t="n">
        <v>148827</v>
      </c>
      <c r="L81" s="11" t="n">
        <v>194</v>
      </c>
      <c r="M81" s="10" t="n">
        <v>70.09999999999999</v>
      </c>
      <c r="N81" s="10" t="n">
        <v>93.5</v>
      </c>
      <c r="O81" s="10" t="n">
        <v>101.1</v>
      </c>
      <c r="P81" s="10" t="n">
        <v>123.9</v>
      </c>
      <c r="Q81" s="10" t="n">
        <v>50</v>
      </c>
      <c r="R81" s="9" t="n">
        <v>114.9</v>
      </c>
    </row>
    <row r="82">
      <c r="A82" s="13" t="inlineStr">
        <is>
          <t>エスティマ</t>
        </is>
      </c>
      <c r="B82" s="13" t="inlineStr">
        <is>
          <t>50系</t>
        </is>
      </c>
      <c r="C82" s="13" t="n">
        <v>2014</v>
      </c>
      <c r="D82" s="15" t="n">
        <v>4</v>
      </c>
      <c r="E82" s="16" t="n">
        <v>33.5</v>
      </c>
      <c r="F82" s="16" t="n">
        <v>38.2</v>
      </c>
      <c r="G82" s="16" t="n">
        <v>46.8</v>
      </c>
      <c r="H82" s="16" t="n">
        <v>46.8</v>
      </c>
      <c r="I82" s="16" t="n">
        <v>55.4</v>
      </c>
      <c r="J82" s="16" t="n">
        <v>60.1</v>
      </c>
      <c r="K82" s="15" t="n">
        <v>269500</v>
      </c>
      <c r="L82" s="15" t="n">
        <v>97</v>
      </c>
      <c r="M82" s="16" t="n">
        <v>81.59999999999999</v>
      </c>
      <c r="N82" s="16" t="n">
        <v>114.2</v>
      </c>
      <c r="O82" s="16" t="n">
        <v>117.2</v>
      </c>
      <c r="P82" s="16" t="n">
        <v>148.8</v>
      </c>
      <c r="Q82" s="16" t="n">
        <v>67.40000000000001</v>
      </c>
      <c r="R82" s="17" t="n">
        <v>144</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71</v>
      </c>
      <c r="M83" s="10" t="n">
        <v>101.9</v>
      </c>
      <c r="N83" s="10" t="n">
        <v>134.2</v>
      </c>
      <c r="O83" s="10" t="n">
        <v>138.5</v>
      </c>
      <c r="P83" s="10" t="n">
        <v>173.5</v>
      </c>
      <c r="Q83" s="10" t="n">
        <v>49.2</v>
      </c>
      <c r="R83" s="9" t="n">
        <v>57.9</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126</v>
      </c>
      <c r="M84" s="16" t="n">
        <v>143.8</v>
      </c>
      <c r="N84" s="16" t="n">
        <v>185</v>
      </c>
      <c r="O84" s="16" t="n">
        <v>191</v>
      </c>
      <c r="P84" s="16" t="n">
        <v>220.8</v>
      </c>
      <c r="Q84" s="16" t="n">
        <v>76.2</v>
      </c>
      <c r="R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99</v>
      </c>
      <c r="M85" s="10" t="n">
        <v>164.6</v>
      </c>
      <c r="N85" s="10" t="n">
        <v>205.6</v>
      </c>
      <c r="O85" s="10" t="n">
        <v>216.1</v>
      </c>
      <c r="P85" s="10" t="n">
        <v>256.9</v>
      </c>
      <c r="Q85" s="10" t="n">
        <v>109.6</v>
      </c>
      <c r="R85" s="9" t="n">
        <v>114.2</v>
      </c>
    </row>
    <row r="86">
      <c r="A86" s="13" t="inlineStr">
        <is>
          <t>エスティマ</t>
        </is>
      </c>
      <c r="B86" s="13" t="inlineStr">
        <is>
          <t>50系</t>
        </is>
      </c>
      <c r="C86" s="13" t="n">
        <v>2018</v>
      </c>
      <c r="D86" s="15" t="n"/>
      <c r="E86" s="16" t="n"/>
      <c r="F86" s="16" t="n"/>
      <c r="G86" s="16" t="n"/>
      <c r="H86" s="16" t="n"/>
      <c r="I86" s="16" t="n"/>
      <c r="J86" s="16" t="n"/>
      <c r="K86" s="15" t="n"/>
      <c r="L86" s="15" t="n">
        <v>27</v>
      </c>
      <c r="M86" s="16" t="n">
        <v>193.3</v>
      </c>
      <c r="N86" s="16" t="n">
        <v>230.7</v>
      </c>
      <c r="O86" s="16" t="n">
        <v>233.9</v>
      </c>
      <c r="P86" s="16" t="n">
        <v>268</v>
      </c>
      <c r="Q86" s="16" t="n"/>
      <c r="R86" s="17" t="n"/>
    </row>
    <row r="87">
      <c r="A87" s="8" t="inlineStr">
        <is>
          <t>エスティマ</t>
        </is>
      </c>
      <c r="B87" s="8" t="inlineStr">
        <is>
          <t>50系</t>
        </is>
      </c>
      <c r="C87" s="8" t="n">
        <v>2019</v>
      </c>
      <c r="D87" s="11" t="n"/>
      <c r="E87" s="10" t="n"/>
      <c r="F87" s="10" t="n"/>
      <c r="G87" s="10" t="n"/>
      <c r="H87" s="10" t="n"/>
      <c r="I87" s="10" t="n"/>
      <c r="J87" s="10" t="n"/>
      <c r="K87" s="11" t="n"/>
      <c r="L87" s="11" t="n">
        <v>29</v>
      </c>
      <c r="M87" s="10" t="n">
        <v>205.8</v>
      </c>
      <c r="N87" s="10" t="n">
        <v>233</v>
      </c>
      <c r="O87" s="10" t="n">
        <v>253.3</v>
      </c>
      <c r="P87" s="10" t="n">
        <v>286.7</v>
      </c>
      <c r="Q87" s="10" t="n"/>
      <c r="R87" s="9" t="n"/>
    </row>
    <row r="88">
      <c r="A88" s="13" t="inlineStr">
        <is>
          <t>エスティマ</t>
        </is>
      </c>
      <c r="B88" s="13" t="inlineStr"/>
      <c r="C88" s="13" t="n">
        <v>2020</v>
      </c>
      <c r="D88" s="15" t="n"/>
      <c r="E88" s="16" t="n"/>
      <c r="F88" s="16" t="n"/>
      <c r="G88" s="16" t="n"/>
      <c r="H88" s="16" t="n"/>
      <c r="I88" s="16" t="n"/>
      <c r="J88" s="16" t="n"/>
      <c r="K88" s="15" t="n"/>
      <c r="L88" s="15" t="n">
        <v>1</v>
      </c>
      <c r="M88" s="16" t="n">
        <v>380</v>
      </c>
      <c r="N88" s="16" t="n">
        <v>385</v>
      </c>
      <c r="O88" s="16" t="n">
        <v>385</v>
      </c>
      <c r="P88" s="16" t="n">
        <v>390</v>
      </c>
      <c r="Q88" s="16" t="n"/>
      <c r="R88" s="17" t="n"/>
    </row>
    <row r="89">
      <c r="A89" s="8" t="inlineStr">
        <is>
          <t>ウィッシュ</t>
        </is>
      </c>
      <c r="B89" s="8" t="inlineStr">
        <is>
          <t>20系</t>
        </is>
      </c>
      <c r="C89" s="8" t="n">
        <v>2013</v>
      </c>
      <c r="D89" s="11" t="n"/>
      <c r="E89" s="10" t="n"/>
      <c r="F89" s="10" t="n"/>
      <c r="G89" s="10" t="n"/>
      <c r="H89" s="10" t="n"/>
      <c r="I89" s="10" t="n"/>
      <c r="J89" s="10" t="n"/>
      <c r="K89" s="11" t="n"/>
      <c r="L89" s="11" t="n">
        <v>12</v>
      </c>
      <c r="M89" s="10" t="n">
        <v>85</v>
      </c>
      <c r="N89" s="10" t="n">
        <v>125</v>
      </c>
      <c r="O89" s="10" t="n">
        <v>118.3</v>
      </c>
      <c r="P89" s="10" t="n">
        <v>155</v>
      </c>
      <c r="Q89" s="10" t="n"/>
      <c r="R89" s="9" t="n"/>
    </row>
    <row r="90">
      <c r="A90" s="13" t="inlineStr">
        <is>
          <t>ウィッシュ</t>
        </is>
      </c>
      <c r="B90" s="13" t="inlineStr">
        <is>
          <t>20系</t>
        </is>
      </c>
      <c r="C90" s="13" t="n">
        <v>2014</v>
      </c>
      <c r="D90" s="15" t="n"/>
      <c r="E90" s="16" t="n"/>
      <c r="F90" s="16" t="n"/>
      <c r="G90" s="16" t="n"/>
      <c r="H90" s="16" t="n"/>
      <c r="I90" s="16" t="n"/>
      <c r="J90" s="16" t="n"/>
      <c r="K90" s="15" t="n"/>
      <c r="L90" s="15" t="n">
        <v>4</v>
      </c>
      <c r="M90" s="16" t="n">
        <v>45</v>
      </c>
      <c r="N90" s="16" t="n">
        <v>65</v>
      </c>
      <c r="O90" s="16" t="n">
        <v>80</v>
      </c>
      <c r="P90" s="16" t="n">
        <v>85</v>
      </c>
      <c r="Q90" s="16" t="n"/>
      <c r="R90" s="17" t="n"/>
    </row>
    <row r="91">
      <c r="A91" s="8" t="inlineStr">
        <is>
          <t>ウィッシュ</t>
        </is>
      </c>
      <c r="B91" s="8" t="inlineStr">
        <is>
          <t>20系</t>
        </is>
      </c>
      <c r="C91" s="8" t="n">
        <v>2015</v>
      </c>
      <c r="D91" s="11" t="n"/>
      <c r="E91" s="10" t="n"/>
      <c r="F91" s="10" t="n"/>
      <c r="G91" s="10" t="n"/>
      <c r="H91" s="10" t="n"/>
      <c r="I91" s="10" t="n"/>
      <c r="J91" s="10" t="n"/>
      <c r="K91" s="11" t="n"/>
      <c r="L91" s="11" t="n">
        <v>6</v>
      </c>
      <c r="M91" s="10" t="n">
        <v>115</v>
      </c>
      <c r="N91" s="10" t="n">
        <v>131.7</v>
      </c>
      <c r="O91" s="10" t="n">
        <v>121.7</v>
      </c>
      <c r="P91" s="10" t="n">
        <v>141.7</v>
      </c>
      <c r="Q91" s="10" t="n"/>
      <c r="R91" s="9" t="n"/>
    </row>
    <row r="92">
      <c r="A92" s="13" t="inlineStr">
        <is>
          <t>ウィッシュ</t>
        </is>
      </c>
      <c r="B92" s="13" t="inlineStr">
        <is>
          <t>20系</t>
        </is>
      </c>
      <c r="C92" s="13" t="n">
        <v>2016</v>
      </c>
      <c r="D92" s="15" t="n"/>
      <c r="E92" s="16" t="n"/>
      <c r="F92" s="16" t="n"/>
      <c r="G92" s="16" t="n"/>
      <c r="H92" s="16" t="n"/>
      <c r="I92" s="16" t="n"/>
      <c r="J92" s="16" t="n"/>
      <c r="K92" s="15" t="n"/>
      <c r="L92" s="15" t="n">
        <v>4</v>
      </c>
      <c r="M92" s="16" t="n">
        <v>75</v>
      </c>
      <c r="N92" s="16" t="n">
        <v>85</v>
      </c>
      <c r="O92" s="16" t="n">
        <v>95</v>
      </c>
      <c r="P92" s="16" t="n">
        <v>105</v>
      </c>
      <c r="Q92" s="16" t="n"/>
      <c r="R92" s="17" t="n"/>
    </row>
    <row r="93">
      <c r="A93" s="8" t="inlineStr">
        <is>
          <t>ウィッシュ</t>
        </is>
      </c>
      <c r="B93" s="8" t="inlineStr">
        <is>
          <t>20系</t>
        </is>
      </c>
      <c r="C93" s="8" t="n">
        <v>2017</v>
      </c>
      <c r="D93" s="11" t="n"/>
      <c r="E93" s="10" t="n"/>
      <c r="F93" s="10" t="n"/>
      <c r="G93" s="10" t="n"/>
      <c r="H93" s="10" t="n"/>
      <c r="I93" s="10" t="n"/>
      <c r="J93" s="10" t="n"/>
      <c r="K93" s="11" t="n"/>
      <c r="L93" s="11" t="n">
        <v>6</v>
      </c>
      <c r="M93" s="10" t="n">
        <v>155</v>
      </c>
      <c r="N93" s="10" t="n">
        <v>170</v>
      </c>
      <c r="O93" s="10" t="n">
        <v>155</v>
      </c>
      <c r="P93" s="10" t="n">
        <v>177.5</v>
      </c>
      <c r="Q93" s="10" t="n"/>
      <c r="R93" s="9" t="n"/>
    </row>
    <row r="94">
      <c r="A94" s="13" t="inlineStr">
        <is>
          <t>プリウスα</t>
        </is>
      </c>
      <c r="B94" s="13" t="inlineStr">
        <is>
          <t>40系</t>
        </is>
      </c>
      <c r="C94" s="13" t="n">
        <v>2013</v>
      </c>
      <c r="D94" s="15" t="n">
        <v>6</v>
      </c>
      <c r="E94" s="16" t="n">
        <v>35.8</v>
      </c>
      <c r="F94" s="16" t="n">
        <v>38.5</v>
      </c>
      <c r="G94" s="16" t="n">
        <v>42.4</v>
      </c>
      <c r="H94" s="16" t="n">
        <v>45.3</v>
      </c>
      <c r="I94" s="16" t="n">
        <v>52.5</v>
      </c>
      <c r="J94" s="16" t="n">
        <v>58</v>
      </c>
      <c r="K94" s="15" t="n">
        <v>169000</v>
      </c>
      <c r="L94" s="15" t="n">
        <v>248</v>
      </c>
      <c r="M94" s="16" t="n">
        <v>67.3</v>
      </c>
      <c r="N94" s="16" t="n">
        <v>80.5</v>
      </c>
      <c r="O94" s="16" t="n">
        <v>88.7</v>
      </c>
      <c r="P94" s="16" t="n">
        <v>100.5</v>
      </c>
      <c r="Q94" s="16" t="n">
        <v>38.1</v>
      </c>
      <c r="R94" s="17" t="n">
        <v>89.90000000000001</v>
      </c>
    </row>
    <row r="95">
      <c r="A95" s="8" t="inlineStr">
        <is>
          <t>プリウスα</t>
        </is>
      </c>
      <c r="B95" s="8" t="inlineStr">
        <is>
          <t>40系</t>
        </is>
      </c>
      <c r="C95" s="8" t="n">
        <v>2014</v>
      </c>
      <c r="D95" s="11" t="n">
        <v>4</v>
      </c>
      <c r="E95" s="10" t="n">
        <v>33.7</v>
      </c>
      <c r="F95" s="10" t="n">
        <v>42.2</v>
      </c>
      <c r="G95" s="10" t="n">
        <v>45.6</v>
      </c>
      <c r="H95" s="10" t="n">
        <v>56.2</v>
      </c>
      <c r="I95" s="10" t="n">
        <v>59.7</v>
      </c>
      <c r="J95" s="10" t="n">
        <v>100</v>
      </c>
      <c r="K95" s="11" t="n">
        <v>136000</v>
      </c>
      <c r="L95" s="11" t="n">
        <v>120</v>
      </c>
      <c r="M95" s="10" t="n">
        <v>72.90000000000001</v>
      </c>
      <c r="N95" s="10" t="n">
        <v>92.40000000000001</v>
      </c>
      <c r="O95" s="10" t="n">
        <v>97.3</v>
      </c>
      <c r="P95" s="10" t="n">
        <v>113.9</v>
      </c>
      <c r="Q95" s="10" t="n">
        <v>46.8</v>
      </c>
      <c r="R95" s="9" t="n">
        <v>102.6</v>
      </c>
    </row>
    <row r="96">
      <c r="A96" s="13" t="inlineStr">
        <is>
          <t>プリウスα</t>
        </is>
      </c>
      <c r="B96" s="13" t="inlineStr">
        <is>
          <t>40系</t>
        </is>
      </c>
      <c r="C96" s="13" t="n">
        <v>2015</v>
      </c>
      <c r="D96" s="15" t="n">
        <v>4</v>
      </c>
      <c r="E96" s="16" t="n">
        <v>45</v>
      </c>
      <c r="F96" s="16" t="n">
        <v>45.1</v>
      </c>
      <c r="G96" s="16" t="n">
        <v>57.5</v>
      </c>
      <c r="H96" s="16" t="n">
        <v>67.5</v>
      </c>
      <c r="I96" s="16" t="n">
        <v>80</v>
      </c>
      <c r="J96" s="16" t="n">
        <v>110</v>
      </c>
      <c r="K96" s="15" t="n">
        <v>147860</v>
      </c>
      <c r="L96" s="15" t="n">
        <v>210</v>
      </c>
      <c r="M96" s="16" t="n">
        <v>100.8</v>
      </c>
      <c r="N96" s="16" t="n">
        <v>125.4</v>
      </c>
      <c r="O96" s="16" t="n">
        <v>128.3</v>
      </c>
      <c r="P96" s="16" t="n">
        <v>144.8</v>
      </c>
      <c r="Q96" s="16" t="n">
        <v>67.90000000000001</v>
      </c>
      <c r="R96" s="17" t="n">
        <v>118.1</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72</v>
      </c>
      <c r="M97" s="10" t="n">
        <v>115.5</v>
      </c>
      <c r="N97" s="10" t="n">
        <v>135.6</v>
      </c>
      <c r="O97" s="10" t="n">
        <v>141.7</v>
      </c>
      <c r="P97" s="10" t="n">
        <v>161.7</v>
      </c>
      <c r="Q97" s="10" t="n">
        <v>70.59999999999999</v>
      </c>
      <c r="R97" s="9" t="n">
        <v>108.6</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61</v>
      </c>
      <c r="M98" s="16" t="n">
        <v>133.5</v>
      </c>
      <c r="N98" s="16" t="n">
        <v>163.3</v>
      </c>
      <c r="O98" s="16" t="n">
        <v>161.2</v>
      </c>
      <c r="P98" s="16" t="n">
        <v>183.4</v>
      </c>
      <c r="Q98" s="16" t="n">
        <v>69.90000000000001</v>
      </c>
      <c r="R98" s="17" t="n">
        <v>74.8</v>
      </c>
    </row>
    <row r="99">
      <c r="A99" s="8" t="inlineStr">
        <is>
          <t>プリウスα</t>
        </is>
      </c>
      <c r="B99" s="8" t="inlineStr">
        <is>
          <t>40系</t>
        </is>
      </c>
      <c r="C99" s="8" t="n">
        <v>2018</v>
      </c>
      <c r="D99" s="11" t="n"/>
      <c r="E99" s="10" t="n"/>
      <c r="F99" s="10" t="n"/>
      <c r="G99" s="10" t="n"/>
      <c r="H99" s="10" t="n"/>
      <c r="I99" s="10" t="n"/>
      <c r="J99" s="10" t="n"/>
      <c r="K99" s="11" t="n"/>
      <c r="L99" s="11" t="n">
        <v>42</v>
      </c>
      <c r="M99" s="10" t="n">
        <v>152.1</v>
      </c>
      <c r="N99" s="10" t="n">
        <v>178.3</v>
      </c>
      <c r="O99" s="10" t="n">
        <v>179.3</v>
      </c>
      <c r="P99" s="10" t="n">
        <v>203.8</v>
      </c>
      <c r="Q99" s="10" t="n"/>
      <c r="R99" s="9" t="n"/>
    </row>
    <row r="100">
      <c r="A100" s="13" t="inlineStr">
        <is>
          <t>プリウスα</t>
        </is>
      </c>
      <c r="B100" s="13" t="inlineStr">
        <is>
          <t>40系</t>
        </is>
      </c>
      <c r="C100" s="13" t="n">
        <v>2019</v>
      </c>
      <c r="D100" s="15" t="n"/>
      <c r="E100" s="16" t="n"/>
      <c r="F100" s="16" t="n"/>
      <c r="G100" s="16" t="n"/>
      <c r="H100" s="16" t="n"/>
      <c r="I100" s="16" t="n"/>
      <c r="J100" s="16" t="n"/>
      <c r="K100" s="15" t="n"/>
      <c r="L100" s="15" t="n">
        <v>31</v>
      </c>
      <c r="M100" s="16" t="n">
        <v>160.8</v>
      </c>
      <c r="N100" s="16" t="n">
        <v>183.6</v>
      </c>
      <c r="O100" s="16" t="n">
        <v>186</v>
      </c>
      <c r="P100" s="16" t="n">
        <v>201.1</v>
      </c>
      <c r="Q100" s="16" t="n"/>
      <c r="R100" s="17" t="n"/>
    </row>
    <row r="101">
      <c r="A101" s="8" t="inlineStr">
        <is>
          <t>プリウスα</t>
        </is>
      </c>
      <c r="B101" s="8" t="inlineStr">
        <is>
          <t>40系</t>
        </is>
      </c>
      <c r="C101" s="8" t="n">
        <v>2020</v>
      </c>
      <c r="D101" s="11" t="n"/>
      <c r="E101" s="10" t="n"/>
      <c r="F101" s="10" t="n"/>
      <c r="G101" s="10" t="n"/>
      <c r="H101" s="10" t="n"/>
      <c r="I101" s="10" t="n"/>
      <c r="J101" s="10" t="n"/>
      <c r="K101" s="11" t="n"/>
      <c r="L101" s="11" t="n">
        <v>11</v>
      </c>
      <c r="M101" s="10" t="n">
        <v>168.8</v>
      </c>
      <c r="N101" s="10" t="n">
        <v>182.5</v>
      </c>
      <c r="O101" s="10" t="n">
        <v>187.7</v>
      </c>
      <c r="P101" s="10" t="n">
        <v>200</v>
      </c>
      <c r="Q101" s="10" t="n"/>
      <c r="R101" s="9" t="n"/>
    </row>
    <row r="102">
      <c r="A102" s="13" t="inlineStr">
        <is>
          <t>プリウスα</t>
        </is>
      </c>
      <c r="B102" s="13" t="inlineStr"/>
      <c r="C102" s="13" t="n">
        <v>2021</v>
      </c>
      <c r="D102" s="15" t="n"/>
      <c r="E102" s="16" t="n"/>
      <c r="F102" s="16" t="n"/>
      <c r="G102" s="16" t="n"/>
      <c r="H102" s="16" t="n"/>
      <c r="I102" s="16" t="n"/>
      <c r="J102" s="16" t="n"/>
      <c r="K102" s="15" t="n"/>
      <c r="L102" s="15" t="n">
        <v>1</v>
      </c>
      <c r="M102" s="16" t="n">
        <v>190</v>
      </c>
      <c r="N102" s="16" t="n">
        <v>195</v>
      </c>
      <c r="O102" s="16" t="n">
        <v>195</v>
      </c>
      <c r="P102" s="16" t="n">
        <v>200</v>
      </c>
      <c r="Q102" s="16" t="n"/>
      <c r="R102" s="17" t="n"/>
    </row>
    <row r="103">
      <c r="A103" s="8" t="inlineStr">
        <is>
          <t>アイシス</t>
        </is>
      </c>
      <c r="B103" s="8" t="inlineStr">
        <is>
          <t>10系</t>
        </is>
      </c>
      <c r="C103" s="8" t="n">
        <v>2013</v>
      </c>
      <c r="D103" s="11" t="n"/>
      <c r="E103" s="10" t="n"/>
      <c r="F103" s="10" t="n"/>
      <c r="G103" s="10" t="n"/>
      <c r="H103" s="10" t="n"/>
      <c r="I103" s="10" t="n"/>
      <c r="J103" s="10" t="n"/>
      <c r="K103" s="11" t="n"/>
      <c r="L103" s="11" t="n">
        <v>20</v>
      </c>
      <c r="M103" s="10" t="n">
        <v>45</v>
      </c>
      <c r="N103" s="10" t="n">
        <v>66.7</v>
      </c>
      <c r="O103" s="10" t="n">
        <v>66</v>
      </c>
      <c r="P103" s="10" t="n">
        <v>85</v>
      </c>
      <c r="Q103" s="10" t="n"/>
      <c r="R103" s="9" t="n"/>
    </row>
    <row r="104">
      <c r="A104" s="13" t="inlineStr">
        <is>
          <t>アイシス</t>
        </is>
      </c>
      <c r="B104" s="13" t="inlineStr">
        <is>
          <t>10系</t>
        </is>
      </c>
      <c r="C104" s="13" t="n">
        <v>2014</v>
      </c>
      <c r="D104" s="15" t="n"/>
      <c r="E104" s="16" t="n"/>
      <c r="F104" s="16" t="n"/>
      <c r="G104" s="16" t="n"/>
      <c r="H104" s="16" t="n"/>
      <c r="I104" s="16" t="n"/>
      <c r="J104" s="16" t="n"/>
      <c r="K104" s="15" t="n"/>
      <c r="L104" s="15" t="n">
        <v>11</v>
      </c>
      <c r="M104" s="16" t="n">
        <v>57.5</v>
      </c>
      <c r="N104" s="16" t="n">
        <v>83.3</v>
      </c>
      <c r="O104" s="16" t="n">
        <v>88.2</v>
      </c>
      <c r="P104" s="16" t="n">
        <v>105</v>
      </c>
      <c r="Q104" s="16" t="n"/>
      <c r="R104" s="17" t="n"/>
    </row>
    <row r="105">
      <c r="A105" s="8" t="inlineStr">
        <is>
          <t>アイシス</t>
        </is>
      </c>
      <c r="B105" s="8" t="inlineStr">
        <is>
          <t>10系</t>
        </is>
      </c>
      <c r="C105" s="8" t="n">
        <v>2015</v>
      </c>
      <c r="D105" s="11" t="n"/>
      <c r="E105" s="10" t="n"/>
      <c r="F105" s="10" t="n"/>
      <c r="G105" s="10" t="n"/>
      <c r="H105" s="10" t="n"/>
      <c r="I105" s="10" t="n"/>
      <c r="J105" s="10" t="n"/>
      <c r="K105" s="11" t="n"/>
      <c r="L105" s="11" t="n">
        <v>2</v>
      </c>
      <c r="M105" s="10" t="n">
        <v>50</v>
      </c>
      <c r="N105" s="10" t="n">
        <v>60</v>
      </c>
      <c r="O105" s="10" t="n">
        <v>70</v>
      </c>
      <c r="P105" s="10" t="n">
        <v>90</v>
      </c>
      <c r="Q105" s="10" t="n"/>
      <c r="R105" s="9" t="n"/>
    </row>
    <row r="106">
      <c r="A106" s="13" t="inlineStr">
        <is>
          <t>アイシス</t>
        </is>
      </c>
      <c r="B106" s="13" t="inlineStr">
        <is>
          <t>10系</t>
        </is>
      </c>
      <c r="C106" s="13" t="n">
        <v>2016</v>
      </c>
      <c r="D106" s="15" t="n"/>
      <c r="E106" s="16" t="n"/>
      <c r="F106" s="16" t="n"/>
      <c r="G106" s="16" t="n"/>
      <c r="H106" s="16" t="n"/>
      <c r="I106" s="16" t="n"/>
      <c r="J106" s="16" t="n"/>
      <c r="K106" s="15" t="n"/>
      <c r="L106" s="15" t="n">
        <v>4</v>
      </c>
      <c r="M106" s="16" t="n">
        <v>70</v>
      </c>
      <c r="N106" s="16" t="n">
        <v>80</v>
      </c>
      <c r="O106" s="16" t="n">
        <v>85</v>
      </c>
      <c r="P106" s="16" t="n">
        <v>100</v>
      </c>
      <c r="Q106" s="16" t="n"/>
      <c r="R106" s="17" t="n"/>
    </row>
    <row r="107">
      <c r="A107" s="8" t="inlineStr">
        <is>
          <t>グランエース</t>
        </is>
      </c>
      <c r="B107" s="8" t="inlineStr"/>
      <c r="C107" s="8" t="n">
        <v>2019</v>
      </c>
      <c r="D107" s="11" t="n"/>
      <c r="E107" s="10" t="n"/>
      <c r="F107" s="10" t="n"/>
      <c r="G107" s="10" t="n"/>
      <c r="H107" s="10" t="n"/>
      <c r="I107" s="10" t="n"/>
      <c r="J107" s="10" t="n"/>
      <c r="K107" s="11" t="n"/>
      <c r="L107" s="11" t="n">
        <v>3</v>
      </c>
      <c r="M107" s="10" t="n">
        <v>555</v>
      </c>
      <c r="N107" s="10" t="n">
        <v>670</v>
      </c>
      <c r="O107" s="10" t="n">
        <v>643.3</v>
      </c>
      <c r="P107" s="10" t="n">
        <v>705</v>
      </c>
      <c r="Q107" s="10" t="n"/>
      <c r="R107" s="9" t="n"/>
    </row>
    <row r="108">
      <c r="A108" s="13" t="inlineStr">
        <is>
          <t>グランエース</t>
        </is>
      </c>
      <c r="B108" s="13" t="inlineStr">
        <is>
          <t>300系</t>
        </is>
      </c>
      <c r="C108" s="13" t="n">
        <v>2020</v>
      </c>
      <c r="D108" s="15" t="n"/>
      <c r="E108" s="16" t="n"/>
      <c r="F108" s="16" t="n"/>
      <c r="G108" s="16" t="n"/>
      <c r="H108" s="16" t="n"/>
      <c r="I108" s="16" t="n"/>
      <c r="J108" s="16" t="n"/>
      <c r="K108" s="15" t="n"/>
      <c r="L108" s="15" t="n">
        <v>27</v>
      </c>
      <c r="M108" s="16" t="n">
        <v>507</v>
      </c>
      <c r="N108" s="16" t="n">
        <v>556.7</v>
      </c>
      <c r="O108" s="16" t="n">
        <v>554.1</v>
      </c>
      <c r="P108" s="16" t="n">
        <v>601.7</v>
      </c>
      <c r="Q108" s="16" t="n"/>
      <c r="R108" s="17" t="n"/>
    </row>
    <row r="109">
      <c r="A109" s="8" t="inlineStr">
        <is>
          <t>グランエース</t>
        </is>
      </c>
      <c r="B109" s="8" t="inlineStr">
        <is>
          <t>300系</t>
        </is>
      </c>
      <c r="C109" s="8" t="n">
        <v>2021</v>
      </c>
      <c r="D109" s="11" t="n"/>
      <c r="E109" s="10" t="n"/>
      <c r="F109" s="10" t="n"/>
      <c r="G109" s="10" t="n"/>
      <c r="H109" s="10" t="n"/>
      <c r="I109" s="10" t="n"/>
      <c r="J109" s="10" t="n"/>
      <c r="K109" s="11" t="n"/>
      <c r="L109" s="11" t="n">
        <v>11</v>
      </c>
      <c r="M109" s="10" t="n">
        <v>531.7</v>
      </c>
      <c r="N109" s="10" t="n">
        <v>565</v>
      </c>
      <c r="O109" s="10" t="n">
        <v>566.4</v>
      </c>
      <c r="P109" s="10" t="n">
        <v>592.5</v>
      </c>
      <c r="Q109" s="10" t="n"/>
      <c r="R109" s="9" t="n"/>
    </row>
    <row r="110">
      <c r="A110" s="13" t="inlineStr">
        <is>
          <t>グランエース</t>
        </is>
      </c>
      <c r="B110" s="13" t="inlineStr">
        <is>
          <t>300系</t>
        </is>
      </c>
      <c r="C110" s="13" t="n">
        <v>2022</v>
      </c>
      <c r="D110" s="15" t="n"/>
      <c r="E110" s="16" t="n"/>
      <c r="F110" s="16" t="n"/>
      <c r="G110" s="16" t="n"/>
      <c r="H110" s="16" t="n"/>
      <c r="I110" s="16" t="n"/>
      <c r="J110" s="16" t="n"/>
      <c r="K110" s="15" t="n"/>
      <c r="L110" s="15" t="n">
        <v>4</v>
      </c>
      <c r="M110" s="16" t="n">
        <v>460</v>
      </c>
      <c r="N110" s="16" t="n">
        <v>500</v>
      </c>
      <c r="O110" s="16" t="n">
        <v>535</v>
      </c>
      <c r="P110" s="16" t="n">
        <v>560</v>
      </c>
      <c r="Q110" s="16" t="n"/>
      <c r="R110" s="17" t="n"/>
    </row>
    <row r="111">
      <c r="A111" s="8" t="inlineStr">
        <is>
          <t>グランエース</t>
        </is>
      </c>
      <c r="B111" s="8" t="inlineStr">
        <is>
          <t>300系</t>
        </is>
      </c>
      <c r="C111" s="8" t="n">
        <v>2023</v>
      </c>
      <c r="D111" s="11" t="n"/>
      <c r="E111" s="10" t="n"/>
      <c r="F111" s="10" t="n"/>
      <c r="G111" s="10" t="n"/>
      <c r="H111" s="10" t="n"/>
      <c r="I111" s="10" t="n"/>
      <c r="J111" s="10" t="n"/>
      <c r="K111" s="11" t="n"/>
      <c r="L111" s="11" t="n">
        <v>6</v>
      </c>
      <c r="M111" s="10" t="n">
        <v>603.3</v>
      </c>
      <c r="N111" s="10" t="n">
        <v>613.3</v>
      </c>
      <c r="O111" s="10" t="n">
        <v>673.3</v>
      </c>
      <c r="P111" s="10" t="n">
        <v>670</v>
      </c>
      <c r="Q111" s="10" t="n"/>
      <c r="R111" s="9" t="n"/>
    </row>
    <row r="112">
      <c r="A112" s="13" t="inlineStr">
        <is>
          <t>グランエース</t>
        </is>
      </c>
      <c r="B112" s="13" t="inlineStr"/>
      <c r="C112" s="13" t="n">
        <v>2024</v>
      </c>
      <c r="D112" s="15" t="n"/>
      <c r="E112" s="16" t="n"/>
      <c r="F112" s="16" t="n"/>
      <c r="G112" s="16" t="n"/>
      <c r="H112" s="16" t="n"/>
      <c r="I112" s="16" t="n"/>
      <c r="J112" s="16" t="n"/>
      <c r="K112" s="15" t="n"/>
      <c r="L112" s="15" t="n">
        <v>7</v>
      </c>
      <c r="M112" s="16" t="n">
        <v>687.5</v>
      </c>
      <c r="N112" s="16" t="n">
        <v>770</v>
      </c>
      <c r="O112" s="16" t="n">
        <v>830</v>
      </c>
      <c r="P112" s="16" t="n">
        <v>1025</v>
      </c>
      <c r="Q112" s="16" t="n"/>
      <c r="R112" s="17" t="n"/>
    </row>
  </sheetData>
  <autoFilter ref="A1:R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小売
掲載台数</t>
        </is>
      </c>
      <c r="N1" s="7" t="inlineStr">
        <is>
          <t>小売
25%(万円)</t>
        </is>
      </c>
      <c r="O1" s="7" t="inlineStr">
        <is>
          <t>小売
中央値(万円)</t>
        </is>
      </c>
      <c r="P1" s="7" t="inlineStr">
        <is>
          <t>小売
平均(万円)</t>
        </is>
      </c>
      <c r="Q1" s="7" t="inlineStr">
        <is>
          <t>小売
75%(万円)</t>
        </is>
      </c>
      <c r="R1" s="7" t="inlineStr">
        <is>
          <t>小売−落札
(万円)</t>
        </is>
      </c>
      <c r="S1" s="7" t="inlineStr">
        <is>
          <t>小売プレミアム
(%)</t>
        </is>
      </c>
    </row>
    <row r="2">
      <c r="A2" s="13" t="inlineStr">
        <is>
          <t>2026-08-22</t>
        </is>
      </c>
      <c r="B2" s="13" t="inlineStr">
        <is>
          <t>アルファード</t>
        </is>
      </c>
      <c r="C2" s="13" t="inlineStr">
        <is>
          <t>20系</t>
        </is>
      </c>
      <c r="D2" s="13" t="n">
        <v>2013</v>
      </c>
      <c r="E2" s="15" t="n">
        <v>5</v>
      </c>
      <c r="F2" s="16" t="n">
        <v>59.8</v>
      </c>
      <c r="G2" s="16" t="n">
        <v>60.4</v>
      </c>
      <c r="H2" s="16" t="n">
        <v>62.5</v>
      </c>
      <c r="I2" s="16" t="n">
        <v>67.5</v>
      </c>
      <c r="J2" s="16" t="n">
        <v>74.8</v>
      </c>
      <c r="K2" s="16" t="n">
        <v>80.2</v>
      </c>
      <c r="L2" s="15" t="n">
        <v>128000</v>
      </c>
      <c r="M2" s="15" t="n">
        <v>172</v>
      </c>
      <c r="N2" s="16" t="n">
        <v>95</v>
      </c>
      <c r="O2" s="16" t="n">
        <v>120.8</v>
      </c>
      <c r="P2" s="16" t="n">
        <v>122.6</v>
      </c>
      <c r="Q2" s="16" t="n">
        <v>150</v>
      </c>
      <c r="R2" s="16" t="n">
        <v>58.3</v>
      </c>
      <c r="S2" s="17" t="n">
        <v>93.3</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125</v>
      </c>
      <c r="N3" s="10" t="n">
        <v>100.4</v>
      </c>
      <c r="O3" s="10" t="n">
        <v>128.8</v>
      </c>
      <c r="P3" s="10" t="n">
        <v>130.8</v>
      </c>
      <c r="Q3" s="10" t="n">
        <v>158.7</v>
      </c>
      <c r="R3" s="10" t="n">
        <v>61.8</v>
      </c>
      <c r="S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297</v>
      </c>
      <c r="N4" s="16" t="n">
        <v>187.9</v>
      </c>
      <c r="O4" s="16" t="n">
        <v>226.3</v>
      </c>
      <c r="P4" s="16" t="n">
        <v>226.9</v>
      </c>
      <c r="Q4" s="16" t="n">
        <v>261.9</v>
      </c>
      <c r="R4" s="16" t="n">
        <v>79.2</v>
      </c>
      <c r="S4" s="17" t="n">
        <v>53.8</v>
      </c>
    </row>
    <row r="5">
      <c r="A5" s="8" t="inlineStr">
        <is>
          <t>2026-08-22</t>
        </is>
      </c>
      <c r="B5" s="8" t="inlineStr">
        <is>
          <t>アルファード</t>
        </is>
      </c>
      <c r="C5" s="8" t="inlineStr">
        <is>
          <t>30系前期</t>
        </is>
      </c>
      <c r="D5" s="8" t="n">
        <v>2016</v>
      </c>
      <c r="E5" s="11" t="n">
        <v>2</v>
      </c>
      <c r="F5" s="10" t="n">
        <v>139.5</v>
      </c>
      <c r="G5" s="10" t="n">
        <v>179.2</v>
      </c>
      <c r="H5" s="10" t="n">
        <v>218.8</v>
      </c>
      <c r="I5" s="10" t="n">
        <v>218.8</v>
      </c>
      <c r="J5" s="10" t="n">
        <v>258.5</v>
      </c>
      <c r="K5" s="10" t="n">
        <v>298.1</v>
      </c>
      <c r="L5" s="11" t="n">
        <v>148000</v>
      </c>
      <c r="M5" s="11" t="n">
        <v>251</v>
      </c>
      <c r="N5" s="10" t="n">
        <v>211.1</v>
      </c>
      <c r="O5" s="10" t="n">
        <v>243.5</v>
      </c>
      <c r="P5" s="10" t="n">
        <v>260.3</v>
      </c>
      <c r="Q5" s="10" t="n">
        <v>280.7</v>
      </c>
      <c r="R5" s="10" t="n">
        <v>24.7</v>
      </c>
      <c r="S5" s="9" t="n">
        <v>11.3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313</v>
      </c>
      <c r="N6" s="16" t="n">
        <v>218.3</v>
      </c>
      <c r="O6" s="16" t="n">
        <v>253</v>
      </c>
      <c r="P6" s="16" t="n">
        <v>269.2</v>
      </c>
      <c r="Q6" s="16" t="n">
        <v>286</v>
      </c>
      <c r="R6" s="16" t="n">
        <v>103</v>
      </c>
      <c r="S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425</v>
      </c>
      <c r="N7" s="10" t="n">
        <v>286.7</v>
      </c>
      <c r="O7" s="10" t="n">
        <v>339</v>
      </c>
      <c r="P7" s="10" t="n">
        <v>343.8</v>
      </c>
      <c r="Q7" s="10" t="n">
        <v>388.1</v>
      </c>
      <c r="R7" s="10" t="n">
        <v>52.4</v>
      </c>
      <c r="S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502</v>
      </c>
      <c r="N8" s="16" t="n">
        <v>318.2</v>
      </c>
      <c r="O8" s="16" t="n">
        <v>365.6</v>
      </c>
      <c r="P8" s="16" t="n">
        <v>369.2</v>
      </c>
      <c r="Q8" s="16" t="n">
        <v>407.5</v>
      </c>
      <c r="R8" s="16" t="n">
        <v>83.5</v>
      </c>
      <c r="S8" s="17" t="n">
        <v>29.6</v>
      </c>
    </row>
    <row r="9">
      <c r="A9" s="8" t="inlineStr">
        <is>
          <t>2026-08-22</t>
        </is>
      </c>
      <c r="B9" s="8" t="inlineStr">
        <is>
          <t>アルファード</t>
        </is>
      </c>
      <c r="C9" s="8" t="inlineStr">
        <is>
          <t>30系後期</t>
        </is>
      </c>
      <c r="D9" s="8" t="n">
        <v>2020</v>
      </c>
      <c r="E9" s="11" t="n">
        <v>7</v>
      </c>
      <c r="F9" s="10" t="n">
        <v>200.3</v>
      </c>
      <c r="G9" s="10" t="n">
        <v>232.7</v>
      </c>
      <c r="H9" s="10" t="n">
        <v>246</v>
      </c>
      <c r="I9" s="10" t="n">
        <v>258.9</v>
      </c>
      <c r="J9" s="10" t="n">
        <v>267.8</v>
      </c>
      <c r="K9" s="10" t="n">
        <v>365</v>
      </c>
      <c r="L9" s="11" t="n">
        <v>97400</v>
      </c>
      <c r="M9" s="11" t="n">
        <v>710</v>
      </c>
      <c r="N9" s="10" t="n">
        <v>330.5</v>
      </c>
      <c r="O9" s="10" t="n">
        <v>370.4</v>
      </c>
      <c r="P9" s="10" t="n">
        <v>370.3</v>
      </c>
      <c r="Q9" s="10" t="n">
        <v>411.5</v>
      </c>
      <c r="R9" s="10" t="n">
        <v>124.4</v>
      </c>
      <c r="S9" s="9" t="n">
        <v>50.6</v>
      </c>
    </row>
    <row r="10">
      <c r="A10" s="13" t="inlineStr">
        <is>
          <t>2026-08-22</t>
        </is>
      </c>
      <c r="B10" s="13" t="inlineStr">
        <is>
          <t>アルファード</t>
        </is>
      </c>
      <c r="C10" s="13" t="inlineStr">
        <is>
          <t>30系後期</t>
        </is>
      </c>
      <c r="D10" s="13" t="n">
        <v>2021</v>
      </c>
      <c r="E10" s="15" t="n"/>
      <c r="F10" s="16" t="n"/>
      <c r="G10" s="16" t="n"/>
      <c r="H10" s="16" t="n"/>
      <c r="I10" s="16" t="n"/>
      <c r="J10" s="16" t="n"/>
      <c r="K10" s="16" t="n"/>
      <c r="L10" s="15" t="n"/>
      <c r="M10" s="15" t="n">
        <v>1288</v>
      </c>
      <c r="N10" s="16" t="n">
        <v>351.2</v>
      </c>
      <c r="O10" s="16" t="n">
        <v>388.5</v>
      </c>
      <c r="P10" s="16" t="n">
        <v>390.6</v>
      </c>
      <c r="Q10" s="16" t="n">
        <v>427.7</v>
      </c>
      <c r="R10" s="16" t="n"/>
      <c r="S10" s="17" t="n"/>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584</v>
      </c>
      <c r="N11" s="10" t="n">
        <v>396.3</v>
      </c>
      <c r="O11" s="10" t="n">
        <v>441.7</v>
      </c>
      <c r="P11" s="10" t="n">
        <v>434.8</v>
      </c>
      <c r="Q11" s="10" t="n">
        <v>474.8</v>
      </c>
      <c r="R11" s="10" t="n">
        <v>-26.3</v>
      </c>
      <c r="S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804</v>
      </c>
      <c r="N12" s="16" t="n">
        <v>513.6</v>
      </c>
      <c r="O12" s="16" t="n">
        <v>572.9</v>
      </c>
      <c r="P12" s="16" t="n">
        <v>573</v>
      </c>
      <c r="Q12" s="16" t="n">
        <v>619.8</v>
      </c>
      <c r="R12" s="16" t="n">
        <v>-58.6</v>
      </c>
      <c r="S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818</v>
      </c>
      <c r="N13" s="10" t="n">
        <v>585.3</v>
      </c>
      <c r="O13" s="10" t="n">
        <v>617.2</v>
      </c>
      <c r="P13" s="10" t="n">
        <v>633.2</v>
      </c>
      <c r="Q13" s="10" t="n">
        <v>654.9</v>
      </c>
      <c r="R13" s="10" t="n">
        <v>113.1</v>
      </c>
      <c r="S13" s="9" t="n">
        <v>22.4</v>
      </c>
    </row>
    <row r="14">
      <c r="A14" s="13" t="inlineStr">
        <is>
          <t>2026-08-22</t>
        </is>
      </c>
      <c r="B14" s="13" t="inlineStr">
        <is>
          <t>アルファード</t>
        </is>
      </c>
      <c r="C14" s="13" t="inlineStr">
        <is>
          <t>40系</t>
        </is>
      </c>
      <c r="D14" s="13" t="n">
        <v>2025</v>
      </c>
      <c r="E14" s="15" t="n">
        <v>4</v>
      </c>
      <c r="F14" s="16" t="n">
        <v>500.1</v>
      </c>
      <c r="G14" s="16" t="n">
        <v>533.8</v>
      </c>
      <c r="H14" s="16" t="n">
        <v>657.6</v>
      </c>
      <c r="I14" s="16" t="n">
        <v>651.3</v>
      </c>
      <c r="J14" s="16" t="n">
        <v>775.2</v>
      </c>
      <c r="K14" s="16" t="n">
        <v>789.8</v>
      </c>
      <c r="L14" s="15" t="n">
        <v>15000</v>
      </c>
      <c r="M14" s="15" t="n">
        <v>649</v>
      </c>
      <c r="N14" s="16" t="n">
        <v>597.2</v>
      </c>
      <c r="O14" s="16" t="n">
        <v>639.4</v>
      </c>
      <c r="P14" s="16" t="n">
        <v>653.4</v>
      </c>
      <c r="Q14" s="16" t="n">
        <v>691.5</v>
      </c>
      <c r="R14" s="16" t="n">
        <v>-18.2</v>
      </c>
      <c r="S14" s="17" t="n">
        <v>-2.8</v>
      </c>
    </row>
    <row r="15">
      <c r="A15" s="8" t="inlineStr">
        <is>
          <t>2026-08-22</t>
        </is>
      </c>
      <c r="B15" s="8" t="inlineStr">
        <is>
          <t>アルファード</t>
        </is>
      </c>
      <c r="C15" s="8" t="inlineStr">
        <is>
          <t>40系</t>
        </is>
      </c>
      <c r="D15" s="8" t="n">
        <v>2026</v>
      </c>
      <c r="E15" s="11" t="n"/>
      <c r="F15" s="10" t="n"/>
      <c r="G15" s="10" t="n"/>
      <c r="H15" s="10" t="n"/>
      <c r="I15" s="10" t="n"/>
      <c r="J15" s="10" t="n"/>
      <c r="K15" s="10" t="n"/>
      <c r="L15" s="11" t="n"/>
      <c r="M15" s="11" t="n">
        <v>270</v>
      </c>
      <c r="N15" s="10" t="n">
        <v>631.7</v>
      </c>
      <c r="O15" s="10" t="n">
        <v>688.6</v>
      </c>
      <c r="P15" s="10" t="n">
        <v>687.7</v>
      </c>
      <c r="Q15" s="10" t="n">
        <v>747.5</v>
      </c>
      <c r="R15" s="10" t="n"/>
      <c r="S15" s="9" t="n"/>
    </row>
    <row r="16">
      <c r="A16" s="13" t="inlineStr">
        <is>
          <t>2026-08-22</t>
        </is>
      </c>
      <c r="B16" s="13" t="inlineStr">
        <is>
          <t>ヴェルファイア</t>
        </is>
      </c>
      <c r="C16" s="13" t="inlineStr">
        <is>
          <t>20系</t>
        </is>
      </c>
      <c r="D16" s="13" t="n">
        <v>2013</v>
      </c>
      <c r="E16" s="15" t="n">
        <v>10</v>
      </c>
      <c r="F16" s="16" t="n">
        <v>32.1</v>
      </c>
      <c r="G16" s="16" t="n">
        <v>43.5</v>
      </c>
      <c r="H16" s="16" t="n">
        <v>47.5</v>
      </c>
      <c r="I16" s="16" t="n">
        <v>50.7</v>
      </c>
      <c r="J16" s="16" t="n">
        <v>56.1</v>
      </c>
      <c r="K16" s="16" t="n">
        <v>79.8</v>
      </c>
      <c r="L16" s="15" t="n">
        <v>154000</v>
      </c>
      <c r="M16" s="15" t="n">
        <v>244</v>
      </c>
      <c r="N16" s="16" t="n">
        <v>85.2</v>
      </c>
      <c r="O16" s="16" t="n">
        <v>109.2</v>
      </c>
      <c r="P16" s="16" t="n">
        <v>113.3</v>
      </c>
      <c r="Q16" s="16" t="n">
        <v>138.8</v>
      </c>
      <c r="R16" s="16" t="n">
        <v>61.7</v>
      </c>
      <c r="S16" s="17" t="n">
        <v>129.9</v>
      </c>
    </row>
    <row r="17">
      <c r="A17" s="8" t="inlineStr">
        <is>
          <t>2026-08-22</t>
        </is>
      </c>
      <c r="B17" s="8" t="inlineStr">
        <is>
          <t>ヴェルファイア</t>
        </is>
      </c>
      <c r="C17" s="8" t="inlineStr">
        <is>
          <t>20系</t>
        </is>
      </c>
      <c r="D17" s="8" t="n">
        <v>2014</v>
      </c>
      <c r="E17" s="11" t="n">
        <v>2</v>
      </c>
      <c r="F17" s="10" t="n">
        <v>64.09999999999999</v>
      </c>
      <c r="G17" s="10" t="n">
        <v>68.09999999999999</v>
      </c>
      <c r="H17" s="10" t="n">
        <v>72</v>
      </c>
      <c r="I17" s="10" t="n">
        <v>72</v>
      </c>
      <c r="J17" s="10" t="n">
        <v>76</v>
      </c>
      <c r="K17" s="10" t="n">
        <v>80</v>
      </c>
      <c r="L17" s="11" t="n">
        <v>159600</v>
      </c>
      <c r="M17" s="11" t="n">
        <v>151</v>
      </c>
      <c r="N17" s="10" t="n">
        <v>97.3</v>
      </c>
      <c r="O17" s="10" t="n">
        <v>125</v>
      </c>
      <c r="P17" s="10" t="n">
        <v>125.6</v>
      </c>
      <c r="Q17" s="10" t="n">
        <v>146.2</v>
      </c>
      <c r="R17" s="10" t="n">
        <v>53</v>
      </c>
      <c r="S17" s="9" t="n">
        <v>73.59999999999999</v>
      </c>
    </row>
    <row r="18">
      <c r="A18" s="13" t="inlineStr">
        <is>
          <t>2026-08-22</t>
        </is>
      </c>
      <c r="B18" s="13" t="inlineStr">
        <is>
          <t>ヴェルファイア</t>
        </is>
      </c>
      <c r="C18" s="13" t="inlineStr">
        <is>
          <t>30系前期</t>
        </is>
      </c>
      <c r="D18" s="13" t="n">
        <v>2015</v>
      </c>
      <c r="E18" s="15" t="n">
        <v>8</v>
      </c>
      <c r="F18" s="16" t="n">
        <v>86.09999999999999</v>
      </c>
      <c r="G18" s="16" t="n">
        <v>117.4</v>
      </c>
      <c r="H18" s="16" t="n">
        <v>147.9</v>
      </c>
      <c r="I18" s="16" t="n">
        <v>150.6</v>
      </c>
      <c r="J18" s="16" t="n">
        <v>170.9</v>
      </c>
      <c r="K18" s="16" t="n">
        <v>258</v>
      </c>
      <c r="L18" s="15" t="n">
        <v>166225</v>
      </c>
      <c r="M18" s="15" t="n">
        <v>409</v>
      </c>
      <c r="N18" s="16" t="n">
        <v>179.4</v>
      </c>
      <c r="O18" s="16" t="n">
        <v>215.9</v>
      </c>
      <c r="P18" s="16" t="n">
        <v>221.3</v>
      </c>
      <c r="Q18" s="16" t="n">
        <v>251.8</v>
      </c>
      <c r="R18" s="16" t="n">
        <v>68</v>
      </c>
      <c r="S18" s="17" t="n">
        <v>46</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349</v>
      </c>
      <c r="N19" s="10" t="n">
        <v>197.6</v>
      </c>
      <c r="O19" s="10" t="n">
        <v>230.2</v>
      </c>
      <c r="P19" s="10" t="n">
        <v>235.2</v>
      </c>
      <c r="Q19" s="10" t="n">
        <v>267</v>
      </c>
      <c r="R19" s="10" t="n">
        <v>90.09999999999999</v>
      </c>
      <c r="S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352</v>
      </c>
      <c r="N20" s="16" t="n">
        <v>200.4</v>
      </c>
      <c r="O20" s="16" t="n">
        <v>229.7</v>
      </c>
      <c r="P20" s="16" t="n">
        <v>240.8</v>
      </c>
      <c r="Q20" s="16" t="n">
        <v>265.1</v>
      </c>
      <c r="R20" s="16" t="n">
        <v>30.1</v>
      </c>
      <c r="S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383</v>
      </c>
      <c r="N21" s="10" t="n">
        <v>272.9</v>
      </c>
      <c r="O21" s="10" t="n">
        <v>315.5</v>
      </c>
      <c r="P21" s="10" t="n">
        <v>321.6</v>
      </c>
      <c r="Q21" s="10" t="n">
        <v>360.5</v>
      </c>
      <c r="R21" s="10" t="n">
        <v>15</v>
      </c>
      <c r="S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300</v>
      </c>
      <c r="N22" s="16" t="n">
        <v>279.1</v>
      </c>
      <c r="O22" s="16" t="n">
        <v>329.4</v>
      </c>
      <c r="P22" s="16" t="n">
        <v>332.6</v>
      </c>
      <c r="Q22" s="16" t="n">
        <v>378.3</v>
      </c>
      <c r="R22" s="16" t="n">
        <v>91.09999999999999</v>
      </c>
      <c r="S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v>138</v>
      </c>
      <c r="N23" s="10" t="n">
        <v>306.2</v>
      </c>
      <c r="O23" s="10" t="n">
        <v>355.6</v>
      </c>
      <c r="P23" s="10" t="n">
        <v>353.5</v>
      </c>
      <c r="Q23" s="10" t="n">
        <v>389.5</v>
      </c>
      <c r="R23" s="10" t="n"/>
      <c r="S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v>99</v>
      </c>
      <c r="N24" s="16" t="n">
        <v>335</v>
      </c>
      <c r="O24" s="16" t="n">
        <v>371.4</v>
      </c>
      <c r="P24" s="16" t="n">
        <v>366.5</v>
      </c>
      <c r="Q24" s="16" t="n">
        <v>397.7</v>
      </c>
      <c r="R24" s="16" t="n"/>
      <c r="S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17</v>
      </c>
      <c r="N25" s="10" t="n">
        <v>391.2</v>
      </c>
      <c r="O25" s="10" t="n">
        <v>415</v>
      </c>
      <c r="P25" s="10" t="n">
        <v>421.8</v>
      </c>
      <c r="Q25" s="10" t="n">
        <v>457.5</v>
      </c>
      <c r="R25" s="10" t="n">
        <v>149.7</v>
      </c>
      <c r="S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270</v>
      </c>
      <c r="N26" s="16" t="n">
        <v>629.3</v>
      </c>
      <c r="O26" s="16" t="n">
        <v>660.2</v>
      </c>
      <c r="P26" s="16" t="n">
        <v>672.5</v>
      </c>
      <c r="Q26" s="16" t="n">
        <v>695.4</v>
      </c>
      <c r="R26" s="16" t="n">
        <v>61.2</v>
      </c>
      <c r="S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v>324</v>
      </c>
      <c r="N27" s="10" t="n">
        <v>644.6</v>
      </c>
      <c r="O27" s="10" t="n">
        <v>679.1</v>
      </c>
      <c r="P27" s="10" t="n">
        <v>695.5</v>
      </c>
      <c r="Q27" s="10" t="n">
        <v>730</v>
      </c>
      <c r="R27" s="10" t="n"/>
      <c r="S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v>251</v>
      </c>
      <c r="N28" s="16" t="n">
        <v>710.8</v>
      </c>
      <c r="O28" s="16" t="n">
        <v>765.4</v>
      </c>
      <c r="P28" s="16" t="n">
        <v>768.4</v>
      </c>
      <c r="Q28" s="16" t="n">
        <v>842.3</v>
      </c>
      <c r="R28" s="16" t="n"/>
      <c r="S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v>106</v>
      </c>
      <c r="N29" s="10" t="n">
        <v>765</v>
      </c>
      <c r="O29" s="10" t="n">
        <v>797.1</v>
      </c>
      <c r="P29" s="10" t="n">
        <v>796</v>
      </c>
      <c r="Q29" s="10" t="n">
        <v>842.1</v>
      </c>
      <c r="R29" s="10" t="n"/>
      <c r="S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v>50</v>
      </c>
      <c r="N30" s="16" t="n">
        <v>76.5</v>
      </c>
      <c r="O30" s="16" t="n">
        <v>95</v>
      </c>
      <c r="P30" s="16" t="n">
        <v>100.3</v>
      </c>
      <c r="Q30" s="16" t="n">
        <v>116</v>
      </c>
      <c r="R30" s="16" t="n"/>
      <c r="S30" s="17" t="n"/>
    </row>
    <row r="31">
      <c r="A31" s="8" t="inlineStr">
        <is>
          <t>2026-08-22</t>
        </is>
      </c>
      <c r="B31" s="8" t="inlineStr">
        <is>
          <t>ノア</t>
        </is>
      </c>
      <c r="C31" s="8" t="inlineStr">
        <is>
          <t>80系</t>
        </is>
      </c>
      <c r="D31" s="8" t="n">
        <v>2014</v>
      </c>
      <c r="E31" s="11" t="n">
        <v>6</v>
      </c>
      <c r="F31" s="10" t="n">
        <v>50</v>
      </c>
      <c r="G31" s="10" t="n">
        <v>54.5</v>
      </c>
      <c r="H31" s="10" t="n">
        <v>72.40000000000001</v>
      </c>
      <c r="I31" s="10" t="n">
        <v>82.2</v>
      </c>
      <c r="J31" s="10" t="n">
        <v>112.6</v>
      </c>
      <c r="K31" s="10" t="n">
        <v>123.8</v>
      </c>
      <c r="L31" s="11" t="n">
        <v>159070</v>
      </c>
      <c r="M31" s="11" t="n">
        <v>204</v>
      </c>
      <c r="N31" s="10" t="n">
        <v>94.3</v>
      </c>
      <c r="O31" s="10" t="n">
        <v>121.5</v>
      </c>
      <c r="P31" s="10" t="n">
        <v>124.5</v>
      </c>
      <c r="Q31" s="10" t="n">
        <v>148.2</v>
      </c>
      <c r="R31" s="10" t="n">
        <v>49.1</v>
      </c>
      <c r="S31" s="9" t="n">
        <v>67.8</v>
      </c>
    </row>
    <row r="32">
      <c r="A32" s="13" t="inlineStr">
        <is>
          <t>2026-08-22</t>
        </is>
      </c>
      <c r="B32" s="13" t="inlineStr">
        <is>
          <t>ノア</t>
        </is>
      </c>
      <c r="C32" s="13" t="inlineStr">
        <is>
          <t>80系</t>
        </is>
      </c>
      <c r="D32" s="13" t="n">
        <v>2015</v>
      </c>
      <c r="E32" s="15" t="n">
        <v>6</v>
      </c>
      <c r="F32" s="16" t="n">
        <v>58.3</v>
      </c>
      <c r="G32" s="16" t="n">
        <v>73.59999999999999</v>
      </c>
      <c r="H32" s="16" t="n">
        <v>86.40000000000001</v>
      </c>
      <c r="I32" s="16" t="n">
        <v>89.40000000000001</v>
      </c>
      <c r="J32" s="16" t="n">
        <v>89.90000000000001</v>
      </c>
      <c r="K32" s="16" t="n">
        <v>145</v>
      </c>
      <c r="L32" s="15" t="n">
        <v>127000</v>
      </c>
      <c r="M32" s="15" t="n">
        <v>196</v>
      </c>
      <c r="N32" s="16" t="n">
        <v>105.4</v>
      </c>
      <c r="O32" s="16" t="n">
        <v>126.2</v>
      </c>
      <c r="P32" s="16" t="n">
        <v>132</v>
      </c>
      <c r="Q32" s="16" t="n">
        <v>156.5</v>
      </c>
      <c r="R32" s="16" t="n">
        <v>39.8</v>
      </c>
      <c r="S32" s="17" t="n">
        <v>46.1</v>
      </c>
    </row>
    <row r="33">
      <c r="A33" s="8" t="inlineStr">
        <is>
          <t>2026-08-22</t>
        </is>
      </c>
      <c r="B33" s="8" t="inlineStr">
        <is>
          <t>ノア</t>
        </is>
      </c>
      <c r="C33" s="8" t="inlineStr">
        <is>
          <t>80系</t>
        </is>
      </c>
      <c r="D33" s="8" t="n">
        <v>2016</v>
      </c>
      <c r="E33" s="11" t="n">
        <v>2</v>
      </c>
      <c r="F33" s="10" t="n">
        <v>96.8</v>
      </c>
      <c r="G33" s="10" t="n">
        <v>112.5</v>
      </c>
      <c r="H33" s="10" t="n">
        <v>128.3</v>
      </c>
      <c r="I33" s="10" t="n">
        <v>128.3</v>
      </c>
      <c r="J33" s="10" t="n">
        <v>144.1</v>
      </c>
      <c r="K33" s="10" t="n">
        <v>159.8</v>
      </c>
      <c r="L33" s="11" t="n">
        <v>141360</v>
      </c>
      <c r="M33" s="11" t="n">
        <v>156</v>
      </c>
      <c r="N33" s="10" t="n">
        <v>126.6</v>
      </c>
      <c r="O33" s="10" t="n">
        <v>149.8</v>
      </c>
      <c r="P33" s="10" t="n">
        <v>154.9</v>
      </c>
      <c r="Q33" s="10" t="n">
        <v>180.3</v>
      </c>
      <c r="R33" s="10" t="n">
        <v>21.5</v>
      </c>
      <c r="S33" s="9" t="n">
        <v>16.8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253</v>
      </c>
      <c r="N34" s="16" t="n">
        <v>150.8</v>
      </c>
      <c r="O34" s="16" t="n">
        <v>178.9</v>
      </c>
      <c r="P34" s="16" t="n">
        <v>181.5</v>
      </c>
      <c r="Q34" s="16" t="n">
        <v>212.1</v>
      </c>
      <c r="R34" s="16" t="n">
        <v>9.1</v>
      </c>
      <c r="S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257</v>
      </c>
      <c r="N35" s="10" t="n">
        <v>179.4</v>
      </c>
      <c r="O35" s="10" t="n">
        <v>207.7</v>
      </c>
      <c r="P35" s="10" t="n">
        <v>209.6</v>
      </c>
      <c r="Q35" s="10" t="n">
        <v>242</v>
      </c>
      <c r="R35" s="10" t="n">
        <v>74.7</v>
      </c>
      <c r="S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v>265</v>
      </c>
      <c r="N36" s="16" t="n">
        <v>200.9</v>
      </c>
      <c r="O36" s="16" t="n">
        <v>231.9</v>
      </c>
      <c r="P36" s="16" t="n">
        <v>227.2</v>
      </c>
      <c r="Q36" s="16" t="n">
        <v>255.4</v>
      </c>
      <c r="R36" s="16" t="n"/>
      <c r="S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165</v>
      </c>
      <c r="N37" s="10" t="n">
        <v>221.9</v>
      </c>
      <c r="O37" s="10" t="n">
        <v>249</v>
      </c>
      <c r="P37" s="10" t="n">
        <v>243.8</v>
      </c>
      <c r="Q37" s="10" t="n">
        <v>270</v>
      </c>
      <c r="R37" s="10" t="n">
        <v>104.3</v>
      </c>
      <c r="S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v>290</v>
      </c>
      <c r="N38" s="16" t="n">
        <v>241.8</v>
      </c>
      <c r="O38" s="16" t="n">
        <v>266.9</v>
      </c>
      <c r="P38" s="16" t="n">
        <v>262.4</v>
      </c>
      <c r="Q38" s="16" t="n">
        <v>287.9</v>
      </c>
      <c r="R38" s="16" t="n"/>
      <c r="S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v>547</v>
      </c>
      <c r="N39" s="10" t="n">
        <v>303.5</v>
      </c>
      <c r="O39" s="10" t="n">
        <v>339.6</v>
      </c>
      <c r="P39" s="10" t="n">
        <v>335.3</v>
      </c>
      <c r="Q39" s="10" t="n">
        <v>372.4</v>
      </c>
      <c r="R39" s="10" t="n"/>
      <c r="S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782</v>
      </c>
      <c r="N40" s="16" t="n">
        <v>331.6</v>
      </c>
      <c r="O40" s="16" t="n">
        <v>361</v>
      </c>
      <c r="P40" s="16" t="n">
        <v>354.1</v>
      </c>
      <c r="Q40" s="16" t="n">
        <v>383.3</v>
      </c>
      <c r="R40" s="16" t="n">
        <v>68.90000000000001</v>
      </c>
      <c r="S40" s="17" t="n">
        <v>23.6</v>
      </c>
    </row>
    <row r="41">
      <c r="A41" s="8" t="inlineStr">
        <is>
          <t>2026-08-22</t>
        </is>
      </c>
      <c r="B41" s="8" t="inlineStr">
        <is>
          <t>ノア</t>
        </is>
      </c>
      <c r="C41" s="8" t="inlineStr">
        <is>
          <t>90系</t>
        </is>
      </c>
      <c r="D41" s="8" t="n">
        <v>2024</v>
      </c>
      <c r="E41" s="11" t="n"/>
      <c r="F41" s="10" t="n"/>
      <c r="G41" s="10" t="n"/>
      <c r="H41" s="10" t="n"/>
      <c r="I41" s="10" t="n"/>
      <c r="J41" s="10" t="n"/>
      <c r="K41" s="10" t="n"/>
      <c r="L41" s="11" t="n"/>
      <c r="M41" s="11" t="n">
        <v>314</v>
      </c>
      <c r="N41" s="10" t="n">
        <v>338.8</v>
      </c>
      <c r="O41" s="10" t="n">
        <v>371.5</v>
      </c>
      <c r="P41" s="10" t="n">
        <v>364.5</v>
      </c>
      <c r="Q41" s="10" t="n">
        <v>396.6</v>
      </c>
      <c r="R41" s="10" t="n"/>
      <c r="S41" s="9" t="n"/>
    </row>
    <row r="42">
      <c r="A42" s="13" t="inlineStr">
        <is>
          <t>2026-08-22</t>
        </is>
      </c>
      <c r="B42" s="13" t="inlineStr">
        <is>
          <t>ノア</t>
        </is>
      </c>
      <c r="C42" s="13" t="inlineStr">
        <is>
          <t>90系</t>
        </is>
      </c>
      <c r="D42" s="13" t="n">
        <v>2025</v>
      </c>
      <c r="E42" s="15" t="n"/>
      <c r="F42" s="16" t="n"/>
      <c r="G42" s="16" t="n"/>
      <c r="H42" s="16" t="n"/>
      <c r="I42" s="16" t="n"/>
      <c r="J42" s="16" t="n"/>
      <c r="K42" s="16" t="n"/>
      <c r="L42" s="15" t="n"/>
      <c r="M42" s="15" t="n">
        <v>201</v>
      </c>
      <c r="N42" s="16" t="n">
        <v>371.8</v>
      </c>
      <c r="O42" s="16" t="n">
        <v>402.9</v>
      </c>
      <c r="P42" s="16" t="n">
        <v>395.9</v>
      </c>
      <c r="Q42" s="16" t="n">
        <v>432.1</v>
      </c>
      <c r="R42" s="16" t="n"/>
      <c r="S42" s="17" t="n"/>
    </row>
    <row r="43">
      <c r="A43" s="8" t="inlineStr">
        <is>
          <t>2026-08-22</t>
        </is>
      </c>
      <c r="B43" s="8" t="inlineStr">
        <is>
          <t>ノア</t>
        </is>
      </c>
      <c r="C43" s="8" t="inlineStr">
        <is>
          <t>90系</t>
        </is>
      </c>
      <c r="D43" s="8" t="n">
        <v>2026</v>
      </c>
      <c r="E43" s="11" t="n"/>
      <c r="F43" s="10" t="n"/>
      <c r="G43" s="10" t="n"/>
      <c r="H43" s="10" t="n"/>
      <c r="I43" s="10" t="n"/>
      <c r="J43" s="10" t="n"/>
      <c r="K43" s="10" t="n"/>
      <c r="L43" s="11" t="n"/>
      <c r="M43" s="11" t="n">
        <v>113</v>
      </c>
      <c r="N43" s="10" t="n">
        <v>416.2</v>
      </c>
      <c r="O43" s="10" t="n">
        <v>446.8</v>
      </c>
      <c r="P43" s="10" t="n">
        <v>428.3</v>
      </c>
      <c r="Q43" s="10" t="n">
        <v>455.9</v>
      </c>
      <c r="R43" s="10" t="n"/>
      <c r="S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138</v>
      </c>
      <c r="N44" s="16" t="n">
        <v>59</v>
      </c>
      <c r="O44" s="16" t="n">
        <v>74.09999999999999</v>
      </c>
      <c r="P44" s="16" t="n">
        <v>83.3</v>
      </c>
      <c r="Q44" s="16" t="n">
        <v>98.8</v>
      </c>
      <c r="R44" s="16" t="n">
        <v>37.6</v>
      </c>
      <c r="S44" s="17" t="n">
        <v>103</v>
      </c>
    </row>
    <row r="45">
      <c r="A45" s="8" t="inlineStr">
        <is>
          <t>2026-08-22</t>
        </is>
      </c>
      <c r="B45" s="8" t="inlineStr">
        <is>
          <t>ヴォクシー</t>
        </is>
      </c>
      <c r="C45" s="8" t="inlineStr">
        <is>
          <t>80系</t>
        </is>
      </c>
      <c r="D45" s="8" t="n">
        <v>2014</v>
      </c>
      <c r="E45" s="11" t="n">
        <v>17</v>
      </c>
      <c r="F45" s="10" t="n">
        <v>50.2</v>
      </c>
      <c r="G45" s="10" t="n">
        <v>62.1</v>
      </c>
      <c r="H45" s="10" t="n">
        <v>75</v>
      </c>
      <c r="I45" s="10" t="n">
        <v>78.2</v>
      </c>
      <c r="J45" s="10" t="n">
        <v>79.59999999999999</v>
      </c>
      <c r="K45" s="10" t="n">
        <v>138</v>
      </c>
      <c r="L45" s="11" t="n">
        <v>150700</v>
      </c>
      <c r="M45" s="11" t="n">
        <v>395</v>
      </c>
      <c r="N45" s="10" t="n">
        <v>99.3</v>
      </c>
      <c r="O45" s="10" t="n">
        <v>122.6</v>
      </c>
      <c r="P45" s="10" t="n">
        <v>129.6</v>
      </c>
      <c r="Q45" s="10" t="n">
        <v>149.8</v>
      </c>
      <c r="R45" s="10" t="n">
        <v>47.6</v>
      </c>
      <c r="S45" s="9" t="n">
        <v>63.5</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387</v>
      </c>
      <c r="N46" s="16" t="n">
        <v>110.5</v>
      </c>
      <c r="O46" s="16" t="n">
        <v>137.1</v>
      </c>
      <c r="P46" s="16" t="n">
        <v>138.6</v>
      </c>
      <c r="Q46" s="16" t="n">
        <v>162.9</v>
      </c>
      <c r="R46" s="16" t="n">
        <v>69.09999999999999</v>
      </c>
      <c r="S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344</v>
      </c>
      <c r="N47" s="10" t="n">
        <v>134.9</v>
      </c>
      <c r="O47" s="10" t="n">
        <v>160.2</v>
      </c>
      <c r="P47" s="10" t="n">
        <v>161</v>
      </c>
      <c r="Q47" s="10" t="n">
        <v>186.1</v>
      </c>
      <c r="R47" s="10" t="n">
        <v>40.2</v>
      </c>
      <c r="S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502</v>
      </c>
      <c r="N48" s="16" t="n">
        <v>161.1</v>
      </c>
      <c r="O48" s="16" t="n">
        <v>191.1</v>
      </c>
      <c r="P48" s="16" t="n">
        <v>192.1</v>
      </c>
      <c r="Q48" s="16" t="n">
        <v>221.2</v>
      </c>
      <c r="R48" s="16" t="n">
        <v>67.8</v>
      </c>
      <c r="S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507</v>
      </c>
      <c r="N49" s="10" t="n">
        <v>186.9</v>
      </c>
      <c r="O49" s="10" t="n">
        <v>214.4</v>
      </c>
      <c r="P49" s="10" t="n">
        <v>214.1</v>
      </c>
      <c r="Q49" s="10" t="n">
        <v>243.6</v>
      </c>
      <c r="R49" s="10" t="n">
        <v>70.7</v>
      </c>
      <c r="S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503</v>
      </c>
      <c r="N50" s="16" t="n">
        <v>204.4</v>
      </c>
      <c r="O50" s="16" t="n">
        <v>236</v>
      </c>
      <c r="P50" s="16" t="n">
        <v>231.8</v>
      </c>
      <c r="Q50" s="16" t="n">
        <v>260.7</v>
      </c>
      <c r="R50" s="16" t="n">
        <v>84.8</v>
      </c>
      <c r="S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v>328</v>
      </c>
      <c r="N51" s="10" t="n">
        <v>231.4</v>
      </c>
      <c r="O51" s="10" t="n">
        <v>256.9</v>
      </c>
      <c r="P51" s="10" t="n">
        <v>253.3</v>
      </c>
      <c r="Q51" s="10" t="n">
        <v>277.9</v>
      </c>
      <c r="R51" s="10" t="n"/>
      <c r="S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702</v>
      </c>
      <c r="N52" s="16" t="n">
        <v>255.3</v>
      </c>
      <c r="O52" s="16" t="n">
        <v>275.5</v>
      </c>
      <c r="P52" s="16" t="n">
        <v>275.4</v>
      </c>
      <c r="Q52" s="16" t="n">
        <v>296.4</v>
      </c>
      <c r="R52" s="16" t="n">
        <v>97.5</v>
      </c>
      <c r="S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v>652</v>
      </c>
      <c r="N53" s="10" t="n">
        <v>333.1</v>
      </c>
      <c r="O53" s="10" t="n">
        <v>355.5</v>
      </c>
      <c r="P53" s="10" t="n">
        <v>354</v>
      </c>
      <c r="Q53" s="10" t="n">
        <v>378</v>
      </c>
      <c r="R53" s="10" t="n"/>
      <c r="S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1019</v>
      </c>
      <c r="N54" s="16" t="n">
        <v>346.4</v>
      </c>
      <c r="O54" s="16" t="n">
        <v>372.4</v>
      </c>
      <c r="P54" s="16" t="n">
        <v>368.4</v>
      </c>
      <c r="Q54" s="16" t="n">
        <v>394.5</v>
      </c>
      <c r="R54" s="16" t="n">
        <v>104.4</v>
      </c>
      <c r="S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438</v>
      </c>
      <c r="N55" s="10" t="n">
        <v>357.1</v>
      </c>
      <c r="O55" s="10" t="n">
        <v>384.1</v>
      </c>
      <c r="P55" s="10" t="n">
        <v>381.4</v>
      </c>
      <c r="Q55" s="10" t="n">
        <v>407.5</v>
      </c>
      <c r="R55" s="10" t="n">
        <v>43.8</v>
      </c>
      <c r="S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v>300</v>
      </c>
      <c r="N56" s="16" t="n">
        <v>391.1</v>
      </c>
      <c r="O56" s="16" t="n">
        <v>416.9</v>
      </c>
      <c r="P56" s="16" t="n">
        <v>415.2</v>
      </c>
      <c r="Q56" s="16" t="n">
        <v>440.2</v>
      </c>
      <c r="R56" s="16" t="n"/>
      <c r="S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v>186</v>
      </c>
      <c r="N57" s="10" t="n">
        <v>440</v>
      </c>
      <c r="O57" s="10" t="n">
        <v>469</v>
      </c>
      <c r="P57" s="10" t="n">
        <v>454.8</v>
      </c>
      <c r="Q57" s="10" t="n">
        <v>479.8</v>
      </c>
      <c r="R57" s="10" t="n"/>
      <c r="S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51</v>
      </c>
      <c r="N58" s="16" t="n">
        <v>98.5</v>
      </c>
      <c r="O58" s="16" t="n">
        <v>122</v>
      </c>
      <c r="P58" s="16" t="n">
        <v>126.4</v>
      </c>
      <c r="Q58" s="16" t="n">
        <v>152.2</v>
      </c>
      <c r="R58" s="16" t="n">
        <v>17</v>
      </c>
      <c r="S58" s="17" t="n">
        <v>16.2</v>
      </c>
    </row>
    <row r="59">
      <c r="A59" s="8" t="inlineStr">
        <is>
          <t>2026-08-22</t>
        </is>
      </c>
      <c r="B59" s="8" t="inlineStr">
        <is>
          <t>エスクァイア</t>
        </is>
      </c>
      <c r="C59" s="8" t="inlineStr">
        <is>
          <t>80系</t>
        </is>
      </c>
      <c r="D59" s="8" t="n">
        <v>2015</v>
      </c>
      <c r="E59" s="11" t="n">
        <v>9</v>
      </c>
      <c r="F59" s="10" t="n">
        <v>49.8</v>
      </c>
      <c r="G59" s="10" t="n">
        <v>58.9</v>
      </c>
      <c r="H59" s="10" t="n">
        <v>64.5</v>
      </c>
      <c r="I59" s="10" t="n">
        <v>74.3</v>
      </c>
      <c r="J59" s="10" t="n">
        <v>90</v>
      </c>
      <c r="K59" s="10" t="n">
        <v>110</v>
      </c>
      <c r="L59" s="11" t="n">
        <v>154500</v>
      </c>
      <c r="M59" s="11" t="n">
        <v>232</v>
      </c>
      <c r="N59" s="10" t="n">
        <v>104.5</v>
      </c>
      <c r="O59" s="10" t="n">
        <v>135.9</v>
      </c>
      <c r="P59" s="10" t="n">
        <v>138.4</v>
      </c>
      <c r="Q59" s="10" t="n">
        <v>164.5</v>
      </c>
      <c r="R59" s="10" t="n">
        <v>71.40000000000001</v>
      </c>
      <c r="S59" s="9" t="n">
        <v>110.7</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139</v>
      </c>
      <c r="N60" s="16" t="n">
        <v>127.7</v>
      </c>
      <c r="O60" s="16" t="n">
        <v>152</v>
      </c>
      <c r="P60" s="16" t="n">
        <v>155.4</v>
      </c>
      <c r="Q60" s="16" t="n">
        <v>179.5</v>
      </c>
      <c r="R60" s="16" t="n">
        <v>46.3</v>
      </c>
      <c r="S60" s="17" t="n">
        <v>43.8</v>
      </c>
    </row>
    <row r="61">
      <c r="A61" s="8" t="inlineStr">
        <is>
          <t>2026-08-22</t>
        </is>
      </c>
      <c r="B61" s="8" t="inlineStr">
        <is>
          <t>エスクァイア</t>
        </is>
      </c>
      <c r="C61" s="8" t="inlineStr">
        <is>
          <t>80系</t>
        </is>
      </c>
      <c r="D61" s="8" t="n">
        <v>2017</v>
      </c>
      <c r="E61" s="11" t="n">
        <v>1</v>
      </c>
      <c r="F61" s="10" t="n">
        <v>58.2</v>
      </c>
      <c r="G61" s="10" t="n">
        <v>58.2</v>
      </c>
      <c r="H61" s="10" t="n">
        <v>58.2</v>
      </c>
      <c r="I61" s="10" t="n">
        <v>58.2</v>
      </c>
      <c r="J61" s="10" t="n">
        <v>58.2</v>
      </c>
      <c r="K61" s="10" t="n">
        <v>58.2</v>
      </c>
      <c r="L61" s="11" t="n">
        <v>284630</v>
      </c>
      <c r="M61" s="11" t="n">
        <v>189</v>
      </c>
      <c r="N61" s="10" t="n">
        <v>150.3</v>
      </c>
      <c r="O61" s="10" t="n">
        <v>180.4</v>
      </c>
      <c r="P61" s="10" t="n">
        <v>185.5</v>
      </c>
      <c r="Q61" s="10" t="n">
        <v>223</v>
      </c>
      <c r="R61" s="10" t="n">
        <v>122.2</v>
      </c>
      <c r="S61" s="9" t="n">
        <v>210</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v>174</v>
      </c>
      <c r="N62" s="16" t="n">
        <v>179.6</v>
      </c>
      <c r="O62" s="16" t="n">
        <v>215</v>
      </c>
      <c r="P62" s="16" t="n">
        <v>212.6</v>
      </c>
      <c r="Q62" s="16" t="n">
        <v>244</v>
      </c>
      <c r="R62" s="16" t="n"/>
      <c r="S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v>198</v>
      </c>
      <c r="N63" s="10" t="n">
        <v>209.3</v>
      </c>
      <c r="O63" s="10" t="n">
        <v>239.1</v>
      </c>
      <c r="P63" s="10" t="n">
        <v>235.7</v>
      </c>
      <c r="Q63" s="10" t="n">
        <v>264.2</v>
      </c>
      <c r="R63" s="10" t="n"/>
      <c r="S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v>124</v>
      </c>
      <c r="N64" s="16" t="n">
        <v>232</v>
      </c>
      <c r="O64" s="16" t="n">
        <v>253.9</v>
      </c>
      <c r="P64" s="16" t="n">
        <v>250.8</v>
      </c>
      <c r="Q64" s="16" t="n">
        <v>274.6</v>
      </c>
      <c r="R64" s="16" t="n"/>
      <c r="S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v>120</v>
      </c>
      <c r="N65" s="10" t="n">
        <v>259.3</v>
      </c>
      <c r="O65" s="10" t="n">
        <v>281.3</v>
      </c>
      <c r="P65" s="10" t="n">
        <v>282.7</v>
      </c>
      <c r="Q65" s="10" t="n">
        <v>300.6</v>
      </c>
      <c r="R65" s="10" t="n"/>
      <c r="S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v>2</v>
      </c>
      <c r="N66" s="16" t="n">
        <v>275</v>
      </c>
      <c r="O66" s="16" t="n">
        <v>285</v>
      </c>
      <c r="P66" s="16" t="n">
        <v>305</v>
      </c>
      <c r="Q66" s="16" t="n">
        <v>335</v>
      </c>
      <c r="R66" s="16" t="n"/>
      <c r="S66" s="17" t="n"/>
    </row>
    <row r="67">
      <c r="A67" s="8" t="inlineStr">
        <is>
          <t>2026-08-22</t>
        </is>
      </c>
      <c r="B67" s="8" t="inlineStr">
        <is>
          <t>シエンタ</t>
        </is>
      </c>
      <c r="C67" s="8" t="inlineStr">
        <is>
          <t>80系</t>
        </is>
      </c>
      <c r="D67" s="8" t="n">
        <v>2013</v>
      </c>
      <c r="E67" s="11" t="n">
        <v>2</v>
      </c>
      <c r="F67" s="10" t="n">
        <v>20</v>
      </c>
      <c r="G67" s="10" t="n">
        <v>26.2</v>
      </c>
      <c r="H67" s="10" t="n">
        <v>32.5</v>
      </c>
      <c r="I67" s="10" t="n">
        <v>32.5</v>
      </c>
      <c r="J67" s="10" t="n">
        <v>38.8</v>
      </c>
      <c r="K67" s="10" t="n">
        <v>45</v>
      </c>
      <c r="L67" s="11" t="n">
        <v>165020</v>
      </c>
      <c r="M67" s="11" t="n">
        <v>50</v>
      </c>
      <c r="N67" s="10" t="n">
        <v>45.4</v>
      </c>
      <c r="O67" s="10" t="n">
        <v>55.8</v>
      </c>
      <c r="P67" s="10" t="n">
        <v>58.8</v>
      </c>
      <c r="Q67" s="10" t="n">
        <v>70</v>
      </c>
      <c r="R67" s="10" t="n">
        <v>23.3</v>
      </c>
      <c r="S67" s="9" t="n">
        <v>71.7</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v>31</v>
      </c>
      <c r="N68" s="16" t="n">
        <v>59.2</v>
      </c>
      <c r="O68" s="16" t="n">
        <v>73.59999999999999</v>
      </c>
      <c r="P68" s="16" t="n">
        <v>84.8</v>
      </c>
      <c r="Q68" s="16" t="n">
        <v>89.40000000000001</v>
      </c>
      <c r="R68" s="16" t="n"/>
      <c r="S68" s="17" t="n"/>
    </row>
    <row r="69">
      <c r="A69" s="8" t="inlineStr">
        <is>
          <t>2026-08-22</t>
        </is>
      </c>
      <c r="B69" s="8" t="inlineStr">
        <is>
          <t>シエンタ</t>
        </is>
      </c>
      <c r="C69" s="8" t="inlineStr"/>
      <c r="D69" s="8" t="n">
        <v>2015</v>
      </c>
      <c r="E69" s="11" t="n">
        <v>10</v>
      </c>
      <c r="F69" s="10" t="n">
        <v>40</v>
      </c>
      <c r="G69" s="10" t="n">
        <v>48.4</v>
      </c>
      <c r="H69" s="10" t="n">
        <v>55.5</v>
      </c>
      <c r="I69" s="10" t="n">
        <v>55.8</v>
      </c>
      <c r="J69" s="10" t="n">
        <v>65</v>
      </c>
      <c r="K69" s="10" t="n">
        <v>71.90000000000001</v>
      </c>
      <c r="L69" s="11" t="n">
        <v>102250</v>
      </c>
      <c r="M69" s="11" t="n">
        <v>383</v>
      </c>
      <c r="N69" s="10" t="n">
        <v>80.5</v>
      </c>
      <c r="O69" s="10" t="n">
        <v>99.5</v>
      </c>
      <c r="P69" s="10" t="n">
        <v>100.1</v>
      </c>
      <c r="Q69" s="10" t="n">
        <v>120.4</v>
      </c>
      <c r="R69" s="10" t="n">
        <v>44</v>
      </c>
      <c r="S69" s="9" t="n">
        <v>79.3</v>
      </c>
    </row>
    <row r="70">
      <c r="A70" s="13" t="inlineStr">
        <is>
          <t>2026-08-22</t>
        </is>
      </c>
      <c r="B70" s="13" t="inlineStr">
        <is>
          <t>シエンタ</t>
        </is>
      </c>
      <c r="C70" s="13" t="inlineStr">
        <is>
          <t>170系</t>
        </is>
      </c>
      <c r="D70" s="13" t="n">
        <v>2016</v>
      </c>
      <c r="E70" s="15" t="n">
        <v>6</v>
      </c>
      <c r="F70" s="16" t="n">
        <v>32.8</v>
      </c>
      <c r="G70" s="16" t="n">
        <v>37.5</v>
      </c>
      <c r="H70" s="16" t="n">
        <v>41.4</v>
      </c>
      <c r="I70" s="16" t="n">
        <v>43.3</v>
      </c>
      <c r="J70" s="16" t="n">
        <v>43.8</v>
      </c>
      <c r="K70" s="16" t="n">
        <v>63.5</v>
      </c>
      <c r="L70" s="15" t="n">
        <v>220000</v>
      </c>
      <c r="M70" s="15" t="n">
        <v>547</v>
      </c>
      <c r="N70" s="16" t="n">
        <v>87.40000000000001</v>
      </c>
      <c r="O70" s="16" t="n">
        <v>107.4</v>
      </c>
      <c r="P70" s="16" t="n">
        <v>108.6</v>
      </c>
      <c r="Q70" s="16" t="n">
        <v>128.9</v>
      </c>
      <c r="R70" s="16" t="n">
        <v>66</v>
      </c>
      <c r="S70" s="17" t="n">
        <v>159.4</v>
      </c>
    </row>
    <row r="71">
      <c r="A71" s="8" t="inlineStr">
        <is>
          <t>2026-08-22</t>
        </is>
      </c>
      <c r="B71" s="8" t="inlineStr">
        <is>
          <t>シエンタ</t>
        </is>
      </c>
      <c r="C71" s="8" t="inlineStr">
        <is>
          <t>170系</t>
        </is>
      </c>
      <c r="D71" s="8" t="n">
        <v>2017</v>
      </c>
      <c r="E71" s="11" t="n">
        <v>4</v>
      </c>
      <c r="F71" s="10" t="n">
        <v>25</v>
      </c>
      <c r="G71" s="10" t="n">
        <v>36</v>
      </c>
      <c r="H71" s="10" t="n">
        <v>55</v>
      </c>
      <c r="I71" s="10" t="n">
        <v>54.5</v>
      </c>
      <c r="J71" s="10" t="n">
        <v>73.59999999999999</v>
      </c>
      <c r="K71" s="10" t="n">
        <v>83.09999999999999</v>
      </c>
      <c r="L71" s="11" t="n">
        <v>126000</v>
      </c>
      <c r="M71" s="11" t="n">
        <v>475</v>
      </c>
      <c r="N71" s="10" t="n">
        <v>100.9</v>
      </c>
      <c r="O71" s="10" t="n">
        <v>120.4</v>
      </c>
      <c r="P71" s="10" t="n">
        <v>119.7</v>
      </c>
      <c r="Q71" s="10" t="n">
        <v>138.1</v>
      </c>
      <c r="R71" s="10" t="n">
        <v>65.40000000000001</v>
      </c>
      <c r="S71" s="9" t="n">
        <v>118.9</v>
      </c>
    </row>
    <row r="72">
      <c r="A72" s="13" t="inlineStr">
        <is>
          <t>2026-08-22</t>
        </is>
      </c>
      <c r="B72" s="13" t="inlineStr">
        <is>
          <t>シエンタ</t>
        </is>
      </c>
      <c r="C72" s="13" t="inlineStr">
        <is>
          <t>170系</t>
        </is>
      </c>
      <c r="D72" s="13" t="n">
        <v>2018</v>
      </c>
      <c r="E72" s="15" t="n">
        <v>1</v>
      </c>
      <c r="F72" s="16" t="n">
        <v>165.1</v>
      </c>
      <c r="G72" s="16" t="n">
        <v>165.1</v>
      </c>
      <c r="H72" s="16" t="n">
        <v>165.1</v>
      </c>
      <c r="I72" s="16" t="n">
        <v>165.1</v>
      </c>
      <c r="J72" s="16" t="n">
        <v>165.1</v>
      </c>
      <c r="K72" s="16" t="n">
        <v>165.1</v>
      </c>
      <c r="L72" s="15" t="n">
        <v>43793</v>
      </c>
      <c r="M72" s="15" t="n">
        <v>450</v>
      </c>
      <c r="N72" s="16" t="n">
        <v>121.5</v>
      </c>
      <c r="O72" s="16" t="n">
        <v>141.3</v>
      </c>
      <c r="P72" s="16" t="n">
        <v>140.5</v>
      </c>
      <c r="Q72" s="16" t="n">
        <v>159.9</v>
      </c>
      <c r="R72" s="16" t="n">
        <v>-23.8</v>
      </c>
      <c r="S72" s="17" t="n">
        <v>-14.4</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519</v>
      </c>
      <c r="N73" s="10" t="n">
        <v>142.1</v>
      </c>
      <c r="O73" s="10" t="n">
        <v>161.6</v>
      </c>
      <c r="P73" s="10" t="n">
        <v>160.2</v>
      </c>
      <c r="Q73" s="10" t="n">
        <v>177.4</v>
      </c>
      <c r="R73" s="10" t="n">
        <v>60.2</v>
      </c>
      <c r="S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264</v>
      </c>
      <c r="N74" s="16" t="n">
        <v>147.1</v>
      </c>
      <c r="O74" s="16" t="n">
        <v>170.3</v>
      </c>
      <c r="P74" s="16" t="n">
        <v>168.8</v>
      </c>
      <c r="Q74" s="16" t="n">
        <v>190.2</v>
      </c>
      <c r="R74" s="16" t="n">
        <v>71.59999999999999</v>
      </c>
      <c r="S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421</v>
      </c>
      <c r="N75" s="10" t="n">
        <v>164</v>
      </c>
      <c r="O75" s="10" t="n">
        <v>181.9</v>
      </c>
      <c r="P75" s="10" t="n">
        <v>180.4</v>
      </c>
      <c r="Q75" s="10" t="n">
        <v>198.1</v>
      </c>
      <c r="R75" s="10" t="n">
        <v>100.9</v>
      </c>
      <c r="S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453</v>
      </c>
      <c r="N76" s="16" t="n">
        <v>204.5</v>
      </c>
      <c r="O76" s="16" t="n">
        <v>237.9</v>
      </c>
      <c r="P76" s="16" t="n">
        <v>233.8</v>
      </c>
      <c r="Q76" s="16" t="n">
        <v>265.1</v>
      </c>
      <c r="R76" s="16" t="n">
        <v>117.8</v>
      </c>
      <c r="S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951</v>
      </c>
      <c r="N77" s="10" t="n">
        <v>241.2</v>
      </c>
      <c r="O77" s="10" t="n">
        <v>264.7</v>
      </c>
      <c r="P77" s="10" t="n">
        <v>261</v>
      </c>
      <c r="Q77" s="10" t="n">
        <v>282.9</v>
      </c>
      <c r="R77" s="10" t="n">
        <v>54.8</v>
      </c>
      <c r="S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383</v>
      </c>
      <c r="N78" s="16" t="n">
        <v>253</v>
      </c>
      <c r="O78" s="16" t="n">
        <v>279.1</v>
      </c>
      <c r="P78" s="16" t="n">
        <v>274.6</v>
      </c>
      <c r="Q78" s="16" t="n">
        <v>298.6</v>
      </c>
      <c r="R78" s="16" t="n">
        <v>119</v>
      </c>
      <c r="S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269</v>
      </c>
      <c r="N79" s="10" t="n">
        <v>279</v>
      </c>
      <c r="O79" s="10" t="n">
        <v>303.6</v>
      </c>
      <c r="P79" s="10" t="n">
        <v>297.2</v>
      </c>
      <c r="Q79" s="10" t="n">
        <v>318.4</v>
      </c>
      <c r="R79" s="10" t="n">
        <v>138.5</v>
      </c>
      <c r="S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v>372</v>
      </c>
      <c r="N80" s="16" t="n">
        <v>320</v>
      </c>
      <c r="O80" s="16" t="n">
        <v>340.7</v>
      </c>
      <c r="P80" s="16" t="n">
        <v>331.5</v>
      </c>
      <c r="Q80" s="16" t="n">
        <v>353.1</v>
      </c>
      <c r="R80" s="16" t="n"/>
      <c r="S80" s="17" t="n"/>
    </row>
    <row r="81">
      <c r="A81" s="8" t="inlineStr">
        <is>
          <t>2026-08-22</t>
        </is>
      </c>
      <c r="B81" s="8" t="inlineStr">
        <is>
          <t>エスティマ</t>
        </is>
      </c>
      <c r="C81" s="8" t="inlineStr">
        <is>
          <t>50系</t>
        </is>
      </c>
      <c r="D81" s="8" t="n">
        <v>2013</v>
      </c>
      <c r="E81" s="11" t="n">
        <v>10</v>
      </c>
      <c r="F81" s="10" t="n">
        <v>32.8</v>
      </c>
      <c r="G81" s="10" t="n">
        <v>38.5</v>
      </c>
      <c r="H81" s="10" t="n">
        <v>43.5</v>
      </c>
      <c r="I81" s="10" t="n">
        <v>45.2</v>
      </c>
      <c r="J81" s="10" t="n">
        <v>49.9</v>
      </c>
      <c r="K81" s="10" t="n">
        <v>66.8</v>
      </c>
      <c r="L81" s="11" t="n">
        <v>148827</v>
      </c>
      <c r="M81" s="11" t="n">
        <v>194</v>
      </c>
      <c r="N81" s="10" t="n">
        <v>70.09999999999999</v>
      </c>
      <c r="O81" s="10" t="n">
        <v>93.5</v>
      </c>
      <c r="P81" s="10" t="n">
        <v>101.1</v>
      </c>
      <c r="Q81" s="10" t="n">
        <v>123.9</v>
      </c>
      <c r="R81" s="10" t="n">
        <v>50</v>
      </c>
      <c r="S81" s="9" t="n">
        <v>114.9</v>
      </c>
    </row>
    <row r="82">
      <c r="A82" s="13" t="inlineStr">
        <is>
          <t>2026-08-22</t>
        </is>
      </c>
      <c r="B82" s="13" t="inlineStr">
        <is>
          <t>エスティマ</t>
        </is>
      </c>
      <c r="C82" s="13" t="inlineStr">
        <is>
          <t>50系</t>
        </is>
      </c>
      <c r="D82" s="13" t="n">
        <v>2014</v>
      </c>
      <c r="E82" s="15" t="n">
        <v>4</v>
      </c>
      <c r="F82" s="16" t="n">
        <v>33.5</v>
      </c>
      <c r="G82" s="16" t="n">
        <v>38.2</v>
      </c>
      <c r="H82" s="16" t="n">
        <v>46.8</v>
      </c>
      <c r="I82" s="16" t="n">
        <v>46.8</v>
      </c>
      <c r="J82" s="16" t="n">
        <v>55.4</v>
      </c>
      <c r="K82" s="16" t="n">
        <v>60.1</v>
      </c>
      <c r="L82" s="15" t="n">
        <v>269500</v>
      </c>
      <c r="M82" s="15" t="n">
        <v>97</v>
      </c>
      <c r="N82" s="16" t="n">
        <v>81.59999999999999</v>
      </c>
      <c r="O82" s="16" t="n">
        <v>114.2</v>
      </c>
      <c r="P82" s="16" t="n">
        <v>117.2</v>
      </c>
      <c r="Q82" s="16" t="n">
        <v>148.8</v>
      </c>
      <c r="R82" s="16" t="n">
        <v>67.40000000000001</v>
      </c>
      <c r="S82" s="17" t="n">
        <v>144</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71</v>
      </c>
      <c r="N83" s="10" t="n">
        <v>101.9</v>
      </c>
      <c r="O83" s="10" t="n">
        <v>134.2</v>
      </c>
      <c r="P83" s="10" t="n">
        <v>138.5</v>
      </c>
      <c r="Q83" s="10" t="n">
        <v>173.5</v>
      </c>
      <c r="R83" s="10" t="n">
        <v>49.2</v>
      </c>
      <c r="S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126</v>
      </c>
      <c r="N84" s="16" t="n">
        <v>143.8</v>
      </c>
      <c r="O84" s="16" t="n">
        <v>185</v>
      </c>
      <c r="P84" s="16" t="n">
        <v>191</v>
      </c>
      <c r="Q84" s="16" t="n">
        <v>220.8</v>
      </c>
      <c r="R84" s="16" t="n">
        <v>76.2</v>
      </c>
      <c r="S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99</v>
      </c>
      <c r="N85" s="10" t="n">
        <v>164.6</v>
      </c>
      <c r="O85" s="10" t="n">
        <v>205.6</v>
      </c>
      <c r="P85" s="10" t="n">
        <v>216.1</v>
      </c>
      <c r="Q85" s="10" t="n">
        <v>256.9</v>
      </c>
      <c r="R85" s="10" t="n">
        <v>109.6</v>
      </c>
      <c r="S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v>27</v>
      </c>
      <c r="N86" s="16" t="n">
        <v>193.3</v>
      </c>
      <c r="O86" s="16" t="n">
        <v>230.7</v>
      </c>
      <c r="P86" s="16" t="n">
        <v>233.9</v>
      </c>
      <c r="Q86" s="16" t="n">
        <v>268</v>
      </c>
      <c r="R86" s="16" t="n"/>
      <c r="S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v>29</v>
      </c>
      <c r="N87" s="10" t="n">
        <v>205.8</v>
      </c>
      <c r="O87" s="10" t="n">
        <v>233</v>
      </c>
      <c r="P87" s="10" t="n">
        <v>253.3</v>
      </c>
      <c r="Q87" s="10" t="n">
        <v>286.7</v>
      </c>
      <c r="R87" s="10" t="n"/>
      <c r="S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v>1</v>
      </c>
      <c r="N88" s="16" t="n">
        <v>380</v>
      </c>
      <c r="O88" s="16" t="n">
        <v>385</v>
      </c>
      <c r="P88" s="16" t="n">
        <v>385</v>
      </c>
      <c r="Q88" s="16" t="n">
        <v>390</v>
      </c>
      <c r="R88" s="16" t="n"/>
      <c r="S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v>12</v>
      </c>
      <c r="N89" s="10" t="n">
        <v>85</v>
      </c>
      <c r="O89" s="10" t="n">
        <v>125</v>
      </c>
      <c r="P89" s="10" t="n">
        <v>118.3</v>
      </c>
      <c r="Q89" s="10" t="n">
        <v>155</v>
      </c>
      <c r="R89" s="10" t="n"/>
      <c r="S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v>4</v>
      </c>
      <c r="N90" s="16" t="n">
        <v>45</v>
      </c>
      <c r="O90" s="16" t="n">
        <v>65</v>
      </c>
      <c r="P90" s="16" t="n">
        <v>80</v>
      </c>
      <c r="Q90" s="16" t="n">
        <v>85</v>
      </c>
      <c r="R90" s="16" t="n"/>
      <c r="S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v>6</v>
      </c>
      <c r="N91" s="10" t="n">
        <v>115</v>
      </c>
      <c r="O91" s="10" t="n">
        <v>131.7</v>
      </c>
      <c r="P91" s="10" t="n">
        <v>121.7</v>
      </c>
      <c r="Q91" s="10" t="n">
        <v>141.7</v>
      </c>
      <c r="R91" s="10" t="n"/>
      <c r="S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v>4</v>
      </c>
      <c r="N92" s="16" t="n">
        <v>75</v>
      </c>
      <c r="O92" s="16" t="n">
        <v>85</v>
      </c>
      <c r="P92" s="16" t="n">
        <v>95</v>
      </c>
      <c r="Q92" s="16" t="n">
        <v>105</v>
      </c>
      <c r="R92" s="16" t="n"/>
      <c r="S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v>6</v>
      </c>
      <c r="N93" s="10" t="n">
        <v>155</v>
      </c>
      <c r="O93" s="10" t="n">
        <v>170</v>
      </c>
      <c r="P93" s="10" t="n">
        <v>155</v>
      </c>
      <c r="Q93" s="10" t="n">
        <v>177.5</v>
      </c>
      <c r="R93" s="10" t="n"/>
      <c r="S93" s="9" t="n"/>
    </row>
    <row r="94">
      <c r="A94" s="13" t="inlineStr">
        <is>
          <t>2026-08-22</t>
        </is>
      </c>
      <c r="B94" s="13" t="inlineStr">
        <is>
          <t>プリウスα</t>
        </is>
      </c>
      <c r="C94" s="13" t="inlineStr">
        <is>
          <t>40系</t>
        </is>
      </c>
      <c r="D94" s="13" t="n">
        <v>2013</v>
      </c>
      <c r="E94" s="15" t="n">
        <v>6</v>
      </c>
      <c r="F94" s="16" t="n">
        <v>35.8</v>
      </c>
      <c r="G94" s="16" t="n">
        <v>38.5</v>
      </c>
      <c r="H94" s="16" t="n">
        <v>42.4</v>
      </c>
      <c r="I94" s="16" t="n">
        <v>45.3</v>
      </c>
      <c r="J94" s="16" t="n">
        <v>52.5</v>
      </c>
      <c r="K94" s="16" t="n">
        <v>58</v>
      </c>
      <c r="L94" s="15" t="n">
        <v>169000</v>
      </c>
      <c r="M94" s="15" t="n">
        <v>248</v>
      </c>
      <c r="N94" s="16" t="n">
        <v>67.3</v>
      </c>
      <c r="O94" s="16" t="n">
        <v>80.5</v>
      </c>
      <c r="P94" s="16" t="n">
        <v>88.7</v>
      </c>
      <c r="Q94" s="16" t="n">
        <v>100.5</v>
      </c>
      <c r="R94" s="16" t="n">
        <v>38.1</v>
      </c>
      <c r="S94" s="17" t="n">
        <v>89.90000000000001</v>
      </c>
    </row>
    <row r="95">
      <c r="A95" s="8" t="inlineStr">
        <is>
          <t>2026-08-22</t>
        </is>
      </c>
      <c r="B95" s="8" t="inlineStr">
        <is>
          <t>プリウスα</t>
        </is>
      </c>
      <c r="C95" s="8" t="inlineStr">
        <is>
          <t>40系</t>
        </is>
      </c>
      <c r="D95" s="8" t="n">
        <v>2014</v>
      </c>
      <c r="E95" s="11" t="n">
        <v>4</v>
      </c>
      <c r="F95" s="10" t="n">
        <v>33.7</v>
      </c>
      <c r="G95" s="10" t="n">
        <v>42.2</v>
      </c>
      <c r="H95" s="10" t="n">
        <v>45.6</v>
      </c>
      <c r="I95" s="10" t="n">
        <v>56.2</v>
      </c>
      <c r="J95" s="10" t="n">
        <v>59.7</v>
      </c>
      <c r="K95" s="10" t="n">
        <v>100</v>
      </c>
      <c r="L95" s="11" t="n">
        <v>136000</v>
      </c>
      <c r="M95" s="11" t="n">
        <v>120</v>
      </c>
      <c r="N95" s="10" t="n">
        <v>72.90000000000001</v>
      </c>
      <c r="O95" s="10" t="n">
        <v>92.40000000000001</v>
      </c>
      <c r="P95" s="10" t="n">
        <v>97.3</v>
      </c>
      <c r="Q95" s="10" t="n">
        <v>113.9</v>
      </c>
      <c r="R95" s="10" t="n">
        <v>46.8</v>
      </c>
      <c r="S95" s="9" t="n">
        <v>102.6</v>
      </c>
    </row>
    <row r="96">
      <c r="A96" s="13" t="inlineStr">
        <is>
          <t>2026-08-22</t>
        </is>
      </c>
      <c r="B96" s="13" t="inlineStr">
        <is>
          <t>プリウスα</t>
        </is>
      </c>
      <c r="C96" s="13" t="inlineStr">
        <is>
          <t>40系</t>
        </is>
      </c>
      <c r="D96" s="13" t="n">
        <v>2015</v>
      </c>
      <c r="E96" s="15" t="n">
        <v>4</v>
      </c>
      <c r="F96" s="16" t="n">
        <v>45</v>
      </c>
      <c r="G96" s="16" t="n">
        <v>45.1</v>
      </c>
      <c r="H96" s="16" t="n">
        <v>57.5</v>
      </c>
      <c r="I96" s="16" t="n">
        <v>67.5</v>
      </c>
      <c r="J96" s="16" t="n">
        <v>80</v>
      </c>
      <c r="K96" s="16" t="n">
        <v>110</v>
      </c>
      <c r="L96" s="15" t="n">
        <v>147860</v>
      </c>
      <c r="M96" s="15" t="n">
        <v>210</v>
      </c>
      <c r="N96" s="16" t="n">
        <v>100.8</v>
      </c>
      <c r="O96" s="16" t="n">
        <v>125.4</v>
      </c>
      <c r="P96" s="16" t="n">
        <v>128.3</v>
      </c>
      <c r="Q96" s="16" t="n">
        <v>144.8</v>
      </c>
      <c r="R96" s="16" t="n">
        <v>67.90000000000001</v>
      </c>
      <c r="S96" s="17" t="n">
        <v>118.1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72</v>
      </c>
      <c r="N97" s="10" t="n">
        <v>115.5</v>
      </c>
      <c r="O97" s="10" t="n">
        <v>135.6</v>
      </c>
      <c r="P97" s="10" t="n">
        <v>141.7</v>
      </c>
      <c r="Q97" s="10" t="n">
        <v>161.7</v>
      </c>
      <c r="R97" s="10" t="n">
        <v>70.59999999999999</v>
      </c>
      <c r="S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61</v>
      </c>
      <c r="N98" s="16" t="n">
        <v>133.5</v>
      </c>
      <c r="O98" s="16" t="n">
        <v>163.3</v>
      </c>
      <c r="P98" s="16" t="n">
        <v>161.2</v>
      </c>
      <c r="Q98" s="16" t="n">
        <v>183.4</v>
      </c>
      <c r="R98" s="16" t="n">
        <v>69.90000000000001</v>
      </c>
      <c r="S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v>42</v>
      </c>
      <c r="N99" s="10" t="n">
        <v>152.1</v>
      </c>
      <c r="O99" s="10" t="n">
        <v>178.3</v>
      </c>
      <c r="P99" s="10" t="n">
        <v>179.3</v>
      </c>
      <c r="Q99" s="10" t="n">
        <v>203.8</v>
      </c>
      <c r="R99" s="10" t="n"/>
      <c r="S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v>31</v>
      </c>
      <c r="N100" s="16" t="n">
        <v>160.8</v>
      </c>
      <c r="O100" s="16" t="n">
        <v>183.6</v>
      </c>
      <c r="P100" s="16" t="n">
        <v>186</v>
      </c>
      <c r="Q100" s="16" t="n">
        <v>201.1</v>
      </c>
      <c r="R100" s="16" t="n"/>
      <c r="S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v>11</v>
      </c>
      <c r="N101" s="10" t="n">
        <v>168.8</v>
      </c>
      <c r="O101" s="10" t="n">
        <v>182.5</v>
      </c>
      <c r="P101" s="10" t="n">
        <v>187.7</v>
      </c>
      <c r="Q101" s="10" t="n">
        <v>200</v>
      </c>
      <c r="R101" s="10" t="n"/>
      <c r="S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v>1</v>
      </c>
      <c r="N102" s="16" t="n">
        <v>190</v>
      </c>
      <c r="O102" s="16" t="n">
        <v>195</v>
      </c>
      <c r="P102" s="16" t="n">
        <v>195</v>
      </c>
      <c r="Q102" s="16" t="n">
        <v>200</v>
      </c>
      <c r="R102" s="16" t="n"/>
      <c r="S102" s="17" t="n"/>
    </row>
    <row r="103">
      <c r="A103" s="8" t="inlineStr">
        <is>
          <t>2026-08-22</t>
        </is>
      </c>
      <c r="B103" s="8" t="inlineStr">
        <is>
          <t>アイシス</t>
        </is>
      </c>
      <c r="C103" s="8" t="inlineStr">
        <is>
          <t>10系</t>
        </is>
      </c>
      <c r="D103" s="8" t="n">
        <v>2013</v>
      </c>
      <c r="E103" s="11" t="n"/>
      <c r="F103" s="10" t="n"/>
      <c r="G103" s="10" t="n"/>
      <c r="H103" s="10" t="n"/>
      <c r="I103" s="10" t="n"/>
      <c r="J103" s="10" t="n"/>
      <c r="K103" s="10" t="n"/>
      <c r="L103" s="11" t="n"/>
      <c r="M103" s="11" t="n">
        <v>20</v>
      </c>
      <c r="N103" s="10" t="n">
        <v>45</v>
      </c>
      <c r="O103" s="10" t="n">
        <v>66.7</v>
      </c>
      <c r="P103" s="10" t="n">
        <v>66</v>
      </c>
      <c r="Q103" s="10" t="n">
        <v>85</v>
      </c>
      <c r="R103" s="10" t="n"/>
      <c r="S103" s="9" t="n"/>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v>11</v>
      </c>
      <c r="N104" s="16" t="n">
        <v>57.5</v>
      </c>
      <c r="O104" s="16" t="n">
        <v>83.3</v>
      </c>
      <c r="P104" s="16" t="n">
        <v>88.2</v>
      </c>
      <c r="Q104" s="16" t="n">
        <v>105</v>
      </c>
      <c r="R104" s="16" t="n"/>
      <c r="S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v>2</v>
      </c>
      <c r="N105" s="10" t="n">
        <v>50</v>
      </c>
      <c r="O105" s="10" t="n">
        <v>60</v>
      </c>
      <c r="P105" s="10" t="n">
        <v>70</v>
      </c>
      <c r="Q105" s="10" t="n">
        <v>90</v>
      </c>
      <c r="R105" s="10" t="n"/>
      <c r="S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v>4</v>
      </c>
      <c r="N106" s="16" t="n">
        <v>70</v>
      </c>
      <c r="O106" s="16" t="n">
        <v>80</v>
      </c>
      <c r="P106" s="16" t="n">
        <v>85</v>
      </c>
      <c r="Q106" s="16" t="n">
        <v>100</v>
      </c>
      <c r="R106" s="16" t="n"/>
      <c r="S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v>3</v>
      </c>
      <c r="N107" s="10" t="n">
        <v>555</v>
      </c>
      <c r="O107" s="10" t="n">
        <v>670</v>
      </c>
      <c r="P107" s="10" t="n">
        <v>643.3</v>
      </c>
      <c r="Q107" s="10" t="n">
        <v>705</v>
      </c>
      <c r="R107" s="10" t="n"/>
      <c r="S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v>27</v>
      </c>
      <c r="N108" s="16" t="n">
        <v>507</v>
      </c>
      <c r="O108" s="16" t="n">
        <v>556.7</v>
      </c>
      <c r="P108" s="16" t="n">
        <v>554.1</v>
      </c>
      <c r="Q108" s="16" t="n">
        <v>601.7</v>
      </c>
      <c r="R108" s="16" t="n"/>
      <c r="S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v>11</v>
      </c>
      <c r="N109" s="10" t="n">
        <v>531.7</v>
      </c>
      <c r="O109" s="10" t="n">
        <v>565</v>
      </c>
      <c r="P109" s="10" t="n">
        <v>566.4</v>
      </c>
      <c r="Q109" s="10" t="n">
        <v>592.5</v>
      </c>
      <c r="R109" s="10" t="n"/>
      <c r="S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v>4</v>
      </c>
      <c r="N110" s="16" t="n">
        <v>460</v>
      </c>
      <c r="O110" s="16" t="n">
        <v>500</v>
      </c>
      <c r="P110" s="16" t="n">
        <v>535</v>
      </c>
      <c r="Q110" s="16" t="n">
        <v>560</v>
      </c>
      <c r="R110" s="16" t="n"/>
      <c r="S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v>6</v>
      </c>
      <c r="N111" s="10" t="n">
        <v>603.3</v>
      </c>
      <c r="O111" s="10" t="n">
        <v>613.3</v>
      </c>
      <c r="P111" s="10" t="n">
        <v>673.3</v>
      </c>
      <c r="Q111" s="10" t="n">
        <v>670</v>
      </c>
      <c r="R111" s="10" t="n"/>
      <c r="S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v>7</v>
      </c>
      <c r="N112" s="16" t="n">
        <v>687.5</v>
      </c>
      <c r="O112" s="16" t="n">
        <v>770</v>
      </c>
      <c r="P112" s="16" t="n">
        <v>830</v>
      </c>
      <c r="Q112" s="16" t="n">
        <v>1025</v>
      </c>
      <c r="R112" s="16" t="n"/>
      <c r="S112" s="17" t="n"/>
    </row>
  </sheetData>
  <autoFilter ref="A1:S1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s>
  <sheetData>
    <row r="1">
      <c r="A1" s="18" t="inlineStr">
        <is>
          <t>車種</t>
        </is>
      </c>
      <c r="B1" s="18" t="inlineStr">
        <is>
          <t>世代</t>
        </is>
      </c>
      <c r="C1" s="18" t="inlineStr">
        <is>
          <t>年式</t>
        </is>
      </c>
      <c r="D1" s="18" t="inlineStr">
        <is>
          <t>2026-08-22</t>
        </is>
      </c>
      <c r="E1" s="18" t="inlineStr">
        <is>
          <t>初回比(%)</t>
        </is>
      </c>
    </row>
    <row r="2">
      <c r="A2" s="8" t="inlineStr">
        <is>
          <t>アイシス</t>
        </is>
      </c>
      <c r="B2" s="8" t="inlineStr">
        <is>
          <t>10系</t>
        </is>
      </c>
      <c r="C2" s="8" t="n">
        <v>2016</v>
      </c>
      <c r="D2" s="10" t="n"/>
    </row>
    <row r="3">
      <c r="A3" s="8" t="inlineStr">
        <is>
          <t>アイシス</t>
        </is>
      </c>
      <c r="B3" s="8" t="inlineStr">
        <is>
          <t>10系</t>
        </is>
      </c>
      <c r="C3" s="8" t="n">
        <v>2015</v>
      </c>
      <c r="D3" s="10" t="n"/>
    </row>
    <row r="4">
      <c r="A4" s="8" t="inlineStr">
        <is>
          <t>アイシス</t>
        </is>
      </c>
      <c r="B4" s="8" t="inlineStr">
        <is>
          <t>10系</t>
        </is>
      </c>
      <c r="C4" s="8" t="n">
        <v>2014</v>
      </c>
      <c r="D4" s="10" t="n"/>
    </row>
    <row r="5">
      <c r="A5" s="8" t="inlineStr">
        <is>
          <t>アイシス</t>
        </is>
      </c>
      <c r="B5" s="8" t="inlineStr">
        <is>
          <t>10系</t>
        </is>
      </c>
      <c r="C5" s="8" t="n">
        <v>2013</v>
      </c>
      <c r="D5" s="10" t="n"/>
    </row>
    <row r="6">
      <c r="A6" s="8" t="inlineStr">
        <is>
          <t>アルファード</t>
        </is>
      </c>
      <c r="B6" s="8" t="inlineStr">
        <is>
          <t>40系</t>
        </is>
      </c>
      <c r="C6" s="8" t="n">
        <v>2026</v>
      </c>
      <c r="D6" s="10" t="n"/>
    </row>
    <row r="7">
      <c r="A7" s="8" t="inlineStr">
        <is>
          <t>アルファード</t>
        </is>
      </c>
      <c r="B7" s="8" t="inlineStr">
        <is>
          <t>40系</t>
        </is>
      </c>
      <c r="C7" s="8" t="n">
        <v>2025</v>
      </c>
      <c r="D7" s="10" t="n">
        <v>657.6</v>
      </c>
    </row>
    <row r="8">
      <c r="A8" s="8" t="inlineStr">
        <is>
          <t>アルファード</t>
        </is>
      </c>
      <c r="B8" s="8" t="inlineStr">
        <is>
          <t>40系</t>
        </is>
      </c>
      <c r="C8" s="8" t="n">
        <v>2024</v>
      </c>
      <c r="D8" s="10" t="n">
        <v>504.1</v>
      </c>
    </row>
    <row r="9">
      <c r="A9" s="8" t="inlineStr">
        <is>
          <t>アルファード</t>
        </is>
      </c>
      <c r="B9" s="8" t="inlineStr">
        <is>
          <t>40系</t>
        </is>
      </c>
      <c r="C9" s="8" t="n">
        <v>2023</v>
      </c>
      <c r="D9" s="10" t="n">
        <v>631.5</v>
      </c>
    </row>
    <row r="10">
      <c r="A10" s="8" t="inlineStr">
        <is>
          <t>アルファード</t>
        </is>
      </c>
      <c r="B10" s="8" t="inlineStr">
        <is>
          <t>30系後期</t>
        </is>
      </c>
      <c r="C10" s="8" t="n">
        <v>2022</v>
      </c>
      <c r="D10" s="10" t="n">
        <v>468</v>
      </c>
    </row>
    <row r="11">
      <c r="A11" s="8" t="inlineStr">
        <is>
          <t>アルファード</t>
        </is>
      </c>
      <c r="B11" s="8" t="inlineStr">
        <is>
          <t>30系後期</t>
        </is>
      </c>
      <c r="C11" s="8" t="n">
        <v>2021</v>
      </c>
      <c r="D11" s="10" t="n"/>
    </row>
    <row r="12">
      <c r="A12" s="8" t="inlineStr">
        <is>
          <t>アルファード</t>
        </is>
      </c>
      <c r="B12" s="8" t="inlineStr">
        <is>
          <t>30系後期</t>
        </is>
      </c>
      <c r="C12" s="8" t="n">
        <v>2020</v>
      </c>
      <c r="D12" s="10" t="n">
        <v>246</v>
      </c>
    </row>
    <row r="13">
      <c r="A13" s="8" t="inlineStr">
        <is>
          <t>アルファード</t>
        </is>
      </c>
      <c r="B13" s="8" t="inlineStr">
        <is>
          <t>30系後期</t>
        </is>
      </c>
      <c r="C13" s="8" t="n">
        <v>2019</v>
      </c>
      <c r="D13" s="10" t="n">
        <v>282.1</v>
      </c>
    </row>
    <row r="14">
      <c r="A14" s="8" t="inlineStr">
        <is>
          <t>アルファード</t>
        </is>
      </c>
      <c r="B14" s="8" t="inlineStr">
        <is>
          <t>30系後期</t>
        </is>
      </c>
      <c r="C14" s="8" t="n">
        <v>2018</v>
      </c>
      <c r="D14" s="10" t="n">
        <v>286.6</v>
      </c>
    </row>
    <row r="15">
      <c r="A15" s="8" t="inlineStr">
        <is>
          <t>アルファード</t>
        </is>
      </c>
      <c r="B15" s="8" t="inlineStr">
        <is>
          <t>30系前期</t>
        </is>
      </c>
      <c r="C15" s="8" t="n">
        <v>2017</v>
      </c>
      <c r="D15" s="10" t="n">
        <v>150</v>
      </c>
    </row>
    <row r="16">
      <c r="A16" s="8" t="inlineStr">
        <is>
          <t>アルファード</t>
        </is>
      </c>
      <c r="B16" s="8" t="inlineStr">
        <is>
          <t>30系前期</t>
        </is>
      </c>
      <c r="C16" s="8" t="n">
        <v>2016</v>
      </c>
      <c r="D16" s="10" t="n">
        <v>218.8</v>
      </c>
    </row>
    <row r="17">
      <c r="A17" s="8" t="inlineStr">
        <is>
          <t>アルファード</t>
        </is>
      </c>
      <c r="B17" s="8" t="inlineStr">
        <is>
          <t>30系前期</t>
        </is>
      </c>
      <c r="C17" s="8" t="n">
        <v>2015</v>
      </c>
      <c r="D17" s="10" t="n">
        <v>147.1</v>
      </c>
    </row>
    <row r="18">
      <c r="A18" s="8" t="inlineStr">
        <is>
          <t>アルファード</t>
        </is>
      </c>
      <c r="B18" s="8" t="inlineStr">
        <is>
          <t>20系</t>
        </is>
      </c>
      <c r="C18" s="8" t="n">
        <v>2014</v>
      </c>
      <c r="D18" s="10" t="n">
        <v>67</v>
      </c>
    </row>
    <row r="19">
      <c r="A19" s="8" t="inlineStr">
        <is>
          <t>アルファード</t>
        </is>
      </c>
      <c r="B19" s="8" t="inlineStr">
        <is>
          <t>20系</t>
        </is>
      </c>
      <c r="C19" s="8" t="n">
        <v>2013</v>
      </c>
      <c r="D19" s="10" t="n">
        <v>62.5</v>
      </c>
    </row>
    <row r="20">
      <c r="A20" s="8" t="inlineStr">
        <is>
          <t>ウィッシュ</t>
        </is>
      </c>
      <c r="B20" s="8" t="inlineStr">
        <is>
          <t>20系</t>
        </is>
      </c>
      <c r="C20" s="8" t="n">
        <v>2017</v>
      </c>
      <c r="D20" s="10" t="n"/>
    </row>
    <row r="21">
      <c r="A21" s="8" t="inlineStr">
        <is>
          <t>ウィッシュ</t>
        </is>
      </c>
      <c r="B21" s="8" t="inlineStr">
        <is>
          <t>20系</t>
        </is>
      </c>
      <c r="C21" s="8" t="n">
        <v>2016</v>
      </c>
      <c r="D21" s="10" t="n"/>
    </row>
    <row r="22">
      <c r="A22" s="8" t="inlineStr">
        <is>
          <t>ウィッシュ</t>
        </is>
      </c>
      <c r="B22" s="8" t="inlineStr">
        <is>
          <t>20系</t>
        </is>
      </c>
      <c r="C22" s="8" t="n">
        <v>2015</v>
      </c>
      <c r="D22" s="10" t="n"/>
    </row>
    <row r="23">
      <c r="A23" s="8" t="inlineStr">
        <is>
          <t>ウィッシュ</t>
        </is>
      </c>
      <c r="B23" s="8" t="inlineStr">
        <is>
          <t>20系</t>
        </is>
      </c>
      <c r="C23" s="8" t="n">
        <v>2014</v>
      </c>
      <c r="D23" s="10" t="n"/>
    </row>
    <row r="24">
      <c r="A24" s="8" t="inlineStr">
        <is>
          <t>ウィッシュ</t>
        </is>
      </c>
      <c r="B24" s="8" t="inlineStr">
        <is>
          <t>20系</t>
        </is>
      </c>
      <c r="C24" s="8" t="n">
        <v>2013</v>
      </c>
      <c r="D24" s="10" t="n"/>
    </row>
    <row r="25">
      <c r="A25" s="8" t="inlineStr">
        <is>
          <t>エスクァイア</t>
        </is>
      </c>
      <c r="B25" s="8" t="inlineStr"/>
      <c r="C25" s="8" t="n">
        <v>2022</v>
      </c>
      <c r="D25" s="10" t="n"/>
    </row>
    <row r="26">
      <c r="A26" s="8" t="inlineStr">
        <is>
          <t>エスクァイア</t>
        </is>
      </c>
      <c r="B26" s="8" t="inlineStr">
        <is>
          <t>80系</t>
        </is>
      </c>
      <c r="C26" s="8" t="n">
        <v>2021</v>
      </c>
      <c r="D26" s="10" t="n"/>
    </row>
    <row r="27">
      <c r="A27" s="8" t="inlineStr">
        <is>
          <t>エスクァイア</t>
        </is>
      </c>
      <c r="B27" s="8" t="inlineStr">
        <is>
          <t>80系</t>
        </is>
      </c>
      <c r="C27" s="8" t="n">
        <v>2020</v>
      </c>
      <c r="D27" s="10" t="n"/>
    </row>
    <row r="28">
      <c r="A28" s="8" t="inlineStr">
        <is>
          <t>エスクァイア</t>
        </is>
      </c>
      <c r="B28" s="8" t="inlineStr">
        <is>
          <t>80系</t>
        </is>
      </c>
      <c r="C28" s="8" t="n">
        <v>2019</v>
      </c>
      <c r="D28" s="10" t="n"/>
    </row>
    <row r="29">
      <c r="A29" s="8" t="inlineStr">
        <is>
          <t>エスクァイア</t>
        </is>
      </c>
      <c r="B29" s="8" t="inlineStr">
        <is>
          <t>80系</t>
        </is>
      </c>
      <c r="C29" s="8" t="n">
        <v>2018</v>
      </c>
      <c r="D29" s="10" t="n"/>
    </row>
    <row r="30">
      <c r="A30" s="8" t="inlineStr">
        <is>
          <t>エスクァイア</t>
        </is>
      </c>
      <c r="B30" s="8" t="inlineStr">
        <is>
          <t>80系</t>
        </is>
      </c>
      <c r="C30" s="8" t="n">
        <v>2017</v>
      </c>
      <c r="D30" s="10" t="n">
        <v>58.2</v>
      </c>
    </row>
    <row r="31">
      <c r="A31" s="8" t="inlineStr">
        <is>
          <t>エスクァイア</t>
        </is>
      </c>
      <c r="B31" s="8" t="inlineStr">
        <is>
          <t>80系</t>
        </is>
      </c>
      <c r="C31" s="8" t="n">
        <v>2016</v>
      </c>
      <c r="D31" s="10" t="n">
        <v>105.7</v>
      </c>
    </row>
    <row r="32">
      <c r="A32" s="8" t="inlineStr">
        <is>
          <t>エスクァイア</t>
        </is>
      </c>
      <c r="B32" s="8" t="inlineStr">
        <is>
          <t>80系</t>
        </is>
      </c>
      <c r="C32" s="8" t="n">
        <v>2015</v>
      </c>
      <c r="D32" s="10" t="n">
        <v>64.5</v>
      </c>
    </row>
    <row r="33">
      <c r="A33" s="8" t="inlineStr">
        <is>
          <t>エスクァイア</t>
        </is>
      </c>
      <c r="B33" s="8" t="inlineStr"/>
      <c r="C33" s="8" t="n">
        <v>2014</v>
      </c>
      <c r="D33" s="10" t="n">
        <v>105</v>
      </c>
    </row>
    <row r="34">
      <c r="A34" s="8" t="inlineStr">
        <is>
          <t>エスティマ</t>
        </is>
      </c>
      <c r="B34" s="8" t="inlineStr"/>
      <c r="C34" s="8" t="n">
        <v>2020</v>
      </c>
      <c r="D34" s="10" t="n"/>
    </row>
    <row r="35">
      <c r="A35" s="8" t="inlineStr">
        <is>
          <t>エスティマ</t>
        </is>
      </c>
      <c r="B35" s="8" t="inlineStr">
        <is>
          <t>50系</t>
        </is>
      </c>
      <c r="C35" s="8" t="n">
        <v>2019</v>
      </c>
      <c r="D35" s="10" t="n"/>
    </row>
    <row r="36">
      <c r="A36" s="8" t="inlineStr">
        <is>
          <t>エスティマ</t>
        </is>
      </c>
      <c r="B36" s="8" t="inlineStr">
        <is>
          <t>50系</t>
        </is>
      </c>
      <c r="C36" s="8" t="n">
        <v>2018</v>
      </c>
      <c r="D36" s="10" t="n"/>
    </row>
    <row r="37">
      <c r="A37" s="8" t="inlineStr">
        <is>
          <t>エスティマ</t>
        </is>
      </c>
      <c r="B37" s="8" t="inlineStr">
        <is>
          <t>50系</t>
        </is>
      </c>
      <c r="C37" s="8" t="n">
        <v>2017</v>
      </c>
      <c r="D37" s="10" t="n">
        <v>96</v>
      </c>
    </row>
    <row r="38">
      <c r="A38" s="8" t="inlineStr">
        <is>
          <t>エスティマ</t>
        </is>
      </c>
      <c r="B38" s="8" t="inlineStr">
        <is>
          <t>50系</t>
        </is>
      </c>
      <c r="C38" s="8" t="n">
        <v>2016</v>
      </c>
      <c r="D38" s="10" t="n">
        <v>108.8</v>
      </c>
    </row>
    <row r="39">
      <c r="A39" s="8" t="inlineStr">
        <is>
          <t>エスティマ</t>
        </is>
      </c>
      <c r="B39" s="8" t="inlineStr">
        <is>
          <t>50系</t>
        </is>
      </c>
      <c r="C39" s="8" t="n">
        <v>2015</v>
      </c>
      <c r="D39" s="10" t="n">
        <v>85</v>
      </c>
    </row>
    <row r="40">
      <c r="A40" s="8" t="inlineStr">
        <is>
          <t>エスティマ</t>
        </is>
      </c>
      <c r="B40" s="8" t="inlineStr">
        <is>
          <t>50系</t>
        </is>
      </c>
      <c r="C40" s="8" t="n">
        <v>2014</v>
      </c>
      <c r="D40" s="10" t="n">
        <v>46.8</v>
      </c>
    </row>
    <row r="41">
      <c r="A41" s="8" t="inlineStr">
        <is>
          <t>エスティマ</t>
        </is>
      </c>
      <c r="B41" s="8" t="inlineStr">
        <is>
          <t>50系</t>
        </is>
      </c>
      <c r="C41" s="8" t="n">
        <v>2013</v>
      </c>
      <c r="D41" s="10" t="n">
        <v>43.5</v>
      </c>
    </row>
    <row r="42">
      <c r="A42" s="8" t="inlineStr">
        <is>
          <t>グランエース</t>
        </is>
      </c>
      <c r="B42" s="8" t="inlineStr"/>
      <c r="C42" s="8" t="n">
        <v>2024</v>
      </c>
      <c r="D42" s="10" t="n"/>
    </row>
    <row r="43">
      <c r="A43" s="8" t="inlineStr">
        <is>
          <t>グランエース</t>
        </is>
      </c>
      <c r="B43" s="8" t="inlineStr">
        <is>
          <t>300系</t>
        </is>
      </c>
      <c r="C43" s="8" t="n">
        <v>2023</v>
      </c>
      <c r="D43" s="10" t="n"/>
    </row>
    <row r="44">
      <c r="A44" s="8" t="inlineStr">
        <is>
          <t>グランエース</t>
        </is>
      </c>
      <c r="B44" s="8" t="inlineStr">
        <is>
          <t>300系</t>
        </is>
      </c>
      <c r="C44" s="8" t="n">
        <v>2022</v>
      </c>
      <c r="D44" s="10" t="n"/>
    </row>
    <row r="45">
      <c r="A45" s="8" t="inlineStr">
        <is>
          <t>グランエース</t>
        </is>
      </c>
      <c r="B45" s="8" t="inlineStr">
        <is>
          <t>300系</t>
        </is>
      </c>
      <c r="C45" s="8" t="n">
        <v>2021</v>
      </c>
      <c r="D45" s="10" t="n"/>
    </row>
    <row r="46">
      <c r="A46" s="8" t="inlineStr">
        <is>
          <t>グランエース</t>
        </is>
      </c>
      <c r="B46" s="8" t="inlineStr">
        <is>
          <t>300系</t>
        </is>
      </c>
      <c r="C46" s="8" t="n">
        <v>2020</v>
      </c>
      <c r="D46" s="10" t="n"/>
    </row>
    <row r="47">
      <c r="A47" s="8" t="inlineStr">
        <is>
          <t>グランエース</t>
        </is>
      </c>
      <c r="B47" s="8" t="inlineStr"/>
      <c r="C47" s="8" t="n">
        <v>2019</v>
      </c>
      <c r="D47" s="10" t="n"/>
    </row>
    <row r="48">
      <c r="A48" s="8" t="inlineStr">
        <is>
          <t>シエンタ</t>
        </is>
      </c>
      <c r="B48" s="8" t="inlineStr">
        <is>
          <t>10系</t>
        </is>
      </c>
      <c r="C48" s="8" t="n">
        <v>2026</v>
      </c>
      <c r="D48" s="10" t="n"/>
    </row>
    <row r="49">
      <c r="A49" s="8" t="inlineStr">
        <is>
          <t>シエンタ</t>
        </is>
      </c>
      <c r="B49" s="8" t="inlineStr">
        <is>
          <t>10系</t>
        </is>
      </c>
      <c r="C49" s="8" t="n">
        <v>2025</v>
      </c>
      <c r="D49" s="10" t="n">
        <v>165.1</v>
      </c>
    </row>
    <row r="50">
      <c r="A50" s="8" t="inlineStr">
        <is>
          <t>シエンタ</t>
        </is>
      </c>
      <c r="B50" s="8" t="inlineStr">
        <is>
          <t>10系</t>
        </is>
      </c>
      <c r="C50" s="8" t="n">
        <v>2024</v>
      </c>
      <c r="D50" s="10" t="n">
        <v>160.1</v>
      </c>
    </row>
    <row r="51">
      <c r="A51" s="8" t="inlineStr">
        <is>
          <t>シエンタ</t>
        </is>
      </c>
      <c r="B51" s="8" t="inlineStr">
        <is>
          <t>10系</t>
        </is>
      </c>
      <c r="C51" s="8" t="n">
        <v>2023</v>
      </c>
      <c r="D51" s="10" t="n">
        <v>209.9</v>
      </c>
    </row>
    <row r="52">
      <c r="A52" s="8" t="inlineStr">
        <is>
          <t>シエンタ</t>
        </is>
      </c>
      <c r="B52" s="8" t="inlineStr">
        <is>
          <t>170系</t>
        </is>
      </c>
      <c r="C52" s="8" t="n">
        <v>2022</v>
      </c>
      <c r="D52" s="10" t="n">
        <v>120.1</v>
      </c>
    </row>
    <row r="53">
      <c r="A53" s="8" t="inlineStr">
        <is>
          <t>シエンタ</t>
        </is>
      </c>
      <c r="B53" s="8" t="inlineStr">
        <is>
          <t>170系</t>
        </is>
      </c>
      <c r="C53" s="8" t="n">
        <v>2021</v>
      </c>
      <c r="D53" s="10" t="n">
        <v>81</v>
      </c>
    </row>
    <row r="54">
      <c r="A54" s="8" t="inlineStr">
        <is>
          <t>シエンタ</t>
        </is>
      </c>
      <c r="B54" s="8" t="inlineStr">
        <is>
          <t>170系</t>
        </is>
      </c>
      <c r="C54" s="8" t="n">
        <v>2020</v>
      </c>
      <c r="D54" s="10" t="n">
        <v>98.7</v>
      </c>
    </row>
    <row r="55">
      <c r="A55" s="8" t="inlineStr">
        <is>
          <t>シエンタ</t>
        </is>
      </c>
      <c r="B55" s="8" t="inlineStr">
        <is>
          <t>170系</t>
        </is>
      </c>
      <c r="C55" s="8" t="n">
        <v>2019</v>
      </c>
      <c r="D55" s="10" t="n">
        <v>101.4</v>
      </c>
    </row>
    <row r="56">
      <c r="A56" s="8" t="inlineStr">
        <is>
          <t>シエンタ</t>
        </is>
      </c>
      <c r="B56" s="8" t="inlineStr">
        <is>
          <t>170系</t>
        </is>
      </c>
      <c r="C56" s="8" t="n">
        <v>2018</v>
      </c>
      <c r="D56" s="10" t="n">
        <v>165.1</v>
      </c>
    </row>
    <row r="57">
      <c r="A57" s="8" t="inlineStr">
        <is>
          <t>シエンタ</t>
        </is>
      </c>
      <c r="B57" s="8" t="inlineStr">
        <is>
          <t>170系</t>
        </is>
      </c>
      <c r="C57" s="8" t="n">
        <v>2017</v>
      </c>
      <c r="D57" s="10" t="n">
        <v>55</v>
      </c>
    </row>
    <row r="58">
      <c r="A58" s="8" t="inlineStr">
        <is>
          <t>シエンタ</t>
        </is>
      </c>
      <c r="B58" s="8" t="inlineStr">
        <is>
          <t>170系</t>
        </is>
      </c>
      <c r="C58" s="8" t="n">
        <v>2016</v>
      </c>
      <c r="D58" s="10" t="n">
        <v>41.4</v>
      </c>
    </row>
    <row r="59">
      <c r="A59" s="8" t="inlineStr">
        <is>
          <t>シエンタ</t>
        </is>
      </c>
      <c r="B59" s="8" t="inlineStr"/>
      <c r="C59" s="8" t="n">
        <v>2015</v>
      </c>
      <c r="D59" s="10" t="n">
        <v>55.5</v>
      </c>
    </row>
    <row r="60">
      <c r="A60" s="8" t="inlineStr">
        <is>
          <t>シエンタ</t>
        </is>
      </c>
      <c r="B60" s="8" t="inlineStr">
        <is>
          <t>80系</t>
        </is>
      </c>
      <c r="C60" s="8" t="n">
        <v>2014</v>
      </c>
      <c r="D60" s="10" t="n"/>
    </row>
    <row r="61">
      <c r="A61" s="8" t="inlineStr">
        <is>
          <t>シエンタ</t>
        </is>
      </c>
      <c r="B61" s="8" t="inlineStr">
        <is>
          <t>80系</t>
        </is>
      </c>
      <c r="C61" s="8" t="n">
        <v>2013</v>
      </c>
      <c r="D61" s="10" t="n">
        <v>32.5</v>
      </c>
    </row>
    <row r="62">
      <c r="A62" s="8" t="inlineStr">
        <is>
          <t>ノア</t>
        </is>
      </c>
      <c r="B62" s="8" t="inlineStr">
        <is>
          <t>90系</t>
        </is>
      </c>
      <c r="C62" s="8" t="n">
        <v>2026</v>
      </c>
      <c r="D62" s="10" t="n"/>
    </row>
    <row r="63">
      <c r="A63" s="8" t="inlineStr">
        <is>
          <t>ノア</t>
        </is>
      </c>
      <c r="B63" s="8" t="inlineStr">
        <is>
          <t>90系</t>
        </is>
      </c>
      <c r="C63" s="8" t="n">
        <v>2025</v>
      </c>
      <c r="D63" s="10" t="n"/>
    </row>
    <row r="64">
      <c r="A64" s="8" t="inlineStr">
        <is>
          <t>ノア</t>
        </is>
      </c>
      <c r="B64" s="8" t="inlineStr">
        <is>
          <t>90系</t>
        </is>
      </c>
      <c r="C64" s="8" t="n">
        <v>2024</v>
      </c>
      <c r="D64" s="10" t="n"/>
    </row>
    <row r="65">
      <c r="A65" s="8" t="inlineStr">
        <is>
          <t>ノア</t>
        </is>
      </c>
      <c r="B65" s="8" t="inlineStr">
        <is>
          <t>90系</t>
        </is>
      </c>
      <c r="C65" s="8" t="n">
        <v>2023</v>
      </c>
      <c r="D65" s="10" t="n">
        <v>292.1</v>
      </c>
    </row>
    <row r="66">
      <c r="A66" s="8" t="inlineStr">
        <is>
          <t>ノア</t>
        </is>
      </c>
      <c r="B66" s="8" t="inlineStr">
        <is>
          <t>90系</t>
        </is>
      </c>
      <c r="C66" s="8" t="n">
        <v>2022</v>
      </c>
      <c r="D66" s="10" t="n"/>
    </row>
    <row r="67">
      <c r="A67" s="8" t="inlineStr">
        <is>
          <t>ノア</t>
        </is>
      </c>
      <c r="B67" s="8" t="inlineStr">
        <is>
          <t>80系</t>
        </is>
      </c>
      <c r="C67" s="8" t="n">
        <v>2021</v>
      </c>
      <c r="D67" s="10" t="n"/>
    </row>
    <row r="68">
      <c r="A68" s="8" t="inlineStr">
        <is>
          <t>ノア</t>
        </is>
      </c>
      <c r="B68" s="8" t="inlineStr">
        <is>
          <t>80系</t>
        </is>
      </c>
      <c r="C68" s="8" t="n">
        <v>2020</v>
      </c>
      <c r="D68" s="10" t="n">
        <v>144.7</v>
      </c>
    </row>
    <row r="69">
      <c r="A69" s="8" t="inlineStr">
        <is>
          <t>ノア</t>
        </is>
      </c>
      <c r="B69" s="8" t="inlineStr">
        <is>
          <t>80系</t>
        </is>
      </c>
      <c r="C69" s="8" t="n">
        <v>2019</v>
      </c>
      <c r="D69" s="10" t="n"/>
    </row>
    <row r="70">
      <c r="A70" s="8" t="inlineStr">
        <is>
          <t>ノア</t>
        </is>
      </c>
      <c r="B70" s="8" t="inlineStr">
        <is>
          <t>80系</t>
        </is>
      </c>
      <c r="C70" s="8" t="n">
        <v>2018</v>
      </c>
      <c r="D70" s="10" t="n">
        <v>133</v>
      </c>
    </row>
    <row r="71">
      <c r="A71" s="8" t="inlineStr">
        <is>
          <t>ノア</t>
        </is>
      </c>
      <c r="B71" s="8" t="inlineStr">
        <is>
          <t>80系</t>
        </is>
      </c>
      <c r="C71" s="8" t="n">
        <v>2017</v>
      </c>
      <c r="D71" s="10" t="n">
        <v>169.8</v>
      </c>
    </row>
    <row r="72">
      <c r="A72" s="8" t="inlineStr">
        <is>
          <t>ノア</t>
        </is>
      </c>
      <c r="B72" s="8" t="inlineStr">
        <is>
          <t>80系</t>
        </is>
      </c>
      <c r="C72" s="8" t="n">
        <v>2016</v>
      </c>
      <c r="D72" s="10" t="n">
        <v>128.3</v>
      </c>
    </row>
    <row r="73">
      <c r="A73" s="8" t="inlineStr">
        <is>
          <t>ノア</t>
        </is>
      </c>
      <c r="B73" s="8" t="inlineStr">
        <is>
          <t>80系</t>
        </is>
      </c>
      <c r="C73" s="8" t="n">
        <v>2015</v>
      </c>
      <c r="D73" s="10" t="n">
        <v>86.40000000000001</v>
      </c>
    </row>
    <row r="74">
      <c r="A74" s="8" t="inlineStr">
        <is>
          <t>ノア</t>
        </is>
      </c>
      <c r="B74" s="8" t="inlineStr">
        <is>
          <t>80系</t>
        </is>
      </c>
      <c r="C74" s="8" t="n">
        <v>2014</v>
      </c>
      <c r="D74" s="10" t="n">
        <v>72.40000000000001</v>
      </c>
    </row>
    <row r="75">
      <c r="A75" s="8" t="inlineStr">
        <is>
          <t>ノア</t>
        </is>
      </c>
      <c r="B75" s="8" t="inlineStr">
        <is>
          <t>70系</t>
        </is>
      </c>
      <c r="C75" s="8" t="n">
        <v>2013</v>
      </c>
      <c r="D75" s="10" t="n"/>
    </row>
    <row r="76">
      <c r="A76" s="8" t="inlineStr">
        <is>
          <t>プリウスα</t>
        </is>
      </c>
      <c r="B76" s="8" t="inlineStr"/>
      <c r="C76" s="8" t="n">
        <v>2021</v>
      </c>
      <c r="D76" s="10" t="n"/>
    </row>
    <row r="77">
      <c r="A77" s="8" t="inlineStr">
        <is>
          <t>プリウスα</t>
        </is>
      </c>
      <c r="B77" s="8" t="inlineStr">
        <is>
          <t>40系</t>
        </is>
      </c>
      <c r="C77" s="8" t="n">
        <v>2020</v>
      </c>
      <c r="D77" s="10" t="n"/>
    </row>
    <row r="78">
      <c r="A78" s="8" t="inlineStr">
        <is>
          <t>プリウスα</t>
        </is>
      </c>
      <c r="B78" s="8" t="inlineStr">
        <is>
          <t>40系</t>
        </is>
      </c>
      <c r="C78" s="8" t="n">
        <v>2019</v>
      </c>
      <c r="D78" s="10" t="n"/>
    </row>
    <row r="79">
      <c r="A79" s="8" t="inlineStr">
        <is>
          <t>プリウスα</t>
        </is>
      </c>
      <c r="B79" s="8" t="inlineStr">
        <is>
          <t>40系</t>
        </is>
      </c>
      <c r="C79" s="8" t="n">
        <v>2018</v>
      </c>
      <c r="D79" s="10" t="n"/>
    </row>
    <row r="80">
      <c r="A80" s="8" t="inlineStr">
        <is>
          <t>プリウスα</t>
        </is>
      </c>
      <c r="B80" s="8" t="inlineStr">
        <is>
          <t>40系</t>
        </is>
      </c>
      <c r="C80" s="8" t="n">
        <v>2017</v>
      </c>
      <c r="D80" s="10" t="n">
        <v>93.40000000000001</v>
      </c>
    </row>
    <row r="81">
      <c r="A81" s="8" t="inlineStr">
        <is>
          <t>プリウスα</t>
        </is>
      </c>
      <c r="B81" s="8" t="inlineStr">
        <is>
          <t>40系</t>
        </is>
      </c>
      <c r="C81" s="8" t="n">
        <v>2016</v>
      </c>
      <c r="D81" s="10" t="n">
        <v>65</v>
      </c>
    </row>
    <row r="82">
      <c r="A82" s="8" t="inlineStr">
        <is>
          <t>プリウスα</t>
        </is>
      </c>
      <c r="B82" s="8" t="inlineStr">
        <is>
          <t>40系</t>
        </is>
      </c>
      <c r="C82" s="8" t="n">
        <v>2015</v>
      </c>
      <c r="D82" s="10" t="n">
        <v>57.5</v>
      </c>
    </row>
    <row r="83">
      <c r="A83" s="8" t="inlineStr">
        <is>
          <t>プリウスα</t>
        </is>
      </c>
      <c r="B83" s="8" t="inlineStr">
        <is>
          <t>40系</t>
        </is>
      </c>
      <c r="C83" s="8" t="n">
        <v>2014</v>
      </c>
      <c r="D83" s="10" t="n">
        <v>45.6</v>
      </c>
    </row>
    <row r="84">
      <c r="A84" s="8" t="inlineStr">
        <is>
          <t>プリウスα</t>
        </is>
      </c>
      <c r="B84" s="8" t="inlineStr">
        <is>
          <t>40系</t>
        </is>
      </c>
      <c r="C84" s="8" t="n">
        <v>2013</v>
      </c>
      <c r="D84" s="10" t="n">
        <v>42.4</v>
      </c>
    </row>
    <row r="85">
      <c r="A85" s="8" t="inlineStr">
        <is>
          <t>ヴェルファイア</t>
        </is>
      </c>
      <c r="B85" s="8" t="inlineStr">
        <is>
          <t>40系</t>
        </is>
      </c>
      <c r="C85" s="8" t="n">
        <v>2026</v>
      </c>
      <c r="D85" s="10" t="n"/>
    </row>
    <row r="86">
      <c r="A86" s="8" t="inlineStr">
        <is>
          <t>ヴェルファイア</t>
        </is>
      </c>
      <c r="B86" s="8" t="inlineStr">
        <is>
          <t>40系</t>
        </is>
      </c>
      <c r="C86" s="8" t="n">
        <v>2025</v>
      </c>
      <c r="D86" s="10" t="n"/>
    </row>
    <row r="87">
      <c r="A87" s="8" t="inlineStr">
        <is>
          <t>ヴェルファイア</t>
        </is>
      </c>
      <c r="B87" s="8" t="inlineStr">
        <is>
          <t>40系</t>
        </is>
      </c>
      <c r="C87" s="8" t="n">
        <v>2024</v>
      </c>
      <c r="D87" s="10" t="n"/>
    </row>
    <row r="88">
      <c r="A88" s="8" t="inlineStr">
        <is>
          <t>ヴェルファイア</t>
        </is>
      </c>
      <c r="B88" s="8" t="inlineStr">
        <is>
          <t>40系</t>
        </is>
      </c>
      <c r="C88" s="8" t="n">
        <v>2023</v>
      </c>
      <c r="D88" s="10" t="n">
        <v>599</v>
      </c>
    </row>
    <row r="89">
      <c r="A89" s="8" t="inlineStr">
        <is>
          <t>ヴェルファイア</t>
        </is>
      </c>
      <c r="B89" s="8" t="inlineStr">
        <is>
          <t>30系後期</t>
        </is>
      </c>
      <c r="C89" s="8" t="n">
        <v>2022</v>
      </c>
      <c r="D89" s="10" t="n">
        <v>265.3</v>
      </c>
    </row>
    <row r="90">
      <c r="A90" s="8" t="inlineStr">
        <is>
          <t>ヴェルファイア</t>
        </is>
      </c>
      <c r="B90" s="8" t="inlineStr">
        <is>
          <t>30系後期</t>
        </is>
      </c>
      <c r="C90" s="8" t="n">
        <v>2021</v>
      </c>
      <c r="D90" s="10" t="n"/>
    </row>
    <row r="91">
      <c r="A91" s="8" t="inlineStr">
        <is>
          <t>ヴェルファイア</t>
        </is>
      </c>
      <c r="B91" s="8" t="inlineStr">
        <is>
          <t>30系後期</t>
        </is>
      </c>
      <c r="C91" s="8" t="n">
        <v>2020</v>
      </c>
      <c r="D91" s="10" t="n"/>
    </row>
    <row r="92">
      <c r="A92" s="8" t="inlineStr">
        <is>
          <t>ヴェルファイア</t>
        </is>
      </c>
      <c r="B92" s="8" t="inlineStr">
        <is>
          <t>30系後期</t>
        </is>
      </c>
      <c r="C92" s="8" t="n">
        <v>2019</v>
      </c>
      <c r="D92" s="10" t="n">
        <v>238.3</v>
      </c>
    </row>
    <row r="93">
      <c r="A93" s="8" t="inlineStr">
        <is>
          <t>ヴェルファイア</t>
        </is>
      </c>
      <c r="B93" s="8" t="inlineStr">
        <is>
          <t>30系後期</t>
        </is>
      </c>
      <c r="C93" s="8" t="n">
        <v>2018</v>
      </c>
      <c r="D93" s="10" t="n">
        <v>300.5</v>
      </c>
    </row>
    <row r="94">
      <c r="A94" s="8" t="inlineStr">
        <is>
          <t>ヴェルファイア</t>
        </is>
      </c>
      <c r="B94" s="8" t="inlineStr">
        <is>
          <t>30系前期</t>
        </is>
      </c>
      <c r="C94" s="8" t="n">
        <v>2017</v>
      </c>
      <c r="D94" s="10" t="n">
        <v>199.6</v>
      </c>
    </row>
    <row r="95">
      <c r="A95" s="8" t="inlineStr">
        <is>
          <t>ヴェルファイア</t>
        </is>
      </c>
      <c r="B95" s="8" t="inlineStr">
        <is>
          <t>30系前期</t>
        </is>
      </c>
      <c r="C95" s="8" t="n">
        <v>2016</v>
      </c>
      <c r="D95" s="10" t="n">
        <v>140.1</v>
      </c>
    </row>
    <row r="96">
      <c r="A96" s="8" t="inlineStr">
        <is>
          <t>ヴェルファイア</t>
        </is>
      </c>
      <c r="B96" s="8" t="inlineStr">
        <is>
          <t>30系前期</t>
        </is>
      </c>
      <c r="C96" s="8" t="n">
        <v>2015</v>
      </c>
      <c r="D96" s="10" t="n">
        <v>147.9</v>
      </c>
    </row>
    <row r="97">
      <c r="A97" s="8" t="inlineStr">
        <is>
          <t>ヴェルファイア</t>
        </is>
      </c>
      <c r="B97" s="8" t="inlineStr">
        <is>
          <t>20系</t>
        </is>
      </c>
      <c r="C97" s="8" t="n">
        <v>2014</v>
      </c>
      <c r="D97" s="10" t="n">
        <v>72</v>
      </c>
    </row>
    <row r="98">
      <c r="A98" s="8" t="inlineStr">
        <is>
          <t>ヴェルファイア</t>
        </is>
      </c>
      <c r="B98" s="8" t="inlineStr">
        <is>
          <t>20系</t>
        </is>
      </c>
      <c r="C98" s="8" t="n">
        <v>2013</v>
      </c>
      <c r="D98" s="10" t="n">
        <v>47.5</v>
      </c>
    </row>
    <row r="99">
      <c r="A99" s="8" t="inlineStr">
        <is>
          <t>ヴォクシー</t>
        </is>
      </c>
      <c r="B99" s="8" t="inlineStr">
        <is>
          <t>90系</t>
        </is>
      </c>
      <c r="C99" s="8" t="n">
        <v>2026</v>
      </c>
      <c r="D99" s="10" t="n"/>
    </row>
    <row r="100">
      <c r="A100" s="8" t="inlineStr">
        <is>
          <t>ヴォクシー</t>
        </is>
      </c>
      <c r="B100" s="8" t="inlineStr">
        <is>
          <t>90系</t>
        </is>
      </c>
      <c r="C100" s="8" t="n">
        <v>2025</v>
      </c>
      <c r="D100" s="10" t="n"/>
    </row>
    <row r="101">
      <c r="A101" s="8" t="inlineStr">
        <is>
          <t>ヴォクシー</t>
        </is>
      </c>
      <c r="B101" s="8" t="inlineStr">
        <is>
          <t>90系</t>
        </is>
      </c>
      <c r="C101" s="8" t="n">
        <v>2024</v>
      </c>
      <c r="D101" s="10" t="n">
        <v>340.3</v>
      </c>
    </row>
    <row r="102">
      <c r="A102" s="8" t="inlineStr">
        <is>
          <t>ヴォクシー</t>
        </is>
      </c>
      <c r="B102" s="8" t="inlineStr">
        <is>
          <t>90系</t>
        </is>
      </c>
      <c r="C102" s="8" t="n">
        <v>2023</v>
      </c>
      <c r="D102" s="10" t="n">
        <v>268</v>
      </c>
    </row>
    <row r="103">
      <c r="A103" s="8" t="inlineStr">
        <is>
          <t>ヴォクシー</t>
        </is>
      </c>
      <c r="B103" s="8" t="inlineStr">
        <is>
          <t>90系</t>
        </is>
      </c>
      <c r="C103" s="8" t="n">
        <v>2022</v>
      </c>
      <c r="D103" s="10" t="n"/>
    </row>
    <row r="104">
      <c r="A104" s="8" t="inlineStr">
        <is>
          <t>ヴォクシー</t>
        </is>
      </c>
      <c r="B104" s="8" t="inlineStr">
        <is>
          <t>80系</t>
        </is>
      </c>
      <c r="C104" s="8" t="n">
        <v>2021</v>
      </c>
      <c r="D104" s="10" t="n">
        <v>178</v>
      </c>
    </row>
    <row r="105">
      <c r="A105" s="8" t="inlineStr">
        <is>
          <t>ヴォクシー</t>
        </is>
      </c>
      <c r="B105" s="8" t="inlineStr">
        <is>
          <t>80系</t>
        </is>
      </c>
      <c r="C105" s="8" t="n">
        <v>2020</v>
      </c>
      <c r="D105" s="10" t="n"/>
    </row>
    <row r="106">
      <c r="A106" s="8" t="inlineStr">
        <is>
          <t>ヴォクシー</t>
        </is>
      </c>
      <c r="B106" s="8" t="inlineStr">
        <is>
          <t>80系</t>
        </is>
      </c>
      <c r="C106" s="8" t="n">
        <v>2019</v>
      </c>
      <c r="D106" s="10" t="n">
        <v>151.2</v>
      </c>
    </row>
    <row r="107">
      <c r="A107" s="8" t="inlineStr">
        <is>
          <t>ヴォクシー</t>
        </is>
      </c>
      <c r="B107" s="8" t="inlineStr">
        <is>
          <t>80系</t>
        </is>
      </c>
      <c r="C107" s="8" t="n">
        <v>2018</v>
      </c>
      <c r="D107" s="10" t="n">
        <v>143.7</v>
      </c>
    </row>
    <row r="108">
      <c r="A108" s="8" t="inlineStr">
        <is>
          <t>ヴォクシー</t>
        </is>
      </c>
      <c r="B108" s="8" t="inlineStr">
        <is>
          <t>80系</t>
        </is>
      </c>
      <c r="C108" s="8" t="n">
        <v>2017</v>
      </c>
      <c r="D108" s="10" t="n">
        <v>123.3</v>
      </c>
    </row>
    <row r="109">
      <c r="A109" s="8" t="inlineStr">
        <is>
          <t>ヴォクシー</t>
        </is>
      </c>
      <c r="B109" s="8" t="inlineStr">
        <is>
          <t>80系</t>
        </is>
      </c>
      <c r="C109" s="8" t="n">
        <v>2016</v>
      </c>
      <c r="D109" s="10" t="n">
        <v>120</v>
      </c>
    </row>
    <row r="110">
      <c r="A110" s="8" t="inlineStr">
        <is>
          <t>ヴォクシー</t>
        </is>
      </c>
      <c r="B110" s="8" t="inlineStr">
        <is>
          <t>80系</t>
        </is>
      </c>
      <c r="C110" s="8" t="n">
        <v>2015</v>
      </c>
      <c r="D110" s="10" t="n">
        <v>68</v>
      </c>
    </row>
    <row r="111">
      <c r="A111" s="8" t="inlineStr">
        <is>
          <t>ヴォクシー</t>
        </is>
      </c>
      <c r="B111" s="8" t="inlineStr">
        <is>
          <t>80系</t>
        </is>
      </c>
      <c r="C111" s="8" t="n">
        <v>2014</v>
      </c>
      <c r="D111" s="10" t="n">
        <v>75</v>
      </c>
    </row>
    <row r="112">
      <c r="A112" s="8" t="inlineStr">
        <is>
          <t>ヴォクシー</t>
        </is>
      </c>
      <c r="B112" s="8" t="inlineStr">
        <is>
          <t>70系</t>
        </is>
      </c>
      <c r="C112" s="8" t="n">
        <v>2013</v>
      </c>
      <c r="D112" s="10" t="n">
        <v>36.5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s>
  <sheetData>
    <row r="1">
      <c r="A1" s="18" t="inlineStr">
        <is>
          <t>車種</t>
        </is>
      </c>
      <c r="B1" s="18" t="inlineStr">
        <is>
          <t>世代</t>
        </is>
      </c>
      <c r="C1" s="18" t="inlineStr">
        <is>
          <t>年式</t>
        </is>
      </c>
      <c r="D1" s="18" t="inlineStr">
        <is>
          <t>2026-08-22</t>
        </is>
      </c>
      <c r="E1" s="18" t="inlineStr">
        <is>
          <t>初回比(%)</t>
        </is>
      </c>
    </row>
    <row r="2">
      <c r="A2" s="8" t="inlineStr">
        <is>
          <t>アイシス</t>
        </is>
      </c>
      <c r="B2" s="8" t="inlineStr">
        <is>
          <t>10系</t>
        </is>
      </c>
      <c r="C2" s="8" t="n">
        <v>2016</v>
      </c>
      <c r="D2" s="10" t="n">
        <v>80</v>
      </c>
    </row>
    <row r="3">
      <c r="A3" s="8" t="inlineStr">
        <is>
          <t>アイシス</t>
        </is>
      </c>
      <c r="B3" s="8" t="inlineStr">
        <is>
          <t>10系</t>
        </is>
      </c>
      <c r="C3" s="8" t="n">
        <v>2015</v>
      </c>
      <c r="D3" s="10" t="n">
        <v>60</v>
      </c>
    </row>
    <row r="4">
      <c r="A4" s="8" t="inlineStr">
        <is>
          <t>アイシス</t>
        </is>
      </c>
      <c r="B4" s="8" t="inlineStr">
        <is>
          <t>10系</t>
        </is>
      </c>
      <c r="C4" s="8" t="n">
        <v>2014</v>
      </c>
      <c r="D4" s="10" t="n">
        <v>83.3</v>
      </c>
    </row>
    <row r="5">
      <c r="A5" s="8" t="inlineStr">
        <is>
          <t>アイシス</t>
        </is>
      </c>
      <c r="B5" s="8" t="inlineStr">
        <is>
          <t>10系</t>
        </is>
      </c>
      <c r="C5" s="8" t="n">
        <v>2013</v>
      </c>
      <c r="D5" s="10" t="n">
        <v>66.7</v>
      </c>
    </row>
    <row r="6">
      <c r="A6" s="8" t="inlineStr">
        <is>
          <t>アルファード</t>
        </is>
      </c>
      <c r="B6" s="8" t="inlineStr">
        <is>
          <t>40系</t>
        </is>
      </c>
      <c r="C6" s="8" t="n">
        <v>2026</v>
      </c>
      <c r="D6" s="10" t="n">
        <v>688.6</v>
      </c>
    </row>
    <row r="7">
      <c r="A7" s="8" t="inlineStr">
        <is>
          <t>アルファード</t>
        </is>
      </c>
      <c r="B7" s="8" t="inlineStr">
        <is>
          <t>40系</t>
        </is>
      </c>
      <c r="C7" s="8" t="n">
        <v>2025</v>
      </c>
      <c r="D7" s="10" t="n">
        <v>639.4</v>
      </c>
    </row>
    <row r="8">
      <c r="A8" s="8" t="inlineStr">
        <is>
          <t>アルファード</t>
        </is>
      </c>
      <c r="B8" s="8" t="inlineStr">
        <is>
          <t>40系</t>
        </is>
      </c>
      <c r="C8" s="8" t="n">
        <v>2024</v>
      </c>
      <c r="D8" s="10" t="n">
        <v>617.2</v>
      </c>
    </row>
    <row r="9">
      <c r="A9" s="8" t="inlineStr">
        <is>
          <t>アルファード</t>
        </is>
      </c>
      <c r="B9" s="8" t="inlineStr">
        <is>
          <t>40系</t>
        </is>
      </c>
      <c r="C9" s="8" t="n">
        <v>2023</v>
      </c>
      <c r="D9" s="10" t="n">
        <v>572.9</v>
      </c>
    </row>
    <row r="10">
      <c r="A10" s="8" t="inlineStr">
        <is>
          <t>アルファード</t>
        </is>
      </c>
      <c r="B10" s="8" t="inlineStr">
        <is>
          <t>30系後期</t>
        </is>
      </c>
      <c r="C10" s="8" t="n">
        <v>2022</v>
      </c>
      <c r="D10" s="10" t="n">
        <v>441.7</v>
      </c>
    </row>
    <row r="11">
      <c r="A11" s="8" t="inlineStr">
        <is>
          <t>アルファード</t>
        </is>
      </c>
      <c r="B11" s="8" t="inlineStr">
        <is>
          <t>30系後期</t>
        </is>
      </c>
      <c r="C11" s="8" t="n">
        <v>2021</v>
      </c>
      <c r="D11" s="10" t="n">
        <v>388.5</v>
      </c>
    </row>
    <row r="12">
      <c r="A12" s="8" t="inlineStr">
        <is>
          <t>アルファード</t>
        </is>
      </c>
      <c r="B12" s="8" t="inlineStr">
        <is>
          <t>30系後期</t>
        </is>
      </c>
      <c r="C12" s="8" t="n">
        <v>2020</v>
      </c>
      <c r="D12" s="10" t="n">
        <v>370.4</v>
      </c>
    </row>
    <row r="13">
      <c r="A13" s="8" t="inlineStr">
        <is>
          <t>アルファード</t>
        </is>
      </c>
      <c r="B13" s="8" t="inlineStr">
        <is>
          <t>30系後期</t>
        </is>
      </c>
      <c r="C13" s="8" t="n">
        <v>2019</v>
      </c>
      <c r="D13" s="10" t="n">
        <v>365.6</v>
      </c>
    </row>
    <row r="14">
      <c r="A14" s="8" t="inlineStr">
        <is>
          <t>アルファード</t>
        </is>
      </c>
      <c r="B14" s="8" t="inlineStr">
        <is>
          <t>30系後期</t>
        </is>
      </c>
      <c r="C14" s="8" t="n">
        <v>2018</v>
      </c>
      <c r="D14" s="10" t="n">
        <v>339</v>
      </c>
    </row>
    <row r="15">
      <c r="A15" s="8" t="inlineStr">
        <is>
          <t>アルファード</t>
        </is>
      </c>
      <c r="B15" s="8" t="inlineStr">
        <is>
          <t>30系前期</t>
        </is>
      </c>
      <c r="C15" s="8" t="n">
        <v>2017</v>
      </c>
      <c r="D15" s="10" t="n">
        <v>253</v>
      </c>
    </row>
    <row r="16">
      <c r="A16" s="8" t="inlineStr">
        <is>
          <t>アルファード</t>
        </is>
      </c>
      <c r="B16" s="8" t="inlineStr">
        <is>
          <t>30系前期</t>
        </is>
      </c>
      <c r="C16" s="8" t="n">
        <v>2016</v>
      </c>
      <c r="D16" s="10" t="n">
        <v>243.5</v>
      </c>
    </row>
    <row r="17">
      <c r="A17" s="8" t="inlineStr">
        <is>
          <t>アルファード</t>
        </is>
      </c>
      <c r="B17" s="8" t="inlineStr">
        <is>
          <t>30系前期</t>
        </is>
      </c>
      <c r="C17" s="8" t="n">
        <v>2015</v>
      </c>
      <c r="D17" s="10" t="n">
        <v>226.3</v>
      </c>
    </row>
    <row r="18">
      <c r="A18" s="8" t="inlineStr">
        <is>
          <t>アルファード</t>
        </is>
      </c>
      <c r="B18" s="8" t="inlineStr">
        <is>
          <t>20系</t>
        </is>
      </c>
      <c r="C18" s="8" t="n">
        <v>2014</v>
      </c>
      <c r="D18" s="10" t="n">
        <v>128.8</v>
      </c>
    </row>
    <row r="19">
      <c r="A19" s="8" t="inlineStr">
        <is>
          <t>アルファード</t>
        </is>
      </c>
      <c r="B19" s="8" t="inlineStr">
        <is>
          <t>20系</t>
        </is>
      </c>
      <c r="C19" s="8" t="n">
        <v>2013</v>
      </c>
      <c r="D19" s="10" t="n">
        <v>120.8</v>
      </c>
    </row>
    <row r="20">
      <c r="A20" s="8" t="inlineStr">
        <is>
          <t>ウィッシュ</t>
        </is>
      </c>
      <c r="B20" s="8" t="inlineStr">
        <is>
          <t>20系</t>
        </is>
      </c>
      <c r="C20" s="8" t="n">
        <v>2017</v>
      </c>
      <c r="D20" s="10" t="n">
        <v>170</v>
      </c>
    </row>
    <row r="21">
      <c r="A21" s="8" t="inlineStr">
        <is>
          <t>ウィッシュ</t>
        </is>
      </c>
      <c r="B21" s="8" t="inlineStr">
        <is>
          <t>20系</t>
        </is>
      </c>
      <c r="C21" s="8" t="n">
        <v>2016</v>
      </c>
      <c r="D21" s="10" t="n">
        <v>85</v>
      </c>
    </row>
    <row r="22">
      <c r="A22" s="8" t="inlineStr">
        <is>
          <t>ウィッシュ</t>
        </is>
      </c>
      <c r="B22" s="8" t="inlineStr">
        <is>
          <t>20系</t>
        </is>
      </c>
      <c r="C22" s="8" t="n">
        <v>2015</v>
      </c>
      <c r="D22" s="10" t="n">
        <v>131.7</v>
      </c>
    </row>
    <row r="23">
      <c r="A23" s="8" t="inlineStr">
        <is>
          <t>ウィッシュ</t>
        </is>
      </c>
      <c r="B23" s="8" t="inlineStr">
        <is>
          <t>20系</t>
        </is>
      </c>
      <c r="C23" s="8" t="n">
        <v>2014</v>
      </c>
      <c r="D23" s="10" t="n">
        <v>65</v>
      </c>
    </row>
    <row r="24">
      <c r="A24" s="8" t="inlineStr">
        <is>
          <t>ウィッシュ</t>
        </is>
      </c>
      <c r="B24" s="8" t="inlineStr">
        <is>
          <t>20系</t>
        </is>
      </c>
      <c r="C24" s="8" t="n">
        <v>2013</v>
      </c>
      <c r="D24" s="10" t="n">
        <v>125</v>
      </c>
    </row>
    <row r="25">
      <c r="A25" s="8" t="inlineStr">
        <is>
          <t>エスクァイア</t>
        </is>
      </c>
      <c r="B25" s="8" t="inlineStr"/>
      <c r="C25" s="8" t="n">
        <v>2022</v>
      </c>
      <c r="D25" s="10" t="n">
        <v>285</v>
      </c>
    </row>
    <row r="26">
      <c r="A26" s="8" t="inlineStr">
        <is>
          <t>エスクァイア</t>
        </is>
      </c>
      <c r="B26" s="8" t="inlineStr">
        <is>
          <t>80系</t>
        </is>
      </c>
      <c r="C26" s="8" t="n">
        <v>2021</v>
      </c>
      <c r="D26" s="10" t="n">
        <v>281.3</v>
      </c>
    </row>
    <row r="27">
      <c r="A27" s="8" t="inlineStr">
        <is>
          <t>エスクァイア</t>
        </is>
      </c>
      <c r="B27" s="8" t="inlineStr">
        <is>
          <t>80系</t>
        </is>
      </c>
      <c r="C27" s="8" t="n">
        <v>2020</v>
      </c>
      <c r="D27" s="10" t="n">
        <v>253.9</v>
      </c>
    </row>
    <row r="28">
      <c r="A28" s="8" t="inlineStr">
        <is>
          <t>エスクァイア</t>
        </is>
      </c>
      <c r="B28" s="8" t="inlineStr">
        <is>
          <t>80系</t>
        </is>
      </c>
      <c r="C28" s="8" t="n">
        <v>2019</v>
      </c>
      <c r="D28" s="10" t="n">
        <v>239.1</v>
      </c>
    </row>
    <row r="29">
      <c r="A29" s="8" t="inlineStr">
        <is>
          <t>エスクァイア</t>
        </is>
      </c>
      <c r="B29" s="8" t="inlineStr">
        <is>
          <t>80系</t>
        </is>
      </c>
      <c r="C29" s="8" t="n">
        <v>2018</v>
      </c>
      <c r="D29" s="10" t="n">
        <v>215</v>
      </c>
    </row>
    <row r="30">
      <c r="A30" s="8" t="inlineStr">
        <is>
          <t>エスクァイア</t>
        </is>
      </c>
      <c r="B30" s="8" t="inlineStr">
        <is>
          <t>80系</t>
        </is>
      </c>
      <c r="C30" s="8" t="n">
        <v>2017</v>
      </c>
      <c r="D30" s="10" t="n">
        <v>180.4</v>
      </c>
    </row>
    <row r="31">
      <c r="A31" s="8" t="inlineStr">
        <is>
          <t>エスクァイア</t>
        </is>
      </c>
      <c r="B31" s="8" t="inlineStr">
        <is>
          <t>80系</t>
        </is>
      </c>
      <c r="C31" s="8" t="n">
        <v>2016</v>
      </c>
      <c r="D31" s="10" t="n">
        <v>152</v>
      </c>
    </row>
    <row r="32">
      <c r="A32" s="8" t="inlineStr">
        <is>
          <t>エスクァイア</t>
        </is>
      </c>
      <c r="B32" s="8" t="inlineStr">
        <is>
          <t>80系</t>
        </is>
      </c>
      <c r="C32" s="8" t="n">
        <v>2015</v>
      </c>
      <c r="D32" s="10" t="n">
        <v>135.9</v>
      </c>
    </row>
    <row r="33">
      <c r="A33" s="8" t="inlineStr">
        <is>
          <t>エスクァイア</t>
        </is>
      </c>
      <c r="B33" s="8" t="inlineStr"/>
      <c r="C33" s="8" t="n">
        <v>2014</v>
      </c>
      <c r="D33" s="10" t="n">
        <v>122</v>
      </c>
    </row>
    <row r="34">
      <c r="A34" s="8" t="inlineStr">
        <is>
          <t>エスティマ</t>
        </is>
      </c>
      <c r="B34" s="8" t="inlineStr"/>
      <c r="C34" s="8" t="n">
        <v>2020</v>
      </c>
      <c r="D34" s="10" t="n">
        <v>385</v>
      </c>
    </row>
    <row r="35">
      <c r="A35" s="8" t="inlineStr">
        <is>
          <t>エスティマ</t>
        </is>
      </c>
      <c r="B35" s="8" t="inlineStr">
        <is>
          <t>50系</t>
        </is>
      </c>
      <c r="C35" s="8" t="n">
        <v>2019</v>
      </c>
      <c r="D35" s="10" t="n">
        <v>233</v>
      </c>
    </row>
    <row r="36">
      <c r="A36" s="8" t="inlineStr">
        <is>
          <t>エスティマ</t>
        </is>
      </c>
      <c r="B36" s="8" t="inlineStr">
        <is>
          <t>50系</t>
        </is>
      </c>
      <c r="C36" s="8" t="n">
        <v>2018</v>
      </c>
      <c r="D36" s="10" t="n">
        <v>230.7</v>
      </c>
    </row>
    <row r="37">
      <c r="A37" s="8" t="inlineStr">
        <is>
          <t>エスティマ</t>
        </is>
      </c>
      <c r="B37" s="8" t="inlineStr">
        <is>
          <t>50系</t>
        </is>
      </c>
      <c r="C37" s="8" t="n">
        <v>2017</v>
      </c>
      <c r="D37" s="10" t="n">
        <v>205.6</v>
      </c>
    </row>
    <row r="38">
      <c r="A38" s="8" t="inlineStr">
        <is>
          <t>エスティマ</t>
        </is>
      </c>
      <c r="B38" s="8" t="inlineStr">
        <is>
          <t>50系</t>
        </is>
      </c>
      <c r="C38" s="8" t="n">
        <v>2016</v>
      </c>
      <c r="D38" s="10" t="n">
        <v>185</v>
      </c>
    </row>
    <row r="39">
      <c r="A39" s="8" t="inlineStr">
        <is>
          <t>エスティマ</t>
        </is>
      </c>
      <c r="B39" s="8" t="inlineStr">
        <is>
          <t>50系</t>
        </is>
      </c>
      <c r="C39" s="8" t="n">
        <v>2015</v>
      </c>
      <c r="D39" s="10" t="n">
        <v>134.2</v>
      </c>
    </row>
    <row r="40">
      <c r="A40" s="8" t="inlineStr">
        <is>
          <t>エスティマ</t>
        </is>
      </c>
      <c r="B40" s="8" t="inlineStr">
        <is>
          <t>50系</t>
        </is>
      </c>
      <c r="C40" s="8" t="n">
        <v>2014</v>
      </c>
      <c r="D40" s="10" t="n">
        <v>114.2</v>
      </c>
    </row>
    <row r="41">
      <c r="A41" s="8" t="inlineStr">
        <is>
          <t>エスティマ</t>
        </is>
      </c>
      <c r="B41" s="8" t="inlineStr">
        <is>
          <t>50系</t>
        </is>
      </c>
      <c r="C41" s="8" t="n">
        <v>2013</v>
      </c>
      <c r="D41" s="10" t="n">
        <v>93.5</v>
      </c>
    </row>
    <row r="42">
      <c r="A42" s="8" t="inlineStr">
        <is>
          <t>グランエース</t>
        </is>
      </c>
      <c r="B42" s="8" t="inlineStr"/>
      <c r="C42" s="8" t="n">
        <v>2024</v>
      </c>
      <c r="D42" s="10" t="n">
        <v>770</v>
      </c>
    </row>
    <row r="43">
      <c r="A43" s="8" t="inlineStr">
        <is>
          <t>グランエース</t>
        </is>
      </c>
      <c r="B43" s="8" t="inlineStr">
        <is>
          <t>300系</t>
        </is>
      </c>
      <c r="C43" s="8" t="n">
        <v>2023</v>
      </c>
      <c r="D43" s="10" t="n">
        <v>613.3</v>
      </c>
    </row>
    <row r="44">
      <c r="A44" s="8" t="inlineStr">
        <is>
          <t>グランエース</t>
        </is>
      </c>
      <c r="B44" s="8" t="inlineStr">
        <is>
          <t>300系</t>
        </is>
      </c>
      <c r="C44" s="8" t="n">
        <v>2022</v>
      </c>
      <c r="D44" s="10" t="n">
        <v>500</v>
      </c>
    </row>
    <row r="45">
      <c r="A45" s="8" t="inlineStr">
        <is>
          <t>グランエース</t>
        </is>
      </c>
      <c r="B45" s="8" t="inlineStr">
        <is>
          <t>300系</t>
        </is>
      </c>
      <c r="C45" s="8" t="n">
        <v>2021</v>
      </c>
      <c r="D45" s="10" t="n">
        <v>565</v>
      </c>
    </row>
    <row r="46">
      <c r="A46" s="8" t="inlineStr">
        <is>
          <t>グランエース</t>
        </is>
      </c>
      <c r="B46" s="8" t="inlineStr">
        <is>
          <t>300系</t>
        </is>
      </c>
      <c r="C46" s="8" t="n">
        <v>2020</v>
      </c>
      <c r="D46" s="10" t="n">
        <v>556.7</v>
      </c>
    </row>
    <row r="47">
      <c r="A47" s="8" t="inlineStr">
        <is>
          <t>グランエース</t>
        </is>
      </c>
      <c r="B47" s="8" t="inlineStr"/>
      <c r="C47" s="8" t="n">
        <v>2019</v>
      </c>
      <c r="D47" s="10" t="n">
        <v>670</v>
      </c>
    </row>
    <row r="48">
      <c r="A48" s="8" t="inlineStr">
        <is>
          <t>シエンタ</t>
        </is>
      </c>
      <c r="B48" s="8" t="inlineStr">
        <is>
          <t>10系</t>
        </is>
      </c>
      <c r="C48" s="8" t="n">
        <v>2026</v>
      </c>
      <c r="D48" s="10" t="n">
        <v>340.7</v>
      </c>
    </row>
    <row r="49">
      <c r="A49" s="8" t="inlineStr">
        <is>
          <t>シエンタ</t>
        </is>
      </c>
      <c r="B49" s="8" t="inlineStr">
        <is>
          <t>10系</t>
        </is>
      </c>
      <c r="C49" s="8" t="n">
        <v>2025</v>
      </c>
      <c r="D49" s="10" t="n">
        <v>303.6</v>
      </c>
    </row>
    <row r="50">
      <c r="A50" s="8" t="inlineStr">
        <is>
          <t>シエンタ</t>
        </is>
      </c>
      <c r="B50" s="8" t="inlineStr">
        <is>
          <t>10系</t>
        </is>
      </c>
      <c r="C50" s="8" t="n">
        <v>2024</v>
      </c>
      <c r="D50" s="10" t="n">
        <v>279.1</v>
      </c>
    </row>
    <row r="51">
      <c r="A51" s="8" t="inlineStr">
        <is>
          <t>シエンタ</t>
        </is>
      </c>
      <c r="B51" s="8" t="inlineStr">
        <is>
          <t>10系</t>
        </is>
      </c>
      <c r="C51" s="8" t="n">
        <v>2023</v>
      </c>
      <c r="D51" s="10" t="n">
        <v>264.7</v>
      </c>
    </row>
    <row r="52">
      <c r="A52" s="8" t="inlineStr">
        <is>
          <t>シエンタ</t>
        </is>
      </c>
      <c r="B52" s="8" t="inlineStr">
        <is>
          <t>170系</t>
        </is>
      </c>
      <c r="C52" s="8" t="n">
        <v>2022</v>
      </c>
      <c r="D52" s="10" t="n">
        <v>237.9</v>
      </c>
    </row>
    <row r="53">
      <c r="A53" s="8" t="inlineStr">
        <is>
          <t>シエンタ</t>
        </is>
      </c>
      <c r="B53" s="8" t="inlineStr">
        <is>
          <t>170系</t>
        </is>
      </c>
      <c r="C53" s="8" t="n">
        <v>2021</v>
      </c>
      <c r="D53" s="10" t="n">
        <v>181.9</v>
      </c>
    </row>
    <row r="54">
      <c r="A54" s="8" t="inlineStr">
        <is>
          <t>シエンタ</t>
        </is>
      </c>
      <c r="B54" s="8" t="inlineStr">
        <is>
          <t>170系</t>
        </is>
      </c>
      <c r="C54" s="8" t="n">
        <v>2020</v>
      </c>
      <c r="D54" s="10" t="n">
        <v>170.3</v>
      </c>
    </row>
    <row r="55">
      <c r="A55" s="8" t="inlineStr">
        <is>
          <t>シエンタ</t>
        </is>
      </c>
      <c r="B55" s="8" t="inlineStr">
        <is>
          <t>170系</t>
        </is>
      </c>
      <c r="C55" s="8" t="n">
        <v>2019</v>
      </c>
      <c r="D55" s="10" t="n">
        <v>161.6</v>
      </c>
    </row>
    <row r="56">
      <c r="A56" s="8" t="inlineStr">
        <is>
          <t>シエンタ</t>
        </is>
      </c>
      <c r="B56" s="8" t="inlineStr">
        <is>
          <t>170系</t>
        </is>
      </c>
      <c r="C56" s="8" t="n">
        <v>2018</v>
      </c>
      <c r="D56" s="10" t="n">
        <v>141.3</v>
      </c>
    </row>
    <row r="57">
      <c r="A57" s="8" t="inlineStr">
        <is>
          <t>シエンタ</t>
        </is>
      </c>
      <c r="B57" s="8" t="inlineStr">
        <is>
          <t>170系</t>
        </is>
      </c>
      <c r="C57" s="8" t="n">
        <v>2017</v>
      </c>
      <c r="D57" s="10" t="n">
        <v>120.4</v>
      </c>
    </row>
    <row r="58">
      <c r="A58" s="8" t="inlineStr">
        <is>
          <t>シエンタ</t>
        </is>
      </c>
      <c r="B58" s="8" t="inlineStr">
        <is>
          <t>170系</t>
        </is>
      </c>
      <c r="C58" s="8" t="n">
        <v>2016</v>
      </c>
      <c r="D58" s="10" t="n">
        <v>107.4</v>
      </c>
    </row>
    <row r="59">
      <c r="A59" s="8" t="inlineStr">
        <is>
          <t>シエンタ</t>
        </is>
      </c>
      <c r="B59" s="8" t="inlineStr"/>
      <c r="C59" s="8" t="n">
        <v>2015</v>
      </c>
      <c r="D59" s="10" t="n">
        <v>99.5</v>
      </c>
    </row>
    <row r="60">
      <c r="A60" s="8" t="inlineStr">
        <is>
          <t>シエンタ</t>
        </is>
      </c>
      <c r="B60" s="8" t="inlineStr">
        <is>
          <t>80系</t>
        </is>
      </c>
      <c r="C60" s="8" t="n">
        <v>2014</v>
      </c>
      <c r="D60" s="10" t="n">
        <v>73.59999999999999</v>
      </c>
    </row>
    <row r="61">
      <c r="A61" s="8" t="inlineStr">
        <is>
          <t>シエンタ</t>
        </is>
      </c>
      <c r="B61" s="8" t="inlineStr">
        <is>
          <t>80系</t>
        </is>
      </c>
      <c r="C61" s="8" t="n">
        <v>2013</v>
      </c>
      <c r="D61" s="10" t="n">
        <v>55.8</v>
      </c>
    </row>
    <row r="62">
      <c r="A62" s="8" t="inlineStr">
        <is>
          <t>ノア</t>
        </is>
      </c>
      <c r="B62" s="8" t="inlineStr">
        <is>
          <t>90系</t>
        </is>
      </c>
      <c r="C62" s="8" t="n">
        <v>2026</v>
      </c>
      <c r="D62" s="10" t="n">
        <v>446.8</v>
      </c>
    </row>
    <row r="63">
      <c r="A63" s="8" t="inlineStr">
        <is>
          <t>ノア</t>
        </is>
      </c>
      <c r="B63" s="8" t="inlineStr">
        <is>
          <t>90系</t>
        </is>
      </c>
      <c r="C63" s="8" t="n">
        <v>2025</v>
      </c>
      <c r="D63" s="10" t="n">
        <v>402.9</v>
      </c>
    </row>
    <row r="64">
      <c r="A64" s="8" t="inlineStr">
        <is>
          <t>ノア</t>
        </is>
      </c>
      <c r="B64" s="8" t="inlineStr">
        <is>
          <t>90系</t>
        </is>
      </c>
      <c r="C64" s="8" t="n">
        <v>2024</v>
      </c>
      <c r="D64" s="10" t="n">
        <v>371.5</v>
      </c>
    </row>
    <row r="65">
      <c r="A65" s="8" t="inlineStr">
        <is>
          <t>ノア</t>
        </is>
      </c>
      <c r="B65" s="8" t="inlineStr">
        <is>
          <t>90系</t>
        </is>
      </c>
      <c r="C65" s="8" t="n">
        <v>2023</v>
      </c>
      <c r="D65" s="10" t="n">
        <v>361</v>
      </c>
    </row>
    <row r="66">
      <c r="A66" s="8" t="inlineStr">
        <is>
          <t>ノア</t>
        </is>
      </c>
      <c r="B66" s="8" t="inlineStr">
        <is>
          <t>90系</t>
        </is>
      </c>
      <c r="C66" s="8" t="n">
        <v>2022</v>
      </c>
      <c r="D66" s="10" t="n">
        <v>339.6</v>
      </c>
    </row>
    <row r="67">
      <c r="A67" s="8" t="inlineStr">
        <is>
          <t>ノア</t>
        </is>
      </c>
      <c r="B67" s="8" t="inlineStr">
        <is>
          <t>80系</t>
        </is>
      </c>
      <c r="C67" s="8" t="n">
        <v>2021</v>
      </c>
      <c r="D67" s="10" t="n">
        <v>266.9</v>
      </c>
    </row>
    <row r="68">
      <c r="A68" s="8" t="inlineStr">
        <is>
          <t>ノア</t>
        </is>
      </c>
      <c r="B68" s="8" t="inlineStr">
        <is>
          <t>80系</t>
        </is>
      </c>
      <c r="C68" s="8" t="n">
        <v>2020</v>
      </c>
      <c r="D68" s="10" t="n">
        <v>249</v>
      </c>
    </row>
    <row r="69">
      <c r="A69" s="8" t="inlineStr">
        <is>
          <t>ノア</t>
        </is>
      </c>
      <c r="B69" s="8" t="inlineStr">
        <is>
          <t>80系</t>
        </is>
      </c>
      <c r="C69" s="8" t="n">
        <v>2019</v>
      </c>
      <c r="D69" s="10" t="n">
        <v>231.9</v>
      </c>
    </row>
    <row r="70">
      <c r="A70" s="8" t="inlineStr">
        <is>
          <t>ノア</t>
        </is>
      </c>
      <c r="B70" s="8" t="inlineStr">
        <is>
          <t>80系</t>
        </is>
      </c>
      <c r="C70" s="8" t="n">
        <v>2018</v>
      </c>
      <c r="D70" s="10" t="n">
        <v>207.7</v>
      </c>
    </row>
    <row r="71">
      <c r="A71" s="8" t="inlineStr">
        <is>
          <t>ノア</t>
        </is>
      </c>
      <c r="B71" s="8" t="inlineStr">
        <is>
          <t>80系</t>
        </is>
      </c>
      <c r="C71" s="8" t="n">
        <v>2017</v>
      </c>
      <c r="D71" s="10" t="n">
        <v>178.9</v>
      </c>
    </row>
    <row r="72">
      <c r="A72" s="8" t="inlineStr">
        <is>
          <t>ノア</t>
        </is>
      </c>
      <c r="B72" s="8" t="inlineStr">
        <is>
          <t>80系</t>
        </is>
      </c>
      <c r="C72" s="8" t="n">
        <v>2016</v>
      </c>
      <c r="D72" s="10" t="n">
        <v>149.8</v>
      </c>
    </row>
    <row r="73">
      <c r="A73" s="8" t="inlineStr">
        <is>
          <t>ノア</t>
        </is>
      </c>
      <c r="B73" s="8" t="inlineStr">
        <is>
          <t>80系</t>
        </is>
      </c>
      <c r="C73" s="8" t="n">
        <v>2015</v>
      </c>
      <c r="D73" s="10" t="n">
        <v>126.2</v>
      </c>
    </row>
    <row r="74">
      <c r="A74" s="8" t="inlineStr">
        <is>
          <t>ノア</t>
        </is>
      </c>
      <c r="B74" s="8" t="inlineStr">
        <is>
          <t>80系</t>
        </is>
      </c>
      <c r="C74" s="8" t="n">
        <v>2014</v>
      </c>
      <c r="D74" s="10" t="n">
        <v>121.5</v>
      </c>
    </row>
    <row r="75">
      <c r="A75" s="8" t="inlineStr">
        <is>
          <t>ノア</t>
        </is>
      </c>
      <c r="B75" s="8" t="inlineStr">
        <is>
          <t>70系</t>
        </is>
      </c>
      <c r="C75" s="8" t="n">
        <v>2013</v>
      </c>
      <c r="D75" s="10" t="n">
        <v>95</v>
      </c>
    </row>
    <row r="76">
      <c r="A76" s="8" t="inlineStr">
        <is>
          <t>プリウスα</t>
        </is>
      </c>
      <c r="B76" s="8" t="inlineStr"/>
      <c r="C76" s="8" t="n">
        <v>2021</v>
      </c>
      <c r="D76" s="10" t="n">
        <v>195</v>
      </c>
    </row>
    <row r="77">
      <c r="A77" s="8" t="inlineStr">
        <is>
          <t>プリウスα</t>
        </is>
      </c>
      <c r="B77" s="8" t="inlineStr">
        <is>
          <t>40系</t>
        </is>
      </c>
      <c r="C77" s="8" t="n">
        <v>2020</v>
      </c>
      <c r="D77" s="10" t="n">
        <v>182.5</v>
      </c>
    </row>
    <row r="78">
      <c r="A78" s="8" t="inlineStr">
        <is>
          <t>プリウスα</t>
        </is>
      </c>
      <c r="B78" s="8" t="inlineStr">
        <is>
          <t>40系</t>
        </is>
      </c>
      <c r="C78" s="8" t="n">
        <v>2019</v>
      </c>
      <c r="D78" s="10" t="n">
        <v>183.6</v>
      </c>
    </row>
    <row r="79">
      <c r="A79" s="8" t="inlineStr">
        <is>
          <t>プリウスα</t>
        </is>
      </c>
      <c r="B79" s="8" t="inlineStr">
        <is>
          <t>40系</t>
        </is>
      </c>
      <c r="C79" s="8" t="n">
        <v>2018</v>
      </c>
      <c r="D79" s="10" t="n">
        <v>178.3</v>
      </c>
    </row>
    <row r="80">
      <c r="A80" s="8" t="inlineStr">
        <is>
          <t>プリウスα</t>
        </is>
      </c>
      <c r="B80" s="8" t="inlineStr">
        <is>
          <t>40系</t>
        </is>
      </c>
      <c r="C80" s="8" t="n">
        <v>2017</v>
      </c>
      <c r="D80" s="10" t="n">
        <v>163.3</v>
      </c>
    </row>
    <row r="81">
      <c r="A81" s="8" t="inlineStr">
        <is>
          <t>プリウスα</t>
        </is>
      </c>
      <c r="B81" s="8" t="inlineStr">
        <is>
          <t>40系</t>
        </is>
      </c>
      <c r="C81" s="8" t="n">
        <v>2016</v>
      </c>
      <c r="D81" s="10" t="n">
        <v>135.6</v>
      </c>
    </row>
    <row r="82">
      <c r="A82" s="8" t="inlineStr">
        <is>
          <t>プリウスα</t>
        </is>
      </c>
      <c r="B82" s="8" t="inlineStr">
        <is>
          <t>40系</t>
        </is>
      </c>
      <c r="C82" s="8" t="n">
        <v>2015</v>
      </c>
      <c r="D82" s="10" t="n">
        <v>125.4</v>
      </c>
    </row>
    <row r="83">
      <c r="A83" s="8" t="inlineStr">
        <is>
          <t>プリウスα</t>
        </is>
      </c>
      <c r="B83" s="8" t="inlineStr">
        <is>
          <t>40系</t>
        </is>
      </c>
      <c r="C83" s="8" t="n">
        <v>2014</v>
      </c>
      <c r="D83" s="10" t="n">
        <v>92.40000000000001</v>
      </c>
    </row>
    <row r="84">
      <c r="A84" s="8" t="inlineStr">
        <is>
          <t>プリウスα</t>
        </is>
      </c>
      <c r="B84" s="8" t="inlineStr">
        <is>
          <t>40系</t>
        </is>
      </c>
      <c r="C84" s="8" t="n">
        <v>2013</v>
      </c>
      <c r="D84" s="10" t="n">
        <v>80.5</v>
      </c>
    </row>
    <row r="85">
      <c r="A85" s="8" t="inlineStr">
        <is>
          <t>ヴェルファイア</t>
        </is>
      </c>
      <c r="B85" s="8" t="inlineStr">
        <is>
          <t>40系</t>
        </is>
      </c>
      <c r="C85" s="8" t="n">
        <v>2026</v>
      </c>
      <c r="D85" s="10" t="n">
        <v>797.1</v>
      </c>
    </row>
    <row r="86">
      <c r="A86" s="8" t="inlineStr">
        <is>
          <t>ヴェルファイア</t>
        </is>
      </c>
      <c r="B86" s="8" t="inlineStr">
        <is>
          <t>40系</t>
        </is>
      </c>
      <c r="C86" s="8" t="n">
        <v>2025</v>
      </c>
      <c r="D86" s="10" t="n">
        <v>765.4</v>
      </c>
    </row>
    <row r="87">
      <c r="A87" s="8" t="inlineStr">
        <is>
          <t>ヴェルファイア</t>
        </is>
      </c>
      <c r="B87" s="8" t="inlineStr">
        <is>
          <t>40系</t>
        </is>
      </c>
      <c r="C87" s="8" t="n">
        <v>2024</v>
      </c>
      <c r="D87" s="10" t="n">
        <v>679.1</v>
      </c>
    </row>
    <row r="88">
      <c r="A88" s="8" t="inlineStr">
        <is>
          <t>ヴェルファイア</t>
        </is>
      </c>
      <c r="B88" s="8" t="inlineStr">
        <is>
          <t>40系</t>
        </is>
      </c>
      <c r="C88" s="8" t="n">
        <v>2023</v>
      </c>
      <c r="D88" s="10" t="n">
        <v>660.2</v>
      </c>
    </row>
    <row r="89">
      <c r="A89" s="8" t="inlineStr">
        <is>
          <t>ヴェルファイア</t>
        </is>
      </c>
      <c r="B89" s="8" t="inlineStr">
        <is>
          <t>30系後期</t>
        </is>
      </c>
      <c r="C89" s="8" t="n">
        <v>2022</v>
      </c>
      <c r="D89" s="10" t="n">
        <v>415</v>
      </c>
    </row>
    <row r="90">
      <c r="A90" s="8" t="inlineStr">
        <is>
          <t>ヴェルファイア</t>
        </is>
      </c>
      <c r="B90" s="8" t="inlineStr">
        <is>
          <t>30系後期</t>
        </is>
      </c>
      <c r="C90" s="8" t="n">
        <v>2021</v>
      </c>
      <c r="D90" s="10" t="n">
        <v>371.4</v>
      </c>
    </row>
    <row r="91">
      <c r="A91" s="8" t="inlineStr">
        <is>
          <t>ヴェルファイア</t>
        </is>
      </c>
      <c r="B91" s="8" t="inlineStr">
        <is>
          <t>30系後期</t>
        </is>
      </c>
      <c r="C91" s="8" t="n">
        <v>2020</v>
      </c>
      <c r="D91" s="10" t="n">
        <v>355.6</v>
      </c>
    </row>
    <row r="92">
      <c r="A92" s="8" t="inlineStr">
        <is>
          <t>ヴェルファイア</t>
        </is>
      </c>
      <c r="B92" s="8" t="inlineStr">
        <is>
          <t>30系後期</t>
        </is>
      </c>
      <c r="C92" s="8" t="n">
        <v>2019</v>
      </c>
      <c r="D92" s="10" t="n">
        <v>329.4</v>
      </c>
    </row>
    <row r="93">
      <c r="A93" s="8" t="inlineStr">
        <is>
          <t>ヴェルファイア</t>
        </is>
      </c>
      <c r="B93" s="8" t="inlineStr">
        <is>
          <t>30系後期</t>
        </is>
      </c>
      <c r="C93" s="8" t="n">
        <v>2018</v>
      </c>
      <c r="D93" s="10" t="n">
        <v>315.5</v>
      </c>
    </row>
    <row r="94">
      <c r="A94" s="8" t="inlineStr">
        <is>
          <t>ヴェルファイア</t>
        </is>
      </c>
      <c r="B94" s="8" t="inlineStr">
        <is>
          <t>30系前期</t>
        </is>
      </c>
      <c r="C94" s="8" t="n">
        <v>2017</v>
      </c>
      <c r="D94" s="10" t="n">
        <v>229.7</v>
      </c>
    </row>
    <row r="95">
      <c r="A95" s="8" t="inlineStr">
        <is>
          <t>ヴェルファイア</t>
        </is>
      </c>
      <c r="B95" s="8" t="inlineStr">
        <is>
          <t>30系前期</t>
        </is>
      </c>
      <c r="C95" s="8" t="n">
        <v>2016</v>
      </c>
      <c r="D95" s="10" t="n">
        <v>230.2</v>
      </c>
    </row>
    <row r="96">
      <c r="A96" s="8" t="inlineStr">
        <is>
          <t>ヴェルファイア</t>
        </is>
      </c>
      <c r="B96" s="8" t="inlineStr">
        <is>
          <t>30系前期</t>
        </is>
      </c>
      <c r="C96" s="8" t="n">
        <v>2015</v>
      </c>
      <c r="D96" s="10" t="n">
        <v>215.9</v>
      </c>
    </row>
    <row r="97">
      <c r="A97" s="8" t="inlineStr">
        <is>
          <t>ヴェルファイア</t>
        </is>
      </c>
      <c r="B97" s="8" t="inlineStr">
        <is>
          <t>20系</t>
        </is>
      </c>
      <c r="C97" s="8" t="n">
        <v>2014</v>
      </c>
      <c r="D97" s="10" t="n">
        <v>125</v>
      </c>
    </row>
    <row r="98">
      <c r="A98" s="8" t="inlineStr">
        <is>
          <t>ヴェルファイア</t>
        </is>
      </c>
      <c r="B98" s="8" t="inlineStr">
        <is>
          <t>20系</t>
        </is>
      </c>
      <c r="C98" s="8" t="n">
        <v>2013</v>
      </c>
      <c r="D98" s="10" t="n">
        <v>109.2</v>
      </c>
    </row>
    <row r="99">
      <c r="A99" s="8" t="inlineStr">
        <is>
          <t>ヴォクシー</t>
        </is>
      </c>
      <c r="B99" s="8" t="inlineStr">
        <is>
          <t>90系</t>
        </is>
      </c>
      <c r="C99" s="8" t="n">
        <v>2026</v>
      </c>
      <c r="D99" s="10" t="n">
        <v>469</v>
      </c>
    </row>
    <row r="100">
      <c r="A100" s="8" t="inlineStr">
        <is>
          <t>ヴォクシー</t>
        </is>
      </c>
      <c r="B100" s="8" t="inlineStr">
        <is>
          <t>90系</t>
        </is>
      </c>
      <c r="C100" s="8" t="n">
        <v>2025</v>
      </c>
      <c r="D100" s="10" t="n">
        <v>416.9</v>
      </c>
    </row>
    <row r="101">
      <c r="A101" s="8" t="inlineStr">
        <is>
          <t>ヴォクシー</t>
        </is>
      </c>
      <c r="B101" s="8" t="inlineStr">
        <is>
          <t>90系</t>
        </is>
      </c>
      <c r="C101" s="8" t="n">
        <v>2024</v>
      </c>
      <c r="D101" s="10" t="n">
        <v>384.1</v>
      </c>
    </row>
    <row r="102">
      <c r="A102" s="8" t="inlineStr">
        <is>
          <t>ヴォクシー</t>
        </is>
      </c>
      <c r="B102" s="8" t="inlineStr">
        <is>
          <t>90系</t>
        </is>
      </c>
      <c r="C102" s="8" t="n">
        <v>2023</v>
      </c>
      <c r="D102" s="10" t="n">
        <v>372.4</v>
      </c>
    </row>
    <row r="103">
      <c r="A103" s="8" t="inlineStr">
        <is>
          <t>ヴォクシー</t>
        </is>
      </c>
      <c r="B103" s="8" t="inlineStr">
        <is>
          <t>90系</t>
        </is>
      </c>
      <c r="C103" s="8" t="n">
        <v>2022</v>
      </c>
      <c r="D103" s="10" t="n">
        <v>355.5</v>
      </c>
    </row>
    <row r="104">
      <c r="A104" s="8" t="inlineStr">
        <is>
          <t>ヴォクシー</t>
        </is>
      </c>
      <c r="B104" s="8" t="inlineStr">
        <is>
          <t>80系</t>
        </is>
      </c>
      <c r="C104" s="8" t="n">
        <v>2021</v>
      </c>
      <c r="D104" s="10" t="n">
        <v>275.5</v>
      </c>
    </row>
    <row r="105">
      <c r="A105" s="8" t="inlineStr">
        <is>
          <t>ヴォクシー</t>
        </is>
      </c>
      <c r="B105" s="8" t="inlineStr">
        <is>
          <t>80系</t>
        </is>
      </c>
      <c r="C105" s="8" t="n">
        <v>2020</v>
      </c>
      <c r="D105" s="10" t="n">
        <v>256.9</v>
      </c>
    </row>
    <row r="106">
      <c r="A106" s="8" t="inlineStr">
        <is>
          <t>ヴォクシー</t>
        </is>
      </c>
      <c r="B106" s="8" t="inlineStr">
        <is>
          <t>80系</t>
        </is>
      </c>
      <c r="C106" s="8" t="n">
        <v>2019</v>
      </c>
      <c r="D106" s="10" t="n">
        <v>236</v>
      </c>
    </row>
    <row r="107">
      <c r="A107" s="8" t="inlineStr">
        <is>
          <t>ヴォクシー</t>
        </is>
      </c>
      <c r="B107" s="8" t="inlineStr">
        <is>
          <t>80系</t>
        </is>
      </c>
      <c r="C107" s="8" t="n">
        <v>2018</v>
      </c>
      <c r="D107" s="10" t="n">
        <v>214.4</v>
      </c>
    </row>
    <row r="108">
      <c r="A108" s="8" t="inlineStr">
        <is>
          <t>ヴォクシー</t>
        </is>
      </c>
      <c r="B108" s="8" t="inlineStr">
        <is>
          <t>80系</t>
        </is>
      </c>
      <c r="C108" s="8" t="n">
        <v>2017</v>
      </c>
      <c r="D108" s="10" t="n">
        <v>191.1</v>
      </c>
    </row>
    <row r="109">
      <c r="A109" s="8" t="inlineStr">
        <is>
          <t>ヴォクシー</t>
        </is>
      </c>
      <c r="B109" s="8" t="inlineStr">
        <is>
          <t>80系</t>
        </is>
      </c>
      <c r="C109" s="8" t="n">
        <v>2016</v>
      </c>
      <c r="D109" s="10" t="n">
        <v>160.2</v>
      </c>
    </row>
    <row r="110">
      <c r="A110" s="8" t="inlineStr">
        <is>
          <t>ヴォクシー</t>
        </is>
      </c>
      <c r="B110" s="8" t="inlineStr">
        <is>
          <t>80系</t>
        </is>
      </c>
      <c r="C110" s="8" t="n">
        <v>2015</v>
      </c>
      <c r="D110" s="10" t="n">
        <v>137.1</v>
      </c>
    </row>
    <row r="111">
      <c r="A111" s="8" t="inlineStr">
        <is>
          <t>ヴォクシー</t>
        </is>
      </c>
      <c r="B111" s="8" t="inlineStr">
        <is>
          <t>80系</t>
        </is>
      </c>
      <c r="C111" s="8" t="n">
        <v>2014</v>
      </c>
      <c r="D111" s="10" t="n">
        <v>122.6</v>
      </c>
    </row>
    <row r="112">
      <c r="A112" s="8" t="inlineStr">
        <is>
          <t>ヴォクシー</t>
        </is>
      </c>
      <c r="B112" s="8" t="inlineStr">
        <is>
          <t>70系</t>
        </is>
      </c>
      <c r="C112" s="8" t="n">
        <v>2013</v>
      </c>
      <c r="D112" s="10" t="n">
        <v>74.09999999999999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7673</v>
      </c>
      <c r="H2" s="15" t="n">
        <v>2884</v>
      </c>
      <c r="I2" s="15" t="n">
        <v>9442</v>
      </c>
      <c r="J2" s="13" t="n">
        <v>5</v>
      </c>
      <c r="K2" s="15" t="n">
        <v>171</v>
      </c>
      <c r="L2" s="13" t="n">
        <v>3.93</v>
      </c>
      <c r="M2" s="15" t="n">
        <v>67</v>
      </c>
      <c r="N2" s="15" t="n">
        <v>99678</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4068</v>
      </c>
      <c r="H3" s="11" t="n">
        <v>2129</v>
      </c>
      <c r="I3" s="11" t="n">
        <v>5093</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3969</v>
      </c>
      <c r="H4" s="15" t="n">
        <v>2111</v>
      </c>
      <c r="I4" s="15" t="n">
        <v>4611</v>
      </c>
      <c r="J4" s="13" t="n">
        <v>5</v>
      </c>
      <c r="K4" s="15" t="n">
        <v>1</v>
      </c>
      <c r="L4" s="13" t="n">
        <v>4</v>
      </c>
      <c r="M4" s="15" t="n">
        <v>68</v>
      </c>
      <c r="N4" s="15" t="n">
        <v>24862</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6885</v>
      </c>
      <c r="H5" s="11" t="n">
        <v>3003</v>
      </c>
      <c r="I5" s="11" t="n">
        <v>8071</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1229</v>
      </c>
      <c r="H6" s="15" t="n">
        <v>868</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5675</v>
      </c>
      <c r="H7" s="11" t="n">
        <v>2648</v>
      </c>
      <c r="I7" s="11" t="n">
        <v>6445</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1202</v>
      </c>
      <c r="H8" s="15" t="n">
        <v>865</v>
      </c>
      <c r="I8" s="15" t="n">
        <v>1362</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1151</v>
      </c>
      <c r="H10" s="15" t="n">
        <v>913</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137</v>
      </c>
      <c r="H11" s="11" t="n">
        <v>121</v>
      </c>
      <c r="I11" s="11" t="n">
        <v>157</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58</v>
      </c>
      <c r="H12" s="15" t="n">
        <v>50</v>
      </c>
      <c r="I12" s="15" t="n"/>
      <c r="J12" s="13" t="n">
        <v>3.6</v>
      </c>
      <c r="K12" s="15" t="n">
        <v>5</v>
      </c>
      <c r="L12" s="13" t="n"/>
      <c r="M12" s="15" t="n"/>
      <c r="N12" s="15" t="n"/>
      <c r="O12" s="13" t="n">
        <v>4</v>
      </c>
      <c r="P12" s="13" t="n">
        <v>3.8</v>
      </c>
      <c r="Q12" s="13" t="n">
        <v>4.8</v>
      </c>
      <c r="R12" s="13" t="n">
        <v>4.8</v>
      </c>
      <c r="S12" s="13" t="n">
        <v>3.8</v>
      </c>
      <c r="T12" s="13" t="n">
        <v>4.5</v>
      </c>
      <c r="U12" s="13" t="n">
        <v>51</v>
      </c>
    </row>
  </sheetData>
  <autoFilter ref="A1:U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3</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 / ①3〜4人乗車でほぼ使用、乗り心地はTHEトヨタ、ふわふわ。 ②燃費は思ったより良くメーター読みでリッター10kmは超えています。 ③意外や小さなフェンダーミラーはしっかりと前方下の死角も見えて便利です。</t>
        </is>
      </c>
      <c r="M15" s="14" t="inlineStr">
        <is>
          <t>燃費をなんとかして欲しい。 / 燃費が20系より悪い / 高級車ではないです、高額車です。 乗ればギシギシミシミシ、 大きい普通なミニバンです。 逆に道具として使い倒せるのはいい所。 街中ではでっかいので立駐NGの場所が多いです。 レーダークルコン付いてますが同一車線に車が無いのに車を把握して急ブ</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7</v>
      </c>
      <c r="E19" s="8" t="n">
        <v>4.57</v>
      </c>
      <c r="F19" s="8" t="n">
        <v>5</v>
      </c>
      <c r="G19" s="8" t="n">
        <v>4.14</v>
      </c>
      <c r="H19" s="8" t="n">
        <v>4.57</v>
      </c>
      <c r="I19" s="8" t="n">
        <v>4.29</v>
      </c>
      <c r="J19" s="8" t="n">
        <v>3.14</v>
      </c>
      <c r="K19" s="8" t="n">
        <v>3.29</v>
      </c>
      <c r="L19" s="14" t="inlineStr">
        <is>
          <t>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 / この室内の広さ、燃費、走りは大変満足です。</t>
        </is>
      </c>
      <c r="M1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 / オプションでもDVDプレーヤーがないこと。 ※社外品でBlu-rayプレーヤーを取付て対応しました。</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2</v>
      </c>
      <c r="E23" s="8" t="n">
        <v>5</v>
      </c>
      <c r="F23" s="8" t="n">
        <v>4</v>
      </c>
      <c r="G23" s="8" t="n">
        <v>3</v>
      </c>
      <c r="H23" s="8" t="n">
        <v>4</v>
      </c>
      <c r="I23" s="8" t="n">
        <v>4</v>
      </c>
      <c r="J23" s="8" t="n">
        <v>3</v>
      </c>
      <c r="K23" s="8" t="n">
        <v>3</v>
      </c>
      <c r="L23" s="14" t="inlineStr">
        <is>
          <t>流石５ナンバーですから取り回しが良い / 旧車ですが実に丈夫で故障知らず👌</t>
        </is>
      </c>
      <c r="M23" s="14" t="inlineStr">
        <is>
          <t>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5</v>
      </c>
      <c r="E29" s="8" t="n">
        <v>5</v>
      </c>
      <c r="F29" s="8" t="n">
        <v>5</v>
      </c>
      <c r="G29" s="8" t="n">
        <v>4.6</v>
      </c>
      <c r="H29" s="8" t="n">
        <v>4.4</v>
      </c>
      <c r="I29" s="8" t="n">
        <v>4.8</v>
      </c>
      <c r="J29" s="8" t="n">
        <v>3.6</v>
      </c>
      <c r="K29" s="8" t="n">
        <v>3</v>
      </c>
      <c r="L29" s="14" t="inlineStr">
        <is>
          <t>前の車と比較すると、広くなって荷物も入れられるし、7人乗ることもあるので少し快適になってくれたかと思います / 加速力良い / 乗りやすいし広いし使い勝手がすごく良い！！</t>
        </is>
      </c>
      <c r="M29" s="14" t="inlineStr">
        <is>
          <t>洗車に時間がかかる / S-Zを買わないとゲートテールが光らない</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8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2015</v>
      </c>
      <c r="C32" s="13" t="inlineStr">
        <is>
          <t>Z“Gエディション”_7人乗り(CVT_2.5)</t>
        </is>
      </c>
      <c r="D32" s="13" t="inlineStr">
        <is>
          <t>2026年8月19日</t>
        </is>
      </c>
      <c r="E32" s="13" t="inlineStr">
        <is>
          <t>通勤通学</t>
        </is>
      </c>
      <c r="F32" s="13" t="n">
        <v>5</v>
      </c>
      <c r="G32" s="13" t="n">
        <v>5</v>
      </c>
      <c r="H32" s="13" t="n">
        <v>5</v>
      </c>
      <c r="I32" s="13" t="n">
        <v>5</v>
      </c>
      <c r="J32" s="13" t="n">
        <v>5</v>
      </c>
      <c r="K32" s="13" t="n">
        <v>2</v>
      </c>
      <c r="L32" s="13" t="inlineStr">
        <is>
          <t>新車から10年経っていますが、まだ魅力有ります</t>
        </is>
      </c>
      <c r="M32" s="14" t="inlineStr">
        <is>
          <t>静粛性、内装、さすがはトヨタと思える車です。</t>
        </is>
      </c>
      <c r="N32" s="14" t="inlineStr">
        <is>
          <t>2500CCガソリンで2t超えなので仕方ないですが 燃費が残念</t>
        </is>
      </c>
      <c r="O32" s="14" t="inlineStr">
        <is>
          <t>さすがトヨタのＬクラスミニバン 静粛性、内装、快適性は素晴らしいです。</t>
        </is>
      </c>
      <c r="P32" s="13" t="inlineStr">
        <is>
          <t>https://minkara.carview.co.jp/car/toyota/vellfire/review/detail.aspx?cid=460818</t>
        </is>
      </c>
    </row>
    <row r="33">
      <c r="A33" s="8" t="inlineStr">
        <is>
          <t>ヴェルファイア</t>
        </is>
      </c>
      <c r="B33" s="8" t="n">
        <v>2015</v>
      </c>
      <c r="C33" s="8" t="inlineStr">
        <is>
          <t>不明</t>
        </is>
      </c>
      <c r="D33" s="8" t="inlineStr">
        <is>
          <t>2026年8月18日</t>
        </is>
      </c>
      <c r="E33" s="8" t="inlineStr">
        <is>
          <t>レジャー</t>
        </is>
      </c>
      <c r="F33" s="8" t="n">
        <v>5</v>
      </c>
      <c r="G33" s="8" t="n">
        <v>5</v>
      </c>
      <c r="H33" s="8" t="n">
        <v>5</v>
      </c>
      <c r="I33" s="8" t="n">
        <v>4</v>
      </c>
      <c r="J33" s="8" t="n">
        <v>5</v>
      </c>
      <c r="K33" s="8" t="n">
        <v>3</v>
      </c>
      <c r="L33" s="8" t="inlineStr">
        <is>
          <t>カスタムしがいが有る一台</t>
        </is>
      </c>
      <c r="M33" s="14" t="inlineStr">
        <is>
          <t>外観内観満足しております</t>
        </is>
      </c>
      <c r="N33" s="14" t="n"/>
      <c r="O33" s="14" t="inlineStr">
        <is>
          <t>不満に思う点が逆に見つから無く、 乗り心地更には見た目も良い</t>
        </is>
      </c>
      <c r="P33" s="8" t="inlineStr">
        <is>
          <t>https://minkara.carview.co.jp/car/toyota/vellfire/review/detail.aspx?cid=460755</t>
        </is>
      </c>
    </row>
    <row r="34">
      <c r="A34" s="13" t="inlineStr">
        <is>
          <t>ヴェルファイア</t>
        </is>
      </c>
      <c r="B34" s="13" t="n">
        <v>2023</v>
      </c>
      <c r="C34" s="13" t="inlineStr">
        <is>
          <t>不明</t>
        </is>
      </c>
      <c r="D34" s="13" t="inlineStr">
        <is>
          <t>2026年8月18日</t>
        </is>
      </c>
      <c r="E34" s="13" t="inlineStr">
        <is>
          <t>レジャー</t>
        </is>
      </c>
      <c r="F34" s="13" t="n">
        <v>5</v>
      </c>
      <c r="G34" s="13" t="n"/>
      <c r="H34" s="13" t="n"/>
      <c r="I34" s="13" t="n"/>
      <c r="J34" s="13" t="n"/>
      <c r="K34" s="13" t="n"/>
      <c r="L34" s="13" t="inlineStr">
        <is>
          <t>燃費良し</t>
        </is>
      </c>
      <c r="M34" s="14" t="inlineStr">
        <is>
          <t>家族が後席でくつろげること</t>
        </is>
      </c>
      <c r="N34" s="14" t="inlineStr">
        <is>
          <t>三列目のシートの動きが悪い時がある。 ディーラーにて入院中。</t>
        </is>
      </c>
      <c r="O34" s="14" t="inlineStr">
        <is>
          <t>後ろの席の人はビジネスクラスを味わえます。</t>
        </is>
      </c>
      <c r="P34" s="13" t="inlineStr">
        <is>
          <t>https://minkara.carview.co.jp/car/toyota/vellfire/review/detail.aspx?cid=460743</t>
        </is>
      </c>
    </row>
    <row r="35">
      <c r="A35" s="8" t="inlineStr">
        <is>
          <t>ヴェルファイア</t>
        </is>
      </c>
      <c r="B35" s="8" t="n">
        <v>2016</v>
      </c>
      <c r="C35" s="8" t="inlineStr">
        <is>
          <t>Z“Aエディション・ゴールデンアイズ”_7人乗り(CVT_2.5)</t>
        </is>
      </c>
      <c r="D35" s="8" t="inlineStr">
        <is>
          <t>2026年8月18日</t>
        </is>
      </c>
      <c r="E35" s="8" t="inlineStr">
        <is>
          <t>通勤通学</t>
        </is>
      </c>
      <c r="F35" s="8" t="n">
        <v>5</v>
      </c>
      <c r="G35" s="8" t="n">
        <v>4</v>
      </c>
      <c r="H35" s="8" t="n">
        <v>4</v>
      </c>
      <c r="I35" s="8" t="n">
        <v>4</v>
      </c>
      <c r="J35" s="8" t="n">
        <v>5</v>
      </c>
      <c r="K35" s="8" t="n">
        <v>3</v>
      </c>
      <c r="L35" s="8" t="inlineStr">
        <is>
          <t>憧れの1台</t>
        </is>
      </c>
      <c r="M35" s="14" t="inlineStr">
        <is>
          <t>乗り心地が最高。乗り降りは少し大変でも視野が高いので運転は楽。</t>
        </is>
      </c>
      <c r="N35" s="14" t="inlineStr">
        <is>
          <t>燃費をなんとかして欲しい。</t>
        </is>
      </c>
      <c r="O35" s="14" t="inlineStr">
        <is>
          <t>長距離通勤なので、メリットもデメリット実感！大事に長く乗って、デメリット解消！</t>
        </is>
      </c>
      <c r="P35" s="8" t="inlineStr">
        <is>
          <t>https://minkara.carview.co.jp/car/toyota/vellfire/review/detail.aspx?cid=460734</t>
        </is>
      </c>
    </row>
    <row r="36">
      <c r="A36" s="13" t="inlineStr">
        <is>
          <t>ヴェルファイア</t>
        </is>
      </c>
      <c r="B36" s="13" t="n">
        <v>2025</v>
      </c>
      <c r="C36" s="13" t="inlineStr">
        <is>
          <t>Z プレミア(CVT_2.5_ハイブリッド)</t>
        </is>
      </c>
      <c r="D36" s="13" t="inlineStr">
        <is>
          <t>2026年8月11日</t>
        </is>
      </c>
      <c r="E36" s="13" t="inlineStr">
        <is>
          <t>通勤通学</t>
        </is>
      </c>
      <c r="F36" s="13" t="n">
        <v>5</v>
      </c>
      <c r="G36" s="13" t="n">
        <v>5</v>
      </c>
      <c r="H36" s="13" t="n">
        <v>4</v>
      </c>
      <c r="I36" s="13" t="n">
        <v>5</v>
      </c>
      <c r="J36" s="13" t="n">
        <v>3</v>
      </c>
      <c r="K36" s="13" t="n">
        <v>4</v>
      </c>
      <c r="L36" s="13" t="inlineStr">
        <is>
          <t>カッコ良すぎる！</t>
        </is>
      </c>
      <c r="M36" s="14" t="inlineStr">
        <is>
          <t>燃費がいいのと、とにかく乗り心地が良い。</t>
        </is>
      </c>
      <c r="N36" s="14" t="inlineStr">
        <is>
          <t>助手席にもオットマンが欲しかった。</t>
        </is>
      </c>
      <c r="O36" s="14" t="inlineStr">
        <is>
          <t>とにかく何でもついている。 シートクーラーには感動。 まだ良いとこしか見れないかな。</t>
        </is>
      </c>
      <c r="P36" s="13" t="inlineStr">
        <is>
          <t>https://minkara.carview.co.jp/car/toyota/vellfire/review/detail.aspx?cid=460229</t>
        </is>
      </c>
    </row>
    <row r="37">
      <c r="A37" s="8" t="inlineStr">
        <is>
          <t>ヴェルファイア</t>
        </is>
      </c>
      <c r="B37" s="8" t="n">
        <v>2026</v>
      </c>
      <c r="C37" s="8" t="inlineStr">
        <is>
          <t>Z プレミア(AT_2.4_ガソリン)</t>
        </is>
      </c>
      <c r="D37" s="8" t="inlineStr">
        <is>
          <t>2026年8月9日</t>
        </is>
      </c>
      <c r="E37" s="8" t="inlineStr">
        <is>
          <t>レジャー</t>
        </is>
      </c>
      <c r="F37" s="8" t="n">
        <v>5</v>
      </c>
      <c r="G37" s="8" t="n">
        <v>5</v>
      </c>
      <c r="H37" s="8" t="n">
        <v>4</v>
      </c>
      <c r="I37" s="8" t="n">
        <v>4</v>
      </c>
      <c r="J37" s="8" t="n">
        <v>4</v>
      </c>
      <c r="K37" s="8" t="n">
        <v>1</v>
      </c>
      <c r="L37" s="8" t="inlineStr">
        <is>
          <t>改良型もかなり良い</t>
        </is>
      </c>
      <c r="M37" s="14" t="inlineStr">
        <is>
          <t>26年6月～改良型です。エンジンの静粛性が高くなりました。</t>
        </is>
      </c>
      <c r="N37" s="14" t="n"/>
      <c r="O37" s="14" t="inlineStr">
        <is>
          <t>良い車です。</t>
        </is>
      </c>
      <c r="P37" s="8" t="inlineStr">
        <is>
          <t>https://minkara.carview.co.jp/car/toyota/vellfire/review/detail.aspx?cid=460111</t>
        </is>
      </c>
    </row>
    <row r="38">
      <c r="A38" s="13" t="inlineStr">
        <is>
          <t>ヴェルファイア</t>
        </is>
      </c>
      <c r="B38" s="13" t="n">
        <v>2026</v>
      </c>
      <c r="C38" s="13" t="inlineStr">
        <is>
          <t>Z プレミア_E-Four(CVT_2.5_ハイブリッド)</t>
        </is>
      </c>
      <c r="D38" s="13" t="inlineStr">
        <is>
          <t>2026年8月9日</t>
        </is>
      </c>
      <c r="E38" s="13" t="inlineStr">
        <is>
          <t>通勤通学</t>
        </is>
      </c>
      <c r="F38" s="13" t="n">
        <v>5</v>
      </c>
      <c r="G38" s="13" t="n">
        <v>5</v>
      </c>
      <c r="H38" s="13" t="n">
        <v>4</v>
      </c>
      <c r="I38" s="13" t="n">
        <v>4</v>
      </c>
      <c r="J38" s="13" t="n">
        <v>3</v>
      </c>
      <c r="K38" s="13" t="n">
        <v>5</v>
      </c>
      <c r="L38" s="13" t="inlineStr">
        <is>
          <t>「ミニバンなんて」と思っていた車好きが、ヴェルファイアに乗っ…</t>
        </is>
      </c>
      <c r="M38"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8"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8"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8" s="13" t="inlineStr">
        <is>
          <t>https://minkara.carview.co.jp/car/toyota/vellfire/review/detail.aspx?cid=460068</t>
        </is>
      </c>
    </row>
    <row r="39">
      <c r="A39" s="8" t="inlineStr">
        <is>
          <t>ヴェルファイア</t>
        </is>
      </c>
      <c r="B39" s="8" t="n">
        <v>2023</v>
      </c>
      <c r="C39" s="8" t="inlineStr">
        <is>
          <t>Z プレミア(CVT_2.5_ハイブリッド)</t>
        </is>
      </c>
      <c r="D39" s="8" t="inlineStr">
        <is>
          <t>2026年8月8日</t>
        </is>
      </c>
      <c r="E39" s="8" t="inlineStr">
        <is>
          <t>通勤通学</t>
        </is>
      </c>
      <c r="F39" s="8" t="n">
        <v>5</v>
      </c>
      <c r="G39" s="8" t="n">
        <v>5</v>
      </c>
      <c r="H39" s="8" t="n">
        <v>4</v>
      </c>
      <c r="I39" s="8" t="n">
        <v>4</v>
      </c>
      <c r="J39" s="8" t="n">
        <v>3</v>
      </c>
      <c r="K39" s="8" t="n"/>
      <c r="L39" s="8" t="inlineStr">
        <is>
          <t>良い車</t>
        </is>
      </c>
      <c r="M39" s="14" t="inlineStr">
        <is>
          <t>価格が高いだけあってしっかりした造りになってます。 パネル剥がしても至る所に静音材が入っている。</t>
        </is>
      </c>
      <c r="N39" s="14" t="inlineStr">
        <is>
          <t>盗難車ランキングTOP10に入ってるのでハンドルロック等気を使う。</t>
        </is>
      </c>
      <c r="O39" s="14" t="inlineStr">
        <is>
          <t>安全装置で正しい姿勢で運転しろとうるさいですが、良い車です。</t>
        </is>
      </c>
      <c r="P39" s="8" t="inlineStr">
        <is>
          <t>https://minkara.carview.co.jp/car/toyota/vellfire/review/detail.aspx?cid=459949</t>
        </is>
      </c>
    </row>
    <row r="40">
      <c r="A40" s="13" t="inlineStr">
        <is>
          <t>ヴェルファイア</t>
        </is>
      </c>
      <c r="B40" s="13" t="n">
        <v>2023</v>
      </c>
      <c r="C40" s="13" t="inlineStr">
        <is>
          <t>Z プレミア_E-Four(CVT_2.5_ハイブリッド)</t>
        </is>
      </c>
      <c r="D40" s="13" t="inlineStr">
        <is>
          <t>2026年8月7日</t>
        </is>
      </c>
      <c r="E40" s="13" t="inlineStr">
        <is>
          <t>買い物</t>
        </is>
      </c>
      <c r="F40" s="13" t="n">
        <v>5</v>
      </c>
      <c r="G40" s="13" t="n">
        <v>5</v>
      </c>
      <c r="H40" s="13" t="n">
        <v>3</v>
      </c>
      <c r="I40" s="13" t="n">
        <v>5</v>
      </c>
      <c r="J40" s="13" t="n">
        <v>5</v>
      </c>
      <c r="K40" s="13" t="n">
        <v>5</v>
      </c>
      <c r="L40" s="13" t="inlineStr">
        <is>
          <t>広い</t>
        </is>
      </c>
      <c r="M40" s="14" t="n"/>
      <c r="N40" s="14" t="n"/>
      <c r="O40" s="14" t="inlineStr">
        <is>
          <t>広すぎる車内が素晴らしい👍</t>
        </is>
      </c>
      <c r="P40" s="13" t="inlineStr">
        <is>
          <t>https://minkara.carview.co.jp/car/toyota/vellfire/review/detail.aspx?cid=459923</t>
        </is>
      </c>
    </row>
    <row r="41">
      <c r="A41" s="8" t="inlineStr">
        <is>
          <t>ヴェルファイア</t>
        </is>
      </c>
      <c r="B41" s="8" t="n">
        <v>2023</v>
      </c>
      <c r="C41" s="8" t="inlineStr">
        <is>
          <t>Z プレミア(CVT_2.5_ハイブリッド)</t>
        </is>
      </c>
      <c r="D41" s="8" t="inlineStr">
        <is>
          <t>2026年8月7日</t>
        </is>
      </c>
      <c r="E41" s="8" t="inlineStr">
        <is>
          <t>レジャー</t>
        </is>
      </c>
      <c r="F41" s="8" t="n">
        <v>4</v>
      </c>
      <c r="G41" s="8" t="n">
        <v>4</v>
      </c>
      <c r="H41" s="8" t="n">
        <v>3</v>
      </c>
      <c r="I41" s="8" t="n">
        <v>4</v>
      </c>
      <c r="J41" s="8" t="n">
        <v>2</v>
      </c>
      <c r="K41" s="8" t="n">
        <v>3</v>
      </c>
      <c r="L41" s="8" t="inlineStr">
        <is>
          <t>いい車なんだと思います！</t>
        </is>
      </c>
      <c r="M41" s="14" t="n"/>
      <c r="N41" s="14" t="n"/>
      <c r="O41" s="14" t="inlineStr">
        <is>
          <t>見晴らしが良く運転はしやすい。 思ってたよりも車高が高い。 2列目は快適〜</t>
        </is>
      </c>
      <c r="P41" s="8" t="inlineStr">
        <is>
          <t>https://minkara.carview.co.jp/car/toyota/vellfire/review/detail.aspx?cid=459918</t>
        </is>
      </c>
    </row>
    <row r="42">
      <c r="A42" s="13" t="inlineStr">
        <is>
          <t>ヴェルファイア</t>
        </is>
      </c>
      <c r="B42" s="13" t="n">
        <v>2025</v>
      </c>
      <c r="C42" s="13" t="inlineStr">
        <is>
          <t>Z プレミア_4WD(AT_2.4_ガソリン)</t>
        </is>
      </c>
      <c r="D42" s="13" t="inlineStr">
        <is>
          <t>2026年7月29日</t>
        </is>
      </c>
      <c r="E42" s="13" t="inlineStr">
        <is>
          <t>通勤通学</t>
        </is>
      </c>
      <c r="F42" s="13" t="n">
        <v>1</v>
      </c>
      <c r="G42" s="13" t="n">
        <v>1</v>
      </c>
      <c r="H42" s="13" t="n">
        <v>2</v>
      </c>
      <c r="I42" s="13" t="n">
        <v>4</v>
      </c>
      <c r="J42" s="13" t="n">
        <v>3</v>
      </c>
      <c r="K42" s="13" t="n">
        <v>1</v>
      </c>
      <c r="L42" s="13" t="inlineStr">
        <is>
          <t>残クレ‼︎残クレ‼︎</t>
        </is>
      </c>
      <c r="M42" s="14" t="inlineStr">
        <is>
          <t>イキリ度 マイルドヤンキー度 残価高め</t>
        </is>
      </c>
      <c r="N42" s="14" t="inlineStr">
        <is>
          <t>運転席横足元のスペース空けろや！ 残クレ金利ぼったくりすぎ！ 燃費超絶悪いwハイオクぶちまけマシン 街中を走ってると羨望の眼差しで残クレと思われる</t>
        </is>
      </c>
      <c r="O42" s="14" t="inlineStr">
        <is>
          <t>所有権とは！？ お金無いけどマイルドヤンキーに憧れている方にはおすすめ！ ナンバーゾロ目がオススメです♪ 運転してると車からめちゃくちゃ怒られる。ドMにはもってこい！</t>
        </is>
      </c>
      <c r="P42" s="13" t="inlineStr">
        <is>
          <t>https://minkara.carview.co.jp/car/toyota/vellfire/review/detail.aspx?cid=459313</t>
        </is>
      </c>
    </row>
    <row r="43">
      <c r="A43" s="8" t="inlineStr">
        <is>
          <t>ヴェルファイア</t>
        </is>
      </c>
      <c r="B43" s="8" t="n">
        <v>2018</v>
      </c>
      <c r="C43" s="8" t="inlineStr">
        <is>
          <t>Z“Aエディション”_7人乗り(CVT_2.5)</t>
        </is>
      </c>
      <c r="D43" s="8" t="inlineStr">
        <is>
          <t>2026年7月28日</t>
        </is>
      </c>
      <c r="E43" s="8" t="inlineStr">
        <is>
          <t>通勤通学</t>
        </is>
      </c>
      <c r="F43" s="8" t="n">
        <v>5</v>
      </c>
      <c r="G43" s="8" t="n">
        <v>5</v>
      </c>
      <c r="H43" s="8" t="n">
        <v>4</v>
      </c>
      <c r="I43" s="8" t="n">
        <v>4</v>
      </c>
      <c r="J43" s="8" t="n">
        <v>5</v>
      </c>
      <c r="K43" s="8" t="n">
        <v>3</v>
      </c>
      <c r="L43" s="8" t="inlineStr">
        <is>
          <t>シンプルにかっこいい！</t>
        </is>
      </c>
      <c r="M43" s="14" t="n"/>
      <c r="N43" s="14" t="n"/>
      <c r="O43" s="14" t="inlineStr">
        <is>
          <t>車体が大きい分燃費は……ですがそれ以上にかっこいい！ 妻と子供も大満足の一台です！</t>
        </is>
      </c>
      <c r="P43" s="8" t="inlineStr">
        <is>
          <t>https://minkara.carview.co.jp/car/toyota/vellfire/review/detail.aspx?cid=459217</t>
        </is>
      </c>
    </row>
    <row r="44">
      <c r="A44" s="13" t="inlineStr">
        <is>
          <t>ヴェルファイア</t>
        </is>
      </c>
      <c r="B44" s="13" t="n">
        <v>2023</v>
      </c>
      <c r="C44" s="13" t="inlineStr">
        <is>
          <t>不明</t>
        </is>
      </c>
      <c r="D44" s="13" t="inlineStr">
        <is>
          <t>2026年7月26日</t>
        </is>
      </c>
      <c r="E44" s="13" t="inlineStr">
        <is>
          <t>レジャー</t>
        </is>
      </c>
      <c r="F44" s="13" t="n">
        <v>5</v>
      </c>
      <c r="G44" s="13" t="n"/>
      <c r="H44" s="13" t="n"/>
      <c r="I44" s="13" t="n"/>
      <c r="J44" s="13" t="n"/>
      <c r="K44" s="13" t="n"/>
      <c r="L44" s="13" t="inlineStr">
        <is>
          <t>ゆったりできる</t>
        </is>
      </c>
      <c r="M44" s="14" t="n"/>
      <c r="N44" s="14" t="n"/>
      <c r="O44" s="14" t="inlineStr">
        <is>
          <t>ゆったり走れる</t>
        </is>
      </c>
      <c r="P44" s="13" t="inlineStr">
        <is>
          <t>https://minkara.carview.co.jp/car/toyota/vellfire/review/detail.aspx?cid=459100</t>
        </is>
      </c>
    </row>
    <row r="45">
      <c r="A45" s="8" t="inlineStr">
        <is>
          <t>ヴェルファイア</t>
        </is>
      </c>
      <c r="B45" s="8" t="n">
        <v>2026</v>
      </c>
      <c r="C45" s="8" t="inlineStr">
        <is>
          <t>Z プレミア_E-Four(CVT_2.5_ハイブリッド)</t>
        </is>
      </c>
      <c r="D45" s="8" t="inlineStr">
        <is>
          <t>2026年7月26日</t>
        </is>
      </c>
      <c r="E45" s="8" t="inlineStr">
        <is>
          <t>レジャー</t>
        </is>
      </c>
      <c r="F45" s="8" t="n">
        <v>5</v>
      </c>
      <c r="G45" s="8" t="n">
        <v>5</v>
      </c>
      <c r="H45" s="8" t="n">
        <v>4</v>
      </c>
      <c r="I45" s="8" t="n">
        <v>5</v>
      </c>
      <c r="J45" s="8" t="n">
        <v>4</v>
      </c>
      <c r="K45" s="8" t="n">
        <v>5</v>
      </c>
      <c r="L45" s="8" t="inlineStr">
        <is>
          <t>このサイズで走り、燃費は最高</t>
        </is>
      </c>
      <c r="M45" s="14" t="inlineStr">
        <is>
          <t>この室内の広さ、燃費、走りは大変満足です。</t>
        </is>
      </c>
      <c r="N45" s="14" t="inlineStr">
        <is>
          <t>加速時エンジン音が若干うるさい。</t>
        </is>
      </c>
      <c r="O45" s="14" t="inlineStr">
        <is>
          <t>家族で出掛ける時は全員を満足させます。</t>
        </is>
      </c>
      <c r="P45" s="8" t="inlineStr">
        <is>
          <t>https://minkara.carview.co.jp/car/toyota/vellfire/review/detail.aspx?cid=459089</t>
        </is>
      </c>
    </row>
    <row r="46">
      <c r="A46" s="13" t="inlineStr">
        <is>
          <t>ヴェルファイア</t>
        </is>
      </c>
      <c r="B46" s="13" t="n">
        <v>2025</v>
      </c>
      <c r="C46" s="13" t="inlineStr">
        <is>
          <t>Z プレミア(AT_2.4_ガソリン)</t>
        </is>
      </c>
      <c r="D46" s="13" t="inlineStr">
        <is>
          <t>2026年7月21日</t>
        </is>
      </c>
      <c r="E46" s="13" t="inlineStr">
        <is>
          <t>レジャー</t>
        </is>
      </c>
      <c r="F46" s="13" t="n">
        <v>2</v>
      </c>
      <c r="G46" s="13" t="n">
        <v>3</v>
      </c>
      <c r="H46" s="13" t="n">
        <v>2</v>
      </c>
      <c r="I46" s="13" t="n">
        <v>3</v>
      </c>
      <c r="J46" s="13" t="n">
        <v>4</v>
      </c>
      <c r="K46" s="13" t="n">
        <v>3</v>
      </c>
      <c r="L46" s="13" t="inlineStr">
        <is>
          <t>やっぱりミニバンは所詮ミニバン</t>
        </is>
      </c>
      <c r="M46" s="14" t="inlineStr">
        <is>
          <t>道具として使いながら、リセールが見込める。多少下がったとて、かすり傷程度。</t>
        </is>
      </c>
      <c r="N46"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6"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6" s="13" t="inlineStr">
        <is>
          <t>https://minkara.carview.co.jp/car/toyota/vellfire/review/detail.aspx?cid=458730</t>
        </is>
      </c>
    </row>
    <row r="47">
      <c r="A47" s="8" t="inlineStr">
        <is>
          <t>ヴェルファイア</t>
        </is>
      </c>
      <c r="B47" s="8" t="n">
        <v>2026</v>
      </c>
      <c r="C47" s="8" t="inlineStr">
        <is>
          <t>Z プレミア_E-Four(CVT_2.5_ハイブリッド)</t>
        </is>
      </c>
      <c r="D47" s="8" t="inlineStr">
        <is>
          <t>2026年7月21日</t>
        </is>
      </c>
      <c r="E47" s="8" t="inlineStr">
        <is>
          <t>レジャー</t>
        </is>
      </c>
      <c r="F47" s="8" t="n">
        <v>4</v>
      </c>
      <c r="G47" s="8" t="n">
        <v>5</v>
      </c>
      <c r="H47" s="8" t="n">
        <v>4</v>
      </c>
      <c r="I47" s="8" t="n">
        <v>5</v>
      </c>
      <c r="J47" s="8" t="n">
        <v>5</v>
      </c>
      <c r="K47" s="8" t="n">
        <v>4</v>
      </c>
      <c r="L47" s="8" t="inlineStr">
        <is>
          <t>ファミリーカーの最高峰</t>
        </is>
      </c>
      <c r="M47" s="14" t="inlineStr">
        <is>
          <t>室内空間の快適性、静粛性は抜群ですね。同乗者で不満を漏らすことはないと思います。</t>
        </is>
      </c>
      <c r="N47" s="14" t="inlineStr">
        <is>
          <t>オプションでもDVDプレーヤーがないこと。 ※社外品でBlu-rayプレーヤーを取付て対応しました。</t>
        </is>
      </c>
      <c r="O47" s="14" t="inlineStr">
        <is>
          <t>ミニバンなので当たり前の話ですが、ドライバーにとっては走って楽しい車ではありません。 あくまで乗員が快適に過ごせる車ですね。</t>
        </is>
      </c>
      <c r="P47" s="8" t="inlineStr">
        <is>
          <t>https://minkara.carview.co.jp/car/toyota/vellfire/review/detail.aspx?cid=458690</t>
        </is>
      </c>
    </row>
    <row r="48">
      <c r="A48" s="13" t="inlineStr">
        <is>
          <t>ヴェルファイア</t>
        </is>
      </c>
      <c r="B48" s="13" t="n">
        <v>2026</v>
      </c>
      <c r="C48" s="13" t="inlineStr">
        <is>
          <t>Z プレミア(AT_2.4_ガソリン)</t>
        </is>
      </c>
      <c r="D48" s="13" t="inlineStr">
        <is>
          <t>2026年7月19日</t>
        </is>
      </c>
      <c r="E48" s="13" t="inlineStr">
        <is>
          <t>レジャー</t>
        </is>
      </c>
      <c r="F48" s="13" t="n">
        <v>3</v>
      </c>
      <c r="G48" s="13" t="n">
        <v>5</v>
      </c>
      <c r="H48" s="13" t="n">
        <v>3</v>
      </c>
      <c r="I48" s="13" t="n">
        <v>4</v>
      </c>
      <c r="J48" s="13" t="n">
        <v>5</v>
      </c>
      <c r="K48" s="13" t="n">
        <v>1</v>
      </c>
      <c r="L48" s="13" t="inlineStr">
        <is>
          <t>リセール目当てじゃ無きゃ買わないな</t>
        </is>
      </c>
      <c r="M48" s="14" t="inlineStr">
        <is>
          <t>アルファードより乗り心地は良いです。シートが本革だからかもしれないけど。 見た目は絶対ヴェルファイアの方がカッコイイ。 ブレーキホールドのメモリー機能搭載。</t>
        </is>
      </c>
      <c r="N48"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8" s="14" t="inlineStr">
        <is>
          <t>リセール目当てじゃ無きゃガソリンは買わないッスね。長く乗るなら絶対HEVやPHEVが快適。</t>
        </is>
      </c>
      <c r="P48" s="13" t="inlineStr">
        <is>
          <t>https://minkara.carview.co.jp/car/toyota/vellfire/review/detail.aspx?cid=458557</t>
        </is>
      </c>
    </row>
    <row r="49">
      <c r="A49" s="8" t="inlineStr">
        <is>
          <t>ヴェルファイア</t>
        </is>
      </c>
      <c r="B49" s="8" t="n">
        <v>2008</v>
      </c>
      <c r="C49" s="8" t="inlineStr">
        <is>
          <t>不明</t>
        </is>
      </c>
      <c r="D49" s="8" t="inlineStr">
        <is>
          <t>2026年7月18日</t>
        </is>
      </c>
      <c r="E49" s="8" t="inlineStr">
        <is>
          <t>仕事</t>
        </is>
      </c>
      <c r="F49" s="8" t="n">
        <v>5</v>
      </c>
      <c r="G49" s="8" t="n">
        <v>5</v>
      </c>
      <c r="H49" s="8" t="n">
        <v>1</v>
      </c>
      <c r="I49" s="8" t="n">
        <v>5</v>
      </c>
      <c r="J49" s="8" t="n">
        <v>5</v>
      </c>
      <c r="K49" s="8" t="n">
        <v>1</v>
      </c>
      <c r="L49" s="8" t="inlineStr">
        <is>
          <t>広い</t>
        </is>
      </c>
      <c r="M49" s="14" t="n"/>
      <c r="N49" s="14" t="n"/>
      <c r="O49" s="14" t="inlineStr">
        <is>
          <t>最高</t>
        </is>
      </c>
      <c r="P49" s="8" t="inlineStr">
        <is>
          <t>https://minkara.carview.co.jp/car/toyota/vellfire/review/detail.aspx?cid=458471</t>
        </is>
      </c>
    </row>
    <row r="50">
      <c r="A50" s="13" t="inlineStr">
        <is>
          <t>ヴェルファイア</t>
        </is>
      </c>
      <c r="B50" s="13" t="n">
        <v>2026</v>
      </c>
      <c r="C50" s="13" t="inlineStr">
        <is>
          <t>Z プレミア_E-Four(CVT_2.5_ハイブリッド)</t>
        </is>
      </c>
      <c r="D50" s="13" t="inlineStr">
        <is>
          <t>2026年7月17日</t>
        </is>
      </c>
      <c r="E50" s="13" t="inlineStr">
        <is>
          <t>通勤通学</t>
        </is>
      </c>
      <c r="F50" s="13" t="n">
        <v>5</v>
      </c>
      <c r="G50" s="13" t="n">
        <v>5</v>
      </c>
      <c r="H50" s="13" t="n">
        <v>5</v>
      </c>
      <c r="I50" s="13" t="n">
        <v>5</v>
      </c>
      <c r="J50" s="13" t="n">
        <v>5</v>
      </c>
      <c r="K50" s="13" t="n">
        <v>5</v>
      </c>
      <c r="L50" s="13" t="inlineStr">
        <is>
          <t>かっこいいです！</t>
        </is>
      </c>
      <c r="M50" s="14" t="n"/>
      <c r="N50" s="14" t="n"/>
      <c r="O50" s="14" t="inlineStr">
        <is>
          <t>価格が、、、だけど満足感半端ないです。</t>
        </is>
      </c>
      <c r="P50" s="13" t="inlineStr">
        <is>
          <t>https://minkara.carview.co.jp/car/toyota/vellfire/review/detail.aspx?cid=458423</t>
        </is>
      </c>
    </row>
    <row r="51">
      <c r="A51" s="8" t="inlineStr">
        <is>
          <t>ヴェルファイア</t>
        </is>
      </c>
      <c r="B51" s="8" t="n">
        <v>2025</v>
      </c>
      <c r="C51" s="8" t="inlineStr">
        <is>
          <t>エグゼクティブラウンジ_E-Four(CVT_2.5_プラグインハイブリッド)</t>
        </is>
      </c>
      <c r="D51" s="8" t="inlineStr">
        <is>
          <t>2026年7月17日</t>
        </is>
      </c>
      <c r="E51" s="8" t="inlineStr">
        <is>
          <t>通勤通学</t>
        </is>
      </c>
      <c r="F51" s="8" t="n">
        <v>5</v>
      </c>
      <c r="G51" s="8" t="n">
        <v>3</v>
      </c>
      <c r="H51" s="8" t="n">
        <v>3</v>
      </c>
      <c r="I51" s="8" t="n">
        <v>3</v>
      </c>
      <c r="J51" s="8" t="n">
        <v>1</v>
      </c>
      <c r="K51" s="8" t="n">
        <v>5</v>
      </c>
      <c r="L51" s="8" t="inlineStr">
        <is>
          <t>静かでいい車</t>
        </is>
      </c>
      <c r="M51" s="14" t="inlineStr">
        <is>
          <t>電気メインだからか？走りが全車より軽くて楽。</t>
        </is>
      </c>
      <c r="N51" s="14" t="inlineStr">
        <is>
          <t>唸るエンジン音だけは不快！</t>
        </is>
      </c>
      <c r="O51" s="14" t="inlineStr">
        <is>
          <t>初期型のハイブリッドエグゼクティブラウンジからの進化？重量の変化？乗りやすくなった。 PHEVはおすすめです。 唸るエンジンのミニバンにこの価格設定は無いと思う。</t>
        </is>
      </c>
      <c r="P51" s="8" t="inlineStr">
        <is>
          <t>https://minkara.carview.co.jp/car/toyota/vellfire/review/detail.aspx?cid=458367</t>
        </is>
      </c>
    </row>
    <row r="52">
      <c r="A52" s="13" t="inlineStr">
        <is>
          <t>ヴェルファイア</t>
        </is>
      </c>
      <c r="B52" s="13" t="n">
        <v>2008</v>
      </c>
      <c r="C52" s="13" t="inlineStr">
        <is>
          <t>不明</t>
        </is>
      </c>
      <c r="D52" s="13" t="inlineStr">
        <is>
          <t>2026年7月13日</t>
        </is>
      </c>
      <c r="E52" s="13" t="inlineStr">
        <is>
          <t>通勤通学</t>
        </is>
      </c>
      <c r="F52" s="13" t="n">
        <v>5</v>
      </c>
      <c r="G52" s="13" t="n"/>
      <c r="H52" s="13" t="n"/>
      <c r="I52" s="13" t="n"/>
      <c r="J52" s="13" t="n"/>
      <c r="K52" s="13" t="n"/>
      <c r="L52" s="13" t="inlineStr">
        <is>
          <t>乗り心地いい</t>
        </is>
      </c>
      <c r="M52" s="14" t="n"/>
      <c r="N52" s="14" t="n"/>
      <c r="O52" s="14" t="inlineStr">
        <is>
          <t>2.4zだとフル乗車した時パワーがないだが、燃費だけは良い</t>
        </is>
      </c>
      <c r="P52" s="13" t="inlineStr">
        <is>
          <t>https://minkara.carview.co.jp/car/toyota/vellfire/review/detail.aspx?cid=458131</t>
        </is>
      </c>
    </row>
    <row r="53">
      <c r="A53" s="8" t="inlineStr">
        <is>
          <t>ヴェルファイア</t>
        </is>
      </c>
      <c r="B53" s="8" t="n">
        <v>2025</v>
      </c>
      <c r="C53" s="8" t="inlineStr">
        <is>
          <t>Z プレミア(CVT_2.5_ハイブリッド)</t>
        </is>
      </c>
      <c r="D53" s="8" t="inlineStr">
        <is>
          <t>2026年7月12日</t>
        </is>
      </c>
      <c r="E53" s="8" t="inlineStr">
        <is>
          <t>通勤通学</t>
        </is>
      </c>
      <c r="F53" s="8" t="n">
        <v>5</v>
      </c>
      <c r="G53" s="8" t="n">
        <v>5</v>
      </c>
      <c r="H53" s="8" t="n">
        <v>5</v>
      </c>
      <c r="I53" s="8" t="n">
        <v>5</v>
      </c>
      <c r="J53" s="8" t="n">
        <v>5</v>
      </c>
      <c r="K53" s="8" t="n">
        <v>5</v>
      </c>
      <c r="L53" s="8" t="inlineStr">
        <is>
          <t>カッコいい</t>
        </is>
      </c>
      <c r="M53" s="14" t="n"/>
      <c r="N53" s="14" t="n"/>
      <c r="O53" s="14" t="inlineStr">
        <is>
          <t>通勤で使用してますが燃費がいいです</t>
        </is>
      </c>
      <c r="P53" s="8" t="inlineStr">
        <is>
          <t>https://minkara.carview.co.jp/car/toyota/vellfire/review/detail.aspx?cid=458092</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https://minkara.carview.co.jp/car/toyota/vellfire/review/detail.aspx?cid=458091</t>
        </is>
      </c>
    </row>
    <row r="55">
      <c r="A55" s="8" t="inlineStr">
        <is>
          <t>ヴェルファイア</t>
        </is>
      </c>
      <c r="B55" s="8" t="n">
        <v>2026</v>
      </c>
      <c r="C55" s="8" t="inlineStr">
        <is>
          <t>Z プレミア(AT_2.4_ガソリン)</t>
        </is>
      </c>
      <c r="D55" s="8" t="inlineStr">
        <is>
          <t>2026年7月8日</t>
        </is>
      </c>
      <c r="E55" s="8" t="inlineStr">
        <is>
          <t>通勤通学</t>
        </is>
      </c>
      <c r="F55" s="8" t="n">
        <v>5</v>
      </c>
      <c r="G55" s="8" t="n">
        <v>5</v>
      </c>
      <c r="H55" s="8" t="n">
        <v>5</v>
      </c>
      <c r="I55" s="8" t="n">
        <v>5</v>
      </c>
      <c r="J55" s="8" t="n">
        <v>4</v>
      </c>
      <c r="K55" s="8" t="n">
        <v>1</v>
      </c>
      <c r="L55" s="8" t="inlineStr">
        <is>
          <t>存在感ありあり！！</t>
        </is>
      </c>
      <c r="M55" s="14" t="inlineStr">
        <is>
          <t>存在感と走行性能は申し分ないです！ GRエアロを選択したことにより、他の人とカブる確率が減りました。</t>
        </is>
      </c>
      <c r="N55" s="14" t="inlineStr">
        <is>
          <t>積載量は、サイズの割には少ない気がします。 フル乗車で旅行に行くと、荷物考えたないとダメですね… 燃費は、このクラスの車両に求めてはダメです！w</t>
        </is>
      </c>
      <c r="O55" s="14" t="inlineStr">
        <is>
          <t>ミニバンとしての男のロマンが詰まった車です。 ハイオク/ターボだけでも、ロマンがあります！!</t>
        </is>
      </c>
      <c r="P55" s="8" t="inlineStr">
        <is>
          <t>https://minkara.carview.co.jp/car/toyota/vellfire/review/detail.aspx?cid=457843</t>
        </is>
      </c>
    </row>
    <row r="56">
      <c r="A56" s="13" t="inlineStr">
        <is>
          <t>ヴェルファイア</t>
        </is>
      </c>
      <c r="B56" s="13" t="n">
        <v>2014</v>
      </c>
      <c r="C56" s="13" t="inlineStr">
        <is>
          <t>3.5Z“ゴールデンアイズII”_7人乗り_4WD(AT_3.5)</t>
        </is>
      </c>
      <c r="D56" s="13" t="inlineStr">
        <is>
          <t>2026年7月7日</t>
        </is>
      </c>
      <c r="E56" s="13" t="inlineStr">
        <is>
          <t>通勤通学</t>
        </is>
      </c>
      <c r="F56" s="13" t="n">
        <v>5</v>
      </c>
      <c r="G56" s="13" t="n">
        <v>5</v>
      </c>
      <c r="H56" s="13" t="n">
        <v>5</v>
      </c>
      <c r="I56" s="13" t="n">
        <v>5</v>
      </c>
      <c r="J56" s="13" t="n">
        <v>4</v>
      </c>
      <c r="K56" s="13" t="n">
        <v>4</v>
      </c>
      <c r="L56" s="13" t="inlineStr">
        <is>
          <t>古い車両ですが、まだまだ現役で頑張ってます。</t>
        </is>
      </c>
      <c r="M56" s="14" t="inlineStr">
        <is>
          <t>3.5なのでそこそこ力があり、ストレスなく走れる</t>
        </is>
      </c>
      <c r="N56" s="14" t="inlineStr">
        <is>
          <t>特になし</t>
        </is>
      </c>
      <c r="O56" s="14" t="inlineStr">
        <is>
          <t>今どきのハイブリッド車の燃費の足元にも及びませんが、3.5でも高速巡行ならば10㎞/ℓ以上はいけます。</t>
        </is>
      </c>
      <c r="P56" s="13" t="inlineStr">
        <is>
          <t>https://minkara.carview.co.jp/car/toyota/vellfire/review/detail.aspx?cid=457745</t>
        </is>
      </c>
    </row>
    <row r="57">
      <c r="A57" s="8" t="inlineStr">
        <is>
          <t>ヴェルファイア</t>
        </is>
      </c>
      <c r="B57" s="8" t="n">
        <v>2015</v>
      </c>
      <c r="C57" s="8" t="inlineStr">
        <is>
          <t>Z“Gエディション”_7人乗り(CVT_2.5)</t>
        </is>
      </c>
      <c r="D57" s="8" t="inlineStr">
        <is>
          <t>2026年6月26日</t>
        </is>
      </c>
      <c r="E57" s="8" t="inlineStr">
        <is>
          <t>通勤通学</t>
        </is>
      </c>
      <c r="F57" s="8" t="n">
        <v>5</v>
      </c>
      <c r="G57" s="8" t="n">
        <v>5</v>
      </c>
      <c r="H57" s="8" t="n">
        <v>4</v>
      </c>
      <c r="I57" s="8" t="n">
        <v>5</v>
      </c>
      <c r="J57" s="8" t="n">
        <v>3</v>
      </c>
      <c r="K57" s="8" t="n">
        <v>3</v>
      </c>
      <c r="L57" s="8" t="inlineStr">
        <is>
          <t>リセール等を一切考えずにやりたい事をやっています✌️</t>
        </is>
      </c>
      <c r="M57" s="14" t="inlineStr">
        <is>
          <t>広くてゆったり乗れる😊</t>
        </is>
      </c>
      <c r="N57" s="14" t="inlineStr">
        <is>
          <t>車両周りが見づらい､､､ 中古車なのでSRを優先したから全方位📸が無い､､､😑</t>
        </is>
      </c>
      <c r="O57" s="14" t="inlineStr">
        <is>
          <t>見た目通りに存在感が有ってとても気に入っています😊</t>
        </is>
      </c>
      <c r="P57" s="8" t="inlineStr">
        <is>
          <t>https://minkara.carview.co.jp/car/toyota/vellfire/review/detail.aspx?cid=456964</t>
        </is>
      </c>
    </row>
    <row r="58">
      <c r="A58" s="13" t="inlineStr">
        <is>
          <t>ヴェルファイア</t>
        </is>
      </c>
      <c r="B58" s="13" t="n">
        <v>2025</v>
      </c>
      <c r="C58" s="13" t="inlineStr">
        <is>
          <t>Z プレミア_E-Four(CVT_2.5_ハイブリッド)</t>
        </is>
      </c>
      <c r="D58" s="13" t="inlineStr">
        <is>
          <t>2026年6月25日</t>
        </is>
      </c>
      <c r="E58" s="13" t="inlineStr">
        <is>
          <t>通勤通学</t>
        </is>
      </c>
      <c r="F58" s="13" t="n">
        <v>3</v>
      </c>
      <c r="G58" s="13" t="n">
        <v>3</v>
      </c>
      <c r="H58" s="13" t="n">
        <v>3</v>
      </c>
      <c r="I58" s="13" t="n">
        <v>4</v>
      </c>
      <c r="J58" s="13" t="n">
        <v>1</v>
      </c>
      <c r="K58" s="13" t="n">
        <v>4</v>
      </c>
      <c r="L58" s="13" t="inlineStr">
        <is>
          <t>ハイブリッドは、ただの錘</t>
        </is>
      </c>
      <c r="M58" s="14" t="inlineStr">
        <is>
          <t>30アルファードより、ボディ剛性が上がった？音が静かになった？</t>
        </is>
      </c>
      <c r="N58" s="14" t="inlineStr">
        <is>
          <t>ターボにすれば良かったか？高速で燃費悪い、加速遅い、コーナーで重さを感じる</t>
        </is>
      </c>
      <c r="O58" s="14" t="inlineStr">
        <is>
          <t>まだまだ進化途中という感じか</t>
        </is>
      </c>
      <c r="P58" s="13" t="inlineStr">
        <is>
          <t>https://minkara.carview.co.jp/car/toyota/vellfire/review/detail.aspx?cid=456904</t>
        </is>
      </c>
    </row>
    <row r="59">
      <c r="A59" s="8" t="inlineStr">
        <is>
          <t>ヴェルファイア</t>
        </is>
      </c>
      <c r="B59" s="8" t="n">
        <v>2016</v>
      </c>
      <c r="C59" s="8" t="inlineStr">
        <is>
          <t>Z“Aエディション・ゴールデンアイズ”_7人乗り(CVT_2.5)</t>
        </is>
      </c>
      <c r="D59" s="8" t="inlineStr">
        <is>
          <t>2026年6月20日</t>
        </is>
      </c>
      <c r="E59" s="8" t="n"/>
      <c r="F59" s="8" t="n">
        <v>5</v>
      </c>
      <c r="G59" s="8" t="n"/>
      <c r="H59" s="8" t="n"/>
      <c r="I59" s="8" t="n"/>
      <c r="J59" s="8" t="n"/>
      <c r="K59" s="8" t="n"/>
      <c r="L59" s="8" t="inlineStr">
        <is>
          <t>20系からの乗換。安全機能があってよいですね！</t>
        </is>
      </c>
      <c r="M59" s="14" t="inlineStr">
        <is>
          <t>以前は8人乗りで3列目への移動が大変でしたが、今は7人乗りで移動が楽（みたい）です。</t>
        </is>
      </c>
      <c r="N59" s="14" t="inlineStr">
        <is>
          <t>燃費が20系より悪い</t>
        </is>
      </c>
      <c r="O59" s="14" t="inlineStr">
        <is>
          <t>40系買えず、中古での購入ですが、満足です。</t>
        </is>
      </c>
      <c r="P59" s="8" t="inlineStr">
        <is>
          <t>https://minkara.carview.co.jp/car/toyota/vellfire/review/detail.aspx?cid=456548</t>
        </is>
      </c>
    </row>
    <row r="60">
      <c r="A60" s="13" t="inlineStr">
        <is>
          <t>ヴェルファイア</t>
        </is>
      </c>
      <c r="B60" s="13" t="n">
        <v>2015</v>
      </c>
      <c r="C60" s="13" t="inlineStr">
        <is>
          <t>X_8人乗り_4WD(CVT_2.5)</t>
        </is>
      </c>
      <c r="D60" s="13" t="inlineStr">
        <is>
          <t>2026年6月6日</t>
        </is>
      </c>
      <c r="E60" s="13" t="inlineStr">
        <is>
          <t>レジャー</t>
        </is>
      </c>
      <c r="F60" s="13" t="n">
        <v>5</v>
      </c>
      <c r="G60" s="13" t="n">
        <v>4</v>
      </c>
      <c r="H60" s="13" t="n">
        <v>3</v>
      </c>
      <c r="I60" s="13" t="n">
        <v>4</v>
      </c>
      <c r="J60" s="13" t="n">
        <v>5</v>
      </c>
      <c r="K60" s="13" t="n">
        <v>3</v>
      </c>
      <c r="L60" s="13" t="inlineStr">
        <is>
          <t>でっかい安心感</t>
        </is>
      </c>
      <c r="M60" s="14" t="n"/>
      <c r="N60" s="14" t="n"/>
      <c r="O60" s="14" t="inlineStr">
        <is>
          <t>燃費に目を瞑れば満足です</t>
        </is>
      </c>
      <c r="P60" s="13" t="inlineStr">
        <is>
          <t>https://minkara.carview.co.jp/car/toyota/vellfire/review/detail.aspx?cid=455568</t>
        </is>
      </c>
    </row>
    <row r="61">
      <c r="A61" s="8" t="inlineStr">
        <is>
          <t>ヴェルファイア</t>
        </is>
      </c>
      <c r="B61" s="8" t="n">
        <v>2016</v>
      </c>
      <c r="C61" s="8" t="inlineStr">
        <is>
          <t>Z“Aエディション・ゴールデンアイズ”_7人乗り(CVT_2.5)</t>
        </is>
      </c>
      <c r="D61" s="8" t="inlineStr">
        <is>
          <t>2026年6月3日</t>
        </is>
      </c>
      <c r="E61" s="8" t="inlineStr">
        <is>
          <t>レジャー</t>
        </is>
      </c>
      <c r="F61" s="8" t="n">
        <v>5</v>
      </c>
      <c r="G61" s="8" t="n"/>
      <c r="H61" s="8" t="n"/>
      <c r="I61" s="8" t="n"/>
      <c r="J61" s="8" t="n"/>
      <c r="K61" s="8" t="n"/>
      <c r="L61" s="8" t="inlineStr">
        <is>
          <t>でっかいミニバン</t>
        </is>
      </c>
      <c r="M61" s="14" t="inlineStr">
        <is>
          <t>①3〜4人乗車でほぼ使用、乗り心地はTHEトヨタ、ふわふわ。 ②燃費は思ったより良くメーター読みでリッター10kmは超えています。 ③意外や小さなフェンダーミラーはしっかりと前方下の死角も見えて便利です。</t>
        </is>
      </c>
      <c r="N61" s="14" t="inlineStr">
        <is>
          <t>高級車ではないです、高額車です。 乗ればギシギシミシミシ、 大きい普通なミニバンです。 逆に道具として使い倒せるのはいい所。 街中ではでっかいので立駐NGの場所が多いです。 レーダークルコン付いてますが同一車線に車が無いのに車を把握して急ブレーキかけるいたずらっこ。</t>
        </is>
      </c>
      <c r="O61" s="14" t="inlineStr">
        <is>
          <t>色々と言ってきましたが世界のトヨタ、今の所大きな故障も無く快適です。 同乗してくれる方もだいたい寝ていますので満足してくれているかな。 長距離を友人達、家族とドライブするには快適無敵なミニバンです。</t>
        </is>
      </c>
      <c r="P61" s="8" t="inlineStr">
        <is>
          <t>https://minkara.carview.co.jp/car/toyota/vellfire/review/detail.aspx?cid=455435</t>
        </is>
      </c>
    </row>
    <row r="62">
      <c r="A62" s="13" t="inlineStr">
        <is>
          <t>ノア</t>
        </is>
      </c>
      <c r="B62" s="13" t="n">
        <v>2022</v>
      </c>
      <c r="C62" s="13" t="inlineStr">
        <is>
          <t>S-G_8人乗り_4WD(CVT_2.0)</t>
        </is>
      </c>
      <c r="D62" s="13" t="inlineStr">
        <is>
          <t>2026年8月17日</t>
        </is>
      </c>
      <c r="E62" s="13" t="inlineStr">
        <is>
          <t>買い物</t>
        </is>
      </c>
      <c r="F62" s="13" t="n">
        <v>4</v>
      </c>
      <c r="G62" s="13" t="n">
        <v>4</v>
      </c>
      <c r="H62" s="13" t="n">
        <v>3</v>
      </c>
      <c r="I62" s="13" t="n">
        <v>4</v>
      </c>
      <c r="J62" s="13" t="n">
        <v>4</v>
      </c>
      <c r="K62" s="13" t="n">
        <v>3</v>
      </c>
      <c r="L62" s="13" t="inlineStr">
        <is>
          <t>納車から3週間</t>
        </is>
      </c>
      <c r="M62" s="14" t="n"/>
      <c r="N62" s="14" t="inlineStr">
        <is>
          <t>前車のヴォクシー75と比較しトルクが薄い。 特に加速時、低回転で感じる。</t>
        </is>
      </c>
      <c r="O62" s="14" t="inlineStr">
        <is>
          <t>街乗りメイン。この10日間で往復400kmの遠出を2回で、平均燃費は11.7km。</t>
        </is>
      </c>
      <c r="P62" s="13" t="inlineStr">
        <is>
          <t>https://minkara.carview.co.jp/car/toyota/noah/review/detail.aspx?cid=460669</t>
        </is>
      </c>
    </row>
    <row r="63">
      <c r="A63" s="8" t="inlineStr">
        <is>
          <t>ノア</t>
        </is>
      </c>
      <c r="B63" s="8" t="n">
        <v>2022</v>
      </c>
      <c r="C63" s="8" t="inlineStr">
        <is>
          <t>X_8人乗り(CVT_2.0)</t>
        </is>
      </c>
      <c r="D63" s="8" t="inlineStr">
        <is>
          <t>2026年7月27日</t>
        </is>
      </c>
      <c r="E63" s="8" t="inlineStr">
        <is>
          <t>その他</t>
        </is>
      </c>
      <c r="F63" s="8" t="n">
        <v>5</v>
      </c>
      <c r="G63" s="8" t="n">
        <v>5</v>
      </c>
      <c r="H63" s="8" t="n">
        <v>5</v>
      </c>
      <c r="I63" s="8" t="n">
        <v>5</v>
      </c>
      <c r="J63" s="8" t="n">
        <v>5</v>
      </c>
      <c r="K63" s="8" t="n">
        <v>5</v>
      </c>
      <c r="L63" s="8" t="inlineStr">
        <is>
          <t>普通にいい車</t>
        </is>
      </c>
      <c r="M63" s="14" t="inlineStr">
        <is>
          <t>コスパ最強</t>
        </is>
      </c>
      <c r="N63" s="14" t="inlineStr">
        <is>
          <t>あったら買ってない</t>
        </is>
      </c>
      <c r="O63" s="14" t="inlineStr">
        <is>
          <t>ありがとう</t>
        </is>
      </c>
      <c r="P63" s="8" t="inlineStr">
        <is>
          <t>https://minkara.carview.co.jp/car/toyota/noah/review/detail.aspx?cid=459161</t>
        </is>
      </c>
    </row>
    <row r="64">
      <c r="A64" s="13" t="inlineStr">
        <is>
          <t>ノア</t>
        </is>
      </c>
      <c r="B64" s="13" t="n">
        <v>2020</v>
      </c>
      <c r="C64" s="13" t="inlineStr">
        <is>
          <t>X_8人乗り(CVT_2.0)</t>
        </is>
      </c>
      <c r="D64" s="13" t="inlineStr">
        <is>
          <t>2026年7月24日</t>
        </is>
      </c>
      <c r="E64" s="13" t="inlineStr">
        <is>
          <t>その他</t>
        </is>
      </c>
      <c r="F64" s="13" t="n">
        <v>3</v>
      </c>
      <c r="G64" s="13" t="n">
        <v>5</v>
      </c>
      <c r="H64" s="13" t="n">
        <v>4</v>
      </c>
      <c r="I64" s="13" t="n">
        <v>3</v>
      </c>
      <c r="J64" s="13" t="n">
        <v>4</v>
      </c>
      <c r="K64" s="13" t="n"/>
      <c r="L64" s="13" t="inlineStr">
        <is>
          <t>いい車</t>
        </is>
      </c>
      <c r="M64" s="14" t="inlineStr">
        <is>
          <t>車内が広い。</t>
        </is>
      </c>
      <c r="N64" s="14" t="inlineStr">
        <is>
          <t>あまり感じない。</t>
        </is>
      </c>
      <c r="O64" s="14" t="inlineStr">
        <is>
          <t>普通に、使いやすいミニバンだと思います。 同乗者目線ですが…😅</t>
        </is>
      </c>
      <c r="P64" s="13" t="inlineStr">
        <is>
          <t>https://minkara.carview.co.jp/car/toyota/noah/review/detail.aspx?cid=458890</t>
        </is>
      </c>
    </row>
    <row r="65">
      <c r="A65" s="8" t="inlineStr">
        <is>
          <t>ノア</t>
        </is>
      </c>
      <c r="B65" s="8" t="n">
        <v>2017</v>
      </c>
      <c r="C65" s="8" t="inlineStr">
        <is>
          <t>X_7人乗り(CVT_2.0)</t>
        </is>
      </c>
      <c r="D65" s="8" t="inlineStr">
        <is>
          <t>2026年7月24日</t>
        </is>
      </c>
      <c r="E65" s="8" t="inlineStr">
        <is>
          <t>通勤通学</t>
        </is>
      </c>
      <c r="F65" s="8" t="n">
        <v>2</v>
      </c>
      <c r="G65" s="8" t="n">
        <v>4</v>
      </c>
      <c r="H65" s="8" t="n">
        <v>3</v>
      </c>
      <c r="I65" s="8" t="n">
        <v>2</v>
      </c>
      <c r="J65" s="8" t="n">
        <v>4</v>
      </c>
      <c r="K65" s="8" t="n">
        <v>3</v>
      </c>
      <c r="L65" s="8" t="inlineStr">
        <is>
          <t>Xグレードでも頑張る</t>
        </is>
      </c>
      <c r="M65" s="14" t="inlineStr">
        <is>
          <t>まあ、乗りやすい車だと思っています。</t>
        </is>
      </c>
      <c r="N65" s="14" t="inlineStr">
        <is>
          <t>いろいろ装備が⤵︎なのでまあ、できる範囲で快適に出来ればと思います。</t>
        </is>
      </c>
      <c r="O65" s="14" t="inlineStr">
        <is>
          <t>外観はカッコよくて好きです。あ、W×Bにモデリスタつけたやつのことです。</t>
        </is>
      </c>
      <c r="P65" s="8" t="inlineStr">
        <is>
          <t>https://minkara.carview.co.jp/car/toyota/noah/review/detail.aspx?cid=458886</t>
        </is>
      </c>
    </row>
    <row r="66">
      <c r="A66" s="13" t="inlineStr">
        <is>
          <t>ノア</t>
        </is>
      </c>
      <c r="B66" s="13" t="n">
        <v>2019</v>
      </c>
      <c r="C66" s="13" t="inlineStr">
        <is>
          <t>Si“W×B II”_7人乗り(CVT_2.0)</t>
        </is>
      </c>
      <c r="D66" s="13" t="inlineStr">
        <is>
          <t>2026年7月17日</t>
        </is>
      </c>
      <c r="E66" s="13" t="inlineStr">
        <is>
          <t>買い物</t>
        </is>
      </c>
      <c r="F66" s="13" t="n">
        <v>5</v>
      </c>
      <c r="G66" s="13" t="n">
        <v>5</v>
      </c>
      <c r="H66" s="13" t="n">
        <v>4</v>
      </c>
      <c r="I66" s="13" t="n">
        <v>5</v>
      </c>
      <c r="J66" s="13" t="n">
        <v>5</v>
      </c>
      <c r="K66" s="13" t="n">
        <v>4</v>
      </c>
      <c r="L66" s="13" t="inlineStr">
        <is>
          <t>初トヨタ車 最高</t>
        </is>
      </c>
      <c r="M6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6" s="14" t="inlineStr">
        <is>
          <t>・車速ドアロックがついててほしかった ・アイドリングストップが煩わしい。キャンセラーつけようか考え中 その他特に不満無し</t>
        </is>
      </c>
      <c r="O66" s="14" t="inlineStr">
        <is>
          <t>総合的に見て、いい車！かっこいい！ 燃費はこれから見ていくけど今のところ12km/Lだから満足かな！</t>
        </is>
      </c>
      <c r="P66" s="13" t="inlineStr">
        <is>
          <t>https://minkara.carview.co.jp/car/toyota/noah/review/detail.aspx?cid=458398</t>
        </is>
      </c>
    </row>
    <row r="67">
      <c r="A67" s="8" t="inlineStr">
        <is>
          <t>ノア</t>
        </is>
      </c>
      <c r="B67" s="8" t="n">
        <v>2020</v>
      </c>
      <c r="C67" s="8" t="inlineStr">
        <is>
          <t>Si“W×B III”_7人乗り_4WD(CVT_2.0)</t>
        </is>
      </c>
      <c r="D67" s="8" t="inlineStr">
        <is>
          <t>2026年7月17日</t>
        </is>
      </c>
      <c r="E67" s="8" t="inlineStr">
        <is>
          <t>買い物</t>
        </is>
      </c>
      <c r="F67" s="8" t="n">
        <v>5</v>
      </c>
      <c r="G67" s="8" t="n">
        <v>5</v>
      </c>
      <c r="H67" s="8" t="n">
        <v>5</v>
      </c>
      <c r="I67" s="8" t="n">
        <v>5</v>
      </c>
      <c r="J67" s="8" t="n">
        <v>5</v>
      </c>
      <c r="K67" s="8" t="n">
        <v>4</v>
      </c>
      <c r="L67" s="8" t="inlineStr">
        <is>
          <t>乗りやすく中も広くてよい。</t>
        </is>
      </c>
      <c r="M67" s="14" t="inlineStr">
        <is>
          <t>ヴォクシーよりノアの方が見た目が好きで購入！中も広く、運転もしやすい。</t>
        </is>
      </c>
      <c r="N67" s="14" t="inlineStr">
        <is>
          <t>まだ計算してないですが思ったよりも燃費が悪いような気がします。</t>
        </is>
      </c>
      <c r="O67" s="14" t="inlineStr">
        <is>
          <t>トータル評価で買ってよかったです。今はミニバンの価格が上がってますがしかたないですね。</t>
        </is>
      </c>
      <c r="P67" s="8" t="inlineStr">
        <is>
          <t>https://minkara.carview.co.jp/car/toyota/noah/review/detail.aspx?cid=458380</t>
        </is>
      </c>
    </row>
    <row r="68">
      <c r="A68" s="13" t="inlineStr">
        <is>
          <t>ノア</t>
        </is>
      </c>
      <c r="B68" s="13" t="n">
        <v>2025</v>
      </c>
      <c r="C68" s="13" t="inlineStr">
        <is>
          <t>S-Z_7人乗り(CVT_2.0)</t>
        </is>
      </c>
      <c r="D68" s="13" t="inlineStr">
        <is>
          <t>2026年6月29日</t>
        </is>
      </c>
      <c r="E68" s="13" t="inlineStr">
        <is>
          <t>買い物</t>
        </is>
      </c>
      <c r="F68" s="13" t="n">
        <v>5</v>
      </c>
      <c r="G68" s="13" t="n">
        <v>5</v>
      </c>
      <c r="H68" s="13" t="n">
        <v>4</v>
      </c>
      <c r="I68" s="13" t="n">
        <v>5</v>
      </c>
      <c r="J68" s="13" t="n">
        <v>5</v>
      </c>
      <c r="K68" s="13" t="n">
        <v>5</v>
      </c>
      <c r="L68" s="13" t="inlineStr">
        <is>
          <t>広さと装備と見た目</t>
        </is>
      </c>
      <c r="M68" s="14" t="inlineStr">
        <is>
          <t>前の車と比較すると、広くなって荷物も入れられるし、7人乗ることもあるので少し快適になってくれたかと思います</t>
        </is>
      </c>
      <c r="N68" s="14" t="n"/>
      <c r="O68" s="14" t="inlineStr">
        <is>
          <t>大きすぎず、適度な広さで十分な装備があるのでおすすめです 見た目も少し落ち着いたのでそれがよかった</t>
        </is>
      </c>
      <c r="P68" s="13" t="inlineStr">
        <is>
          <t>https://minkara.carview.co.jp/car/toyota/noah/review/detail.aspx?cid=457221</t>
        </is>
      </c>
    </row>
    <row r="69">
      <c r="A69" s="8" t="inlineStr">
        <is>
          <t>ノア</t>
        </is>
      </c>
      <c r="B69" s="8" t="n">
        <v>2014</v>
      </c>
      <c r="C69" s="8" t="inlineStr">
        <is>
          <t>Si_7人乗り_4WD(CVT_2.0)</t>
        </is>
      </c>
      <c r="D69" s="8" t="inlineStr">
        <is>
          <t>2026年6月9日</t>
        </is>
      </c>
      <c r="E69" s="8" t="inlineStr">
        <is>
          <t>レジャー</t>
        </is>
      </c>
      <c r="F69" s="8" t="n">
        <v>5</v>
      </c>
      <c r="G69" s="8" t="n">
        <v>5</v>
      </c>
      <c r="H69" s="8" t="n">
        <v>5</v>
      </c>
      <c r="I69" s="8" t="n">
        <v>4</v>
      </c>
      <c r="J69" s="8" t="n">
        <v>5</v>
      </c>
      <c r="K69" s="8" t="n">
        <v>4</v>
      </c>
      <c r="L69" s="8" t="inlineStr">
        <is>
          <t>Siグレードはいい！</t>
        </is>
      </c>
      <c r="M69"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69" s="14" t="inlineStr">
        <is>
          <t>前席はウォークスルーでなくてよいのかな、と 物が入らない！</t>
        </is>
      </c>
      <c r="O69" s="14" t="inlineStr">
        <is>
          <t>今までは節約の為？その車種上位グレードって買ったことが無かったのですが、違うものですね。 満足です。 少し弄って、さらに自分好みにしていきます</t>
        </is>
      </c>
      <c r="P69" s="8" t="inlineStr">
        <is>
          <t>https://minkara.carview.co.jp/car/toyota/noah/review/detail.aspx?cid=455815</t>
        </is>
      </c>
    </row>
    <row r="70">
      <c r="A70" s="13" t="inlineStr">
        <is>
          <t>ノア</t>
        </is>
      </c>
      <c r="B70" s="13" t="n">
        <v>2022</v>
      </c>
      <c r="C70" s="13" t="inlineStr">
        <is>
          <t>S-Z_7人乗り(CVT_2.0)</t>
        </is>
      </c>
      <c r="D70" s="13" t="inlineStr">
        <is>
          <t>2026年6月5日</t>
        </is>
      </c>
      <c r="E70" s="13" t="n"/>
      <c r="F70" s="13" t="n">
        <v>4</v>
      </c>
      <c r="G70" s="13" t="n"/>
      <c r="H70" s="13" t="n"/>
      <c r="I70" s="13" t="n"/>
      <c r="J70" s="13" t="n"/>
      <c r="K70" s="13" t="n"/>
      <c r="L70" s="13" t="inlineStr">
        <is>
          <t>ファミリーカーなら最適では</t>
        </is>
      </c>
      <c r="M70" s="14" t="inlineStr">
        <is>
          <t>室内が広い</t>
        </is>
      </c>
      <c r="N70" s="14" t="inlineStr">
        <is>
          <t>以前乗っていたX1に比べると車の性能としてはだいぶ落ちるが、そもそも比べるものではない。</t>
        </is>
      </c>
      <c r="O70" s="14" t="inlineStr">
        <is>
          <t>スライドドアで室内が広く、フル乗車だと乗り心地が良くなる良い車</t>
        </is>
      </c>
      <c r="P70" s="13" t="inlineStr">
        <is>
          <t>https://minkara.carview.co.jp/car/toyota/noah/review/detail.aspx?cid=455555</t>
        </is>
      </c>
    </row>
    <row r="71">
      <c r="A71" s="8" t="inlineStr">
        <is>
          <t>ノア</t>
        </is>
      </c>
      <c r="B71" s="8" t="n">
        <v>2020</v>
      </c>
      <c r="C71" s="8" t="inlineStr">
        <is>
          <t>不明</t>
        </is>
      </c>
      <c r="D71" s="8" t="inlineStr">
        <is>
          <t>2026年6月4日</t>
        </is>
      </c>
      <c r="E71" s="8" t="inlineStr">
        <is>
          <t>レジャー</t>
        </is>
      </c>
      <c r="F71" s="8" t="n">
        <v>3</v>
      </c>
      <c r="G71" s="8" t="n">
        <v>3</v>
      </c>
      <c r="H71" s="8" t="n">
        <v>4</v>
      </c>
      <c r="I71" s="8" t="n">
        <v>4</v>
      </c>
      <c r="J71" s="8" t="n">
        <v>4</v>
      </c>
      <c r="K71" s="8" t="n">
        <v>4</v>
      </c>
      <c r="L71" s="8" t="inlineStr">
        <is>
          <t>6年目 ８万ｋｍオーバーになったけど</t>
        </is>
      </c>
      <c r="M71" s="14" t="inlineStr">
        <is>
          <t>多分当たりの車体やと思うし 仮にこの状態で売ったとしても 何の問題も無いし 自分が買いたいくらい そう思うと、この車は残したい</t>
        </is>
      </c>
      <c r="N71" s="14" t="inlineStr">
        <is>
          <t>次の車も気になりますが 今の所、欲しいと思う車も無いし このまま行けば１０万ｋｍオーバーは確実</t>
        </is>
      </c>
      <c r="O71"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1" s="8" t="inlineStr">
        <is>
          <t>https://minkara.carview.co.jp/car/toyota/noah/review/detail.aspx?cid=455446</t>
        </is>
      </c>
    </row>
    <row r="72">
      <c r="A72" s="13" t="inlineStr">
        <is>
          <t>ノア</t>
        </is>
      </c>
      <c r="B72" s="13" t="n">
        <v>2025</v>
      </c>
      <c r="C72" s="13" t="inlineStr">
        <is>
          <t>S-Z_7人乗り(CVT_2.0)</t>
        </is>
      </c>
      <c r="D72" s="13" t="inlineStr">
        <is>
          <t>2026年5月22日</t>
        </is>
      </c>
      <c r="E72" s="13" t="inlineStr">
        <is>
          <t>通勤通学</t>
        </is>
      </c>
      <c r="F72" s="13" t="n">
        <v>5</v>
      </c>
      <c r="G72" s="13" t="n">
        <v>5</v>
      </c>
      <c r="H72" s="13" t="n">
        <v>4</v>
      </c>
      <c r="I72" s="13" t="n">
        <v>4</v>
      </c>
      <c r="J72" s="13" t="n">
        <v>5</v>
      </c>
      <c r="K72" s="13" t="n">
        <v>3</v>
      </c>
      <c r="L72" s="13" t="inlineStr">
        <is>
          <t>18年の進化！</t>
        </is>
      </c>
      <c r="M72" s="14" t="inlineStr">
        <is>
          <t>加速力良い</t>
        </is>
      </c>
      <c r="N72" s="14" t="inlineStr">
        <is>
          <t>洗車に時間がかかる</t>
        </is>
      </c>
      <c r="O72" s="14" t="inlineStr">
        <is>
          <t>車内広し</t>
        </is>
      </c>
      <c r="P72" s="13" t="inlineStr">
        <is>
          <t>https://minkara.carview.co.jp/car/toyota/noah/review/detail.aspx?cid=454519</t>
        </is>
      </c>
    </row>
    <row r="73">
      <c r="A73" s="8" t="inlineStr">
        <is>
          <t>ノア</t>
        </is>
      </c>
      <c r="B73" s="8" t="n">
        <v>2010</v>
      </c>
      <c r="C73" s="8" t="inlineStr">
        <is>
          <t>X“スマート エディション”_8人乗り(CVT_2.0)</t>
        </is>
      </c>
      <c r="D73" s="8" t="inlineStr">
        <is>
          <t>2026年5月19日</t>
        </is>
      </c>
      <c r="E73" s="8" t="inlineStr">
        <is>
          <t>通勤通学</t>
        </is>
      </c>
      <c r="F73" s="8" t="n">
        <v>5</v>
      </c>
      <c r="G73" s="8" t="n">
        <v>4</v>
      </c>
      <c r="H73" s="8" t="n">
        <v>3</v>
      </c>
      <c r="I73" s="8" t="n">
        <v>4</v>
      </c>
      <c r="J73" s="8" t="n">
        <v>4</v>
      </c>
      <c r="K73" s="8" t="n">
        <v>3</v>
      </c>
      <c r="L73" s="8" t="inlineStr">
        <is>
          <t>息子家族使用</t>
        </is>
      </c>
      <c r="M73" s="14" t="inlineStr">
        <is>
          <t>流石５ナンバーですから取り回しが良い</t>
        </is>
      </c>
      <c r="N73" s="14" t="inlineStr">
        <is>
          <t>なし</t>
        </is>
      </c>
      <c r="O73" s="14" t="inlineStr">
        <is>
          <t>息子家族が増えた為贈呈</t>
        </is>
      </c>
      <c r="P73" s="8" t="inlineStr">
        <is>
          <t>https://minkara.carview.co.jp/car/toyota/noah/review/detail.aspx?cid=454330</t>
        </is>
      </c>
    </row>
    <row r="74">
      <c r="A74" s="13" t="inlineStr">
        <is>
          <t>ノア</t>
        </is>
      </c>
      <c r="B74" s="13" t="n">
        <v>2025</v>
      </c>
      <c r="C74" s="13" t="inlineStr">
        <is>
          <t>S-Z_7人乗り(CVT_2.0)</t>
        </is>
      </c>
      <c r="D74" s="13" t="inlineStr">
        <is>
          <t>2026年5月14日</t>
        </is>
      </c>
      <c r="E74" s="13" t="inlineStr">
        <is>
          <t>通勤通学</t>
        </is>
      </c>
      <c r="F74" s="13" t="n">
        <v>5</v>
      </c>
      <c r="G74" s="13" t="n">
        <v>5</v>
      </c>
      <c r="H74" s="13" t="n">
        <v>5</v>
      </c>
      <c r="I74" s="13" t="n">
        <v>5</v>
      </c>
      <c r="J74" s="13" t="n">
        <v>4</v>
      </c>
      <c r="K74" s="13" t="n">
        <v>3</v>
      </c>
      <c r="L74" s="13" t="inlineStr">
        <is>
          <t>90系ノア！</t>
        </is>
      </c>
      <c r="M74" s="14" t="n"/>
      <c r="N74" s="14" t="n"/>
      <c r="O74" s="14" t="inlineStr">
        <is>
          <t>26セレナから乗り換えましたが、全てにおいて満足してます！！</t>
        </is>
      </c>
      <c r="P74" s="13" t="inlineStr">
        <is>
          <t>https://minkara.carview.co.jp/car/toyota/noah/review/detail.aspx?cid=453983</t>
        </is>
      </c>
    </row>
    <row r="75">
      <c r="A75" s="8" t="inlineStr">
        <is>
          <t>ノア</t>
        </is>
      </c>
      <c r="B75" s="8" t="n">
        <v>2014</v>
      </c>
      <c r="C75" s="8" t="inlineStr">
        <is>
          <t>G_8人乗り_4WD(CVT_2.0)</t>
        </is>
      </c>
      <c r="D75" s="8" t="inlineStr">
        <is>
          <t>2026年4月29日</t>
        </is>
      </c>
      <c r="E75" s="8" t="inlineStr">
        <is>
          <t>その他</t>
        </is>
      </c>
      <c r="F75" s="8" t="n">
        <v>4</v>
      </c>
      <c r="G75" s="8" t="n">
        <v>3</v>
      </c>
      <c r="H75" s="8" t="n">
        <v>3</v>
      </c>
      <c r="I75" s="8" t="n">
        <v>3</v>
      </c>
      <c r="J75" s="8" t="n">
        <v>3</v>
      </c>
      <c r="K75" s="8" t="n">
        <v>2</v>
      </c>
      <c r="L75" s="8" t="inlineStr">
        <is>
          <t>良いです</t>
        </is>
      </c>
      <c r="M75" s="14" t="n"/>
      <c r="N75" s="14" t="n"/>
      <c r="O75" s="14" t="inlineStr">
        <is>
          <t>良いです</t>
        </is>
      </c>
      <c r="P75" s="8" t="inlineStr">
        <is>
          <t>https://minkara.carview.co.jp/car/toyota/noah/review/detail.aspx?cid=452813</t>
        </is>
      </c>
    </row>
    <row r="76">
      <c r="A76" s="13" t="inlineStr">
        <is>
          <t>ノア</t>
        </is>
      </c>
      <c r="B76" s="13" t="n">
        <v>2022</v>
      </c>
      <c r="C76" s="13" t="inlineStr">
        <is>
          <t>S-Z_7人乗り_4WD(CVT_2.0)</t>
        </is>
      </c>
      <c r="D76" s="13" t="inlineStr">
        <is>
          <t>2026年4月28日</t>
        </is>
      </c>
      <c r="E76" s="13" t="inlineStr">
        <is>
          <t>通勤通学</t>
        </is>
      </c>
      <c r="F76" s="13" t="n">
        <v>4</v>
      </c>
      <c r="G76" s="13" t="n">
        <v>5</v>
      </c>
      <c r="H76" s="13" t="n">
        <v>5</v>
      </c>
      <c r="I76" s="13" t="n">
        <v>4</v>
      </c>
      <c r="J76" s="13" t="n">
        <v>4</v>
      </c>
      <c r="K76" s="13" t="n">
        <v>3</v>
      </c>
      <c r="L76" s="13" t="inlineStr">
        <is>
          <t>普通にいい車</t>
        </is>
      </c>
      <c r="M76" s="14" t="inlineStr">
        <is>
          <t>安全装備が充実してます。</t>
        </is>
      </c>
      <c r="N76" s="14" t="inlineStr">
        <is>
          <t>価格が高い</t>
        </is>
      </c>
      <c r="O76" s="14" t="inlineStr">
        <is>
          <t>よくも無く、悪くも無い車です。 三代ノアに乗ってますが、やはりいい車。</t>
        </is>
      </c>
      <c r="P76" s="13" t="inlineStr">
        <is>
          <t>https://minkara.carview.co.jp/car/toyota/noah/review/detail.aspx?cid=452697</t>
        </is>
      </c>
    </row>
    <row r="77">
      <c r="A77" s="8" t="inlineStr">
        <is>
          <t>ノア</t>
        </is>
      </c>
      <c r="B77" s="8" t="n">
        <v>2025</v>
      </c>
      <c r="C77" s="8" t="inlineStr">
        <is>
          <t>S-Z_7人乗り(CVT_2.0)</t>
        </is>
      </c>
      <c r="D77" s="8" t="inlineStr">
        <is>
          <t>2026年4月26日</t>
        </is>
      </c>
      <c r="E77" s="8" t="inlineStr">
        <is>
          <t>買い物</t>
        </is>
      </c>
      <c r="F77" s="8" t="n">
        <v>5</v>
      </c>
      <c r="G77" s="8" t="n">
        <v>5</v>
      </c>
      <c r="H77" s="8" t="n">
        <v>5</v>
      </c>
      <c r="I77" s="8" t="n">
        <v>5</v>
      </c>
      <c r="J77" s="8" t="n">
        <v>5</v>
      </c>
      <c r="K77" s="8" t="n">
        <v>3</v>
      </c>
      <c r="L77" s="8" t="inlineStr">
        <is>
          <t>顔がお気に入り</t>
        </is>
      </c>
      <c r="M77" s="14" t="n"/>
      <c r="N77" s="14" t="n"/>
      <c r="O77" s="14" t="inlineStr">
        <is>
          <t>大満足な車</t>
        </is>
      </c>
      <c r="P77" s="8" t="inlineStr">
        <is>
          <t>https://minkara.carview.co.jp/car/toyota/noah/review/detail.aspx?cid=452526</t>
        </is>
      </c>
    </row>
    <row r="78">
      <c r="A78" s="13" t="inlineStr">
        <is>
          <t>ノア</t>
        </is>
      </c>
      <c r="B78" s="13" t="n">
        <v>2022</v>
      </c>
      <c r="C78" s="13" t="inlineStr">
        <is>
          <t>S-Z_7人乗り(CVT_2.0)</t>
        </is>
      </c>
      <c r="D78" s="13" t="inlineStr">
        <is>
          <t>2026年4月22日</t>
        </is>
      </c>
      <c r="E78" s="13" t="inlineStr">
        <is>
          <t>通勤通学</t>
        </is>
      </c>
      <c r="F78" s="13" t="n">
        <v>5</v>
      </c>
      <c r="G78" s="13" t="n">
        <v>5</v>
      </c>
      <c r="H78" s="13" t="n">
        <v>3</v>
      </c>
      <c r="I78" s="13" t="n">
        <v>3</v>
      </c>
      <c r="J78" s="13" t="n">
        <v>5</v>
      </c>
      <c r="K78" s="13" t="n">
        <v>5</v>
      </c>
      <c r="L78" s="13" t="inlineStr">
        <is>
          <t>とても扱いやすい</t>
        </is>
      </c>
      <c r="M78" s="14" t="inlineStr">
        <is>
          <t>人が快適に乗れて2列目のシートを前に出せば、荷物の積載性も全く問題ないです。</t>
        </is>
      </c>
      <c r="N78" s="14" t="inlineStr">
        <is>
          <t>エンジンの排気量とモーターのパワー感がもう少しあればなと思いますが、穏やかに燃費よく走れるのでヨシです！</t>
        </is>
      </c>
      <c r="O78"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8" s="13" t="inlineStr">
        <is>
          <t>https://minkara.carview.co.jp/car/toyota/noah/review/detail.aspx?cid=452218</t>
        </is>
      </c>
    </row>
    <row r="79">
      <c r="A79" s="8" t="inlineStr">
        <is>
          <t>ノア</t>
        </is>
      </c>
      <c r="B79" s="8" t="n">
        <v>2022</v>
      </c>
      <c r="C79" s="8" t="inlineStr">
        <is>
          <t>S-G_7人乗り(CVT_2.0)</t>
        </is>
      </c>
      <c r="D79" s="8" t="inlineStr">
        <is>
          <t>2026年4月21日</t>
        </is>
      </c>
      <c r="E79" s="8" t="inlineStr">
        <is>
          <t>レジャー</t>
        </is>
      </c>
      <c r="F79" s="8" t="n">
        <v>5</v>
      </c>
      <c r="G79" s="8" t="n">
        <v>4</v>
      </c>
      <c r="H79" s="8" t="n">
        <v>3</v>
      </c>
      <c r="I79" s="8" t="n">
        <v>4</v>
      </c>
      <c r="J79" s="8" t="n">
        <v>4</v>
      </c>
      <c r="K79" s="8" t="n">
        <v>5</v>
      </c>
      <c r="L79" s="8" t="inlineStr">
        <is>
          <t>おぉ…うん。なるほどね？そういう感じか、おk。</t>
        </is>
      </c>
      <c r="M79"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79"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79"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79" s="8" t="inlineStr">
        <is>
          <t>https://minkara.carview.co.jp/car/toyota/noah/review/detail.aspx?cid=452121</t>
        </is>
      </c>
    </row>
    <row r="80">
      <c r="A80" s="13" t="inlineStr">
        <is>
          <t>ノア</t>
        </is>
      </c>
      <c r="B80" s="13" t="n">
        <v>2020</v>
      </c>
      <c r="C80" s="13" t="inlineStr">
        <is>
          <t>G_7人乗り_4WD(CVT_2.0)</t>
        </is>
      </c>
      <c r="D80" s="13" t="inlineStr">
        <is>
          <t>2026年4月9日</t>
        </is>
      </c>
      <c r="E80" s="13" t="inlineStr">
        <is>
          <t>仕事</t>
        </is>
      </c>
      <c r="F80" s="13" t="n">
        <v>5</v>
      </c>
      <c r="G80" s="13" t="n">
        <v>5</v>
      </c>
      <c r="H80" s="13" t="n">
        <v>5</v>
      </c>
      <c r="I80" s="13" t="n">
        <v>5</v>
      </c>
      <c r="J80" s="13" t="n">
        <v>5</v>
      </c>
      <c r="K80" s="13" t="n">
        <v>2</v>
      </c>
      <c r="L80" s="13" t="inlineStr">
        <is>
          <t>皆乗ってるのには意味がある。</t>
        </is>
      </c>
      <c r="M80" s="14" t="inlineStr">
        <is>
          <t>視界が広く運転しやすい。乗り心地が良い。広々空間。荷物も大量に乗せれる。カスタムがとても簡単。</t>
        </is>
      </c>
      <c r="N80" s="14" t="inlineStr">
        <is>
          <t>燃費が悪いのだけが不満。ただ不満はそれだけ。</t>
        </is>
      </c>
      <c r="O80" s="14" t="inlineStr">
        <is>
          <t>良いものだから皆買ってるだな。</t>
        </is>
      </c>
      <c r="P80" s="13" t="inlineStr">
        <is>
          <t>https://minkara.carview.co.jp/car/toyota/noah/review/detail.aspx?cid=451186</t>
        </is>
      </c>
    </row>
    <row r="81">
      <c r="A81" s="8" t="inlineStr">
        <is>
          <t>ノア</t>
        </is>
      </c>
      <c r="B81" s="8" t="n">
        <v>2022</v>
      </c>
      <c r="C81" s="8" t="inlineStr">
        <is>
          <t>S-Z_7人乗り(CVT_2.0)</t>
        </is>
      </c>
      <c r="D81" s="8" t="inlineStr">
        <is>
          <t>2026年4月5日</t>
        </is>
      </c>
      <c r="E81" s="8" t="inlineStr">
        <is>
          <t>通勤通学</t>
        </is>
      </c>
      <c r="F81" s="8" t="n">
        <v>5</v>
      </c>
      <c r="G81" s="8" t="n">
        <v>5</v>
      </c>
      <c r="H81" s="8" t="n">
        <v>5</v>
      </c>
      <c r="I81" s="8" t="n">
        <v>5</v>
      </c>
      <c r="J81" s="8" t="n">
        <v>5</v>
      </c>
      <c r="K81" s="8" t="n">
        <v>5</v>
      </c>
      <c r="L81" s="8" t="inlineStr">
        <is>
          <t>ハイブリッド最高</t>
        </is>
      </c>
      <c r="M81" s="14" t="n"/>
      <c r="N81" s="14" t="n"/>
      <c r="O81" s="14" t="inlineStr">
        <is>
          <t>最新の安全装備が魅力です</t>
        </is>
      </c>
      <c r="P81" s="8" t="inlineStr">
        <is>
          <t>https://minkara.carview.co.jp/car/toyota/noah/review/detail.aspx?cid=450903</t>
        </is>
      </c>
    </row>
    <row r="82">
      <c r="A82" s="13" t="inlineStr">
        <is>
          <t>ノア</t>
        </is>
      </c>
      <c r="B82" s="13" t="n">
        <v>2007</v>
      </c>
      <c r="C82" s="13" t="inlineStr">
        <is>
          <t>X_8人乗り(CVT_2.0)</t>
        </is>
      </c>
      <c r="D82" s="13" t="inlineStr">
        <is>
          <t>2026年4月3日</t>
        </is>
      </c>
      <c r="E82" s="13" t="inlineStr">
        <is>
          <t>通勤通学</t>
        </is>
      </c>
      <c r="F82" s="13" t="n">
        <v>5</v>
      </c>
      <c r="G82" s="13" t="n">
        <v>5</v>
      </c>
      <c r="H82" s="13" t="n">
        <v>5</v>
      </c>
      <c r="I82" s="13" t="n">
        <v>5</v>
      </c>
      <c r="J82" s="13" t="n">
        <v>5</v>
      </c>
      <c r="K82" s="13" t="n">
        <v>5</v>
      </c>
      <c r="L82" s="13" t="inlineStr">
        <is>
          <t>なんでもこなす</t>
        </is>
      </c>
      <c r="M82" s="14" t="n"/>
      <c r="N82" s="14" t="n"/>
      <c r="O82" s="14" t="inlineStr">
        <is>
          <t>買い物、レジャー、引っ越し何でもこなす家族です。</t>
        </is>
      </c>
      <c r="P82" s="13" t="inlineStr">
        <is>
          <t>https://minkara.carview.co.jp/car/toyota/noah/review/detail.aspx?cid=450702</t>
        </is>
      </c>
    </row>
    <row r="83">
      <c r="A83" s="8" t="inlineStr">
        <is>
          <t>ノア</t>
        </is>
      </c>
      <c r="B83" s="8" t="n">
        <v>2022</v>
      </c>
      <c r="C83" s="8" t="inlineStr">
        <is>
          <t>S-G_7人乗り_4WD(CVT_2.0)</t>
        </is>
      </c>
      <c r="D83" s="8" t="inlineStr">
        <is>
          <t>2026年3月23日</t>
        </is>
      </c>
      <c r="E83" s="8" t="inlineStr">
        <is>
          <t>通勤通学</t>
        </is>
      </c>
      <c r="F83" s="8" t="n">
        <v>5</v>
      </c>
      <c r="G83" s="8" t="n">
        <v>5</v>
      </c>
      <c r="H83" s="8" t="n">
        <v>5</v>
      </c>
      <c r="I83" s="8" t="n">
        <v>5</v>
      </c>
      <c r="J83" s="8" t="n">
        <v>5</v>
      </c>
      <c r="K83" s="8" t="n">
        <v>5</v>
      </c>
      <c r="L83" s="8" t="inlineStr">
        <is>
          <t>言うことナシ👍</t>
        </is>
      </c>
      <c r="M83" s="14" t="n"/>
      <c r="N83" s="14" t="n"/>
      <c r="O83" s="14" t="inlineStr">
        <is>
          <t>ハイブリッドならなお良き！</t>
        </is>
      </c>
      <c r="P83" s="8" t="inlineStr">
        <is>
          <t>https://minkara.carview.co.jp/car/toyota/noah/review/detail.aspx?cid=449860</t>
        </is>
      </c>
    </row>
    <row r="84">
      <c r="A84" s="13" t="inlineStr">
        <is>
          <t>ノア</t>
        </is>
      </c>
      <c r="B84" s="13" t="n">
        <v>2022</v>
      </c>
      <c r="C84" s="13" t="inlineStr">
        <is>
          <t>不明</t>
        </is>
      </c>
      <c r="D84" s="13" t="inlineStr">
        <is>
          <t>2026年3月17日</t>
        </is>
      </c>
      <c r="E84" s="13" t="inlineStr">
        <is>
          <t>買い物</t>
        </is>
      </c>
      <c r="F84" s="13" t="n">
        <v>5</v>
      </c>
      <c r="G84" s="13" t="n">
        <v>5</v>
      </c>
      <c r="H84" s="13" t="n">
        <v>4</v>
      </c>
      <c r="I84" s="13" t="n">
        <v>4</v>
      </c>
      <c r="J84" s="13" t="n">
        <v>5</v>
      </c>
      <c r="K84" s="13" t="n">
        <v>2</v>
      </c>
      <c r="L84" s="13" t="inlineStr">
        <is>
          <t>かなり良いと思います</t>
        </is>
      </c>
      <c r="M84" s="14" t="n"/>
      <c r="N84" s="14" t="n"/>
      <c r="O84" s="14" t="inlineStr">
        <is>
          <t>スタイル、実用性共に満足しています。価格がまあ少し安ければ!・・・</t>
        </is>
      </c>
      <c r="P84" s="13" t="inlineStr">
        <is>
          <t>https://minkara.carview.co.jp/car/toyota/noah/review/detail.aspx?cid=449326</t>
        </is>
      </c>
    </row>
    <row r="85">
      <c r="A85" s="8" t="inlineStr">
        <is>
          <t>ノア</t>
        </is>
      </c>
      <c r="B85" s="8" t="n">
        <v>2017</v>
      </c>
      <c r="C85" s="8" t="inlineStr">
        <is>
          <t>Si“W×B”_7人乗り(CVT_2.0)</t>
        </is>
      </c>
      <c r="D85" s="8" t="inlineStr">
        <is>
          <t>2026年3月13日</t>
        </is>
      </c>
      <c r="E85" s="8" t="inlineStr">
        <is>
          <t>レジャー</t>
        </is>
      </c>
      <c r="F85" s="8" t="n">
        <v>5</v>
      </c>
      <c r="G85" s="8" t="n">
        <v>5</v>
      </c>
      <c r="H85" s="8" t="n">
        <v>5</v>
      </c>
      <c r="I85" s="8" t="n">
        <v>4</v>
      </c>
      <c r="J85" s="8" t="n">
        <v>4</v>
      </c>
      <c r="K85" s="8" t="n">
        <v>3</v>
      </c>
      <c r="L85" s="8" t="inlineStr">
        <is>
          <t>８年経過</t>
        </is>
      </c>
      <c r="M85" s="14" t="inlineStr">
        <is>
          <t>後継の90もビックマイチェンの噂？ それくらい経つのにまだまだ衰えを感じさせないデザインや使い勝手 完成度の高いクルマだと思います</t>
        </is>
      </c>
      <c r="N85" s="14" t="inlineStr">
        <is>
          <t>とは言え、やはり８年の技術の進化には逆らえない 特に安全装備や燃費面 ８年前は「スゲー」って思ったけれど、今の水準ではやはり時代遅れ感が出てきています</t>
        </is>
      </c>
      <c r="O85"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5" s="8" t="inlineStr">
        <is>
          <t>https://minkara.carview.co.jp/car/toyota/noah/review/detail.aspx?cid=449057</t>
        </is>
      </c>
    </row>
    <row r="86">
      <c r="A86" s="13" t="inlineStr">
        <is>
          <t>ノア</t>
        </is>
      </c>
      <c r="B86" s="13" t="n">
        <v>2020</v>
      </c>
      <c r="C86" s="13" t="inlineStr">
        <is>
          <t>Si“W×B III”_7人乗り(CVT_2.0)</t>
        </is>
      </c>
      <c r="D86" s="13" t="inlineStr">
        <is>
          <t>2026年3月11日</t>
        </is>
      </c>
      <c r="E86" s="13" t="inlineStr">
        <is>
          <t>通勤通学</t>
        </is>
      </c>
      <c r="F86" s="13" t="n">
        <v>5</v>
      </c>
      <c r="G86" s="13" t="n">
        <v>4</v>
      </c>
      <c r="H86" s="13" t="n">
        <v>5</v>
      </c>
      <c r="I86" s="13" t="n">
        <v>4</v>
      </c>
      <c r="J86" s="13" t="n">
        <v>4</v>
      </c>
      <c r="K86" s="13" t="n">
        <v>3</v>
      </c>
      <c r="L86" s="13" t="inlineStr">
        <is>
          <t>80ノアダブルバイビー⑶</t>
        </is>
      </c>
      <c r="M86" s="14" t="n"/>
      <c r="N86" s="14" t="n"/>
      <c r="O86" s="14" t="inlineStr">
        <is>
          <t>とにかく乗りやすい(^^)</t>
        </is>
      </c>
      <c r="P86" s="13" t="inlineStr">
        <is>
          <t>https://minkara.carview.co.jp/car/toyota/noah/review/detail.aspx?cid=448936</t>
        </is>
      </c>
    </row>
    <row r="87">
      <c r="A87" s="8" t="inlineStr">
        <is>
          <t>ノア</t>
        </is>
      </c>
      <c r="B87" s="8" t="n">
        <v>2003</v>
      </c>
      <c r="C87" s="8" t="inlineStr">
        <is>
          <t>X(AT_2.0)</t>
        </is>
      </c>
      <c r="D87" s="8" t="inlineStr">
        <is>
          <t>2026年3月10日</t>
        </is>
      </c>
      <c r="E87" s="8" t="inlineStr">
        <is>
          <t>買い物</t>
        </is>
      </c>
      <c r="F87" s="8" t="n">
        <v>5</v>
      </c>
      <c r="G87" s="8" t="n">
        <v>4</v>
      </c>
      <c r="H87" s="8" t="n">
        <v>4</v>
      </c>
      <c r="I87" s="8" t="n">
        <v>3</v>
      </c>
      <c r="J87" s="8" t="n">
        <v>5</v>
      </c>
      <c r="K87" s="8" t="n">
        <v>2</v>
      </c>
      <c r="L87" s="8" t="inlineStr">
        <is>
          <t>もうすっかり見なくなりました！</t>
        </is>
      </c>
      <c r="M87" s="14" t="n"/>
      <c r="N87" s="14" t="n"/>
      <c r="O87" s="14" t="inlineStr">
        <is>
          <t>タイトル通りですか、この60系ノアもすっかり見なくなりました。 今は70系・80系を経て90系ですからね。 でもこの60系のノアは、乗用ミニバンとしての礎を築いた、偉大な車種だと思います。</t>
        </is>
      </c>
      <c r="P87" s="8" t="inlineStr">
        <is>
          <t>https://minkara.carview.co.jp/car/toyota/noah/review/detail.aspx?cid=448861</t>
        </is>
      </c>
    </row>
    <row r="88">
      <c r="A88" s="13" t="inlineStr">
        <is>
          <t>ノア</t>
        </is>
      </c>
      <c r="B88" s="13" t="n">
        <v>2010</v>
      </c>
      <c r="C88" s="13" t="inlineStr">
        <is>
          <t>ＳＩ</t>
        </is>
      </c>
      <c r="D88" s="13" t="inlineStr">
        <is>
          <t>2026年3月8日</t>
        </is>
      </c>
      <c r="E88" s="13" t="inlineStr">
        <is>
          <t>買い物</t>
        </is>
      </c>
      <c r="F88" s="13" t="n">
        <v>5</v>
      </c>
      <c r="G88" s="13" t="n"/>
      <c r="H88" s="13" t="n"/>
      <c r="I88" s="13" t="n"/>
      <c r="J88" s="13" t="n"/>
      <c r="K88" s="13" t="n"/>
      <c r="L88" s="13" t="inlineStr">
        <is>
          <t>これからもよろしく👍</t>
        </is>
      </c>
      <c r="M88" s="14" t="inlineStr">
        <is>
          <t>旧車ですが実に丈夫で故障知らず👌</t>
        </is>
      </c>
      <c r="N88" s="14" t="inlineStr">
        <is>
          <t>80系、90系に比べるとスタイリッシュさが足りない</t>
        </is>
      </c>
      <c r="O88" s="14" t="inlineStr">
        <is>
          <t>格安で購入してるしコスパ最高👌</t>
        </is>
      </c>
      <c r="P88" s="13" t="inlineStr">
        <is>
          <t>https://minkara.carview.co.jp/car/toyota/noah/review/detail.aspx?cid=448700</t>
        </is>
      </c>
    </row>
    <row r="89">
      <c r="A89" s="8" t="inlineStr">
        <is>
          <t>ノア</t>
        </is>
      </c>
      <c r="B89" s="8" t="n">
        <v>2014</v>
      </c>
      <c r="C89" s="8" t="inlineStr">
        <is>
          <t>Si_8人乗り_4WD(CVT_2.0)</t>
        </is>
      </c>
      <c r="D89" s="8" t="inlineStr">
        <is>
          <t>2026年3月7日</t>
        </is>
      </c>
      <c r="E89" s="8" t="inlineStr">
        <is>
          <t>通勤通学</t>
        </is>
      </c>
      <c r="F89" s="8" t="n">
        <v>4</v>
      </c>
      <c r="G89" s="8" t="n">
        <v>4</v>
      </c>
      <c r="H89" s="8" t="n">
        <v>4</v>
      </c>
      <c r="I89" s="8" t="n">
        <v>4</v>
      </c>
      <c r="J89" s="8" t="n">
        <v>4</v>
      </c>
      <c r="K89" s="8" t="n">
        <v>4</v>
      </c>
      <c r="L89" s="8" t="inlineStr">
        <is>
          <t>トヨタ車に良く有る優等生な車</t>
        </is>
      </c>
      <c r="M89" s="14" t="inlineStr">
        <is>
          <t>重量のある１BOX車の割に、しっかりとしたハンドリングでボディ剛性が高そう。</t>
        </is>
      </c>
      <c r="N89" s="14" t="inlineStr">
        <is>
          <t>トヨタ車に共通い言える事だが、小回りが効かない。 また、１BOX車にありがちな走行中のドアバタつきはこの車にもある。</t>
        </is>
      </c>
      <c r="O89" s="14" t="inlineStr">
        <is>
          <t>人間を乗せずに荷物を載せてのホビーユーズには出来すぎた車だと思う。</t>
        </is>
      </c>
      <c r="P89" s="8" t="inlineStr">
        <is>
          <t>https://minkara.carview.co.jp/car/toyota/noah/review/detail.aspx?cid=448556</t>
        </is>
      </c>
    </row>
    <row r="90">
      <c r="A90" s="13" t="inlineStr">
        <is>
          <t>ノア</t>
        </is>
      </c>
      <c r="B90" s="13" t="n">
        <v>2006</v>
      </c>
      <c r="C90" s="13" t="inlineStr">
        <is>
          <t>Xスペシャルエディション(CVT_2.0)</t>
        </is>
      </c>
      <c r="D90" s="13" t="inlineStr">
        <is>
          <t>2026年2月26日</t>
        </is>
      </c>
      <c r="E90" s="13" t="inlineStr">
        <is>
          <t>通勤通学</t>
        </is>
      </c>
      <c r="F90" s="13" t="n">
        <v>5</v>
      </c>
      <c r="G90" s="13" t="n">
        <v>4</v>
      </c>
      <c r="H90" s="13" t="n">
        <v>4</v>
      </c>
      <c r="I90" s="13" t="n">
        <v>4</v>
      </c>
      <c r="J90" s="13" t="n">
        <v>4</v>
      </c>
      <c r="K90" s="13" t="n">
        <v>3</v>
      </c>
      <c r="L90" s="13" t="inlineStr">
        <is>
          <t>良いクルマ</t>
        </is>
      </c>
      <c r="M90" s="14" t="n"/>
      <c r="N90" s="14" t="n"/>
      <c r="O90" s="14" t="inlineStr">
        <is>
          <t>乗ってて飽きない</t>
        </is>
      </c>
      <c r="P90" s="13" t="inlineStr">
        <is>
          <t>https://minkara.carview.co.jp/car/toyota/noah/review/detail.aspx?cid=447850</t>
        </is>
      </c>
    </row>
    <row r="91">
      <c r="A91" s="8" t="inlineStr">
        <is>
          <t>ノア</t>
        </is>
      </c>
      <c r="B91" s="8" t="n">
        <v>2025</v>
      </c>
      <c r="C91" s="8" t="inlineStr">
        <is>
          <t>S-G_7人乗り(CVT_2.0)</t>
        </is>
      </c>
      <c r="D91" s="8" t="inlineStr">
        <is>
          <t>2026年2月22日</t>
        </is>
      </c>
      <c r="E91" s="8" t="inlineStr">
        <is>
          <t>通勤通学</t>
        </is>
      </c>
      <c r="F91" s="8" t="n">
        <v>5</v>
      </c>
      <c r="G91" s="8" t="n">
        <v>5</v>
      </c>
      <c r="H91" s="8" t="n">
        <v>5</v>
      </c>
      <c r="I91" s="8" t="n">
        <v>3</v>
      </c>
      <c r="J91" s="8" t="n">
        <v>5</v>
      </c>
      <c r="K91" s="8" t="n">
        <v>4</v>
      </c>
      <c r="L91" s="8" t="inlineStr">
        <is>
          <t>ミニバン最高</t>
        </is>
      </c>
      <c r="M91" s="14" t="inlineStr">
        <is>
          <t>乗りやすいし広いし使い勝手がすごく良い！！</t>
        </is>
      </c>
      <c r="N91" s="14" t="inlineStr">
        <is>
          <t>S-Zを買わないとゲートテールが光らない</t>
        </is>
      </c>
      <c r="O91" s="14" t="inlineStr">
        <is>
          <t>ミニバンはでかいのがいいけど、ノアはどこに行くにもちょうどいいサイズだからおすすめ！ 窓も大きいから視界が良くて運転も楽！！</t>
        </is>
      </c>
      <c r="P91" s="8" t="inlineStr">
        <is>
          <t>https://minkara.carview.co.jp/car/toyota/noah/review/detail.aspx?cid=447559</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sheetData>
  <autoFilter ref="A1:P31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sheetData>
  <autoFilter ref="A1:J43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アイシス</t>
        </is>
      </c>
      <c r="B2" s="13" t="inlineStr">
        <is>
          <t>2006/05/30</t>
        </is>
      </c>
      <c r="C2" s="13" t="inlineStr">
        <is>
          <t>1116630</t>
        </is>
      </c>
      <c r="D2" s="13" t="inlineStr">
        <is>
          <t>かじ取リンク機構</t>
        </is>
      </c>
      <c r="E2" s="15" t="n">
        <v>565756</v>
      </c>
      <c r="F2" s="14" t="inlineStr">
        <is>
          <t>CBA-ANM10G, CBA-ZNM10G, CBA-ZNM10W, DBA-ANM10G</t>
        </is>
      </c>
      <c r="G2" s="13" t="inlineStr">
        <is>
          <t>2002年9月16日</t>
        </is>
      </c>
      <c r="H2" s="13" t="inlineStr">
        <is>
          <t>2005年11月22日</t>
        </is>
      </c>
      <c r="I2"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 s="14" t="inlineStr">
        <is>
          <t>全車両、インタミディエイトシャフトとスライディングヨークを対策品に交換するとともに、インタミエクステンションシャフトの締付ボルトを規定トルクで締め付ける。</t>
        </is>
      </c>
    </row>
    <row r="3">
      <c r="A3" s="8" t="inlineStr">
        <is>
          <t>アイシス</t>
        </is>
      </c>
      <c r="B3" s="8" t="inlineStr">
        <is>
          <t>2007/07/17</t>
        </is>
      </c>
      <c r="C3" s="8" t="inlineStr">
        <is>
          <t>1119120</t>
        </is>
      </c>
      <c r="D3" s="8" t="inlineStr">
        <is>
          <t>その他(電気装置)</t>
        </is>
      </c>
      <c r="E3" s="11" t="n">
        <v>122527</v>
      </c>
      <c r="F3" s="14" t="inlineStr">
        <is>
          <t>CBA-ANM10G, CBA-ANM10W, CBA-ANM15G, CBA-ANM15W, CBA-ZNM10G, CBA-ZNM10W, DBA-ANM10G, DBA-ANM10W, DBA-ANM15G, DBA-ANM15W</t>
        </is>
      </c>
      <c r="G3" s="8" t="inlineStr">
        <is>
          <t>2004年9月20日</t>
        </is>
      </c>
      <c r="H3" s="8" t="inlineStr">
        <is>
          <t>2006年9月 1日</t>
        </is>
      </c>
      <c r="I3"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3" s="14" t="inlineStr">
        <is>
          <t>全車両、当該スイッチを対策品に交換するとともにリレーを追加する。</t>
        </is>
      </c>
    </row>
    <row r="4">
      <c r="A4" s="13" t="inlineStr">
        <is>
          <t>アイシス</t>
        </is>
      </c>
      <c r="B4" s="13" t="inlineStr">
        <is>
          <t>2010/11/17</t>
        </is>
      </c>
      <c r="C4" s="13" t="inlineStr">
        <is>
          <t>1126540</t>
        </is>
      </c>
      <c r="D4" s="13" t="inlineStr">
        <is>
          <t>ウオッシャー</t>
        </is>
      </c>
      <c r="E4" s="15" t="n">
        <v>4450</v>
      </c>
      <c r="F4" s="14" t="inlineStr">
        <is>
          <t>CBA-ZNM10W</t>
        </is>
      </c>
      <c r="G4" s="13" t="inlineStr">
        <is>
          <t>1995年2月13日</t>
        </is>
      </c>
      <c r="H4" s="13" t="inlineStr">
        <is>
          <t>2009年10月19日</t>
        </is>
      </c>
      <c r="I4"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 s="14" t="inlineStr">
        <is>
          <t>全車両、当該ヒータを取り外す。</t>
        </is>
      </c>
    </row>
    <row r="5">
      <c r="A5" s="8" t="inlineStr">
        <is>
          <t>アイシス</t>
        </is>
      </c>
      <c r="B5" s="8" t="inlineStr">
        <is>
          <t>2011/01/26</t>
        </is>
      </c>
      <c r="C5" s="8" t="inlineStr">
        <is>
          <t>1126941</t>
        </is>
      </c>
      <c r="D5" s="8" t="inlineStr">
        <is>
          <t>燃料ホース/パイプ</t>
        </is>
      </c>
      <c r="E5" s="11" t="n">
        <v>1202800</v>
      </c>
      <c r="F5" s="14" t="inlineStr">
        <is>
          <t>CBA-ANM10G, CBA-ANM10W, CBA-ANM15G, CBA-ANM15W, DBA-ANM10G, DBA-ANM10W, DBA-ANM15G, DBA-ANM15W</t>
        </is>
      </c>
      <c r="G5" s="8" t="inlineStr">
        <is>
          <t>2000年5月10日</t>
        </is>
      </c>
      <c r="H5" s="8" t="inlineStr">
        <is>
          <t>2008年10月24日</t>
        </is>
      </c>
      <c r="I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5" s="14" t="inlineStr">
        <is>
          <t>① 全車両、燃料パイプを対策品に交換する。</t>
        </is>
      </c>
    </row>
    <row r="6">
      <c r="A6" s="13" t="inlineStr">
        <is>
          <t>アイシス</t>
        </is>
      </c>
      <c r="B6" s="13" t="inlineStr">
        <is>
          <t>2012/11/14</t>
        </is>
      </c>
      <c r="C6" s="13" t="inlineStr">
        <is>
          <t>1130551</t>
        </is>
      </c>
      <c r="D6" s="13" t="inlineStr">
        <is>
          <t>その他(かじ取り)</t>
        </is>
      </c>
      <c r="E6" s="15" t="n">
        <v>1507454</v>
      </c>
      <c r="F6" s="14" t="inlineStr">
        <is>
          <t>CBA-ANM10G, CBA-ZNM10G, CBA-ZNM10W, DBA-ANM10G</t>
        </is>
      </c>
      <c r="G6" s="13" t="inlineStr">
        <is>
          <t>2000年8月22日</t>
        </is>
      </c>
      <c r="H6" s="13" t="inlineStr">
        <is>
          <t>2011年12月16日</t>
        </is>
      </c>
      <c r="I6"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6" s="14" t="inlineStr">
        <is>
          <t>①全車両、点検し、当該継手部品を対策品に交換する。</t>
        </is>
      </c>
    </row>
    <row r="7">
      <c r="A7" s="8" t="inlineStr">
        <is>
          <t>アイシス</t>
        </is>
      </c>
      <c r="B7" s="8" t="inlineStr">
        <is>
          <t>2015/11/18</t>
        </is>
      </c>
      <c r="C7" s="8" t="inlineStr">
        <is>
          <t>1136720</t>
        </is>
      </c>
      <c r="D7" s="8" t="inlineStr">
        <is>
          <t>燃料ホース/パイプ</t>
        </is>
      </c>
      <c r="E7" s="11" t="n">
        <v>3067</v>
      </c>
      <c r="F7" s="14" t="inlineStr">
        <is>
          <t>DBA-ANM10G, DBA-ANM10W, DBA-ANM15G, DBA-ANM15W</t>
        </is>
      </c>
      <c r="G7" s="8" t="inlineStr">
        <is>
          <t>2009年5月13日</t>
        </is>
      </c>
      <c r="H7" s="8" t="inlineStr">
        <is>
          <t>2009年9月28日</t>
        </is>
      </c>
      <c r="I7"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7" s="14" t="inlineStr">
        <is>
          <t>全車両、ガスケットを新品と交換して燃圧センサを適正に締め付ける。</t>
        </is>
      </c>
    </row>
    <row r="8">
      <c r="A8" s="13" t="inlineStr">
        <is>
          <t>アイシス</t>
        </is>
      </c>
      <c r="B8" s="13" t="inlineStr">
        <is>
          <t>2018/11/01</t>
        </is>
      </c>
      <c r="C8" s="13" t="inlineStr">
        <is>
          <t>1143630</t>
        </is>
      </c>
      <c r="D8" s="13" t="inlineStr">
        <is>
          <t>エアーバッグ</t>
        </is>
      </c>
      <c r="E8" s="15" t="n">
        <v>36002</v>
      </c>
      <c r="F8" s="14" t="inlineStr">
        <is>
          <t>CBA-ANM10G, CBA-ANM10W, CBA-ANM15G, CBA-ANM15W, CBA-ZNM10G, CBA-ZNM10W, DBA-ANM10G, DBA-ANM10W, DBA-ANM15G, DBA-ANM15W</t>
        </is>
      </c>
      <c r="G8" s="13" t="inlineStr">
        <is>
          <t>2003年1月 8日</t>
        </is>
      </c>
      <c r="H8" s="13" t="inlineStr">
        <is>
          <t>2015年6月25日</t>
        </is>
      </c>
      <c r="I8"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 s="14" t="inlineStr">
        <is>
          <t>全車両、エアバッグコントロールユニットを対策品に交換する。</t>
        </is>
      </c>
    </row>
    <row r="9">
      <c r="A9" s="8" t="inlineStr">
        <is>
          <t>アルファード</t>
        </is>
      </c>
      <c r="B9" s="8" t="inlineStr">
        <is>
          <t>2004/11/18</t>
        </is>
      </c>
      <c r="C9" s="8" t="inlineStr">
        <is>
          <t>1113041</t>
        </is>
      </c>
      <c r="D9" s="8" t="inlineStr">
        <is>
          <t>主ブレーキ一般</t>
        </is>
      </c>
      <c r="E9" s="11" t="n">
        <v>544172</v>
      </c>
      <c r="F9" s="14" t="inlineStr">
        <is>
          <t>CAA-ATH10W, ZA-ATH10W</t>
        </is>
      </c>
      <c r="G9" s="8" t="inlineStr">
        <is>
          <t>1999年1月 6日</t>
        </is>
      </c>
      <c r="H9" s="8" t="inlineStr">
        <is>
          <t>2004年8月 6日</t>
        </is>
      </c>
      <c r="I9"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9" s="14" t="inlineStr">
        <is>
          <t>①全車両、当該スイッチを対策品と交換する。</t>
        </is>
      </c>
    </row>
    <row r="10">
      <c r="A10" s="13" t="inlineStr">
        <is>
          <t>アルファード</t>
        </is>
      </c>
      <c r="B10" s="13" t="inlineStr">
        <is>
          <t>2010/10/21</t>
        </is>
      </c>
      <c r="C10" s="13" t="inlineStr">
        <is>
          <t>1126252</t>
        </is>
      </c>
      <c r="D10" s="13" t="inlineStr">
        <is>
          <t>圧力制御伝達部</t>
        </is>
      </c>
      <c r="E10" s="15" t="n">
        <v>581695</v>
      </c>
      <c r="F10" s="14" t="inlineStr">
        <is>
          <t>CBA-ANH10W, CBA-ANH15W, DBA-ANH10W, DBA-ANH15W, TA-MNH10W, TA-MNH15W, UA-ANH10W, UA-ANH15W</t>
        </is>
      </c>
      <c r="G10" s="13" t="inlineStr">
        <is>
          <t>2002年5月10日</t>
        </is>
      </c>
      <c r="H10" s="13" t="inlineStr">
        <is>
          <t>2006年3月 2日</t>
        </is>
      </c>
      <c r="I10"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10" s="14" t="inlineStr">
        <is>
          <t>全車両、当該シールを対策品に交換するとともに、マスターシリンダからのブレーキ液漏れを点検する。ブレーキ液漏れがあるものは、ブレーキブースタを新品と交換する。</t>
        </is>
      </c>
    </row>
    <row r="11">
      <c r="A11" s="8" t="inlineStr">
        <is>
          <t>アルファード</t>
        </is>
      </c>
      <c r="B11" s="8" t="inlineStr">
        <is>
          <t>2010/11/17</t>
        </is>
      </c>
      <c r="C11" s="8" t="inlineStr">
        <is>
          <t>1126540</t>
        </is>
      </c>
      <c r="D11" s="8" t="inlineStr">
        <is>
          <t>ウオッシャー</t>
        </is>
      </c>
      <c r="E11" s="11" t="n">
        <v>4450</v>
      </c>
      <c r="F11" s="14" t="inlineStr">
        <is>
          <t>TA-MNH10W</t>
        </is>
      </c>
      <c r="G11" s="8" t="inlineStr">
        <is>
          <t>1995年2月13日</t>
        </is>
      </c>
      <c r="H11" s="8" t="inlineStr">
        <is>
          <t>2009年10月19日</t>
        </is>
      </c>
      <c r="I1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1" s="14" t="inlineStr">
        <is>
          <t>全車両、当該ヒータを取り外す。</t>
        </is>
      </c>
    </row>
    <row r="12">
      <c r="A12" s="13" t="inlineStr">
        <is>
          <t>アルファード</t>
        </is>
      </c>
      <c r="B12" s="13" t="inlineStr">
        <is>
          <t>2011/11/09</t>
        </is>
      </c>
      <c r="C12" s="13" t="inlineStr">
        <is>
          <t>1128490</t>
        </is>
      </c>
      <c r="D12" s="13" t="inlineStr">
        <is>
          <t>エンジン一般</t>
        </is>
      </c>
      <c r="E12" s="15" t="n">
        <v>38057</v>
      </c>
      <c r="F12" s="14" t="inlineStr">
        <is>
          <t>TA-MNH10W, TA-MNH10W改, TA-MNH15W</t>
        </is>
      </c>
      <c r="G12" s="13" t="inlineStr">
        <is>
          <t>2004年6月 1日</t>
        </is>
      </c>
      <c r="H12" s="13" t="inlineStr">
        <is>
          <t>2005年3月31日</t>
        </is>
      </c>
      <c r="I12"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12" s="14" t="inlineStr">
        <is>
          <t>全車両、当該クランクシャフトプーリの製造記号を確認し、該当するものは良品に交換する。</t>
        </is>
      </c>
    </row>
    <row r="13">
      <c r="A13" s="8" t="inlineStr">
        <is>
          <t>アルファード</t>
        </is>
      </c>
      <c r="B13" s="8" t="inlineStr">
        <is>
          <t>2012/11/14</t>
        </is>
      </c>
      <c r="C13" s="8" t="inlineStr">
        <is>
          <t>1130552</t>
        </is>
      </c>
      <c r="D13" s="8" t="inlineStr">
        <is>
          <t>冷却装置</t>
        </is>
      </c>
      <c r="E13" s="11" t="n">
        <v>175176</v>
      </c>
      <c r="F13" s="14" t="inlineStr">
        <is>
          <t>CAA-ATH10W, DAA-ATH10W, ZA-ATH10W</t>
        </is>
      </c>
      <c r="G13" s="8" t="inlineStr">
        <is>
          <t>2000年8月22日</t>
        </is>
      </c>
      <c r="H13" s="8" t="inlineStr">
        <is>
          <t>2011年12月16日</t>
        </is>
      </c>
      <c r="I13"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13" s="14" t="inlineStr">
        <is>
          <t>②全車両、当該ウォータポンプを対策品に交換する。</t>
        </is>
      </c>
    </row>
    <row r="14">
      <c r="A14" s="13" t="inlineStr">
        <is>
          <t>アルファード</t>
        </is>
      </c>
      <c r="B14" s="13" t="inlineStr">
        <is>
          <t>2013/04/11</t>
        </is>
      </c>
      <c r="C14" s="13" t="inlineStr">
        <is>
          <t>1131400</t>
        </is>
      </c>
      <c r="D14" s="13" t="inlineStr">
        <is>
          <t>エアバッグ</t>
        </is>
      </c>
      <c r="E14" s="15" t="n">
        <v>304862</v>
      </c>
      <c r="F14" s="14" t="inlineStr">
        <is>
          <t>TA-MNH10W, TA-MNH15W, UA-ANH10W, UA-ANH15W</t>
        </is>
      </c>
      <c r="G14" s="13" t="inlineStr">
        <is>
          <t>2000年11月22日</t>
        </is>
      </c>
      <c r="H14" s="13" t="inlineStr">
        <is>
          <t>2003年6月 9日</t>
        </is>
      </c>
      <c r="I1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4" s="14" t="inlineStr">
        <is>
          <t>全車両、当該インフレータを良品に交換する。</t>
        </is>
      </c>
    </row>
    <row r="15">
      <c r="A15" s="8" t="inlineStr">
        <is>
          <t>アルファード</t>
        </is>
      </c>
      <c r="B15" s="8" t="inlineStr">
        <is>
          <t>2014/06/11</t>
        </is>
      </c>
      <c r="C15" s="8" t="inlineStr">
        <is>
          <t>1133690</t>
        </is>
      </c>
      <c r="D15" s="8" t="inlineStr">
        <is>
          <t>エアバッグ</t>
        </is>
      </c>
      <c r="E15" s="11" t="n">
        <v>648081</v>
      </c>
      <c r="F15" s="14" t="inlineStr">
        <is>
          <t>TA-MNH10W, TA-MNH15W, UA-ANH10W, UA-ANH15W</t>
        </is>
      </c>
      <c r="G15" s="8" t="inlineStr">
        <is>
          <t>2000年12月 4日</t>
        </is>
      </c>
      <c r="H15" s="8" t="inlineStr">
        <is>
          <t>2004年4月19日</t>
        </is>
      </c>
      <c r="I1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
      <c r="A16" s="13" t="inlineStr">
        <is>
          <t>アルファード</t>
        </is>
      </c>
      <c r="B16" s="13" t="inlineStr">
        <is>
          <t>2014/12/04</t>
        </is>
      </c>
      <c r="C16" s="13" t="inlineStr">
        <is>
          <t>1134830</t>
        </is>
      </c>
      <c r="D16" s="13" t="inlineStr">
        <is>
          <t>エアバッグ</t>
        </is>
      </c>
      <c r="E16" s="15" t="n">
        <v>185093</v>
      </c>
      <c r="F16" s="14" t="inlineStr">
        <is>
          <t>TA-MNH10W, TA-MNH15W, UA-ANH10W, UA-ANH15W</t>
        </is>
      </c>
      <c r="G16" s="13" t="inlineStr">
        <is>
          <t>2002年9月24日</t>
        </is>
      </c>
      <c r="H16" s="13" t="inlineStr">
        <is>
          <t>2003年12月25日</t>
        </is>
      </c>
      <c r="I16"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6"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
      <c r="A17" s="8" t="inlineStr">
        <is>
          <t>アルファード</t>
        </is>
      </c>
      <c r="B17" s="8" t="inlineStr">
        <is>
          <t>2015/05/13</t>
        </is>
      </c>
      <c r="C17" s="8" t="inlineStr">
        <is>
          <t>1135630</t>
        </is>
      </c>
      <c r="D17" s="8" t="inlineStr">
        <is>
          <t>エアバッグ</t>
        </is>
      </c>
      <c r="E17" s="11" t="n">
        <v>1300983</v>
      </c>
      <c r="F17" s="14" t="inlineStr">
        <is>
          <t>CAA-ATH10W, CBA-ANH10W, CBA-ANH15W, DAA-ATH10W, DBA-ANH10W, DBA-ANH15W, TA-MNH10W, TA-MNH15W, UA-ANH10W, UA-ANH15W, ZA-ATH10W</t>
        </is>
      </c>
      <c r="G17" s="8" t="inlineStr">
        <is>
          <t>2004年1月 6日</t>
        </is>
      </c>
      <c r="H17" s="8" t="inlineStr">
        <is>
          <t>2008年3月 7日</t>
        </is>
      </c>
      <c r="I17"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8">
      <c r="A18" s="13" t="inlineStr">
        <is>
          <t>アルファード</t>
        </is>
      </c>
      <c r="B18" s="13" t="inlineStr">
        <is>
          <t>2015/05/27</t>
        </is>
      </c>
      <c r="C18" s="13" t="inlineStr">
        <is>
          <t>1135770</t>
        </is>
      </c>
      <c r="D18" s="13" t="inlineStr">
        <is>
          <t>圧力制御伝達部</t>
        </is>
      </c>
      <c r="E18" s="15" t="n">
        <v>1077</v>
      </c>
      <c r="F18" s="14" t="inlineStr">
        <is>
          <t>DBA-AGH30W, DBA-AGH35W, DBA-GGH30W, DBA-GGH35W</t>
        </is>
      </c>
      <c r="G18" s="13" t="inlineStr">
        <is>
          <t>2014年11月11日</t>
        </is>
      </c>
      <c r="H18" s="13" t="inlineStr">
        <is>
          <t>2015年2月 3日</t>
        </is>
      </c>
      <c r="I18"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8" s="14" t="inlineStr">
        <is>
          <t>全車両、ＡＢＳの油圧調整装置の製造番号を確認し、該当するものは良品と交換する。</t>
        </is>
      </c>
    </row>
    <row r="19">
      <c r="A19" s="8" t="inlineStr">
        <is>
          <t>アルファード</t>
        </is>
      </c>
      <c r="B19" s="8" t="inlineStr">
        <is>
          <t>2015/06/25</t>
        </is>
      </c>
      <c r="C19" s="8" t="inlineStr">
        <is>
          <t>1135900</t>
        </is>
      </c>
      <c r="D19" s="8" t="inlineStr">
        <is>
          <t>エアバッグ</t>
        </is>
      </c>
      <c r="E19" s="11" t="n">
        <v>2230</v>
      </c>
      <c r="F19" s="14" t="inlineStr">
        <is>
          <t>TA-MNH10W, TA-MNH15W, UA-ANH10W, UA-ANH15W</t>
        </is>
      </c>
      <c r="G19" s="8" t="inlineStr">
        <is>
          <t>2001年12月20日</t>
        </is>
      </c>
      <c r="H19" s="8" t="inlineStr">
        <is>
          <t>2002年9月24日</t>
        </is>
      </c>
      <c r="I19"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19" s="14" t="inlineStr">
        <is>
          <t>全車両、助手席用インフレータを新品と交換する。</t>
        </is>
      </c>
    </row>
    <row r="20">
      <c r="A20" s="13" t="inlineStr">
        <is>
          <t>アルファード</t>
        </is>
      </c>
      <c r="B20" s="13" t="inlineStr">
        <is>
          <t>2015/06/25</t>
        </is>
      </c>
      <c r="C20" s="13" t="inlineStr">
        <is>
          <t>1135910</t>
        </is>
      </c>
      <c r="D20" s="13" t="inlineStr">
        <is>
          <t>エアバッグ</t>
        </is>
      </c>
      <c r="E20" s="15" t="n">
        <v>46344</v>
      </c>
      <c r="F20" s="14" t="inlineStr">
        <is>
          <t>ZA-ATH10W</t>
        </is>
      </c>
      <c r="G20" s="13" t="inlineStr">
        <is>
          <t>2003年5月12日</t>
        </is>
      </c>
      <c r="H20" s="13" t="inlineStr">
        <is>
          <t>2008年5月23日</t>
        </is>
      </c>
      <c r="I20"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20"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1">
      <c r="A21" s="8" t="inlineStr">
        <is>
          <t>アルファード</t>
        </is>
      </c>
      <c r="B21" s="8" t="inlineStr">
        <is>
          <t>2015/06/25</t>
        </is>
      </c>
      <c r="C21" s="8" t="inlineStr">
        <is>
          <t>1135920</t>
        </is>
      </c>
      <c r="D21" s="8" t="inlineStr">
        <is>
          <t>エアバッグ</t>
        </is>
      </c>
      <c r="E21" s="11" t="n">
        <v>311687</v>
      </c>
      <c r="F21" s="14" t="inlineStr">
        <is>
          <t>CBA-MNH10W, CBA-MNH15W, DAA-ATH10W, DBA-ANH10W, DBA-ANH15W, TA-MNH10W, TA-MNH15W</t>
        </is>
      </c>
      <c r="G21" s="8" t="inlineStr">
        <is>
          <t>2007年4月 1日</t>
        </is>
      </c>
      <c r="H21" s="8" t="inlineStr">
        <is>
          <t>2008年12月25日</t>
        </is>
      </c>
      <c r="I21"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21"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22">
      <c r="A22" s="13" t="inlineStr">
        <is>
          <t>アルファード</t>
        </is>
      </c>
      <c r="B22" s="13" t="inlineStr">
        <is>
          <t>2015/11/25</t>
        </is>
      </c>
      <c r="C22" s="13" t="inlineStr">
        <is>
          <t>1136960</t>
        </is>
      </c>
      <c r="D22" s="13" t="inlineStr">
        <is>
          <t>エアバッグ</t>
        </is>
      </c>
      <c r="E22" s="15" t="n">
        <v>1612670</v>
      </c>
      <c r="F22" s="14" t="inlineStr">
        <is>
          <t>CAA-ATH10W, CBA-ANH10W, CBA-ANH15W, CBA-MNH10W, CBA-MNH15W, DAA-ATH10W, DBA-ANH10W, DBA-ANH15W, TA-MNH10W, TA-MNH15W, UA-ANH10W, UA-ANH15W, ZA-ATH10W</t>
        </is>
      </c>
      <c r="G22" s="13" t="inlineStr">
        <is>
          <t>2004年1月 6日</t>
        </is>
      </c>
      <c r="H22" s="13" t="inlineStr">
        <is>
          <t>2008年12月25日</t>
        </is>
      </c>
      <c r="I22" s="14" t="inlineStr">
        <is>
          <t>助手席用一段展開制御式エアバッグのインフレータ（膨張装置）において、エアバッグ展開時にインフレータ容器が破損して飛び散り、出火したり乗員が負傷するおそれがある。</t>
        </is>
      </c>
      <c r="J22"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3">
      <c r="A23" s="8" t="inlineStr">
        <is>
          <t>アルファード</t>
        </is>
      </c>
      <c r="B23" s="8" t="inlineStr">
        <is>
          <t>2016/10/26</t>
        </is>
      </c>
      <c r="C23" s="8" t="inlineStr">
        <is>
          <t>1139110</t>
        </is>
      </c>
      <c r="D23" s="8" t="inlineStr">
        <is>
          <t>エアバッグ</t>
        </is>
      </c>
      <c r="E23" s="11" t="n">
        <v>1159578</v>
      </c>
      <c r="F23" s="14" t="inlineStr">
        <is>
          <t>DBA-ANH20W, DBA-ANH25W, DBA-GGH20W, DBA-GGH25W</t>
        </is>
      </c>
      <c r="G23" s="8" t="inlineStr">
        <is>
          <t>2000年8月22日</t>
        </is>
      </c>
      <c r="H23" s="8" t="inlineStr">
        <is>
          <t>2011年12月28日</t>
        </is>
      </c>
      <c r="I2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4">
      <c r="A24" s="13" t="inlineStr">
        <is>
          <t>アルファード</t>
        </is>
      </c>
      <c r="B24" s="13" t="inlineStr">
        <is>
          <t>2017/03/30</t>
        </is>
      </c>
      <c r="C24" s="13" t="inlineStr">
        <is>
          <t>1140180</t>
        </is>
      </c>
      <c r="D24" s="13" t="inlineStr">
        <is>
          <t>エアバッグ</t>
        </is>
      </c>
      <c r="E24" s="15" t="n">
        <v>725999</v>
      </c>
      <c r="F24" s="14" t="inlineStr">
        <is>
          <t>DAA-ATH20W, DBA-ANH20W, DBA-ANH25W, DBA-GGH20W, DBA-GGH25W</t>
        </is>
      </c>
      <c r="G24" s="13" t="inlineStr">
        <is>
          <t>2010年1月 6日</t>
        </is>
      </c>
      <c r="H24" s="13" t="inlineStr">
        <is>
          <t>2012年12月26日</t>
        </is>
      </c>
      <c r="I2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4" s="14" t="inlineStr">
        <is>
          <t>全車両、予防的措置としてエアバッグインフレータまたはエアバッグアッセンブリを改良品に交換する。</t>
        </is>
      </c>
    </row>
    <row r="25">
      <c r="A25" s="8" t="inlineStr">
        <is>
          <t>アルファード</t>
        </is>
      </c>
      <c r="B25" s="8" t="inlineStr">
        <is>
          <t>2018/01/31</t>
        </is>
      </c>
      <c r="C25" s="8" t="inlineStr">
        <is>
          <t>1141851</t>
        </is>
      </c>
      <c r="D25" s="8" t="inlineStr">
        <is>
          <t>エアバッグ</t>
        </is>
      </c>
      <c r="E25" s="11" t="n">
        <v>91210</v>
      </c>
      <c r="F25" s="14" t="inlineStr">
        <is>
          <t>DAA-AYH30W, DBA-AGH30W, DBA-AGH35W, DBA-GGH30W, DBA-GGH35W</t>
        </is>
      </c>
      <c r="G25" s="8" t="inlineStr">
        <is>
          <t>2015年5月20日</t>
        </is>
      </c>
      <c r="H25" s="8" t="inlineStr">
        <is>
          <t>2016年1月 7日</t>
        </is>
      </c>
      <c r="I2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25" s="14" t="inlineStr">
        <is>
          <t>全車両、各センサの製造番号を点検し、該当する場合は良品と交換する。</t>
        </is>
      </c>
    </row>
    <row r="26">
      <c r="A26" s="13" t="inlineStr">
        <is>
          <t>アルファード</t>
        </is>
      </c>
      <c r="B26" s="13" t="inlineStr">
        <is>
          <t>2018/03/28</t>
        </is>
      </c>
      <c r="C26" s="13" t="inlineStr">
        <is>
          <t>1142280</t>
        </is>
      </c>
      <c r="D26" s="13" t="inlineStr">
        <is>
          <t>エアバッグ</t>
        </is>
      </c>
      <c r="E26" s="15" t="n">
        <v>249473</v>
      </c>
      <c r="F26" s="14" t="inlineStr">
        <is>
          <t>DAA-ATH20W, DBA-ANH20W, DBA-ANH25W, DBA-GGH20W, DBA-GGH25W</t>
        </is>
      </c>
      <c r="G26" s="13" t="inlineStr">
        <is>
          <t>2013年1月 7日</t>
        </is>
      </c>
      <c r="H26" s="13" t="inlineStr">
        <is>
          <t>2014年12月25日</t>
        </is>
      </c>
      <c r="I2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6" s="14" t="inlineStr">
        <is>
          <t>全車両、予防的措置としてエアバッグインフレータまたはエアバッグアッセンブリを代替品と交換する。</t>
        </is>
      </c>
    </row>
    <row r="27">
      <c r="A27" s="8" t="inlineStr">
        <is>
          <t>アルファード</t>
        </is>
      </c>
      <c r="B27" s="8" t="inlineStr">
        <is>
          <t>2018/05/23</t>
        </is>
      </c>
      <c r="C27" s="8" t="inlineStr">
        <is>
          <t>1142650</t>
        </is>
      </c>
      <c r="D27" s="8" t="inlineStr">
        <is>
          <t>駐車ブレーキ一般</t>
        </is>
      </c>
      <c r="E27" s="11" t="n">
        <v>35213</v>
      </c>
      <c r="F27" s="14" t="inlineStr">
        <is>
          <t>DBA-AGH30W, DBA-AGH35W, DBA-GGH30W, DBA-GGH35W</t>
        </is>
      </c>
      <c r="G27" s="8" t="inlineStr">
        <is>
          <t>2014年12月 8日</t>
        </is>
      </c>
      <c r="H27" s="8" t="inlineStr">
        <is>
          <t>2018年2月26日</t>
        </is>
      </c>
      <c r="I2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27" s="14" t="inlineStr">
        <is>
          <t>全車両、制御プログラムを修正する。</t>
        </is>
      </c>
    </row>
    <row r="28">
      <c r="A28" s="13" t="inlineStr">
        <is>
          <t>アルファード</t>
        </is>
      </c>
      <c r="B28" s="13" t="inlineStr">
        <is>
          <t>2018/11/01</t>
        </is>
      </c>
      <c r="C28" s="13" t="inlineStr">
        <is>
          <t>1143640</t>
        </is>
      </c>
      <c r="D28" s="13" t="inlineStr">
        <is>
          <t>エアーバッグ</t>
        </is>
      </c>
      <c r="E28" s="15" t="n">
        <v>298445</v>
      </c>
      <c r="F28" s="14" t="inlineStr">
        <is>
          <t>TA-MNH10W, TA-MNH15W, UA-ANH10W, UA-ANH15W</t>
        </is>
      </c>
      <c r="G28" s="13" t="inlineStr">
        <is>
          <t>2000年11月22日</t>
        </is>
      </c>
      <c r="H28" s="13" t="inlineStr">
        <is>
          <t>2006年6月23日</t>
        </is>
      </c>
      <c r="I2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8" s="14" t="inlineStr">
        <is>
          <t>全車両、予防的措置としてエアバッグインフレータまたはエアバッグアッセンブリを代替品と交換する。</t>
        </is>
      </c>
    </row>
    <row r="29">
      <c r="A29" s="8" t="inlineStr">
        <is>
          <t>アルファード</t>
        </is>
      </c>
      <c r="B29" s="8" t="inlineStr">
        <is>
          <t>2019/08/28</t>
        </is>
      </c>
      <c r="C29" s="8" t="inlineStr">
        <is>
          <t>1145560</t>
        </is>
      </c>
      <c r="D29" s="8" t="inlineStr">
        <is>
          <t>エアバッグ</t>
        </is>
      </c>
      <c r="E29" s="11" t="n">
        <v>181653</v>
      </c>
      <c r="F29" s="14" t="inlineStr">
        <is>
          <t>TA-MNH10W, TA-MNH15W, UA-ANH10W, UA-ANH15W</t>
        </is>
      </c>
      <c r="G29" s="8" t="inlineStr">
        <is>
          <t>2003年1月 6日</t>
        </is>
      </c>
      <c r="H29" s="8" t="inlineStr">
        <is>
          <t>2010年7月16日</t>
        </is>
      </c>
      <c r="I2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9" s="14" t="inlineStr">
        <is>
          <t>全車両、予防的措置としてエアバッグインフレータまたはエアバッグアッセンブリを代替品と交換する。</t>
        </is>
      </c>
    </row>
    <row r="30">
      <c r="A30" s="13" t="inlineStr">
        <is>
          <t>アルファード</t>
        </is>
      </c>
      <c r="B30" s="13" t="inlineStr">
        <is>
          <t>2019/09/19</t>
        </is>
      </c>
      <c r="C30" s="13" t="inlineStr">
        <is>
          <t>1145671</t>
        </is>
      </c>
      <c r="D30" s="13" t="inlineStr">
        <is>
          <t>燃料ポンプ</t>
        </is>
      </c>
      <c r="E30" s="15" t="n">
        <v>390633</v>
      </c>
      <c r="F30" s="14" t="inlineStr">
        <is>
          <t>DAA-AYH30W</t>
        </is>
      </c>
      <c r="G30" s="13" t="inlineStr">
        <is>
          <t>2013年12月20日</t>
        </is>
      </c>
      <c r="H30" s="13" t="inlineStr">
        <is>
          <t>2018年7月18日</t>
        </is>
      </c>
      <c r="I3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0" s="14" t="inlineStr">
        <is>
          <t>全車両、燃料ポンプを対策品に交換する。</t>
        </is>
      </c>
    </row>
    <row r="31">
      <c r="A31" s="8" t="inlineStr">
        <is>
          <t>アルファード</t>
        </is>
      </c>
      <c r="B31" s="8" t="inlineStr">
        <is>
          <t>2019/10/30</t>
        </is>
      </c>
      <c r="C31" s="8" t="inlineStr">
        <is>
          <t>1145960</t>
        </is>
      </c>
      <c r="D31" s="8" t="inlineStr">
        <is>
          <t>コンピュータ(エンジ</t>
        </is>
      </c>
      <c r="E31" s="11" t="n">
        <v>23833</v>
      </c>
      <c r="F31" s="14" t="inlineStr">
        <is>
          <t>DBA-AGH30W, DBA-AGH35W, DBA-GGH30W, DBA-GGH35W</t>
        </is>
      </c>
      <c r="G31" s="8" t="inlineStr">
        <is>
          <t>2017年12月13日</t>
        </is>
      </c>
      <c r="H31" s="8" t="inlineStr">
        <is>
          <t>2019年4月25日</t>
        </is>
      </c>
      <c r="I31"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1" s="14" t="inlineStr">
        <is>
          <t>全車両、エンジン制御用コンピュータのプログラムを対策仕様に修正する。また、バッテリ液の状態を点検し、異常がある場合はバッテリを新品に交換する。</t>
        </is>
      </c>
    </row>
    <row r="32">
      <c r="A32" s="13" t="inlineStr">
        <is>
          <t>アルファード</t>
        </is>
      </c>
      <c r="B32" s="13" t="inlineStr">
        <is>
          <t>2019/12/11</t>
        </is>
      </c>
      <c r="C32" s="13" t="inlineStr">
        <is>
          <t>1146250</t>
        </is>
      </c>
      <c r="D32" s="13" t="inlineStr">
        <is>
          <t>シートベルト</t>
        </is>
      </c>
      <c r="E32" s="15" t="n">
        <v>7790</v>
      </c>
      <c r="F32" s="14" t="inlineStr">
        <is>
          <t>DAA-AYH30W, DBA-AGH30W, DBA-AGH35W, DBA-GGH30W, DBA-GGH35W</t>
        </is>
      </c>
      <c r="G32" s="13" t="inlineStr">
        <is>
          <t>2019年8月19日</t>
        </is>
      </c>
      <c r="H32" s="13" t="inlineStr">
        <is>
          <t>2019年9月12日</t>
        </is>
      </c>
      <c r="I3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 s="14" t="inlineStr">
        <is>
          <t>全車両、対象となる後部座席ベルトの製造番号を点検し、該当する場合は座席ベルトを良品と交換する。</t>
        </is>
      </c>
    </row>
    <row r="33">
      <c r="A33" s="8" t="inlineStr">
        <is>
          <t>アルファード</t>
        </is>
      </c>
      <c r="B33" s="8" t="inlineStr">
        <is>
          <t>2020/03/04</t>
        </is>
      </c>
      <c r="C33" s="8" t="inlineStr">
        <is>
          <t>1146830</t>
        </is>
      </c>
      <c r="D33" s="8" t="inlineStr">
        <is>
          <t>燃料ポンプ</t>
        </is>
      </c>
      <c r="E33" s="11" t="n">
        <v>112934</v>
      </c>
      <c r="F33" s="14" t="inlineStr">
        <is>
          <t>DBA-GGH30W, DBA-GGH35W</t>
        </is>
      </c>
      <c r="G33" s="8" t="inlineStr">
        <is>
          <t>2013年9月 2日</t>
        </is>
      </c>
      <c r="H33" s="8" t="inlineStr">
        <is>
          <t>2019年1月14日</t>
        </is>
      </c>
      <c r="I3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 s="14" t="inlineStr">
        <is>
          <t>全車両、低圧燃料ポンプを対策品と交換する。</t>
        </is>
      </c>
    </row>
    <row r="34">
      <c r="A34" s="13" t="inlineStr">
        <is>
          <t>アルファード</t>
        </is>
      </c>
      <c r="B34" s="13" t="inlineStr">
        <is>
          <t>2020/10/28</t>
        </is>
      </c>
      <c r="C34" s="13" t="inlineStr">
        <is>
          <t>1148300</t>
        </is>
      </c>
      <c r="D34" s="13" t="inlineStr">
        <is>
          <t>燃料ポンプ</t>
        </is>
      </c>
      <c r="E34" s="15" t="n">
        <v>210363</v>
      </c>
      <c r="F34" s="14" t="inlineStr">
        <is>
          <t>DAA-AYH30W, DBA-AGH30W, DBA-AGH35W, DBA-GGH30W, DBA-GGH35W</t>
        </is>
      </c>
      <c r="G34" s="13" t="inlineStr">
        <is>
          <t>2017年7月 5日</t>
        </is>
      </c>
      <c r="H34" s="13" t="inlineStr">
        <is>
          <t>2019年12月 6日</t>
        </is>
      </c>
      <c r="I3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4" s="14" t="inlineStr">
        <is>
          <t>全車両、低圧燃料ポンプを対策品と交換する。</t>
        </is>
      </c>
    </row>
    <row r="35">
      <c r="A35" s="8" t="inlineStr">
        <is>
          <t>アルファード</t>
        </is>
      </c>
      <c r="B35" s="8" t="inlineStr">
        <is>
          <t>2021/07/07</t>
        </is>
      </c>
      <c r="C35" s="8" t="inlineStr">
        <is>
          <t>1149870</t>
        </is>
      </c>
      <c r="D35" s="8" t="inlineStr">
        <is>
          <t>コンピュータ(エンジ</t>
        </is>
      </c>
      <c r="E35" s="11" t="n">
        <v>50983</v>
      </c>
      <c r="F35" s="14" t="inlineStr">
        <is>
          <t>3BA-AGH30W, 3BA-AGH35W, 3BA-GGH30W, 3BA-GGH35W, DBA-AGH30W, DBA-AGH35W, DBA-GGH30W, DBA-GGH35W</t>
        </is>
      </c>
      <c r="G35" s="8" t="inlineStr">
        <is>
          <t>2017年12月13日</t>
        </is>
      </c>
      <c r="H35" s="8" t="inlineStr">
        <is>
          <t>2021年6月11日</t>
        </is>
      </c>
      <c r="I35"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5"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6">
      <c r="A36" s="13" t="inlineStr">
        <is>
          <t>アルファード</t>
        </is>
      </c>
      <c r="B36" s="13" t="inlineStr">
        <is>
          <t>2021/09/22</t>
        </is>
      </c>
      <c r="C36" s="13" t="inlineStr">
        <is>
          <t>1150181</t>
        </is>
      </c>
      <c r="D36" s="13" t="inlineStr">
        <is>
          <t>その他(その他)</t>
        </is>
      </c>
      <c r="E36" s="15" t="n">
        <v>111842</v>
      </c>
      <c r="F36" s="14" t="inlineStr">
        <is>
          <t>3BA-AGH30W, 3BA-AGH35W, 3BA-GGH30W, 3BA-GGH35W, 6AA-AYH30W</t>
        </is>
      </c>
      <c r="G36" s="13" t="inlineStr">
        <is>
          <t>2021年4月26日</t>
        </is>
      </c>
      <c r="H36" s="13" t="inlineStr">
        <is>
          <t>2021年8月 3日</t>
        </is>
      </c>
      <c r="I36"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6" s="14" t="inlineStr">
        <is>
          <t>（１）全車両、車載通信モジュールの制御プログラムを対策仕様に修正する。</t>
        </is>
      </c>
    </row>
    <row r="37">
      <c r="A37" s="8" t="inlineStr">
        <is>
          <t>アルファード</t>
        </is>
      </c>
      <c r="B37" s="8" t="inlineStr">
        <is>
          <t>2021/09/22</t>
        </is>
      </c>
      <c r="C37" s="8" t="inlineStr">
        <is>
          <t>1150182</t>
        </is>
      </c>
      <c r="D37" s="8" t="inlineStr">
        <is>
          <t>コンピュータ</t>
        </is>
      </c>
      <c r="E37" s="11" t="n">
        <v>111842</v>
      </c>
      <c r="F37" s="14" t="inlineStr">
        <is>
          <t>3BA-AGH30W, 3BA-AGH35W, 3BA-GGH30W, 3BA-GGH35W, 6AA-AYH30W</t>
        </is>
      </c>
      <c r="G37" s="8" t="inlineStr">
        <is>
          <t>2021年4月26日</t>
        </is>
      </c>
      <c r="H37" s="8" t="inlineStr">
        <is>
          <t>2021年8月 3日</t>
        </is>
      </c>
      <c r="I37"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7" s="14" t="inlineStr">
        <is>
          <t>（２）全車両、ハイブリッドビークルコントロールコンピュータの制御プログラムを対策仕様に修正する。</t>
        </is>
      </c>
    </row>
    <row r="38">
      <c r="A38" s="13" t="inlineStr">
        <is>
          <t>アルファード</t>
        </is>
      </c>
      <c r="B38" s="13" t="inlineStr">
        <is>
          <t>2021/09/22</t>
        </is>
      </c>
      <c r="C38" s="13" t="inlineStr">
        <is>
          <t>1150183</t>
        </is>
      </c>
      <c r="D38" s="13" t="inlineStr">
        <is>
          <t>排気管</t>
        </is>
      </c>
      <c r="E38" s="15" t="n">
        <v>111842</v>
      </c>
      <c r="F38" s="14" t="inlineStr">
        <is>
          <t>3BA-AGH30W, 3BA-AGH35W, 3BA-GGH30W, 3BA-GGH35W, 6AA-AYH30W</t>
        </is>
      </c>
      <c r="G38" s="13" t="inlineStr">
        <is>
          <t>2021年4月26日</t>
        </is>
      </c>
      <c r="H38" s="13" t="inlineStr">
        <is>
          <t>2021年8月 3日</t>
        </is>
      </c>
      <c r="I38"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8" s="14" t="inlineStr">
        <is>
          <t>（３）全車両、エキゾーストマニホールドを良品と交換する。</t>
        </is>
      </c>
    </row>
    <row r="39">
      <c r="A39" s="8" t="inlineStr">
        <is>
          <t>アルファード</t>
        </is>
      </c>
      <c r="B39" s="8" t="inlineStr">
        <is>
          <t>2023/11/02</t>
        </is>
      </c>
      <c r="C39" s="8" t="inlineStr">
        <is>
          <t>1154040</t>
        </is>
      </c>
      <c r="D39" s="8" t="inlineStr">
        <is>
          <t>燃料ポンプ</t>
        </is>
      </c>
      <c r="E39" s="11" t="n">
        <v>328108</v>
      </c>
      <c r="F39" s="14" t="inlineStr">
        <is>
          <t>DAA-AYH30W, DBA-AGH30W, DBA-AGH35W</t>
        </is>
      </c>
      <c r="G39" s="8" t="inlineStr">
        <is>
          <t>2017年7月 3日</t>
        </is>
      </c>
      <c r="H39" s="8" t="inlineStr">
        <is>
          <t>2020年1月14日</t>
        </is>
      </c>
      <c r="I3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 s="14" t="inlineStr">
        <is>
          <t>全車両、低圧燃料ポンプを対策品と交換する。</t>
        </is>
      </c>
    </row>
    <row r="40">
      <c r="A40" s="13" t="inlineStr">
        <is>
          <t>アルファード</t>
        </is>
      </c>
      <c r="B40" s="13" t="inlineStr">
        <is>
          <t>2025/01/22</t>
        </is>
      </c>
      <c r="C40" s="13" t="inlineStr">
        <is>
          <t>1156010</t>
        </is>
      </c>
      <c r="D40" s="13" t="inlineStr">
        <is>
          <t>燃料ポンプ</t>
        </is>
      </c>
      <c r="E40" s="15" t="n">
        <v>54577</v>
      </c>
      <c r="F40" s="14" t="inlineStr">
        <is>
          <t>DBA-AGH30W, DBA-AGH35W</t>
        </is>
      </c>
      <c r="G40" s="13" t="inlineStr">
        <is>
          <t>2017年7月 6日</t>
        </is>
      </c>
      <c r="H40" s="13" t="inlineStr">
        <is>
          <t>2019年9月10日</t>
        </is>
      </c>
      <c r="I4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0" s="14" t="inlineStr">
        <is>
          <t>全車両、低圧燃料ポンプを対策品と交換する。</t>
        </is>
      </c>
    </row>
    <row r="41">
      <c r="A41" s="8" t="inlineStr">
        <is>
          <t>アルファード</t>
        </is>
      </c>
      <c r="B41" s="8" t="inlineStr">
        <is>
          <t>2025/01/22</t>
        </is>
      </c>
      <c r="C41" s="8" t="inlineStr">
        <is>
          <t>1156021</t>
        </is>
      </c>
      <c r="D41" s="8" t="inlineStr">
        <is>
          <t>その他(エンジン)</t>
        </is>
      </c>
      <c r="E41" s="11" t="n">
        <v>434520</v>
      </c>
      <c r="F41" s="14" t="inlineStr">
        <is>
          <t>3BA-AGH30W, 3BA-AGH35W, 3BA-GGH30W, 3BA-GGH35W, 6AA-AYH30W, DBA-AGH30W, DBA-AGH35W, DBA-GGH30W, DBA-GGH35W</t>
        </is>
      </c>
      <c r="G41" s="8" t="inlineStr">
        <is>
          <t>2014年12月 6日</t>
        </is>
      </c>
      <c r="H41" s="8" t="inlineStr">
        <is>
          <t>2023年4月24日</t>
        </is>
      </c>
      <c r="I41"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1"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2">
      <c r="A42" s="13" t="inlineStr">
        <is>
          <t>アルファード</t>
        </is>
      </c>
      <c r="B42" s="13" t="inlineStr">
        <is>
          <t>2025/01/22</t>
        </is>
      </c>
      <c r="C42" s="13" t="inlineStr">
        <is>
          <t>1156022</t>
        </is>
      </c>
      <c r="D42" s="13" t="inlineStr">
        <is>
          <t>車両全般</t>
        </is>
      </c>
      <c r="E42" s="15" t="n">
        <v>434520</v>
      </c>
      <c r="F42" s="14" t="inlineStr">
        <is>
          <t>3BA-AGH30W, 3BA-AGH35W, 3BA-GGH30W, 3BA-GGH35W, 6AA-AYH30W, DBA-AGH30W, DBA-AGH35W, DBA-GGH30W, DBA-GGH35W</t>
        </is>
      </c>
      <c r="G42" s="13" t="inlineStr">
        <is>
          <t>2014年12月 6日</t>
        </is>
      </c>
      <c r="H42" s="13" t="inlineStr">
        <is>
          <t>2023年4月24日</t>
        </is>
      </c>
      <c r="I42"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2"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3">
      <c r="A43" s="8" t="inlineStr">
        <is>
          <t>アルファード</t>
        </is>
      </c>
      <c r="B43" s="8" t="inlineStr">
        <is>
          <t>2025/07/16</t>
        </is>
      </c>
      <c r="C43" s="8" t="inlineStr">
        <is>
          <t>1156940</t>
        </is>
      </c>
      <c r="D43" s="8" t="inlineStr">
        <is>
          <t>その他(電気装置)</t>
        </is>
      </c>
      <c r="E43" s="11" t="n">
        <v>646376</v>
      </c>
      <c r="F43" s="14" t="inlineStr">
        <is>
          <t>3BA-AGH40W, 3BA-AGH45W, 6AA-AAHH40W, 6AA-AAHH45W, 6LA-AAHP45W</t>
        </is>
      </c>
      <c r="G43" s="8" t="inlineStr">
        <is>
          <t>2022年6月15日</t>
        </is>
      </c>
      <c r="H43" s="8" t="inlineStr">
        <is>
          <t>2025年6月19日</t>
        </is>
      </c>
      <c r="I43"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43"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4">
      <c r="A44" s="13" t="inlineStr">
        <is>
          <t>アルファード</t>
        </is>
      </c>
      <c r="B44" s="13" t="inlineStr">
        <is>
          <t>2025/10/30</t>
        </is>
      </c>
      <c r="C44" s="13" t="inlineStr">
        <is>
          <t>1157310</t>
        </is>
      </c>
      <c r="D44" s="13" t="inlineStr">
        <is>
          <t>後写鏡</t>
        </is>
      </c>
      <c r="E44" s="15" t="n">
        <v>1285002</v>
      </c>
      <c r="F44" s="14" t="inlineStr">
        <is>
          <t>3BA-AGH40W, 3BA-AGH45W, 6AA-AAHH40W, 6AA-AAHH45W, 6LA-AAHP45W</t>
        </is>
      </c>
      <c r="G44" s="13" t="inlineStr">
        <is>
          <t>2021年9月 1日</t>
        </is>
      </c>
      <c r="H44" s="13" t="inlineStr">
        <is>
          <t>2025年9月25日</t>
        </is>
      </c>
      <c r="I4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4" s="14" t="inlineStr">
        <is>
          <t>全車両、パノラミックビューモニター用制御コンピュータのプログラムを対策仕様に修正する。</t>
        </is>
      </c>
    </row>
    <row r="45">
      <c r="A45" s="8" t="inlineStr">
        <is>
          <t>ウィッシュ</t>
        </is>
      </c>
      <c r="B45" s="8" t="inlineStr">
        <is>
          <t>2004/07/22</t>
        </is>
      </c>
      <c r="C45" s="8" t="inlineStr">
        <is>
          <t>1111750</t>
        </is>
      </c>
      <c r="D45" s="8" t="inlineStr">
        <is>
          <t>無段変速機</t>
        </is>
      </c>
      <c r="E45" s="11" t="n">
        <v>86</v>
      </c>
      <c r="F45" s="14" t="inlineStr">
        <is>
          <t>CBA-ANE10G, CBA-ANE11W</t>
        </is>
      </c>
      <c r="G45" s="8" t="inlineStr">
        <is>
          <t>2004年6月23日</t>
        </is>
      </c>
      <c r="H45" s="8" t="inlineStr">
        <is>
          <t>2004年6月28日</t>
        </is>
      </c>
      <c r="I45"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45" s="14" t="inlineStr">
        <is>
          <t>全車両、無段変速機を良品と交換する。</t>
        </is>
      </c>
    </row>
    <row r="46">
      <c r="A46" s="13" t="inlineStr">
        <is>
          <t>ウィッシュ</t>
        </is>
      </c>
      <c r="B46" s="13" t="inlineStr">
        <is>
          <t>2004/11/18</t>
        </is>
      </c>
      <c r="C46" s="13" t="inlineStr">
        <is>
          <t>1113041</t>
        </is>
      </c>
      <c r="D46" s="13" t="inlineStr">
        <is>
          <t>主ブレーキ一般</t>
        </is>
      </c>
      <c r="E46" s="15" t="n">
        <v>544172</v>
      </c>
      <c r="F46" s="14" t="inlineStr">
        <is>
          <t>CBA-ANE10G, CBA-ANE11W, CBA-ZNE10G, CBA-ZNE14G, UA-ANE10G, UA-ANE11W, UA-ZNE10G, UA-ZNE14G</t>
        </is>
      </c>
      <c r="G46" s="13" t="inlineStr">
        <is>
          <t>1999年1月 6日</t>
        </is>
      </c>
      <c r="H46" s="13" t="inlineStr">
        <is>
          <t>2004年8月 6日</t>
        </is>
      </c>
      <c r="I46"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46" s="14" t="inlineStr">
        <is>
          <t>①全車両、当該スイッチを対策品と交換する。</t>
        </is>
      </c>
    </row>
    <row r="47">
      <c r="A47" s="8" t="inlineStr">
        <is>
          <t>ウィッシュ</t>
        </is>
      </c>
      <c r="B47" s="8" t="inlineStr">
        <is>
          <t>2006/05/30</t>
        </is>
      </c>
      <c r="C47" s="8" t="inlineStr">
        <is>
          <t>1116630</t>
        </is>
      </c>
      <c r="D47" s="8" t="inlineStr">
        <is>
          <t>かじ取リンク機構</t>
        </is>
      </c>
      <c r="E47" s="11" t="n">
        <v>565756</v>
      </c>
      <c r="F47" s="14" t="inlineStr">
        <is>
          <t>CBA-ANE10G, CBA-ZNE10G, DBA-ANE10G, DBA-ZNE10G, UA-ANE10G, UA-ZNE10G</t>
        </is>
      </c>
      <c r="G47" s="8" t="inlineStr">
        <is>
          <t>2002年9月16日</t>
        </is>
      </c>
      <c r="H47" s="8" t="inlineStr">
        <is>
          <t>2005年11月22日</t>
        </is>
      </c>
      <c r="I47"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47" s="14" t="inlineStr">
        <is>
          <t>全車両、インタミディエイトシャフトとスライディングヨークを対策品に交換するとともに、インタミエクステンションシャフトの締付ボルトを規定トルクで締め付ける。</t>
        </is>
      </c>
    </row>
    <row r="48">
      <c r="A48" s="13" t="inlineStr">
        <is>
          <t>ウィッシュ</t>
        </is>
      </c>
      <c r="B48" s="13" t="inlineStr">
        <is>
          <t>2010/11/17</t>
        </is>
      </c>
      <c r="C48" s="13" t="inlineStr">
        <is>
          <t>1126540</t>
        </is>
      </c>
      <c r="D48" s="13" t="inlineStr">
        <is>
          <t>ウオッシャー</t>
        </is>
      </c>
      <c r="E48" s="15" t="n">
        <v>4450</v>
      </c>
      <c r="F48" s="14" t="inlineStr">
        <is>
          <t>CBA-ANE10G, CBA-ZNE10G, CBA-ZNE14G</t>
        </is>
      </c>
      <c r="G48" s="13" t="inlineStr">
        <is>
          <t>1995年2月13日</t>
        </is>
      </c>
      <c r="H48" s="13" t="inlineStr">
        <is>
          <t>2009年10月19日</t>
        </is>
      </c>
      <c r="I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8" s="14" t="inlineStr">
        <is>
          <t>全車両、当該ヒータを取り外す。</t>
        </is>
      </c>
    </row>
    <row r="49">
      <c r="A49" s="8" t="inlineStr">
        <is>
          <t>ウィッシュ</t>
        </is>
      </c>
      <c r="B49" s="8" t="inlineStr">
        <is>
          <t>2011/01/26</t>
        </is>
      </c>
      <c r="C49" s="8" t="inlineStr">
        <is>
          <t>1126941</t>
        </is>
      </c>
      <c r="D49" s="8" t="inlineStr">
        <is>
          <t>燃料ホース/パイプ</t>
        </is>
      </c>
      <c r="E49" s="11" t="n">
        <v>1202800</v>
      </c>
      <c r="F49" s="14" t="inlineStr">
        <is>
          <t>CBA-ANE10G, CBA-ANE11W, DBA-ANE10G, DBA-ANE11W, UA-ANE10G, UA-ANE11W</t>
        </is>
      </c>
      <c r="G49" s="8" t="inlineStr">
        <is>
          <t>2000年5月10日</t>
        </is>
      </c>
      <c r="H49" s="8" t="inlineStr">
        <is>
          <t>2008年10月24日</t>
        </is>
      </c>
      <c r="I4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49" s="14" t="inlineStr">
        <is>
          <t>① 全車両、燃料パイプを対策品に交換する。</t>
        </is>
      </c>
    </row>
    <row r="50">
      <c r="A50" s="13" t="inlineStr">
        <is>
          <t>ウィッシュ</t>
        </is>
      </c>
      <c r="B50" s="13" t="inlineStr">
        <is>
          <t>2012/11/14</t>
        </is>
      </c>
      <c r="C50" s="13" t="inlineStr">
        <is>
          <t>1130551</t>
        </is>
      </c>
      <c r="D50" s="13" t="inlineStr">
        <is>
          <t>その他(かじ取り)</t>
        </is>
      </c>
      <c r="E50" s="15" t="n">
        <v>1507454</v>
      </c>
      <c r="F50" s="14" t="inlineStr">
        <is>
          <t>CBA-ANE10G, CBA-ZNE10G, DBA-ANE10G, DBA-ZNE10G, UA-ANE10G, UA-ZNE10G</t>
        </is>
      </c>
      <c r="G50" s="13" t="inlineStr">
        <is>
          <t>2000年8月22日</t>
        </is>
      </c>
      <c r="H50" s="13" t="inlineStr">
        <is>
          <t>2011年12月16日</t>
        </is>
      </c>
      <c r="I50"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50" s="14" t="inlineStr">
        <is>
          <t>①全車両、点検し、当該継手部品を対策品に交換する。</t>
        </is>
      </c>
    </row>
    <row r="51">
      <c r="A51" s="8" t="inlineStr">
        <is>
          <t>ウィッシュ</t>
        </is>
      </c>
      <c r="B51" s="8" t="inlineStr">
        <is>
          <t>2014/01/29</t>
        </is>
      </c>
      <c r="C51" s="8" t="inlineStr">
        <is>
          <t>1132980</t>
        </is>
      </c>
      <c r="D51" s="8" t="inlineStr">
        <is>
          <t>その他(動力伝達)</t>
        </is>
      </c>
      <c r="E51" s="11" t="n">
        <v>716</v>
      </c>
      <c r="F51" s="14" t="inlineStr">
        <is>
          <t>DBA-ZGE20G, DBA-ZGE20W, DBA-ZGE25G, DBA-ZGE25W</t>
        </is>
      </c>
      <c r="G51" s="8" t="inlineStr">
        <is>
          <t>2013年12月 2日</t>
        </is>
      </c>
      <c r="H51" s="8" t="inlineStr">
        <is>
          <t>2014年1月20日</t>
        </is>
      </c>
      <c r="I51"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51" s="14" t="inlineStr">
        <is>
          <t>全車両、ナットの締付け状態を点検し、緩みのあるものは規定トルクで締付ける。</t>
        </is>
      </c>
    </row>
    <row r="52">
      <c r="A52" s="13" t="inlineStr">
        <is>
          <t>ウィッシュ</t>
        </is>
      </c>
      <c r="B52" s="13" t="inlineStr">
        <is>
          <t>2018/11/01</t>
        </is>
      </c>
      <c r="C52" s="13" t="inlineStr">
        <is>
          <t>1143630</t>
        </is>
      </c>
      <c r="D52" s="13" t="inlineStr">
        <is>
          <t>エアーバッグ</t>
        </is>
      </c>
      <c r="E52" s="15" t="n">
        <v>36002</v>
      </c>
      <c r="F52" s="14" t="inlineStr">
        <is>
          <t>CBA-ANE10G, CBA-ANE11W, CBA-ZNE10G, CBA-ZNE14G, DBA-ANE10G, DBA-ANE11W, DBA-ZNE10G, UA-ANE10G, UA-ANE11W, UA-ZNE10G, UA-ZNE14G</t>
        </is>
      </c>
      <c r="G52" s="13" t="inlineStr">
        <is>
          <t>2003年1月 8日</t>
        </is>
      </c>
      <c r="H52" s="13" t="inlineStr">
        <is>
          <t>2015年6月25日</t>
        </is>
      </c>
      <c r="I52"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52" s="14" t="inlineStr">
        <is>
          <t>全車両、エアバッグコントロールユニットを対策品に交換する。</t>
        </is>
      </c>
    </row>
    <row r="53">
      <c r="A53" s="8" t="inlineStr">
        <is>
          <t>ウィッシュ</t>
        </is>
      </c>
      <c r="B53" s="8" t="inlineStr">
        <is>
          <t>2022/11/10</t>
        </is>
      </c>
      <c r="C53" s="8" t="inlineStr">
        <is>
          <t>1152290</t>
        </is>
      </c>
      <c r="D53" s="8" t="inlineStr">
        <is>
          <t>シートベルト</t>
        </is>
      </c>
      <c r="E53" s="11" t="n">
        <v>21</v>
      </c>
      <c r="F53" s="14" t="inlineStr">
        <is>
          <t>CBA-ZNE14G, UA-ANE10G, UA-ZNE10</t>
        </is>
      </c>
      <c r="G53" s="8" t="inlineStr">
        <is>
          <t>2001年7月19日</t>
        </is>
      </c>
      <c r="H53" s="8" t="inlineStr">
        <is>
          <t>2009年6月 3日</t>
        </is>
      </c>
      <c r="I53"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53" s="14" t="inlineStr">
        <is>
          <t>全車両、対象となるシートベルトの製造番号を点検し、該当する場合は良品と交換する。</t>
        </is>
      </c>
    </row>
    <row r="54">
      <c r="A54" s="13" t="inlineStr">
        <is>
          <t>エスクァイア</t>
        </is>
      </c>
      <c r="B54" s="13" t="inlineStr">
        <is>
          <t>2018/01/31</t>
        </is>
      </c>
      <c r="C54" s="13" t="inlineStr">
        <is>
          <t>1141851</t>
        </is>
      </c>
      <c r="D54" s="13" t="inlineStr">
        <is>
          <t>エアバッグ</t>
        </is>
      </c>
      <c r="E54" s="15" t="n">
        <v>91210</v>
      </c>
      <c r="F54" s="14" t="inlineStr">
        <is>
          <t>DAA-ZWR80G, DBA-ZRR80G, DBA-ZRR85G</t>
        </is>
      </c>
      <c r="G54" s="13" t="inlineStr">
        <is>
          <t>2015年5月20日</t>
        </is>
      </c>
      <c r="H54" s="13" t="inlineStr">
        <is>
          <t>2016年1月 7日</t>
        </is>
      </c>
      <c r="I5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54" s="14" t="inlineStr">
        <is>
          <t>全車両、各センサの製造番号を点検し、該当する場合は良品と交換する。</t>
        </is>
      </c>
    </row>
    <row r="55">
      <c r="A55" s="8" t="inlineStr">
        <is>
          <t>エスクァイア</t>
        </is>
      </c>
      <c r="B55" s="8" t="inlineStr">
        <is>
          <t>2019/09/19</t>
        </is>
      </c>
      <c r="C55" s="8" t="inlineStr">
        <is>
          <t>1145671</t>
        </is>
      </c>
      <c r="D55" s="8" t="inlineStr">
        <is>
          <t>燃料ポンプ</t>
        </is>
      </c>
      <c r="E55" s="11" t="n">
        <v>390633</v>
      </c>
      <c r="F55" s="14" t="inlineStr">
        <is>
          <t>DAA-ZWR80G</t>
        </is>
      </c>
      <c r="G55" s="8" t="inlineStr">
        <is>
          <t>2013年12月20日</t>
        </is>
      </c>
      <c r="H55" s="8" t="inlineStr">
        <is>
          <t>2018年7月18日</t>
        </is>
      </c>
      <c r="I55"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5" s="14" t="inlineStr">
        <is>
          <t>全車両、燃料ポンプを対策品に交換する。</t>
        </is>
      </c>
    </row>
    <row r="56">
      <c r="A56" s="13" t="inlineStr">
        <is>
          <t>エスクァイア</t>
        </is>
      </c>
      <c r="B56" s="13" t="inlineStr">
        <is>
          <t>2019/09/19</t>
        </is>
      </c>
      <c r="C56" s="13" t="inlineStr">
        <is>
          <t>1145672</t>
        </is>
      </c>
      <c r="D56" s="13" t="inlineStr">
        <is>
          <t>座席</t>
        </is>
      </c>
      <c r="E56" s="15" t="n">
        <v>202917</v>
      </c>
      <c r="F56" s="14" t="inlineStr">
        <is>
          <t>DAA-ZWR80G, DBA-ZRR80G, DBA-ZRR85G</t>
        </is>
      </c>
      <c r="G56" s="13" t="inlineStr">
        <is>
          <t>2017年4月10日</t>
        </is>
      </c>
      <c r="H56" s="13" t="inlineStr">
        <is>
          <t>2018年5月11日</t>
        </is>
      </c>
      <c r="I56"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56"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57">
      <c r="A57" s="8" t="inlineStr">
        <is>
          <t>エスクァイア</t>
        </is>
      </c>
      <c r="B57" s="8" t="inlineStr">
        <is>
          <t>2019/12/11</t>
        </is>
      </c>
      <c r="C57" s="8" t="inlineStr">
        <is>
          <t>1146250</t>
        </is>
      </c>
      <c r="D57" s="8" t="inlineStr">
        <is>
          <t>シートベルト</t>
        </is>
      </c>
      <c r="E57" s="11" t="n">
        <v>7790</v>
      </c>
      <c r="F57" s="14" t="inlineStr">
        <is>
          <t>DBA-ZRR80G, DBA-ZRR80G改, DBA-ZRR85G, DBA-ZRR85G改</t>
        </is>
      </c>
      <c r="G57" s="8" t="inlineStr">
        <is>
          <t>2019年8月19日</t>
        </is>
      </c>
      <c r="H57" s="8" t="inlineStr">
        <is>
          <t>2019年9月12日</t>
        </is>
      </c>
      <c r="I57"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7" s="14" t="inlineStr">
        <is>
          <t>全車両、対象となる後部座席ベルトの製造番号を点検し、該当する場合は座席ベルトを良品と交換する。</t>
        </is>
      </c>
    </row>
    <row r="58">
      <c r="A58" s="13" t="inlineStr">
        <is>
          <t>エスクァイア</t>
        </is>
      </c>
      <c r="B58" s="13" t="inlineStr">
        <is>
          <t>2020/03/04</t>
        </is>
      </c>
      <c r="C58" s="13" t="inlineStr">
        <is>
          <t>1146830</t>
        </is>
      </c>
      <c r="D58" s="13" t="inlineStr">
        <is>
          <t>燃料ポンプ</t>
        </is>
      </c>
      <c r="E58" s="15" t="n">
        <v>112934</v>
      </c>
      <c r="F58" s="14" t="inlineStr">
        <is>
          <t>DBA-ZRR80G, DBA-ZRR80G改, DBA-ZRR85G, DBA-ZRR85G改</t>
        </is>
      </c>
      <c r="G58" s="13" t="inlineStr">
        <is>
          <t>2013年9月 2日</t>
        </is>
      </c>
      <c r="H58" s="13" t="inlineStr">
        <is>
          <t>2019年1月14日</t>
        </is>
      </c>
      <c r="I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8" s="14" t="inlineStr">
        <is>
          <t>全車両、低圧燃料ポンプを対策品と交換する。</t>
        </is>
      </c>
    </row>
    <row r="59">
      <c r="A59" s="8" t="inlineStr">
        <is>
          <t>エスクァイア</t>
        </is>
      </c>
      <c r="B59" s="8" t="inlineStr">
        <is>
          <t>2020/10/28</t>
        </is>
      </c>
      <c r="C59" s="8" t="inlineStr">
        <is>
          <t>1148300</t>
        </is>
      </c>
      <c r="D59" s="8" t="inlineStr">
        <is>
          <t>燃料ポンプ</t>
        </is>
      </c>
      <c r="E59" s="11" t="n">
        <v>210363</v>
      </c>
      <c r="F59" s="14" t="inlineStr">
        <is>
          <t>DAA-ZWR80G, DBA-ZRR80G, DBA-ZRR85G</t>
        </is>
      </c>
      <c r="G59" s="8" t="inlineStr">
        <is>
          <t>2017年7月 5日</t>
        </is>
      </c>
      <c r="H59" s="8" t="inlineStr">
        <is>
          <t>2019年12月 6日</t>
        </is>
      </c>
      <c r="I5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9" s="14" t="inlineStr">
        <is>
          <t>全車両、低圧燃料ポンプを対策品と交換する。</t>
        </is>
      </c>
    </row>
    <row r="60">
      <c r="A60" s="13" t="inlineStr">
        <is>
          <t>エスクァイア</t>
        </is>
      </c>
      <c r="B60" s="13" t="inlineStr">
        <is>
          <t>2021/06/01</t>
        </is>
      </c>
      <c r="C60" s="13" t="inlineStr">
        <is>
          <t>1149660</t>
        </is>
      </c>
      <c r="D60" s="13" t="inlineStr">
        <is>
          <t>その他(電気装置)</t>
        </is>
      </c>
      <c r="E60" s="15" t="n">
        <v>24162</v>
      </c>
      <c r="F60" s="14" t="inlineStr">
        <is>
          <t>6AA-ZWR80G, 6AA-ZWR80W</t>
        </is>
      </c>
      <c r="G60" s="13" t="inlineStr">
        <is>
          <t>2020年11月27日</t>
        </is>
      </c>
      <c r="H60" s="13" t="inlineStr">
        <is>
          <t>2021年4月14日</t>
        </is>
      </c>
      <c r="I60"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60" s="14" t="inlineStr">
        <is>
          <t>全車両、電力変換モジュールを点検し、対象となるものは対策品に交換する。</t>
        </is>
      </c>
    </row>
    <row r="61">
      <c r="A61" s="8" t="inlineStr">
        <is>
          <t>エスクァイア</t>
        </is>
      </c>
      <c r="B61" s="8" t="inlineStr">
        <is>
          <t>2023/11/02</t>
        </is>
      </c>
      <c r="C61" s="8" t="inlineStr">
        <is>
          <t>1154040</t>
        </is>
      </c>
      <c r="D61" s="8" t="inlineStr">
        <is>
          <t>燃料ポンプ</t>
        </is>
      </c>
      <c r="E61" s="11" t="n">
        <v>328108</v>
      </c>
      <c r="F61" s="14" t="inlineStr">
        <is>
          <t>DAA-ZWR80G, DBA-ZRR80G, DBA-ZRR85G</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エスティマ</t>
        </is>
      </c>
      <c r="B62" s="13" t="inlineStr">
        <is>
          <t>2004/11/18</t>
        </is>
      </c>
      <c r="C62" s="13" t="inlineStr">
        <is>
          <t>1113041</t>
        </is>
      </c>
      <c r="D62" s="13" t="inlineStr">
        <is>
          <t>主ブレーキ一般</t>
        </is>
      </c>
      <c r="E62" s="15" t="n">
        <v>544172</v>
      </c>
      <c r="F62" s="14" t="inlineStr">
        <is>
          <t>CAA-AHR10W, ZA-AHR10W</t>
        </is>
      </c>
      <c r="G62" s="13" t="inlineStr">
        <is>
          <t>1999年1月 6日</t>
        </is>
      </c>
      <c r="H62" s="13" t="inlineStr">
        <is>
          <t>2004年8月 6日</t>
        </is>
      </c>
      <c r="I62"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2" s="14" t="inlineStr">
        <is>
          <t>①全車両、当該スイッチを対策品と交換する。</t>
        </is>
      </c>
    </row>
    <row r="63">
      <c r="A63" s="8" t="inlineStr">
        <is>
          <t>エスティマ</t>
        </is>
      </c>
      <c r="B63" s="8" t="inlineStr">
        <is>
          <t>2005/09/15</t>
        </is>
      </c>
      <c r="C63" s="8" t="inlineStr">
        <is>
          <t>1115180</t>
        </is>
      </c>
      <c r="D63" s="8" t="inlineStr">
        <is>
          <t>配線</t>
        </is>
      </c>
      <c r="E63" s="11" t="n">
        <v>4388</v>
      </c>
      <c r="F63" s="14" t="inlineStr">
        <is>
          <t>ZA-AHR10W</t>
        </is>
      </c>
      <c r="G63" s="8" t="inlineStr">
        <is>
          <t>2001年3月27日</t>
        </is>
      </c>
      <c r="H63" s="8" t="inlineStr">
        <is>
          <t>2001年11月23日</t>
        </is>
      </c>
      <c r="I63"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63" s="14" t="inlineStr">
        <is>
          <t>全車両、電圧変換装置の製造番号を確認し、該当するものは当該電気配線を対策品に交換する。</t>
        </is>
      </c>
    </row>
    <row r="64">
      <c r="A64" s="13" t="inlineStr">
        <is>
          <t>エスティマ</t>
        </is>
      </c>
      <c r="B64" s="13" t="inlineStr">
        <is>
          <t>2006/10/31</t>
        </is>
      </c>
      <c r="C64" s="13" t="inlineStr">
        <is>
          <t>2103390</t>
        </is>
      </c>
      <c r="D64" s="13" t="inlineStr">
        <is>
          <t>ＡＢＳ</t>
        </is>
      </c>
      <c r="E64" s="15" t="n">
        <v>18149</v>
      </c>
      <c r="F64" s="14" t="inlineStr">
        <is>
          <t>DBA-ACR55W, DBA-GSR55W</t>
        </is>
      </c>
      <c r="G64" s="13" t="inlineStr">
        <is>
          <t>2005年12月19日</t>
        </is>
      </c>
      <c r="H64" s="13" t="inlineStr">
        <is>
          <t>2006年10月 1日</t>
        </is>
      </c>
      <c r="I64"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64" s="14" t="inlineStr">
        <is>
          <t>全車両、ＡＢＳ制御プログラムを修正する。</t>
        </is>
      </c>
    </row>
    <row r="65">
      <c r="A65" s="8" t="inlineStr">
        <is>
          <t>エスティマ</t>
        </is>
      </c>
      <c r="B65" s="8" t="inlineStr">
        <is>
          <t>2010/11/17</t>
        </is>
      </c>
      <c r="C65" s="8" t="inlineStr">
        <is>
          <t>1126540</t>
        </is>
      </c>
      <c r="D65" s="8" t="inlineStr">
        <is>
          <t>ウオッシャー</t>
        </is>
      </c>
      <c r="E65" s="11" t="n">
        <v>4450</v>
      </c>
      <c r="F65" s="14" t="inlineStr">
        <is>
          <t>DAA-AHR20W, DBA-ACR50W</t>
        </is>
      </c>
      <c r="G65" s="8" t="inlineStr">
        <is>
          <t>1995年2月13日</t>
        </is>
      </c>
      <c r="H65" s="8" t="inlineStr">
        <is>
          <t>2009年10月19日</t>
        </is>
      </c>
      <c r="I65"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65" s="14" t="inlineStr">
        <is>
          <t>全車両、当該ヒータを取り外す。</t>
        </is>
      </c>
    </row>
    <row r="66">
      <c r="A66" s="13" t="inlineStr">
        <is>
          <t>エスティマ</t>
        </is>
      </c>
      <c r="B66" s="13" t="inlineStr">
        <is>
          <t>2012/11/14</t>
        </is>
      </c>
      <c r="C66" s="13" t="inlineStr">
        <is>
          <t>1130552</t>
        </is>
      </c>
      <c r="D66" s="13" t="inlineStr">
        <is>
          <t>冷却装置</t>
        </is>
      </c>
      <c r="E66" s="15" t="n">
        <v>175176</v>
      </c>
      <c r="F66" s="14" t="inlineStr">
        <is>
          <t>CAA-AHR10W, ZA-AHR10W</t>
        </is>
      </c>
      <c r="G66" s="13" t="inlineStr">
        <is>
          <t>2000年8月22日</t>
        </is>
      </c>
      <c r="H66" s="13" t="inlineStr">
        <is>
          <t>2011年12月16日</t>
        </is>
      </c>
      <c r="I66"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66" s="14" t="inlineStr">
        <is>
          <t>②全車両、当該ウォータポンプを対策品に交換する。</t>
        </is>
      </c>
    </row>
    <row r="67">
      <c r="A67" s="8" t="inlineStr">
        <is>
          <t>エスティマ</t>
        </is>
      </c>
      <c r="B67" s="8" t="inlineStr">
        <is>
          <t>2019/10/17</t>
        </is>
      </c>
      <c r="C67" s="8" t="inlineStr">
        <is>
          <t>2105800</t>
        </is>
      </c>
      <c r="D67" s="8" t="inlineStr">
        <is>
          <t>車体</t>
        </is>
      </c>
      <c r="E67" s="11" t="n">
        <v>9213</v>
      </c>
      <c r="F67" s="14" t="inlineStr">
        <is>
          <t>DAA-AHR20W, DBA-ACR50W, DBA-ACR55W</t>
        </is>
      </c>
      <c r="G67" s="8" t="inlineStr">
        <is>
          <t>2019年1月24日</t>
        </is>
      </c>
      <c r="H67" s="8" t="inlineStr">
        <is>
          <t>2019年4月 1日</t>
        </is>
      </c>
      <c r="I67"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67" s="14" t="inlineStr">
        <is>
          <t>ダンパステーの製造番号を確認し、該当するものは良品と交換する。なお、製造番号を確認できない一部車種については、全車両、ダンパステーを良品と交換する。</t>
        </is>
      </c>
    </row>
    <row r="68">
      <c r="A68" s="13" t="inlineStr">
        <is>
          <t>グランエース</t>
        </is>
      </c>
      <c r="B68" s="13" t="inlineStr">
        <is>
          <t>2021/09/22</t>
        </is>
      </c>
      <c r="C68" s="13" t="inlineStr">
        <is>
          <t>1150181</t>
        </is>
      </c>
      <c r="D68" s="13" t="inlineStr">
        <is>
          <t>その他(その他)</t>
        </is>
      </c>
      <c r="E68" s="15" t="n">
        <v>111842</v>
      </c>
      <c r="F68" s="14" t="inlineStr">
        <is>
          <t>3DA-GDH303W</t>
        </is>
      </c>
      <c r="G68" s="13" t="inlineStr">
        <is>
          <t>2021年4月26日</t>
        </is>
      </c>
      <c r="H68" s="13" t="inlineStr">
        <is>
          <t>2021年8月 3日</t>
        </is>
      </c>
      <c r="I6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68" s="14" t="inlineStr">
        <is>
          <t>（１）全車両、車載通信モジュールの制御プログラムを対策仕様に修正する。</t>
        </is>
      </c>
    </row>
    <row r="69">
      <c r="A69" s="8" t="inlineStr">
        <is>
          <t>グランエース</t>
        </is>
      </c>
      <c r="B69" s="8" t="inlineStr">
        <is>
          <t>2021/09/22</t>
        </is>
      </c>
      <c r="C69" s="8" t="inlineStr">
        <is>
          <t>1150182</t>
        </is>
      </c>
      <c r="D69" s="8" t="inlineStr">
        <is>
          <t>コンピュータ</t>
        </is>
      </c>
      <c r="E69" s="11" t="n">
        <v>111842</v>
      </c>
      <c r="F69" s="14" t="inlineStr">
        <is>
          <t>3DA-GDH303W</t>
        </is>
      </c>
      <c r="G69" s="8" t="inlineStr">
        <is>
          <t>2021年4月26日</t>
        </is>
      </c>
      <c r="H69" s="8" t="inlineStr">
        <is>
          <t>2021年8月 3日</t>
        </is>
      </c>
      <c r="I6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69" s="14" t="inlineStr">
        <is>
          <t>（２）全車両、ハイブリッドビークルコントロールコンピュータの制御プログラムを対策仕様に修正する。</t>
        </is>
      </c>
    </row>
    <row r="70">
      <c r="A70" s="13" t="inlineStr">
        <is>
          <t>グランエース</t>
        </is>
      </c>
      <c r="B70" s="13" t="inlineStr">
        <is>
          <t>2021/09/22</t>
        </is>
      </c>
      <c r="C70" s="13" t="inlineStr">
        <is>
          <t>1150183</t>
        </is>
      </c>
      <c r="D70" s="13" t="inlineStr">
        <is>
          <t>排気管</t>
        </is>
      </c>
      <c r="E70" s="15" t="n">
        <v>111842</v>
      </c>
      <c r="F70" s="14" t="inlineStr">
        <is>
          <t>3DA-GDH303W</t>
        </is>
      </c>
      <c r="G70" s="13" t="inlineStr">
        <is>
          <t>2021年4月26日</t>
        </is>
      </c>
      <c r="H70" s="13" t="inlineStr">
        <is>
          <t>2021年8月 3日</t>
        </is>
      </c>
      <c r="I7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70" s="14" t="inlineStr">
        <is>
          <t>（３）全車両、エキゾーストマニホールドを良品と交換する。</t>
        </is>
      </c>
    </row>
    <row r="71">
      <c r="A71" s="8" t="inlineStr">
        <is>
          <t>グランエース</t>
        </is>
      </c>
      <c r="B71" s="8" t="inlineStr">
        <is>
          <t>2023/07/12</t>
        </is>
      </c>
      <c r="C71" s="8" t="inlineStr">
        <is>
          <t>1153551</t>
        </is>
      </c>
      <c r="D71" s="8" t="inlineStr">
        <is>
          <t>コンピュータ(制御装</t>
        </is>
      </c>
      <c r="E71" s="11" t="n">
        <v>18</v>
      </c>
      <c r="F71" s="14" t="inlineStr">
        <is>
          <t>3DA-GDH303W改</t>
        </is>
      </c>
      <c r="G71" s="8" t="inlineStr">
        <is>
          <t>2019年12月 2日</t>
        </is>
      </c>
      <c r="H71" s="8" t="inlineStr">
        <is>
          <t>2022年3月24日</t>
        </is>
      </c>
      <c r="I71"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1" s="14" t="inlineStr">
        <is>
          <t>（１）ブレーキ液量センサに電気通信配線を追加する。（２）車両仕様に応じ、前部霧灯表示灯を追加、または前部霧灯の機能を廃止する。（３）オートライトシステムを取付ける。</t>
        </is>
      </c>
    </row>
    <row r="72">
      <c r="A72" s="13" t="inlineStr">
        <is>
          <t>グランエース</t>
        </is>
      </c>
      <c r="B72" s="13" t="inlineStr">
        <is>
          <t>2023/07/12</t>
        </is>
      </c>
      <c r="C72" s="13" t="inlineStr">
        <is>
          <t>1153552</t>
        </is>
      </c>
      <c r="D72" s="13" t="inlineStr">
        <is>
          <t>前部霧灯</t>
        </is>
      </c>
      <c r="E72" s="15" t="n">
        <v>18</v>
      </c>
      <c r="F72" s="14" t="inlineStr">
        <is>
          <t>3DA-GDH303W改</t>
        </is>
      </c>
      <c r="G72" s="13" t="inlineStr">
        <is>
          <t>2019年12月 2日</t>
        </is>
      </c>
      <c r="H72" s="13" t="inlineStr">
        <is>
          <t>2022年3月24日</t>
        </is>
      </c>
      <c r="I7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2" s="14" t="inlineStr">
        <is>
          <t>（１）ブレーキ液量センサに電気通信配線を追加する。（２）車両仕様に応じ、前部霧灯表示灯を追加、または前部霧灯の機能を廃止する。（３）オートライトシステムを取付ける。</t>
        </is>
      </c>
    </row>
    <row r="73">
      <c r="A73" s="8" t="inlineStr">
        <is>
          <t>グランエース</t>
        </is>
      </c>
      <c r="B73" s="8" t="inlineStr">
        <is>
          <t>2023/07/12</t>
        </is>
      </c>
      <c r="C73" s="8" t="inlineStr">
        <is>
          <t>1153553</t>
        </is>
      </c>
      <c r="D73" s="8" t="inlineStr">
        <is>
          <t>前照灯</t>
        </is>
      </c>
      <c r="E73" s="11" t="n">
        <v>18</v>
      </c>
      <c r="F73" s="14" t="inlineStr">
        <is>
          <t>3DA-GDH303W改</t>
        </is>
      </c>
      <c r="G73" s="8" t="inlineStr">
        <is>
          <t>2019年12月 2日</t>
        </is>
      </c>
      <c r="H73" s="8" t="inlineStr">
        <is>
          <t>2022年3月24日</t>
        </is>
      </c>
      <c r="I7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3" s="14" t="inlineStr">
        <is>
          <t>（１）ブレーキ液量センサに電気通信配線を追加する。（２）車両仕様に応じ、前部霧灯表示灯を追加、または前部霧灯の機能を廃止する。（３）オートライトシステムを取付ける。</t>
        </is>
      </c>
    </row>
    <row r="74">
      <c r="A74" s="13" t="inlineStr">
        <is>
          <t>シエンタ</t>
        </is>
      </c>
      <c r="B74" s="13" t="inlineStr">
        <is>
          <t>2004/11/18</t>
        </is>
      </c>
      <c r="C74" s="13" t="inlineStr">
        <is>
          <t>1113041</t>
        </is>
      </c>
      <c r="D74" s="13" t="inlineStr">
        <is>
          <t>主ブレーキ一般</t>
        </is>
      </c>
      <c r="E74" s="15" t="n">
        <v>544172</v>
      </c>
      <c r="F74" s="14" t="inlineStr">
        <is>
          <t>CBA-NCP81G, CBA-NCP85G, UA-NCP81G, UA-NCP85G</t>
        </is>
      </c>
      <c r="G74" s="13" t="inlineStr">
        <is>
          <t>1999年1月 6日</t>
        </is>
      </c>
      <c r="H74" s="13" t="inlineStr">
        <is>
          <t>2004年8月 6日</t>
        </is>
      </c>
      <c r="I7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74" s="14" t="inlineStr">
        <is>
          <t>①全車両、当該スイッチを対策品と交換する。</t>
        </is>
      </c>
    </row>
    <row r="75">
      <c r="A75" s="8" t="inlineStr">
        <is>
          <t>シエンタ</t>
        </is>
      </c>
      <c r="B75" s="8" t="inlineStr">
        <is>
          <t>2004/11/18</t>
        </is>
      </c>
      <c r="C75" s="8" t="inlineStr">
        <is>
          <t>1113042</t>
        </is>
      </c>
      <c r="D75" s="8" t="inlineStr">
        <is>
          <t>燃料ポンプ</t>
        </is>
      </c>
      <c r="E75" s="11" t="n">
        <v>544172</v>
      </c>
      <c r="F75" s="14" t="inlineStr">
        <is>
          <t>CBA-NCP81G, CBA-NCP85G, UA-NCP81G, UA-NCP85G</t>
        </is>
      </c>
      <c r="G75" s="8" t="inlineStr">
        <is>
          <t>1999年1月 6日</t>
        </is>
      </c>
      <c r="H75" s="8" t="inlineStr">
        <is>
          <t>2004年8月 6日</t>
        </is>
      </c>
      <c r="I75"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75" s="14" t="inlineStr">
        <is>
          <t>②全車両、当該燃料ポンプを良品と交換する。</t>
        </is>
      </c>
    </row>
    <row r="76">
      <c r="A76" s="13" t="inlineStr">
        <is>
          <t>シエンタ</t>
        </is>
      </c>
      <c r="B76" s="13" t="inlineStr">
        <is>
          <t>2007/10/17</t>
        </is>
      </c>
      <c r="C76" s="13" t="inlineStr">
        <is>
          <t>1119520</t>
        </is>
      </c>
      <c r="D76" s="13" t="inlineStr">
        <is>
          <t>燃料ポンプ</t>
        </is>
      </c>
      <c r="E76" s="15" t="n">
        <v>120406</v>
      </c>
      <c r="F76" s="14" t="inlineStr">
        <is>
          <t>CBA-NCP81G, CBA-NCP81G(改), CBA-NCP85G, UA-NCP81G, UA-NCP81G(改), UA-NCP85G</t>
        </is>
      </c>
      <c r="G76" s="13" t="inlineStr">
        <is>
          <t>2003年9月18日</t>
        </is>
      </c>
      <c r="H76" s="13" t="inlineStr">
        <is>
          <t>2005年2月10日</t>
        </is>
      </c>
      <c r="I76"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76" s="14" t="inlineStr">
        <is>
          <t>全車両、当該燃料ポンプを対策品と交換する</t>
        </is>
      </c>
    </row>
    <row r="77">
      <c r="A77" s="8" t="inlineStr">
        <is>
          <t>シエンタ</t>
        </is>
      </c>
      <c r="B77" s="8" t="inlineStr">
        <is>
          <t>2010/11/17</t>
        </is>
      </c>
      <c r="C77" s="8" t="inlineStr">
        <is>
          <t>1126540</t>
        </is>
      </c>
      <c r="D77" s="8" t="inlineStr">
        <is>
          <t>ウオッシャー</t>
        </is>
      </c>
      <c r="E77" s="11" t="n">
        <v>4450</v>
      </c>
      <c r="F77" s="14" t="inlineStr">
        <is>
          <t>CBA-NCP85G, UA-NCP81G</t>
        </is>
      </c>
      <c r="G77" s="8" t="inlineStr">
        <is>
          <t>1995年2月13日</t>
        </is>
      </c>
      <c r="H77" s="8" t="inlineStr">
        <is>
          <t>2009年10月19日</t>
        </is>
      </c>
      <c r="I7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7" s="14" t="inlineStr">
        <is>
          <t>全車両、当該ヒータを取り外す。</t>
        </is>
      </c>
    </row>
    <row r="78">
      <c r="A78" s="13" t="inlineStr">
        <is>
          <t>シエンタ</t>
        </is>
      </c>
      <c r="B78" s="13" t="inlineStr">
        <is>
          <t>2018/01/31</t>
        </is>
      </c>
      <c r="C78" s="13" t="inlineStr">
        <is>
          <t>1141851</t>
        </is>
      </c>
      <c r="D78" s="13" t="inlineStr">
        <is>
          <t>エアバッグ</t>
        </is>
      </c>
      <c r="E78" s="15" t="n">
        <v>91210</v>
      </c>
      <c r="F78" s="14" t="inlineStr">
        <is>
          <t>DAA-NHP170G, DBA-NCP175G, DBA-NSP170G, DBA-NSP172G</t>
        </is>
      </c>
      <c r="G78" s="13" t="inlineStr">
        <is>
          <t>2015年5月20日</t>
        </is>
      </c>
      <c r="H78" s="13" t="inlineStr">
        <is>
          <t>2016年1月 7日</t>
        </is>
      </c>
      <c r="I78"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8" s="14" t="inlineStr">
        <is>
          <t>全車両、各センサの製造番号を点検し、該当する場合は良品と交換する。</t>
        </is>
      </c>
    </row>
    <row r="79">
      <c r="A79" s="8" t="inlineStr">
        <is>
          <t>シエンタ</t>
        </is>
      </c>
      <c r="B79" s="8" t="inlineStr">
        <is>
          <t>2018/05/23</t>
        </is>
      </c>
      <c r="C79" s="8" t="inlineStr">
        <is>
          <t>1142640</t>
        </is>
      </c>
      <c r="D79" s="8" t="inlineStr">
        <is>
          <t>エアバッグ</t>
        </is>
      </c>
      <c r="E79" s="11" t="n">
        <v>1239</v>
      </c>
      <c r="F79" s="14" t="inlineStr">
        <is>
          <t>DAA-NHP170G, DBA-NCP175G, DBA-NSP170G, DBA-NSP172G</t>
        </is>
      </c>
      <c r="G79" s="8" t="inlineStr">
        <is>
          <t>2015年9月12日</t>
        </is>
      </c>
      <c r="H79" s="8" t="inlineStr">
        <is>
          <t>2015年10月29日</t>
        </is>
      </c>
      <c r="I79"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79" s="14" t="inlineStr">
        <is>
          <t>全車両、各センサの製造番号を点検し、該当する場合は良品と交換する。</t>
        </is>
      </c>
    </row>
    <row r="80">
      <c r="A80" s="13" t="inlineStr">
        <is>
          <t>シエンタ</t>
        </is>
      </c>
      <c r="B80" s="13" t="inlineStr">
        <is>
          <t>2018/11/01</t>
        </is>
      </c>
      <c r="C80" s="13" t="inlineStr">
        <is>
          <t>1143630</t>
        </is>
      </c>
      <c r="D80" s="13" t="inlineStr">
        <is>
          <t>エアーバッグ</t>
        </is>
      </c>
      <c r="E80" s="15" t="n">
        <v>36002</v>
      </c>
      <c r="F80" s="14" t="inlineStr">
        <is>
          <t>CBA-NCP81G, CBA-NCP85G, DBA-NCP81G, DBA-NCP85G, UA-NCP81G, UA-NCP85G</t>
        </is>
      </c>
      <c r="G80" s="13" t="inlineStr">
        <is>
          <t>2003年1月 8日</t>
        </is>
      </c>
      <c r="H80" s="13" t="inlineStr">
        <is>
          <t>2015年6月25日</t>
        </is>
      </c>
      <c r="I8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0" s="14" t="inlineStr">
        <is>
          <t>全車両、エアバッグコントロールユニットを対策品に交換する。</t>
        </is>
      </c>
    </row>
    <row r="81">
      <c r="A81" s="8" t="inlineStr">
        <is>
          <t>シエンタ</t>
        </is>
      </c>
      <c r="B81" s="8" t="inlineStr">
        <is>
          <t>2019/06/26</t>
        </is>
      </c>
      <c r="C81" s="8" t="inlineStr">
        <is>
          <t>1145210</t>
        </is>
      </c>
      <c r="D81" s="8" t="inlineStr">
        <is>
          <t>エンジン本体</t>
        </is>
      </c>
      <c r="E81" s="11" t="n">
        <v>137016</v>
      </c>
      <c r="F81" s="14" t="inlineStr">
        <is>
          <t>DAA-NHP170G</t>
        </is>
      </c>
      <c r="G81" s="8" t="inlineStr">
        <is>
          <t>2015年5月 7日</t>
        </is>
      </c>
      <c r="H81" s="8" t="inlineStr">
        <is>
          <t>2018年9月 3日</t>
        </is>
      </c>
      <c r="I81"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81" s="14" t="inlineStr">
        <is>
          <t>カウルルーバの仕様に応じてシール材を貼り付けるとともに、全車両、エンジンに防水カバーを追加する。また、エンジンの燃焼室を点検し、異常がある場合はエンジンを新品に交換する。</t>
        </is>
      </c>
    </row>
    <row r="82">
      <c r="A82" s="13" t="inlineStr">
        <is>
          <t>シエンタ</t>
        </is>
      </c>
      <c r="B82" s="13" t="inlineStr">
        <is>
          <t>2019/06/26</t>
        </is>
      </c>
      <c r="C82" s="13" t="inlineStr">
        <is>
          <t>1145220</t>
        </is>
      </c>
      <c r="D82" s="13" t="inlineStr">
        <is>
          <t>その他(電気装置)</t>
        </is>
      </c>
      <c r="E82" s="15" t="n">
        <v>19618</v>
      </c>
      <c r="F82" s="14" t="inlineStr">
        <is>
          <t>6AA-NHP170G, DAA-NHP170G</t>
        </is>
      </c>
      <c r="G82" s="13" t="inlineStr">
        <is>
          <t>2018年2月 6日</t>
        </is>
      </c>
      <c r="H82" s="13" t="inlineStr">
        <is>
          <t>2018年11月15日</t>
        </is>
      </c>
      <c r="I82"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82" s="14" t="inlineStr">
        <is>
          <t>全車両、ＤＣ－ＤＣコンバータの製造番号を点検し、該当する場合は良品と交換する。</t>
        </is>
      </c>
    </row>
    <row r="83">
      <c r="A83" s="8" t="inlineStr">
        <is>
          <t>シエンタ</t>
        </is>
      </c>
      <c r="B83" s="8" t="inlineStr">
        <is>
          <t>2021/06/01</t>
        </is>
      </c>
      <c r="C83" s="8" t="inlineStr">
        <is>
          <t>1149660</t>
        </is>
      </c>
      <c r="D83" s="8" t="inlineStr">
        <is>
          <t>その他(電気装置)</t>
        </is>
      </c>
      <c r="E83" s="11" t="n">
        <v>24162</v>
      </c>
      <c r="F83" s="14" t="inlineStr">
        <is>
          <t>6AA-NHP170G</t>
        </is>
      </c>
      <c r="G83" s="8" t="inlineStr">
        <is>
          <t>2020年11月27日</t>
        </is>
      </c>
      <c r="H83" s="8" t="inlineStr">
        <is>
          <t>2021年4月14日</t>
        </is>
      </c>
      <c r="I8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3" s="14" t="inlineStr">
        <is>
          <t>全車両、電力変換モジュールを点検し、対象となるものは対策品に交換する。</t>
        </is>
      </c>
    </row>
    <row r="84">
      <c r="A84" s="13" t="inlineStr">
        <is>
          <t>シエンタ</t>
        </is>
      </c>
      <c r="B84" s="13" t="inlineStr">
        <is>
          <t>2022/04/13</t>
        </is>
      </c>
      <c r="C84" s="13" t="inlineStr">
        <is>
          <t>1151310</t>
        </is>
      </c>
      <c r="D84" s="13" t="inlineStr">
        <is>
          <t>エンジン本体</t>
        </is>
      </c>
      <c r="E84" s="15" t="n">
        <v>259991</v>
      </c>
      <c r="F84" s="14" t="inlineStr">
        <is>
          <t>6AA-NHP170G, DAA-NHP170G</t>
        </is>
      </c>
      <c r="G84" s="13" t="inlineStr">
        <is>
          <t>2015年5月 7日</t>
        </is>
      </c>
      <c r="H84" s="13" t="inlineStr">
        <is>
          <t>2022年3月12日</t>
        </is>
      </c>
      <c r="I84"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84" s="14" t="inlineStr">
        <is>
          <t>全車両、サービスホールカバーに排水ガイドおよびフードにシールゴムを追加する。また、エンジンの燃焼室を点検し、異常がある場合はエンジンを新品に交換する。</t>
        </is>
      </c>
    </row>
    <row r="85">
      <c r="A85" s="8" t="inlineStr">
        <is>
          <t>シエンタ</t>
        </is>
      </c>
      <c r="B85" s="8" t="inlineStr">
        <is>
          <t>2023/02/16</t>
        </is>
      </c>
      <c r="C85" s="8" t="inlineStr">
        <is>
          <t>1152831</t>
        </is>
      </c>
      <c r="D85" s="8" t="inlineStr">
        <is>
          <t>コンピュータ(制御装</t>
        </is>
      </c>
      <c r="E85" s="11" t="n">
        <v>196984</v>
      </c>
      <c r="F85" s="14" t="inlineStr">
        <is>
          <t>5BA-MXPC10G, 5BA-MXPC12G, 6AA-MXPL10G, 6AA-MXPL12G, 6AA-MXPL15G</t>
        </is>
      </c>
      <c r="G85" s="8" t="inlineStr">
        <is>
          <t>2021年9月 1日</t>
        </is>
      </c>
      <c r="H85" s="8" t="inlineStr">
        <is>
          <t>2023年1月 9日</t>
        </is>
      </c>
      <c r="I8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85" s="14" t="inlineStr">
        <is>
          <t>（１）全車両、衝突被害軽減ブレーキ用前方カメラのプログラムを対策仕様に修正する。</t>
        </is>
      </c>
    </row>
    <row r="86">
      <c r="A86" s="13" t="inlineStr">
        <is>
          <t>シエンタ</t>
        </is>
      </c>
      <c r="B86" s="13" t="inlineStr">
        <is>
          <t>2023/04/06</t>
        </is>
      </c>
      <c r="C86" s="13" t="inlineStr">
        <is>
          <t>1153041</t>
        </is>
      </c>
      <c r="D86" s="13" t="inlineStr">
        <is>
          <t>前照灯</t>
        </is>
      </c>
      <c r="E86" s="15" t="n">
        <v>52502</v>
      </c>
      <c r="F86" s="14" t="inlineStr">
        <is>
          <t>5BA-MXPC10G, 5BA-MXPC12G, 6AA-MXPL10G, 6AA-MXPL12G, 6AA-MXPL15G</t>
        </is>
      </c>
      <c r="G86" s="13" t="inlineStr">
        <is>
          <t>2022年6月15日</t>
        </is>
      </c>
      <c r="H86" s="13" t="inlineStr">
        <is>
          <t>2023年3月 6日</t>
        </is>
      </c>
      <c r="I86"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86" s="14" t="inlineStr">
        <is>
          <t>（１）全車両、前照灯用制御コンピュータのプログラムを対策仕様に修正する。</t>
        </is>
      </c>
    </row>
    <row r="87">
      <c r="A87" s="8" t="inlineStr">
        <is>
          <t>シエンタ</t>
        </is>
      </c>
      <c r="B87" s="8" t="inlineStr">
        <is>
          <t>2023/04/06</t>
        </is>
      </c>
      <c r="C87" s="8" t="inlineStr">
        <is>
          <t>1153042</t>
        </is>
      </c>
      <c r="D87" s="8" t="inlineStr">
        <is>
          <t>シートベルト</t>
        </is>
      </c>
      <c r="E87" s="11" t="n">
        <v>32000</v>
      </c>
      <c r="F87" s="14" t="inlineStr">
        <is>
          <t>5BA-MXPC10G, 6AA-MXPL10G, 6AA-MXPL15G</t>
        </is>
      </c>
      <c r="G87" s="8" t="inlineStr">
        <is>
          <t>2022年6月15日</t>
        </is>
      </c>
      <c r="H87" s="8" t="inlineStr">
        <is>
          <t>2023年3月 6日</t>
        </is>
      </c>
      <c r="I87"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87" s="14" t="inlineStr">
        <is>
          <t>（２）全車両、車台番号を確認するとともに、一部車両に対しては、バックル取付部の保持用バンドを点検し、対象となる場合は当該バンドを対策品に、バックルを新品に交換する。</t>
        </is>
      </c>
    </row>
    <row r="88">
      <c r="A88" s="13" t="inlineStr">
        <is>
          <t>シエンタ</t>
        </is>
      </c>
      <c r="B88" s="13" t="inlineStr">
        <is>
          <t>2023/04/06</t>
        </is>
      </c>
      <c r="C88" s="13" t="inlineStr">
        <is>
          <t>1153043</t>
        </is>
      </c>
      <c r="D88" s="13" t="inlineStr">
        <is>
          <t>ホイール</t>
        </is>
      </c>
      <c r="E88" s="15" t="n">
        <v>1833</v>
      </c>
      <c r="F88" s="14" t="inlineStr">
        <is>
          <t>5BA-MXPC10G, 5BA-MXPC12G, 6AA-MXPL10G, 6AA-MXPL12G, 6AA-MXPL15G</t>
        </is>
      </c>
      <c r="G88" s="13" t="inlineStr">
        <is>
          <t>2022年6月15日</t>
        </is>
      </c>
      <c r="H88" s="13" t="inlineStr">
        <is>
          <t>2023年3月 6日</t>
        </is>
      </c>
      <c r="I88"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88" s="14" t="inlineStr">
        <is>
          <t>（３）全車両、ディスクホイールの製造番号を点検し、該当する場合は良品と交換する。</t>
        </is>
      </c>
    </row>
    <row r="89">
      <c r="A89" s="8" t="inlineStr">
        <is>
          <t>シエンタ</t>
        </is>
      </c>
      <c r="B89" s="8" t="inlineStr">
        <is>
          <t>2023/04/06</t>
        </is>
      </c>
      <c r="C89" s="8" t="inlineStr">
        <is>
          <t>1153050</t>
        </is>
      </c>
      <c r="D89" s="8" t="inlineStr">
        <is>
          <t>始動装置</t>
        </is>
      </c>
      <c r="E89" s="11" t="n">
        <v>234787</v>
      </c>
      <c r="F89" s="14" t="inlineStr">
        <is>
          <t>DBA-NSP170G, DBA-NSP172G</t>
        </is>
      </c>
      <c r="G89" s="8" t="inlineStr">
        <is>
          <t>2015年2月17日</t>
        </is>
      </c>
      <c r="H89" s="8" t="inlineStr">
        <is>
          <t>2017年8月31日</t>
        </is>
      </c>
      <c r="I89"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89"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90">
      <c r="A90" s="13" t="inlineStr">
        <is>
          <t>シエンタ</t>
        </is>
      </c>
      <c r="B90" s="13" t="inlineStr">
        <is>
          <t>2023/06/23</t>
        </is>
      </c>
      <c r="C90" s="13" t="inlineStr">
        <is>
          <t>1153400</t>
        </is>
      </c>
      <c r="D90" s="13" t="inlineStr">
        <is>
          <t>緩衝アーム/ロッド</t>
        </is>
      </c>
      <c r="E90" s="15" t="n">
        <v>594140</v>
      </c>
      <c r="F90" s="14" t="inlineStr">
        <is>
          <t>5BA-MXPC10G, 5BA-MXPC12G, 6AA-MXPL10G, 6AA-MXPL12G, 6AA-MXPL15G</t>
        </is>
      </c>
      <c r="G90" s="13" t="inlineStr">
        <is>
          <t>2019年12月11日</t>
        </is>
      </c>
      <c r="H90" s="13" t="inlineStr">
        <is>
          <t>2023年5月 9日</t>
        </is>
      </c>
      <c r="I90"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90" s="14" t="inlineStr">
        <is>
          <t>全車両、左右ロアアームを点検し、亀裂が生じているものは良品と交換する。</t>
        </is>
      </c>
    </row>
    <row r="91">
      <c r="A91" s="8" t="inlineStr">
        <is>
          <t>シエンタ</t>
        </is>
      </c>
      <c r="B91" s="8" t="inlineStr">
        <is>
          <t>2023/11/22</t>
        </is>
      </c>
      <c r="C91" s="8" t="inlineStr">
        <is>
          <t>1154161</t>
        </is>
      </c>
      <c r="D91" s="8" t="inlineStr">
        <is>
          <t>駐車レバー/ペダル</t>
        </is>
      </c>
      <c r="E91" s="11" t="n">
        <v>580792</v>
      </c>
      <c r="F91" s="14" t="inlineStr">
        <is>
          <t>3BA-NCP175G, 5BA-NSP170G, 5BA-NSP172G, 6AA-NHP170G, DAA-NHP170G, DBA-NCP175G, DBA-NSP170G, DBA-NSP172G</t>
        </is>
      </c>
      <c r="G91" s="8" t="inlineStr">
        <is>
          <t>2015年5月12日</t>
        </is>
      </c>
      <c r="H91" s="8" t="inlineStr">
        <is>
          <t>2023年3月24日</t>
        </is>
      </c>
      <c r="I91"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91" s="14" t="inlineStr">
        <is>
          <t>（１）全車両、当該ボルトの締付状態を点検し、緩みのあるものは適正トルクで増し締めし、脱落しているものはパーキングブレーキペダルを新品に交換し当該ボルトを適正トルクで締付ける。</t>
        </is>
      </c>
    </row>
    <row r="92">
      <c r="A92" s="13" t="inlineStr">
        <is>
          <t>シエンタ</t>
        </is>
      </c>
      <c r="B92" s="13" t="inlineStr">
        <is>
          <t>2023/11/22</t>
        </is>
      </c>
      <c r="C92" s="13" t="inlineStr">
        <is>
          <t>1154162</t>
        </is>
      </c>
      <c r="D92" s="13" t="inlineStr">
        <is>
          <t>その他(その他)</t>
        </is>
      </c>
      <c r="E92" s="15" t="n">
        <v>405714</v>
      </c>
      <c r="F92" s="14" t="inlineStr">
        <is>
          <t>3BA-NCP175G, 5BA-NSP170G, 5BA-NSP172G, 6AA-NHP170G, DAA-NHP170G, DBA-NCP175G, DBA-NSP170G, DBA-NSP172G</t>
        </is>
      </c>
      <c r="G92" s="13" t="inlineStr">
        <is>
          <t>2015年5月12日</t>
        </is>
      </c>
      <c r="H92" s="13" t="inlineStr">
        <is>
          <t>2023年3月24日</t>
        </is>
      </c>
      <c r="I92"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92"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93">
      <c r="A93" s="8" t="inlineStr">
        <is>
          <t>シエンタ</t>
        </is>
      </c>
      <c r="B93" s="8" t="inlineStr">
        <is>
          <t>2024/01/31</t>
        </is>
      </c>
      <c r="C93" s="8" t="inlineStr">
        <is>
          <t>1154450</t>
        </is>
      </c>
      <c r="D93" s="8" t="inlineStr">
        <is>
          <t>緩衝アーム/ロッド</t>
        </is>
      </c>
      <c r="E93" s="11" t="n">
        <v>790329</v>
      </c>
      <c r="F93" s="14" t="inlineStr">
        <is>
          <t>5BA-MXPC10G, 5BA-MXPC12G, 6AA-MXPL10G, 6AA-MXPL12G, 6AA-MXPL15G</t>
        </is>
      </c>
      <c r="G93" s="8" t="inlineStr">
        <is>
          <t>2019年12月11日</t>
        </is>
      </c>
      <c r="H93" s="8" t="inlineStr">
        <is>
          <t>2024年1月19日</t>
        </is>
      </c>
      <c r="I93"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93" s="14" t="inlineStr">
        <is>
          <t>全車両、左右ロアアームを対策品に交換する。なお、交換用部品の準備に時間を要することから、部品の準備ができ次第、使用者に改めて案内し対策品に交換する。</t>
        </is>
      </c>
    </row>
    <row r="94">
      <c r="A94" s="13" t="inlineStr">
        <is>
          <t>シエンタ</t>
        </is>
      </c>
      <c r="B94" s="13" t="inlineStr">
        <is>
          <t>2024/06/14</t>
        </is>
      </c>
      <c r="C94" s="13" t="inlineStr">
        <is>
          <t>1154970</t>
        </is>
      </c>
      <c r="D94" s="13" t="inlineStr">
        <is>
          <t>その他(その他)</t>
        </is>
      </c>
      <c r="E94" s="15" t="n">
        <v>235077</v>
      </c>
      <c r="F94" s="14" t="inlineStr">
        <is>
          <t>5BA-MXPC10G, 5BA-MXPC12G, 6AA-MXPL10G, 6AA-MXPL12G, 6AA-MXPL15G</t>
        </is>
      </c>
      <c r="G94" s="13" t="inlineStr">
        <is>
          <t>2022年11月 7日</t>
        </is>
      </c>
      <c r="H94" s="13" t="inlineStr">
        <is>
          <t>2023年9月27日</t>
        </is>
      </c>
      <c r="I9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94" s="14" t="inlineStr">
        <is>
          <t>全車両、当該カメラの製造番号を点検し、該当する場合は良品と交換する。</t>
        </is>
      </c>
    </row>
    <row r="95">
      <c r="A95" s="8" t="inlineStr">
        <is>
          <t>シエンタ</t>
        </is>
      </c>
      <c r="B95" s="8" t="inlineStr">
        <is>
          <t>2025/10/30</t>
        </is>
      </c>
      <c r="C95" s="8" t="inlineStr">
        <is>
          <t>1157310</t>
        </is>
      </c>
      <c r="D95" s="8" t="inlineStr">
        <is>
          <t>後写鏡</t>
        </is>
      </c>
      <c r="E95" s="11" t="n">
        <v>1285002</v>
      </c>
      <c r="F95" s="14" t="inlineStr">
        <is>
          <t>6AA-MXPL10G, 6AA-MXPL12G, 6AA-MXPL15G</t>
        </is>
      </c>
      <c r="G95" s="8" t="inlineStr">
        <is>
          <t>2021年9月 1日</t>
        </is>
      </c>
      <c r="H95" s="8" t="inlineStr">
        <is>
          <t>2025年9月25日</t>
        </is>
      </c>
      <c r="I9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95" s="14" t="inlineStr">
        <is>
          <t>全車両、パノラミックビューモニター用制御コンピュータのプログラムを対策仕様に修正する。</t>
        </is>
      </c>
    </row>
    <row r="96">
      <c r="A96" s="13" t="inlineStr">
        <is>
          <t>シエンタ</t>
        </is>
      </c>
      <c r="B96" s="13" t="inlineStr">
        <is>
          <t>2026/06/18</t>
        </is>
      </c>
      <c r="C96" s="13" t="inlineStr">
        <is>
          <t>1158321</t>
        </is>
      </c>
      <c r="D96" s="13" t="inlineStr">
        <is>
          <t>シートベルト</t>
        </is>
      </c>
      <c r="E96" s="15" t="n">
        <v>158233</v>
      </c>
      <c r="F96" s="14" t="inlineStr">
        <is>
          <t>5BA-MXPC10G, 5BA-MXPC12G, 6AA-MXPL10G, 6AA-MXPL12G, 6AA-MXPL15G</t>
        </is>
      </c>
      <c r="G96" s="13" t="inlineStr">
        <is>
          <t>2022年6月15日</t>
        </is>
      </c>
      <c r="H96" s="13" t="inlineStr">
        <is>
          <t>2026年3月17日</t>
        </is>
      </c>
      <c r="I96"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6" s="14" t="inlineStr">
        <is>
          <t>該当車両において、（１）二列目左側座席バックルの電気配線の配索を点検し、異常がある場合はバックルを新品に交換する。</t>
        </is>
      </c>
    </row>
    <row r="97">
      <c r="A97" s="8" t="inlineStr">
        <is>
          <t>シエンタ</t>
        </is>
      </c>
      <c r="B97" s="8" t="inlineStr">
        <is>
          <t>2026/06/18</t>
        </is>
      </c>
      <c r="C97" s="8" t="inlineStr">
        <is>
          <t>1158322</t>
        </is>
      </c>
      <c r="D97" s="8" t="inlineStr">
        <is>
          <t>シートベルト</t>
        </is>
      </c>
      <c r="E97" s="11" t="n">
        <v>8305</v>
      </c>
      <c r="F97" s="14" t="inlineStr">
        <is>
          <t>5BA-MXPC12G, 6AA-MXPL12G</t>
        </is>
      </c>
      <c r="G97" s="8" t="inlineStr">
        <is>
          <t>2022年6月15日</t>
        </is>
      </c>
      <c r="H97" s="8" t="inlineStr">
        <is>
          <t>2026年3月17日</t>
        </is>
      </c>
      <c r="I9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7" s="14" t="inlineStr">
        <is>
          <t>該当車両において、（２）二列目右側座席バックルを新品に交換および保護カバーを追加するとともに、関連するシートクッションカバーおよびリクライニングカバーを対策品に交換する。</t>
        </is>
      </c>
    </row>
    <row r="98">
      <c r="A98" s="13" t="inlineStr">
        <is>
          <t>ノア</t>
        </is>
      </c>
      <c r="B98" s="13" t="inlineStr">
        <is>
          <t>2004/12/07</t>
        </is>
      </c>
      <c r="C98" s="13" t="inlineStr">
        <is>
          <t>1113130</t>
        </is>
      </c>
      <c r="D98" s="13" t="inlineStr">
        <is>
          <t>燃料ホース/パイプ</t>
        </is>
      </c>
      <c r="E98" s="15" t="n">
        <v>168049</v>
      </c>
      <c r="F98" s="14" t="inlineStr">
        <is>
          <t>TA-AZR60G, TA-AZR65G</t>
        </is>
      </c>
      <c r="G98" s="13" t="inlineStr">
        <is>
          <t>2001年4月26日</t>
        </is>
      </c>
      <c r="H98" s="13" t="inlineStr">
        <is>
          <t>2002年4月13日</t>
        </is>
      </c>
      <c r="I98"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98"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99">
      <c r="A99" s="8" t="inlineStr">
        <is>
          <t>ノア</t>
        </is>
      </c>
      <c r="B99" s="8" t="inlineStr">
        <is>
          <t>2008/04/09</t>
        </is>
      </c>
      <c r="C99" s="8" t="inlineStr">
        <is>
          <t>1120790</t>
        </is>
      </c>
      <c r="D99" s="8" t="inlineStr">
        <is>
          <t>コンピュータ(エンジ</t>
        </is>
      </c>
      <c r="E99" s="11" t="n">
        <v>2623</v>
      </c>
      <c r="F99" s="14" t="inlineStr">
        <is>
          <t>DBA-ZRR70G, DBA-ZRR75G</t>
        </is>
      </c>
      <c r="G99" s="8" t="inlineStr">
        <is>
          <t>2007年6月 7日</t>
        </is>
      </c>
      <c r="H99" s="8" t="inlineStr">
        <is>
          <t>2007年11月23日</t>
        </is>
      </c>
      <c r="I99"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99" s="14" t="inlineStr">
        <is>
          <t>全車両、エンジン制御コンピュータのプログラムを修正する。</t>
        </is>
      </c>
    </row>
    <row r="100">
      <c r="A100" s="13" t="inlineStr">
        <is>
          <t>ノア</t>
        </is>
      </c>
      <c r="B100" s="13" t="inlineStr">
        <is>
          <t>2008/04/09</t>
        </is>
      </c>
      <c r="C100" s="13" t="inlineStr">
        <is>
          <t>1120800</t>
        </is>
      </c>
      <c r="D100" s="13" t="inlineStr">
        <is>
          <t>燃料タンク</t>
        </is>
      </c>
      <c r="E100" s="15" t="n">
        <v>628239</v>
      </c>
      <c r="F100" s="14" t="inlineStr">
        <is>
          <t>CBA-AZR60G, CBA-AZR60G改, DBA-AZR60G, DBA-AZR60G改, TA-AZR60G, TA-AZR60G改</t>
        </is>
      </c>
      <c r="G100" s="13" t="inlineStr">
        <is>
          <t>2001年11月 7日</t>
        </is>
      </c>
      <c r="H100" s="13" t="inlineStr">
        <is>
          <t>2007年5月31日</t>
        </is>
      </c>
      <c r="I100"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100" s="14" t="inlineStr">
        <is>
          <t>全車両、燃料タンク左後部の取付けボルトを取り外し、異音防止のための緩衝材を取り付けるとともに、燃料タンクを点検し、亀裂のあるものは新品の燃料タンクと交換する。</t>
        </is>
      </c>
    </row>
    <row r="101">
      <c r="A101" s="8" t="inlineStr">
        <is>
          <t>ノア</t>
        </is>
      </c>
      <c r="B101" s="8" t="inlineStr">
        <is>
          <t>2010/10/21</t>
        </is>
      </c>
      <c r="C101" s="8" t="inlineStr">
        <is>
          <t>1126260</t>
        </is>
      </c>
      <c r="D101" s="8" t="inlineStr">
        <is>
          <t>その他(その他)</t>
        </is>
      </c>
      <c r="E101" s="11" t="n">
        <v>1869</v>
      </c>
      <c r="F101" s="14" t="inlineStr">
        <is>
          <t>DBA-ZRR70G, DBA-ZRR70W, DBA-ZRR75G, DBA-ZRR75W</t>
        </is>
      </c>
      <c r="G101" s="8" t="inlineStr">
        <is>
          <t>2010年4月12日</t>
        </is>
      </c>
      <c r="H101" s="8" t="inlineStr">
        <is>
          <t>2010年9月17日</t>
        </is>
      </c>
      <c r="I101" s="14" t="inlineStr">
        <is>
          <t>スピードメータなど計器盤照明の制御プログラムが不適切なため、スイッチを操作して車幅灯等を点灯させた際に計器盤照明が連動して点灯しないことがある。</t>
        </is>
      </c>
      <c r="J101" s="14" t="inlineStr">
        <is>
          <t>全車両、照明制御プログラムを修正した計器盤に交換する。</t>
        </is>
      </c>
    </row>
    <row r="102">
      <c r="A102" s="13" t="inlineStr">
        <is>
          <t>ノア</t>
        </is>
      </c>
      <c r="B102" s="13" t="inlineStr">
        <is>
          <t>2010/11/17</t>
        </is>
      </c>
      <c r="C102" s="13" t="inlineStr">
        <is>
          <t>1126540</t>
        </is>
      </c>
      <c r="D102" s="13" t="inlineStr">
        <is>
          <t>ウオッシャー</t>
        </is>
      </c>
      <c r="E102" s="15" t="n">
        <v>4450</v>
      </c>
      <c r="F102" s="14" t="inlineStr">
        <is>
          <t>CBA-AZR60G, CBA-AZR65G, DBA-AZR60G, TA-AZR60G, TA-AZR65G</t>
        </is>
      </c>
      <c r="G102" s="13" t="inlineStr">
        <is>
          <t>1995年2月13日</t>
        </is>
      </c>
      <c r="H102" s="13" t="inlineStr">
        <is>
          <t>2009年10月19日</t>
        </is>
      </c>
      <c r="I102"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02" s="14" t="inlineStr">
        <is>
          <t>全車両、当該ヒータを取り外す。</t>
        </is>
      </c>
    </row>
    <row r="103">
      <c r="A103" s="8" t="inlineStr">
        <is>
          <t>ノア</t>
        </is>
      </c>
      <c r="B103" s="8" t="inlineStr">
        <is>
          <t>2011/01/26</t>
        </is>
      </c>
      <c r="C103" s="8" t="inlineStr">
        <is>
          <t>1126941</t>
        </is>
      </c>
      <c r="D103" s="8" t="inlineStr">
        <is>
          <t>燃料ホース/パイプ</t>
        </is>
      </c>
      <c r="E103" s="11" t="n">
        <v>1202800</v>
      </c>
      <c r="F103" s="14" t="inlineStr">
        <is>
          <t>CBA-AZR60G, CBA-AZR60G改, CBA-AZR65G, DBA-AZR60G, DBA-AZR60G改, DBA-AZR65G, TA-AZR60G, TA-AZR60G改, TA-AZR65G</t>
        </is>
      </c>
      <c r="G103" s="8" t="inlineStr">
        <is>
          <t>2000年5月10日</t>
        </is>
      </c>
      <c r="H103" s="8" t="inlineStr">
        <is>
          <t>2008年10月24日</t>
        </is>
      </c>
      <c r="I103"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03" s="14" t="inlineStr">
        <is>
          <t>① 全車両、燃料パイプを対策品に交換する。</t>
        </is>
      </c>
    </row>
    <row r="104">
      <c r="A104" s="13" t="inlineStr">
        <is>
          <t>ノア</t>
        </is>
      </c>
      <c r="B104" s="13" t="inlineStr">
        <is>
          <t>2011/01/26</t>
        </is>
      </c>
      <c r="C104" s="13" t="inlineStr">
        <is>
          <t>1126942</t>
        </is>
      </c>
      <c r="D104" s="13" t="inlineStr">
        <is>
          <t>燃料ポンプ</t>
        </is>
      </c>
      <c r="E104" s="15" t="n">
        <v>358672</v>
      </c>
      <c r="F104" s="14" t="inlineStr">
        <is>
          <t>TA-AZR60G, TA-AZR60G改, TA-AZR65G</t>
        </is>
      </c>
      <c r="G104" s="13" t="inlineStr">
        <is>
          <t>2000年5月10日</t>
        </is>
      </c>
      <c r="H104" s="13" t="inlineStr">
        <is>
          <t>2008年10月24日</t>
        </is>
      </c>
      <c r="I104"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04" s="14" t="inlineStr">
        <is>
          <t>② 全車両、チェックバルブとガスケットを対策品に交換する。</t>
        </is>
      </c>
    </row>
    <row r="105">
      <c r="A105" s="8" t="inlineStr">
        <is>
          <t>ノア</t>
        </is>
      </c>
      <c r="B105" s="8" t="inlineStr">
        <is>
          <t>2013/04/11</t>
        </is>
      </c>
      <c r="C105" s="8" t="inlineStr">
        <is>
          <t>1131400</t>
        </is>
      </c>
      <c r="D105" s="8" t="inlineStr">
        <is>
          <t>エアバッグ</t>
        </is>
      </c>
      <c r="E105" s="11" t="n">
        <v>304862</v>
      </c>
      <c r="F105" s="14" t="inlineStr">
        <is>
          <t>TA-AZR60G, TA-AZR65G</t>
        </is>
      </c>
      <c r="G105" s="8" t="inlineStr">
        <is>
          <t>2000年11月22日</t>
        </is>
      </c>
      <c r="H105" s="8" t="inlineStr">
        <is>
          <t>2003年6月 9日</t>
        </is>
      </c>
      <c r="I105"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05" s="14" t="inlineStr">
        <is>
          <t>全車両、当該インフレータを良品に交換する。</t>
        </is>
      </c>
    </row>
    <row r="106">
      <c r="A106" s="13" t="inlineStr">
        <is>
          <t>ノア</t>
        </is>
      </c>
      <c r="B106" s="13" t="inlineStr">
        <is>
          <t>2014/06/11</t>
        </is>
      </c>
      <c r="C106" s="13" t="inlineStr">
        <is>
          <t>1133690</t>
        </is>
      </c>
      <c r="D106" s="13" t="inlineStr">
        <is>
          <t>エアバッグ</t>
        </is>
      </c>
      <c r="E106" s="15" t="n">
        <v>648081</v>
      </c>
      <c r="F106" s="14" t="inlineStr">
        <is>
          <t>TA-AZR60G, TA-AZR65G</t>
        </is>
      </c>
      <c r="G106" s="13" t="inlineStr">
        <is>
          <t>2000年12月 4日</t>
        </is>
      </c>
      <c r="H106" s="13" t="inlineStr">
        <is>
          <t>2004年4月19日</t>
        </is>
      </c>
      <c r="I106"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06"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07">
      <c r="A107" s="8" t="inlineStr">
        <is>
          <t>ノア</t>
        </is>
      </c>
      <c r="B107" s="8" t="inlineStr">
        <is>
          <t>2014/10/15</t>
        </is>
      </c>
      <c r="C107" s="8" t="inlineStr">
        <is>
          <t>1134482</t>
        </is>
      </c>
      <c r="D107" s="8" t="inlineStr">
        <is>
          <t>圧力制御伝達部</t>
        </is>
      </c>
      <c r="E107" s="11" t="n">
        <v>704295</v>
      </c>
      <c r="F107" s="14" t="inlineStr">
        <is>
          <t>DBA-ZRR70G, DBA-ZRR70W, DBA-ZRR75G, DBA-ZRR75W</t>
        </is>
      </c>
      <c r="G107" s="8" t="inlineStr">
        <is>
          <t>2006年2月 6日</t>
        </is>
      </c>
      <c r="H107" s="8" t="inlineStr">
        <is>
          <t>2012年4月 4日</t>
        </is>
      </c>
      <c r="I107"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07" s="14" t="inlineStr">
        <is>
          <t>全車両、ゴム製シールを対策品に交換する。なお、ブレーキ液漏れがあるものは、ブレーキブースタを新品と交換する。</t>
        </is>
      </c>
    </row>
    <row r="108">
      <c r="A108" s="13" t="inlineStr">
        <is>
          <t>ノア</t>
        </is>
      </c>
      <c r="B108" s="13" t="inlineStr">
        <is>
          <t>2014/12/04</t>
        </is>
      </c>
      <c r="C108" s="13" t="inlineStr">
        <is>
          <t>1134830</t>
        </is>
      </c>
      <c r="D108" s="13" t="inlineStr">
        <is>
          <t>エアバッグ</t>
        </is>
      </c>
      <c r="E108" s="15" t="n">
        <v>185093</v>
      </c>
      <c r="F108" s="14" t="inlineStr">
        <is>
          <t>TA-AZR60G, TA-AZR65G</t>
        </is>
      </c>
      <c r="G108" s="13" t="inlineStr">
        <is>
          <t>2002年9月24日</t>
        </is>
      </c>
      <c r="H108" s="13" t="inlineStr">
        <is>
          <t>2003年12月25日</t>
        </is>
      </c>
      <c r="I10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0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09">
      <c r="A109" s="8" t="inlineStr">
        <is>
          <t>ノア</t>
        </is>
      </c>
      <c r="B109" s="8" t="inlineStr">
        <is>
          <t>2015/05/13</t>
        </is>
      </c>
      <c r="C109" s="8" t="inlineStr">
        <is>
          <t>1135630</t>
        </is>
      </c>
      <c r="D109" s="8" t="inlineStr">
        <is>
          <t>エアバッグ</t>
        </is>
      </c>
      <c r="E109" s="11" t="n">
        <v>1300983</v>
      </c>
      <c r="F109" s="14" t="inlineStr">
        <is>
          <t>CBA-AZR60G, CBA-AZR65G, DBA-AZR60G, DBA-AZR65G, TA-AZR60G, TA-AZR65G</t>
        </is>
      </c>
      <c r="G109" s="8" t="inlineStr">
        <is>
          <t>2004年1月 6日</t>
        </is>
      </c>
      <c r="H109" s="8" t="inlineStr">
        <is>
          <t>2008年3月 7日</t>
        </is>
      </c>
      <c r="I10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0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0">
      <c r="A110" s="13" t="inlineStr">
        <is>
          <t>ノア</t>
        </is>
      </c>
      <c r="B110" s="13" t="inlineStr">
        <is>
          <t>2015/06/25</t>
        </is>
      </c>
      <c r="C110" s="13" t="inlineStr">
        <is>
          <t>1135920</t>
        </is>
      </c>
      <c r="D110" s="13" t="inlineStr">
        <is>
          <t>エアバッグ</t>
        </is>
      </c>
      <c r="E110" s="15" t="n">
        <v>311687</v>
      </c>
      <c r="F110" s="14" t="inlineStr">
        <is>
          <t>DBA-AZR60G, DBA-AZR65G</t>
        </is>
      </c>
      <c r="G110" s="13" t="inlineStr">
        <is>
          <t>2007年4月 1日</t>
        </is>
      </c>
      <c r="H110" s="13" t="inlineStr">
        <is>
          <t>2008年12月25日</t>
        </is>
      </c>
      <c r="I110"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10"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1">
      <c r="A111" s="8" t="inlineStr">
        <is>
          <t>ノア</t>
        </is>
      </c>
      <c r="B111" s="8" t="inlineStr">
        <is>
          <t>2015/11/25</t>
        </is>
      </c>
      <c r="C111" s="8" t="inlineStr">
        <is>
          <t>1136960</t>
        </is>
      </c>
      <c r="D111" s="8" t="inlineStr">
        <is>
          <t>エアバッグ</t>
        </is>
      </c>
      <c r="E111" s="11" t="n">
        <v>1612670</v>
      </c>
      <c r="F111" s="14" t="inlineStr">
        <is>
          <t>CBA-AZR60G, CBA-AZR65G, DBA-AZR60G, DBA-AZR65G, TA-AZR60G, TA-AZR65G</t>
        </is>
      </c>
      <c r="G111" s="8" t="inlineStr">
        <is>
          <t>2004年1月 6日</t>
        </is>
      </c>
      <c r="H111" s="8" t="inlineStr">
        <is>
          <t>2008年12月25日</t>
        </is>
      </c>
      <c r="I111" s="14" t="inlineStr">
        <is>
          <t>助手席用一段展開制御式エアバッグのインフレータ（膨張装置）において、エアバッグ展開時にインフレータ容器が破損して飛び散り、出火したり乗員が負傷するおそれがある。</t>
        </is>
      </c>
      <c r="J111"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12">
      <c r="A112" s="13" t="inlineStr">
        <is>
          <t>ノア</t>
        </is>
      </c>
      <c r="B112" s="13" t="inlineStr">
        <is>
          <t>2016/10/26</t>
        </is>
      </c>
      <c r="C112" s="13" t="inlineStr">
        <is>
          <t>1139110</t>
        </is>
      </c>
      <c r="D112" s="13" t="inlineStr">
        <is>
          <t>エアバッグ</t>
        </is>
      </c>
      <c r="E112" s="15" t="n">
        <v>1159578</v>
      </c>
      <c r="F112" s="14" t="inlineStr">
        <is>
          <t>DBA-ZRR70G, DBA-ZRR70W, DBA-ZRR75G, DBA-ZRR75W</t>
        </is>
      </c>
      <c r="G112" s="13" t="inlineStr">
        <is>
          <t>2000年8月22日</t>
        </is>
      </c>
      <c r="H112" s="13" t="inlineStr">
        <is>
          <t>2011年12月28日</t>
        </is>
      </c>
      <c r="I1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2"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13">
      <c r="A113" s="8" t="inlineStr">
        <is>
          <t>ノア</t>
        </is>
      </c>
      <c r="B113" s="8" t="inlineStr">
        <is>
          <t>2017/03/30</t>
        </is>
      </c>
      <c r="C113" s="8" t="inlineStr">
        <is>
          <t>1140180</t>
        </is>
      </c>
      <c r="D113" s="8" t="inlineStr">
        <is>
          <t>エアバッグ</t>
        </is>
      </c>
      <c r="E113" s="11" t="n">
        <v>725999</v>
      </c>
      <c r="F113" s="14" t="inlineStr">
        <is>
          <t>DBA-ZRR70G, DBA-ZRR70W, DBA-ZRR75G, DBA-ZRR75W</t>
        </is>
      </c>
      <c r="G113" s="8" t="inlineStr">
        <is>
          <t>2010年1月 6日</t>
        </is>
      </c>
      <c r="H113" s="8" t="inlineStr">
        <is>
          <t>2012年12月26日</t>
        </is>
      </c>
      <c r="I1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3" s="14" t="inlineStr">
        <is>
          <t>全車両、予防的措置としてエアバッグインフレータまたはエアバッグアッセンブリを改良品に交換する。</t>
        </is>
      </c>
    </row>
    <row r="114">
      <c r="A114" s="13" t="inlineStr">
        <is>
          <t>ノア</t>
        </is>
      </c>
      <c r="B114" s="13" t="inlineStr">
        <is>
          <t>2018/01/17</t>
        </is>
      </c>
      <c r="C114" s="13" t="inlineStr">
        <is>
          <t>1141740</t>
        </is>
      </c>
      <c r="D114" s="13" t="inlineStr">
        <is>
          <t>エアバッグ</t>
        </is>
      </c>
      <c r="E114" s="15" t="n">
        <v>452</v>
      </c>
      <c r="F114" s="14" t="inlineStr">
        <is>
          <t>DBA-ZRR70G, DBA-ZRR70W, DBA-ZRR75G, DBA-ZRR75W</t>
        </is>
      </c>
      <c r="G114" s="13" t="inlineStr">
        <is>
          <t>2005年9月22日</t>
        </is>
      </c>
      <c r="H114" s="13" t="inlineStr">
        <is>
          <t>2011年12月12日</t>
        </is>
      </c>
      <c r="I114"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14" s="14" t="inlineStr">
        <is>
          <t>全車両、助手席エアバッグを良品と交換する。</t>
        </is>
      </c>
    </row>
    <row r="115">
      <c r="A115" s="8" t="inlineStr">
        <is>
          <t>ノア</t>
        </is>
      </c>
      <c r="B115" s="8" t="inlineStr">
        <is>
          <t>2018/01/31</t>
        </is>
      </c>
      <c r="C115" s="8" t="inlineStr">
        <is>
          <t>1141851</t>
        </is>
      </c>
      <c r="D115" s="8" t="inlineStr">
        <is>
          <t>エアバッグ</t>
        </is>
      </c>
      <c r="E115" s="11" t="n">
        <v>91210</v>
      </c>
      <c r="F115" s="14" t="inlineStr">
        <is>
          <t>DAA-ZWR80G, DBA-ZRR80G, DBA-ZRR80W, DBA-ZRR85G, DBA-ZRR85W</t>
        </is>
      </c>
      <c r="G115" s="8" t="inlineStr">
        <is>
          <t>2015年5月20日</t>
        </is>
      </c>
      <c r="H115" s="8" t="inlineStr">
        <is>
          <t>2016年1月 7日</t>
        </is>
      </c>
      <c r="I11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15" s="14" t="inlineStr">
        <is>
          <t>全車両、各センサの製造番号を点検し、該当する場合は良品と交換する。</t>
        </is>
      </c>
    </row>
    <row r="116">
      <c r="A116" s="13" t="inlineStr">
        <is>
          <t>ノア</t>
        </is>
      </c>
      <c r="B116" s="13" t="inlineStr">
        <is>
          <t>2018/03/28</t>
        </is>
      </c>
      <c r="C116" s="13" t="inlineStr">
        <is>
          <t>1142280</t>
        </is>
      </c>
      <c r="D116" s="13" t="inlineStr">
        <is>
          <t>エアバッグ</t>
        </is>
      </c>
      <c r="E116" s="15" t="n">
        <v>249473</v>
      </c>
      <c r="F116" s="14" t="inlineStr">
        <is>
          <t>DBA-ZRR70G, DBA-ZRR70W, DBA-ZRR75G, DBA-ZRR75W</t>
        </is>
      </c>
      <c r="G116" s="13" t="inlineStr">
        <is>
          <t>2013年1月 7日</t>
        </is>
      </c>
      <c r="H116" s="13" t="inlineStr">
        <is>
          <t>2014年12月25日</t>
        </is>
      </c>
      <c r="I1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6" s="14" t="inlineStr">
        <is>
          <t>全車両、予防的措置としてエアバッグインフレータまたはエアバッグアッセンブリを代替品と交換する。</t>
        </is>
      </c>
    </row>
    <row r="117">
      <c r="A117" s="8" t="inlineStr">
        <is>
          <t>ノア</t>
        </is>
      </c>
      <c r="B117" s="8" t="inlineStr">
        <is>
          <t>2018/11/01</t>
        </is>
      </c>
      <c r="C117" s="8" t="inlineStr">
        <is>
          <t>1143640</t>
        </is>
      </c>
      <c r="D117" s="8" t="inlineStr">
        <is>
          <t>エアーバッグ</t>
        </is>
      </c>
      <c r="E117" s="11" t="n">
        <v>298445</v>
      </c>
      <c r="F117" s="14" t="inlineStr">
        <is>
          <t>TA-AZR60G, TA-AZR65G</t>
        </is>
      </c>
      <c r="G117" s="8" t="inlineStr">
        <is>
          <t>2000年11月22日</t>
        </is>
      </c>
      <c r="H117" s="8" t="inlineStr">
        <is>
          <t>2006年6月23日</t>
        </is>
      </c>
      <c r="I1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7" s="14" t="inlineStr">
        <is>
          <t>全車両、予防的措置としてエアバッグインフレータまたはエアバッグアッセンブリを代替品と交換する。</t>
        </is>
      </c>
    </row>
    <row r="118">
      <c r="A118" s="13" t="inlineStr">
        <is>
          <t>ノア</t>
        </is>
      </c>
      <c r="B118" s="13" t="inlineStr">
        <is>
          <t>2019/08/28</t>
        </is>
      </c>
      <c r="C118" s="13" t="inlineStr">
        <is>
          <t>1145560</t>
        </is>
      </c>
      <c r="D118" s="13" t="inlineStr">
        <is>
          <t>エアバッグ</t>
        </is>
      </c>
      <c r="E118" s="15" t="n">
        <v>181653</v>
      </c>
      <c r="F118" s="14" t="inlineStr">
        <is>
          <t>TA-AZR60G, TA-AZR65G</t>
        </is>
      </c>
      <c r="G118" s="13" t="inlineStr">
        <is>
          <t>2003年1月 6日</t>
        </is>
      </c>
      <c r="H118" s="13" t="inlineStr">
        <is>
          <t>2010年7月16日</t>
        </is>
      </c>
      <c r="I11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8" s="14" t="inlineStr">
        <is>
          <t>全車両、予防的措置としてエアバッグインフレータまたはエアバッグアッセンブリを代替品と交換する。</t>
        </is>
      </c>
    </row>
    <row r="119">
      <c r="A119" s="8" t="inlineStr">
        <is>
          <t>ノア</t>
        </is>
      </c>
      <c r="B119" s="8" t="inlineStr">
        <is>
          <t>2019/09/19</t>
        </is>
      </c>
      <c r="C119" s="8" t="inlineStr">
        <is>
          <t>1145671</t>
        </is>
      </c>
      <c r="D119" s="8" t="inlineStr">
        <is>
          <t>燃料ポンプ</t>
        </is>
      </c>
      <c r="E119" s="11" t="n">
        <v>390633</v>
      </c>
      <c r="F119" s="14" t="inlineStr">
        <is>
          <t>DAA-ZWR80G, DAA-ZWR80W</t>
        </is>
      </c>
      <c r="G119" s="8" t="inlineStr">
        <is>
          <t>2013年12月20日</t>
        </is>
      </c>
      <c r="H119" s="8" t="inlineStr">
        <is>
          <t>2018年7月18日</t>
        </is>
      </c>
      <c r="I119"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19" s="14" t="inlineStr">
        <is>
          <t>全車両、燃料ポンプを対策品に交換する。</t>
        </is>
      </c>
    </row>
    <row r="120">
      <c r="A120" s="13" t="inlineStr">
        <is>
          <t>ノア</t>
        </is>
      </c>
      <c r="B120" s="13" t="inlineStr">
        <is>
          <t>2019/09/19</t>
        </is>
      </c>
      <c r="C120" s="13" t="inlineStr">
        <is>
          <t>1145672</t>
        </is>
      </c>
      <c r="D120" s="13" t="inlineStr">
        <is>
          <t>座席</t>
        </is>
      </c>
      <c r="E120" s="15" t="n">
        <v>202917</v>
      </c>
      <c r="F120" s="14" t="inlineStr">
        <is>
          <t>DAA-ZWR80G, DAA-ZWR80W, DBA-ZRR80G, DBA-ZRR80W, DBA-ZRR85G, DBA-ZRR85W</t>
        </is>
      </c>
      <c r="G120" s="13" t="inlineStr">
        <is>
          <t>2017年4月10日</t>
        </is>
      </c>
      <c r="H120" s="13" t="inlineStr">
        <is>
          <t>2018年5月11日</t>
        </is>
      </c>
      <c r="I120"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20"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21">
      <c r="A121" s="8" t="inlineStr">
        <is>
          <t>ノア</t>
        </is>
      </c>
      <c r="B121" s="8" t="inlineStr">
        <is>
          <t>2019/12/11</t>
        </is>
      </c>
      <c r="C121" s="8" t="inlineStr">
        <is>
          <t>1146250</t>
        </is>
      </c>
      <c r="D121" s="8" t="inlineStr">
        <is>
          <t>シートベルト</t>
        </is>
      </c>
      <c r="E121" s="11" t="n">
        <v>7790</v>
      </c>
      <c r="F121" s="14" t="inlineStr">
        <is>
          <t>DBA-ZRR80G, DBA-ZRR80G改, DBA-ZRR80W, DBA-ZRR80W改, DBA-ZRR85G, DBA-ZRR85G改, DBA-ZRR85W</t>
        </is>
      </c>
      <c r="G121" s="8" t="inlineStr">
        <is>
          <t>2019年8月19日</t>
        </is>
      </c>
      <c r="H121" s="8" t="inlineStr">
        <is>
          <t>2019年9月12日</t>
        </is>
      </c>
      <c r="I121"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21" s="14" t="inlineStr">
        <is>
          <t>全車両、対象となる後部座席ベルトの製造番号を点検し、該当する場合は座席ベルトを良品と交換する。</t>
        </is>
      </c>
    </row>
    <row r="122">
      <c r="A122" s="13" t="inlineStr">
        <is>
          <t>ノア</t>
        </is>
      </c>
      <c r="B122" s="13" t="inlineStr">
        <is>
          <t>2020/03/04</t>
        </is>
      </c>
      <c r="C122" s="13" t="inlineStr">
        <is>
          <t>1146830</t>
        </is>
      </c>
      <c r="D122" s="13" t="inlineStr">
        <is>
          <t>燃料ポンプ</t>
        </is>
      </c>
      <c r="E122" s="15" t="n">
        <v>112934</v>
      </c>
      <c r="F122" s="14" t="inlineStr">
        <is>
          <t>DBA-ZRR80G, DBA-ZRR80G改, DBA-ZRR80W, DBA-ZRR80W改, DBA-ZRR85G, DBA-ZRR85G改, DBA-ZRR85W</t>
        </is>
      </c>
      <c r="G122" s="13" t="inlineStr">
        <is>
          <t>2013年9月 2日</t>
        </is>
      </c>
      <c r="H122" s="13" t="inlineStr">
        <is>
          <t>2019年1月14日</t>
        </is>
      </c>
      <c r="I1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2" s="14" t="inlineStr">
        <is>
          <t>全車両、低圧燃料ポンプを対策品と交換する。</t>
        </is>
      </c>
    </row>
    <row r="123">
      <c r="A123" s="8" t="inlineStr">
        <is>
          <t>ノア</t>
        </is>
      </c>
      <c r="B123" s="8" t="inlineStr">
        <is>
          <t>2020/10/28</t>
        </is>
      </c>
      <c r="C123" s="8" t="inlineStr">
        <is>
          <t>1148300</t>
        </is>
      </c>
      <c r="D123" s="8" t="inlineStr">
        <is>
          <t>燃料ポンプ</t>
        </is>
      </c>
      <c r="E123" s="11" t="n">
        <v>210363</v>
      </c>
      <c r="F123" s="14" t="inlineStr">
        <is>
          <t>DAA-ZWR80G, DAA-ZWR80W, DBA-ZRR80G, DBA-ZRR80G改, DBA-ZRR80W, DBA-ZRR80W改, DBA-ZRR85G, DBA-ZRR85G改, DBA-ZRR85W</t>
        </is>
      </c>
      <c r="G123" s="8" t="inlineStr">
        <is>
          <t>2017年7月 5日</t>
        </is>
      </c>
      <c r="H123" s="8" t="inlineStr">
        <is>
          <t>2019年12月 6日</t>
        </is>
      </c>
      <c r="I12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3" s="14" t="inlineStr">
        <is>
          <t>全車両、低圧燃料ポンプを対策品と交換する。</t>
        </is>
      </c>
    </row>
    <row r="124">
      <c r="A124" s="13" t="inlineStr">
        <is>
          <t>ノア</t>
        </is>
      </c>
      <c r="B124" s="13" t="inlineStr">
        <is>
          <t>2021/06/01</t>
        </is>
      </c>
      <c r="C124" s="13" t="inlineStr">
        <is>
          <t>1149660</t>
        </is>
      </c>
      <c r="D124" s="13" t="inlineStr">
        <is>
          <t>その他(電気装置)</t>
        </is>
      </c>
      <c r="E124" s="15" t="n">
        <v>24162</v>
      </c>
      <c r="F124" s="14" t="inlineStr">
        <is>
          <t>6AA-ZWR80G, 6AA-ZWR80W</t>
        </is>
      </c>
      <c r="G124" s="13" t="inlineStr">
        <is>
          <t>2020年11月27日</t>
        </is>
      </c>
      <c r="H124" s="13" t="inlineStr">
        <is>
          <t>2021年4月14日</t>
        </is>
      </c>
      <c r="I12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24" s="14" t="inlineStr">
        <is>
          <t>全車両、電力変換モジュールを点検し、対象となるものは対策品に交換する。</t>
        </is>
      </c>
    </row>
    <row r="125">
      <c r="A125" s="8" t="inlineStr">
        <is>
          <t>ノア</t>
        </is>
      </c>
      <c r="B125" s="8" t="inlineStr">
        <is>
          <t>2022/04/13</t>
        </is>
      </c>
      <c r="C125" s="8" t="inlineStr">
        <is>
          <t>2106450</t>
        </is>
      </c>
      <c r="D125" s="8" t="inlineStr">
        <is>
          <t>その他(その他)</t>
        </is>
      </c>
      <c r="E125" s="11" t="n">
        <v>31534</v>
      </c>
      <c r="F125" s="14" t="inlineStr">
        <is>
          <t>6AA-ZWR90W, 6AA-ZWR92W, 6AA-ZWR95W, 6BA-MZRA90W, 6BA-MZRA92W, 6BA-MZRA95W, 6BA-MZRA95W改, 6BA-MZRA97W</t>
        </is>
      </c>
      <c r="G125" s="8" t="inlineStr">
        <is>
          <t>2021年9月 1日</t>
        </is>
      </c>
      <c r="H125" s="8" t="inlineStr">
        <is>
          <t>2022年4月 8日</t>
        </is>
      </c>
      <c r="I125"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25" s="14" t="inlineStr">
        <is>
          <t>全車両、ディスプレイオーディオの制御プログラムを対策仕様に修正する。</t>
        </is>
      </c>
    </row>
    <row r="126">
      <c r="A126" s="13" t="inlineStr">
        <is>
          <t>ノア</t>
        </is>
      </c>
      <c r="B126" s="13" t="inlineStr">
        <is>
          <t>2022/06/03</t>
        </is>
      </c>
      <c r="C126" s="13" t="inlineStr">
        <is>
          <t>1151620</t>
        </is>
      </c>
      <c r="D126" s="13" t="inlineStr">
        <is>
          <t>コンピュータ(制御装</t>
        </is>
      </c>
      <c r="E126" s="15" t="n">
        <v>18784</v>
      </c>
      <c r="F126" s="14" t="inlineStr">
        <is>
          <t>6AA-ZWR90W, 6AA-ZWR92W, 6AA-ZWR95W</t>
        </is>
      </c>
      <c r="G126" s="13" t="inlineStr">
        <is>
          <t>2021年12月 1日</t>
        </is>
      </c>
      <c r="H126" s="13" t="inlineStr">
        <is>
          <t>2022年5月25日</t>
        </is>
      </c>
      <c r="I126"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26" s="14" t="inlineStr">
        <is>
          <t>全車両、ブレーキアクチュエータ用制御コンピュータのプログラムを対策仕様に修正する。また、ブレーキ関連部品を点検し、過熱による異常が認められた場合は交換する。</t>
        </is>
      </c>
    </row>
    <row r="127">
      <c r="A127" s="8" t="inlineStr">
        <is>
          <t>ノア</t>
        </is>
      </c>
      <c r="B127" s="8" t="inlineStr">
        <is>
          <t>2022/09/01</t>
        </is>
      </c>
      <c r="C127" s="8" t="inlineStr">
        <is>
          <t>1152021</t>
        </is>
      </c>
      <c r="D127" s="8" t="inlineStr">
        <is>
          <t>コンピュータ(かじ取</t>
        </is>
      </c>
      <c r="E127" s="11" t="n">
        <v>49651</v>
      </c>
      <c r="F127" s="14" t="inlineStr">
        <is>
          <t>6AA-ZWR90W, 6AA-ZWR92W, 6AA-ZWR95W, 6BA-MZRA90W, 6BA-MZRA92W, 6BA-MZRA95W, 6BA-MZRA95W改, 6BA-MZRA97W</t>
        </is>
      </c>
      <c r="G127" s="8" t="inlineStr">
        <is>
          <t>2021年9月 1日</t>
        </is>
      </c>
      <c r="H127" s="8" t="inlineStr">
        <is>
          <t>2022年8月 9日</t>
        </is>
      </c>
      <c r="I127"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27" s="14" t="inlineStr">
        <is>
          <t>（１）全車両、レーントレーシングアシスト用制御コンピュータのプログラムを対策仕様に修正する。</t>
        </is>
      </c>
    </row>
    <row r="128">
      <c r="A128" s="13" t="inlineStr">
        <is>
          <t>ノア</t>
        </is>
      </c>
      <c r="B128" s="13" t="inlineStr">
        <is>
          <t>2022/09/01</t>
        </is>
      </c>
      <c r="C128" s="13" t="inlineStr">
        <is>
          <t>1152022</t>
        </is>
      </c>
      <c r="D128" s="13" t="inlineStr">
        <is>
          <t>後写鏡</t>
        </is>
      </c>
      <c r="E128" s="15" t="n">
        <v>30721</v>
      </c>
      <c r="F128" s="14" t="inlineStr">
        <is>
          <t>6AA-ZWR90W, 6AA-ZWR92W, 6AA-ZWR95W, 6BA-MZRA90W, 6BA-MZRA92W, 6BA-MZRA95W</t>
        </is>
      </c>
      <c r="G128" s="13" t="inlineStr">
        <is>
          <t>2021年9月 1日</t>
        </is>
      </c>
      <c r="H128" s="13" t="inlineStr">
        <is>
          <t>2022年8月 9日</t>
        </is>
      </c>
      <c r="I128"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28" s="14" t="inlineStr">
        <is>
          <t>（２）全車両、ディスプレイオーディオ用制御プログラムを対策仕様に修正する。</t>
        </is>
      </c>
    </row>
    <row r="129">
      <c r="A129" s="8" t="inlineStr">
        <is>
          <t>ノア</t>
        </is>
      </c>
      <c r="B129" s="8" t="inlineStr">
        <is>
          <t>2022/09/01</t>
        </is>
      </c>
      <c r="C129" s="8" t="inlineStr">
        <is>
          <t>1152023</t>
        </is>
      </c>
      <c r="D129" s="8" t="inlineStr">
        <is>
          <t>コンピュータ(制御装</t>
        </is>
      </c>
      <c r="E129" s="11" t="n">
        <v>27599</v>
      </c>
      <c r="F129" s="14" t="inlineStr">
        <is>
          <t>6BA-MZRA90W, 6BA-MZRA92W, 6BA-MZRA95W, 6BA-MZRA95W改, 6BA-MZRA97W</t>
        </is>
      </c>
      <c r="G129" s="8" t="inlineStr">
        <is>
          <t>2021年9月 1日</t>
        </is>
      </c>
      <c r="H129" s="8" t="inlineStr">
        <is>
          <t>2022年8月 9日</t>
        </is>
      </c>
      <c r="I129"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29" s="14" t="inlineStr">
        <is>
          <t>（３）全車両、ブレーキアクチュエータ用制御コンピュータのプログラムを対策仕様に修正する。</t>
        </is>
      </c>
    </row>
    <row r="130">
      <c r="A130" s="13" t="inlineStr">
        <is>
          <t>ノア</t>
        </is>
      </c>
      <c r="B130" s="13" t="inlineStr">
        <is>
          <t>2023/02/16</t>
        </is>
      </c>
      <c r="C130" s="13" t="inlineStr">
        <is>
          <t>1152831</t>
        </is>
      </c>
      <c r="D130" s="13" t="inlineStr">
        <is>
          <t>コンピュータ(制御装</t>
        </is>
      </c>
      <c r="E130" s="15" t="n">
        <v>196984</v>
      </c>
      <c r="F130" s="14" t="inlineStr">
        <is>
          <t>6AA-ZWR90W, 6AA-ZWR92W, 6AA-ZWR95W, 6BA-MZRA90W, 6BA-MZRA92W, 6BA-MZRA95W, 6BA-MZRA95W改, 6BA-MZRA97W</t>
        </is>
      </c>
      <c r="G130" s="13" t="inlineStr">
        <is>
          <t>2021年9月 1日</t>
        </is>
      </c>
      <c r="H130" s="13" t="inlineStr">
        <is>
          <t>2023年1月 9日</t>
        </is>
      </c>
      <c r="I130"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30" s="14" t="inlineStr">
        <is>
          <t>（１）全車両、衝突被害軽減ブレーキ用前方カメラのプログラムを対策仕様に修正する。</t>
        </is>
      </c>
    </row>
    <row r="131">
      <c r="A131" s="8" t="inlineStr">
        <is>
          <t>ノア</t>
        </is>
      </c>
      <c r="B131" s="8" t="inlineStr">
        <is>
          <t>2023/02/16</t>
        </is>
      </c>
      <c r="C131" s="8" t="inlineStr">
        <is>
          <t>1152832</t>
        </is>
      </c>
      <c r="D131" s="8" t="inlineStr">
        <is>
          <t>コンピュータ(かじ取</t>
        </is>
      </c>
      <c r="E131" s="11" t="n">
        <v>38477</v>
      </c>
      <c r="F131" s="14" t="inlineStr">
        <is>
          <t>6AA-ZWR90W, 6AA-ZWR92W, 6AA-ZWR95W, 6BA-MZRA90W, 6BA-MZRA92W, 6BA-MZRA95W, 6BA-MZRA95W改, 6BA-MZRA97W</t>
        </is>
      </c>
      <c r="G131" s="8" t="inlineStr">
        <is>
          <t>2021年12月 1日</t>
        </is>
      </c>
      <c r="H131" s="8" t="inlineStr">
        <is>
          <t>2022年12月 9日</t>
        </is>
      </c>
      <c r="I131"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31" s="14" t="inlineStr">
        <is>
          <t>（２）全車両、コンビネーションメータのプログラムを対策仕様に修正する。</t>
        </is>
      </c>
    </row>
    <row r="132">
      <c r="A132" s="13" t="inlineStr">
        <is>
          <t>ノア</t>
        </is>
      </c>
      <c r="B132" s="13" t="inlineStr">
        <is>
          <t>2023/11/02</t>
        </is>
      </c>
      <c r="C132" s="13" t="inlineStr">
        <is>
          <t>1154040</t>
        </is>
      </c>
      <c r="D132" s="13" t="inlineStr">
        <is>
          <t>燃料ポンプ</t>
        </is>
      </c>
      <c r="E132" s="15" t="n">
        <v>328108</v>
      </c>
      <c r="F132" s="14" t="inlineStr">
        <is>
          <t>DAA-ZWR80G, DAA-ZWR80W, DBA-ZRR80G, DBA-ZRR80G改, DBA-ZRR80W, DBA-ZRR80W改, DBA-ZRR85G, DBA-ZRR85G改, DBA-ZRR85W</t>
        </is>
      </c>
      <c r="G132" s="13" t="inlineStr">
        <is>
          <t>2017年7月 3日</t>
        </is>
      </c>
      <c r="H132" s="13" t="inlineStr">
        <is>
          <t>2020年1月14日</t>
        </is>
      </c>
      <c r="I13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32" s="14" t="inlineStr">
        <is>
          <t>全車両、低圧燃料ポンプを対策品と交換する。</t>
        </is>
      </c>
    </row>
    <row r="133">
      <c r="A133" s="8" t="inlineStr">
        <is>
          <t>ノア</t>
        </is>
      </c>
      <c r="B133" s="8" t="inlineStr">
        <is>
          <t>2024/05/08</t>
        </is>
      </c>
      <c r="C133" s="8" t="inlineStr">
        <is>
          <t>1154780</t>
        </is>
      </c>
      <c r="D133" s="8" t="inlineStr">
        <is>
          <t>その他(保安灯火)</t>
        </is>
      </c>
      <c r="E133" s="11" t="n">
        <v>1271</v>
      </c>
      <c r="F133" s="14" t="inlineStr">
        <is>
          <t>6AA-ZWR90W, 6AA-ZWR92W, 6AA-ZWR95W, 6BA-MZRA90W, 6BA-MZRA92W, 6BA-MZRA95W, 6BA-MZRA97W</t>
        </is>
      </c>
      <c r="G133" s="8" t="inlineStr">
        <is>
          <t>2024年4月 4日</t>
        </is>
      </c>
      <c r="H133" s="8" t="inlineStr">
        <is>
          <t>2024年4月 9日</t>
        </is>
      </c>
      <c r="I133"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33" s="14" t="inlineStr">
        <is>
          <t>全車両、ライトコントロールコンピュータのプログラムを対策仕様に修正した前照灯に交換する。</t>
        </is>
      </c>
    </row>
    <row r="134">
      <c r="A134" s="13" t="inlineStr">
        <is>
          <t>ノア</t>
        </is>
      </c>
      <c r="B134" s="13" t="inlineStr">
        <is>
          <t>2024/06/14</t>
        </is>
      </c>
      <c r="C134" s="13" t="inlineStr">
        <is>
          <t>1154970</t>
        </is>
      </c>
      <c r="D134" s="13" t="inlineStr">
        <is>
          <t>その他(その他)</t>
        </is>
      </c>
      <c r="E134" s="15" t="n">
        <v>235077</v>
      </c>
      <c r="F134" s="14" t="inlineStr">
        <is>
          <t>6AA-ZWR90W, 6AA-ZWR92W, 6AA-ZWR95W, 6BA-MZRA90W, 6BA-MZRA92W, 6BA-MZRA95W, 6BA-MZRA95W改, 6BA-MZRA97W</t>
        </is>
      </c>
      <c r="G134" s="13" t="inlineStr">
        <is>
          <t>2022年11月 7日</t>
        </is>
      </c>
      <c r="H134" s="13" t="inlineStr">
        <is>
          <t>2023年9月27日</t>
        </is>
      </c>
      <c r="I13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34" s="14" t="inlineStr">
        <is>
          <t>全車両、当該カメラの製造番号を点検し、該当する場合は良品と交換する。</t>
        </is>
      </c>
    </row>
    <row r="135">
      <c r="A135" s="8" t="inlineStr">
        <is>
          <t>ノア</t>
        </is>
      </c>
      <c r="B135" s="8" t="inlineStr">
        <is>
          <t>2025/10/30</t>
        </is>
      </c>
      <c r="C135" s="8" t="inlineStr">
        <is>
          <t>1157310</t>
        </is>
      </c>
      <c r="D135" s="8" t="inlineStr">
        <is>
          <t>後写鏡</t>
        </is>
      </c>
      <c r="E135" s="11" t="n">
        <v>1285002</v>
      </c>
      <c r="F135" s="14" t="inlineStr">
        <is>
          <t>6AA-ZWR90W, 6AA-ZWR92W, 6AA-ZWR95W, 6BA-MZRA90W, 6BA-MZRA92W, 6BA-MZRA95W, 6BA-MZRA95W改, 6BA-MZRA97W</t>
        </is>
      </c>
      <c r="G135" s="8" t="inlineStr">
        <is>
          <t>2021年9月 1日</t>
        </is>
      </c>
      <c r="H135" s="8" t="inlineStr">
        <is>
          <t>2025年9月25日</t>
        </is>
      </c>
      <c r="I13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35" s="14" t="inlineStr">
        <is>
          <t>全車両、パノラミックビューモニター用制御コンピュータのプログラムを対策仕様に修正する。</t>
        </is>
      </c>
    </row>
    <row r="136">
      <c r="A136" s="13" t="inlineStr">
        <is>
          <t>プリウスα</t>
        </is>
      </c>
      <c r="B136" s="13" t="inlineStr">
        <is>
          <t>2015/07/15</t>
        </is>
      </c>
      <c r="C136" s="13" t="inlineStr">
        <is>
          <t>1136040</t>
        </is>
      </c>
      <c r="D136" s="13" t="inlineStr">
        <is>
          <t>ﾊｲﾌﾞﾘｯﾄﾞ制御装置(ｲﾝﾊ</t>
        </is>
      </c>
      <c r="E136" s="15" t="n">
        <v>342401</v>
      </c>
      <c r="F136" s="14" t="inlineStr">
        <is>
          <t>DAA-ZVW40W, DAA-ZVW41W</t>
        </is>
      </c>
      <c r="G136" s="13" t="inlineStr">
        <is>
          <t>2011年2月 4日</t>
        </is>
      </c>
      <c r="H136" s="13" t="inlineStr">
        <is>
          <t>2014年11月12日</t>
        </is>
      </c>
      <c r="I136"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136" s="14" t="inlineStr">
        <is>
          <t>全車両、制御ソフトを対策仕様に修正する。 制御ソフト修正後に素子が損傷して警告灯が点灯した場合は、電力変換器のモジュールを無償交換する。</t>
        </is>
      </c>
    </row>
    <row r="137">
      <c r="A137" s="8" t="inlineStr">
        <is>
          <t>プリウスα</t>
        </is>
      </c>
      <c r="B137" s="8" t="inlineStr">
        <is>
          <t>2016/06/29</t>
        </is>
      </c>
      <c r="C137" s="8" t="inlineStr">
        <is>
          <t>1138360</t>
        </is>
      </c>
      <c r="D137" s="8" t="inlineStr">
        <is>
          <t>その他(燃料装置)</t>
        </is>
      </c>
      <c r="E137" s="11" t="n">
        <v>1552509</v>
      </c>
      <c r="F137" s="14" t="inlineStr">
        <is>
          <t>DAA-ZVW40W, DAA-ZVW41W</t>
        </is>
      </c>
      <c r="G137" s="8" t="inlineStr">
        <is>
          <t>2009年3月23日</t>
        </is>
      </c>
      <c r="H137" s="8" t="inlineStr">
        <is>
          <t>2015年2月24日</t>
        </is>
      </c>
      <c r="I137"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137" s="14" t="inlineStr">
        <is>
          <t>全車両、燃料蒸発ガス排出抑制装置を対策品と交換する。</t>
        </is>
      </c>
    </row>
    <row r="138">
      <c r="A138" s="13" t="inlineStr">
        <is>
          <t>プリウスα</t>
        </is>
      </c>
      <c r="B138" s="13" t="inlineStr">
        <is>
          <t>2018/10/05</t>
        </is>
      </c>
      <c r="C138" s="13" t="inlineStr">
        <is>
          <t>1143440</t>
        </is>
      </c>
      <c r="D138" s="13" t="inlineStr">
        <is>
          <t>コンピュータ</t>
        </is>
      </c>
      <c r="E138" s="15" t="n">
        <v>1249662</v>
      </c>
      <c r="F138" s="14" t="inlineStr">
        <is>
          <t>DAA-ZVW40W, DAA-ZVW41W</t>
        </is>
      </c>
      <c r="G138" s="13" t="inlineStr">
        <is>
          <t>2009年3月23日</t>
        </is>
      </c>
      <c r="H138" s="13" t="inlineStr">
        <is>
          <t>2014年11月12日</t>
        </is>
      </c>
      <c r="I138"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138" s="14" t="inlineStr">
        <is>
          <t>全車両、異常判定時の制御プログラムを対策仕様に修正する。 当該制御プログラム修正後に素子が損傷して警告灯が点灯した場合は、電力変換器のモジュールを無償交換する。</t>
        </is>
      </c>
    </row>
    <row r="139">
      <c r="A139" s="8" t="inlineStr">
        <is>
          <t>プリウスα</t>
        </is>
      </c>
      <c r="B139" s="8" t="inlineStr">
        <is>
          <t>2020/01/29</t>
        </is>
      </c>
      <c r="C139" s="8" t="inlineStr">
        <is>
          <t>1146490</t>
        </is>
      </c>
      <c r="D139" s="8" t="inlineStr">
        <is>
          <t>シートベルト</t>
        </is>
      </c>
      <c r="E139" s="11" t="n">
        <v>418929</v>
      </c>
      <c r="F139" s="14" t="inlineStr">
        <is>
          <t>DAA-ZVW40W, DAA-ZVW41W</t>
        </is>
      </c>
      <c r="G139" s="8" t="inlineStr">
        <is>
          <t>2014年10月14日</t>
        </is>
      </c>
      <c r="H139" s="8" t="inlineStr">
        <is>
          <t>2019年7月29日</t>
        </is>
      </c>
      <c r="I139"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139" s="14" t="inlineStr">
        <is>
          <t>全車両、バックルを点検し、該当する場合はバックル内の警報スイッチまたはバックルを良品と交換する。</t>
        </is>
      </c>
    </row>
    <row r="140">
      <c r="A140" s="13" t="inlineStr">
        <is>
          <t>プリウスα</t>
        </is>
      </c>
      <c r="B140" s="13" t="inlineStr">
        <is>
          <t>2020/06/24</t>
        </is>
      </c>
      <c r="C140" s="13" t="inlineStr">
        <is>
          <t>1147620</t>
        </is>
      </c>
      <c r="D140" s="13" t="inlineStr">
        <is>
          <t>コンピュータ</t>
        </is>
      </c>
      <c r="E140" s="15" t="n">
        <v>250284</v>
      </c>
      <c r="F140" s="14" t="inlineStr">
        <is>
          <t>DAA-ZVW41W</t>
        </is>
      </c>
      <c r="G140" s="13" t="inlineStr">
        <is>
          <t>2014年2月 4日</t>
        </is>
      </c>
      <c r="H140" s="13" t="inlineStr">
        <is>
          <t>2020年2月 5日</t>
        </is>
      </c>
      <c r="I140"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140" s="14" t="inlineStr">
        <is>
          <t>全車両、異常判定時の制御プログラムを対策仕様に修正する。 当該制御プログラム修正後に素子が損傷して警告灯が点灯した場合は、電力変換器のモジュールを無償交換する。</t>
        </is>
      </c>
    </row>
    <row r="141">
      <c r="A141" s="8" t="inlineStr">
        <is>
          <t>プリウスα</t>
        </is>
      </c>
      <c r="B141" s="8" t="inlineStr">
        <is>
          <t>2021/06/01</t>
        </is>
      </c>
      <c r="C141" s="8" t="inlineStr">
        <is>
          <t>1149660</t>
        </is>
      </c>
      <c r="D141" s="8" t="inlineStr">
        <is>
          <t>その他(電気装置)</t>
        </is>
      </c>
      <c r="E141" s="11" t="n">
        <v>24162</v>
      </c>
      <c r="F141" s="14" t="inlineStr">
        <is>
          <t>6AA-ZVW40W, 6AA-ZVW41W</t>
        </is>
      </c>
      <c r="G141" s="8" t="inlineStr">
        <is>
          <t>2020年11月27日</t>
        </is>
      </c>
      <c r="H141" s="8" t="inlineStr">
        <is>
          <t>2021年4月14日</t>
        </is>
      </c>
      <c r="I141"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41" s="14" t="inlineStr">
        <is>
          <t>全車両、電力変換モジュールを点検し、対象となるものは対策品に交換する。</t>
        </is>
      </c>
    </row>
    <row r="142">
      <c r="A142" s="13" t="inlineStr">
        <is>
          <t>ヴェルファイア</t>
        </is>
      </c>
      <c r="B142" s="13" t="inlineStr">
        <is>
          <t>2015/05/27</t>
        </is>
      </c>
      <c r="C142" s="13" t="inlineStr">
        <is>
          <t>1135770</t>
        </is>
      </c>
      <c r="D142" s="13" t="inlineStr">
        <is>
          <t>圧力制御伝達部</t>
        </is>
      </c>
      <c r="E142" s="15" t="n">
        <v>1077</v>
      </c>
      <c r="F142" s="14" t="inlineStr">
        <is>
          <t>DBA-AGH30W, DBA-AGH35W, DBA-GGH30W, DBA-GGH35W</t>
        </is>
      </c>
      <c r="G142" s="13" t="inlineStr">
        <is>
          <t>2014年11月11日</t>
        </is>
      </c>
      <c r="H142" s="13" t="inlineStr">
        <is>
          <t>2015年2月 3日</t>
        </is>
      </c>
      <c r="I142"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42" s="14" t="inlineStr">
        <is>
          <t>全車両、ＡＢＳの油圧調整装置の製造番号を確認し、該当するものは良品と交換する。</t>
        </is>
      </c>
    </row>
    <row r="143">
      <c r="A143" s="8" t="inlineStr">
        <is>
          <t>ヴェルファイア</t>
        </is>
      </c>
      <c r="B143" s="8" t="inlineStr">
        <is>
          <t>2016/10/26</t>
        </is>
      </c>
      <c r="C143" s="8" t="inlineStr">
        <is>
          <t>1139110</t>
        </is>
      </c>
      <c r="D143" s="8" t="inlineStr">
        <is>
          <t>エアバッグ</t>
        </is>
      </c>
      <c r="E143" s="11" t="n">
        <v>1159578</v>
      </c>
      <c r="F143" s="14" t="inlineStr">
        <is>
          <t>DBA-ANH20W, DBA-ANH25W, DBA-GGH20W, DBA-GGH25W</t>
        </is>
      </c>
      <c r="G143" s="8" t="inlineStr">
        <is>
          <t>2000年8月22日</t>
        </is>
      </c>
      <c r="H143" s="8" t="inlineStr">
        <is>
          <t>2011年12月28日</t>
        </is>
      </c>
      <c r="I14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44">
      <c r="A144" s="13" t="inlineStr">
        <is>
          <t>ヴェルファイア</t>
        </is>
      </c>
      <c r="B144" s="13" t="inlineStr">
        <is>
          <t>2017/03/30</t>
        </is>
      </c>
      <c r="C144" s="13" t="inlineStr">
        <is>
          <t>1140180</t>
        </is>
      </c>
      <c r="D144" s="13" t="inlineStr">
        <is>
          <t>エアバッグ</t>
        </is>
      </c>
      <c r="E144" s="15" t="n">
        <v>725999</v>
      </c>
      <c r="F144" s="14" t="inlineStr">
        <is>
          <t>DAA-ATH20W, DBA-ANH20W, DBA-ANH25W, DBA-GGH20W, DBA-GGH25W</t>
        </is>
      </c>
      <c r="G144" s="13" t="inlineStr">
        <is>
          <t>2010年1月 6日</t>
        </is>
      </c>
      <c r="H144" s="13" t="inlineStr">
        <is>
          <t>2012年12月26日</t>
        </is>
      </c>
      <c r="I14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4" s="14" t="inlineStr">
        <is>
          <t>全車両、予防的措置としてエアバッグインフレータまたはエアバッグアッセンブリを改良品に交換する。</t>
        </is>
      </c>
    </row>
    <row r="145">
      <c r="A145" s="8" t="inlineStr">
        <is>
          <t>ヴェルファイア</t>
        </is>
      </c>
      <c r="B145" s="8" t="inlineStr">
        <is>
          <t>2018/01/31</t>
        </is>
      </c>
      <c r="C145" s="8" t="inlineStr">
        <is>
          <t>1141851</t>
        </is>
      </c>
      <c r="D145" s="8" t="inlineStr">
        <is>
          <t>エアバッグ</t>
        </is>
      </c>
      <c r="E145" s="11" t="n">
        <v>91210</v>
      </c>
      <c r="F145" s="14" t="inlineStr">
        <is>
          <t>DAA-AYH30W, DBA-AGH30W, DBA-AGH35W, DBA-GGH30W, DBA-GGH35W</t>
        </is>
      </c>
      <c r="G145" s="8" t="inlineStr">
        <is>
          <t>2015年5月20日</t>
        </is>
      </c>
      <c r="H145" s="8" t="inlineStr">
        <is>
          <t>2016年1月 7日</t>
        </is>
      </c>
      <c r="I14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5" s="14" t="inlineStr">
        <is>
          <t>全車両、各センサの製造番号を点検し、該当する場合は良品と交換する。</t>
        </is>
      </c>
    </row>
    <row r="146">
      <c r="A146" s="13" t="inlineStr">
        <is>
          <t>ヴェルファイア</t>
        </is>
      </c>
      <c r="B146" s="13" t="inlineStr">
        <is>
          <t>2018/03/28</t>
        </is>
      </c>
      <c r="C146" s="13" t="inlineStr">
        <is>
          <t>1142280</t>
        </is>
      </c>
      <c r="D146" s="13" t="inlineStr">
        <is>
          <t>エアバッグ</t>
        </is>
      </c>
      <c r="E146" s="15" t="n">
        <v>249473</v>
      </c>
      <c r="F146" s="14" t="inlineStr">
        <is>
          <t>DAA-ATH20W, DBA-ANH20W, DBA-ANH25W, DBA-GGH20W, DBA-GGH25W</t>
        </is>
      </c>
      <c r="G146" s="13" t="inlineStr">
        <is>
          <t>2013年1月 7日</t>
        </is>
      </c>
      <c r="H146" s="13" t="inlineStr">
        <is>
          <t>2014年12月25日</t>
        </is>
      </c>
      <c r="I1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6" s="14" t="inlineStr">
        <is>
          <t>全車両、予防的措置としてエアバッグインフレータまたはエアバッグアッセンブリを代替品と交換する。</t>
        </is>
      </c>
    </row>
    <row r="147">
      <c r="A147" s="8" t="inlineStr">
        <is>
          <t>ヴェルファイア</t>
        </is>
      </c>
      <c r="B147" s="8" t="inlineStr">
        <is>
          <t>2018/05/23</t>
        </is>
      </c>
      <c r="C147" s="8" t="inlineStr">
        <is>
          <t>1142650</t>
        </is>
      </c>
      <c r="D147" s="8" t="inlineStr">
        <is>
          <t>駐車ブレーキ一般</t>
        </is>
      </c>
      <c r="E147" s="11" t="n">
        <v>35213</v>
      </c>
      <c r="F147" s="14" t="inlineStr">
        <is>
          <t>DBA-AGH30W, DBA-AGH35W, DBA-GGH30W, DBA-GGH35W</t>
        </is>
      </c>
      <c r="G147" s="8" t="inlineStr">
        <is>
          <t>2014年12月 8日</t>
        </is>
      </c>
      <c r="H147" s="8" t="inlineStr">
        <is>
          <t>2018年2月26日</t>
        </is>
      </c>
      <c r="I14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147" s="14" t="inlineStr">
        <is>
          <t>全車両、制御プログラムを修正する。</t>
        </is>
      </c>
    </row>
    <row r="148">
      <c r="A148" s="13" t="inlineStr">
        <is>
          <t>ヴェルファイア</t>
        </is>
      </c>
      <c r="B148" s="13" t="inlineStr">
        <is>
          <t>2019/09/19</t>
        </is>
      </c>
      <c r="C148" s="13" t="inlineStr">
        <is>
          <t>1145671</t>
        </is>
      </c>
      <c r="D148" s="13" t="inlineStr">
        <is>
          <t>燃料ポンプ</t>
        </is>
      </c>
      <c r="E148" s="15" t="n">
        <v>390633</v>
      </c>
      <c r="F148" s="14" t="inlineStr">
        <is>
          <t>DAA-AYH30W</t>
        </is>
      </c>
      <c r="G148" s="13" t="inlineStr">
        <is>
          <t>2013年12月20日</t>
        </is>
      </c>
      <c r="H148" s="13" t="inlineStr">
        <is>
          <t>2018年7月18日</t>
        </is>
      </c>
      <c r="I14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48" s="14" t="inlineStr">
        <is>
          <t>全車両、燃料ポンプを対策品に交換する。</t>
        </is>
      </c>
    </row>
    <row r="149">
      <c r="A149" s="8" t="inlineStr">
        <is>
          <t>ヴェルファイア</t>
        </is>
      </c>
      <c r="B149" s="8" t="inlineStr">
        <is>
          <t>2019/10/30</t>
        </is>
      </c>
      <c r="C149" s="8" t="inlineStr">
        <is>
          <t>1145960</t>
        </is>
      </c>
      <c r="D149" s="8" t="inlineStr">
        <is>
          <t>コンピュータ(エンジ</t>
        </is>
      </c>
      <c r="E149" s="11" t="n">
        <v>23833</v>
      </c>
      <c r="F149" s="14" t="inlineStr">
        <is>
          <t>DBA-AGH30W, DBA-AGH35W, DBA-GGH30W, DBA-GGH35W</t>
        </is>
      </c>
      <c r="G149" s="8" t="inlineStr">
        <is>
          <t>2017年12月13日</t>
        </is>
      </c>
      <c r="H149" s="8" t="inlineStr">
        <is>
          <t>2019年4月25日</t>
        </is>
      </c>
      <c r="I149"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149" s="14" t="inlineStr">
        <is>
          <t>全車両、エンジン制御用コンピュータのプログラムを対策仕様に修正する。また、バッテリ液の状態を点検し、異常がある場合はバッテリを新品に交換する。</t>
        </is>
      </c>
    </row>
    <row r="150">
      <c r="A150" s="13" t="inlineStr">
        <is>
          <t>ヴェルファイア</t>
        </is>
      </c>
      <c r="B150" s="13" t="inlineStr">
        <is>
          <t>2019/12/11</t>
        </is>
      </c>
      <c r="C150" s="13" t="inlineStr">
        <is>
          <t>1146250</t>
        </is>
      </c>
      <c r="D150" s="13" t="inlineStr">
        <is>
          <t>シートベルト</t>
        </is>
      </c>
      <c r="E150" s="15" t="n">
        <v>7790</v>
      </c>
      <c r="F150" s="14" t="inlineStr">
        <is>
          <t>DAA-AYH30W, DBA-AGH30W, DBA-AGH35W, DBA-GGH30W, DBA-GGH35W</t>
        </is>
      </c>
      <c r="G150" s="13" t="inlineStr">
        <is>
          <t>2019年8月19日</t>
        </is>
      </c>
      <c r="H150" s="13" t="inlineStr">
        <is>
          <t>2019年9月12日</t>
        </is>
      </c>
      <c r="I15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50" s="14" t="inlineStr">
        <is>
          <t>全車両、対象となる後部座席ベルトの製造番号を点検し、該当する場合は座席ベルトを良品と交換する。</t>
        </is>
      </c>
    </row>
    <row r="151">
      <c r="A151" s="8" t="inlineStr">
        <is>
          <t>ヴェルファイア</t>
        </is>
      </c>
      <c r="B151" s="8" t="inlineStr">
        <is>
          <t>2020/03/04</t>
        </is>
      </c>
      <c r="C151" s="8" t="inlineStr">
        <is>
          <t>1146830</t>
        </is>
      </c>
      <c r="D151" s="8" t="inlineStr">
        <is>
          <t>燃料ポンプ</t>
        </is>
      </c>
      <c r="E151" s="11" t="n">
        <v>112934</v>
      </c>
      <c r="F151" s="14" t="inlineStr">
        <is>
          <t>DBA-GGH30W, DBA-GGH35W</t>
        </is>
      </c>
      <c r="G151" s="8" t="inlineStr">
        <is>
          <t>2013年9月 2日</t>
        </is>
      </c>
      <c r="H151" s="8" t="inlineStr">
        <is>
          <t>2019年1月14日</t>
        </is>
      </c>
      <c r="I15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1" s="14" t="inlineStr">
        <is>
          <t>全車両、低圧燃料ポンプを対策品と交換する。</t>
        </is>
      </c>
    </row>
    <row r="152">
      <c r="A152" s="13" t="inlineStr">
        <is>
          <t>ヴェルファイア</t>
        </is>
      </c>
      <c r="B152" s="13" t="inlineStr">
        <is>
          <t>2020/10/28</t>
        </is>
      </c>
      <c r="C152" s="13" t="inlineStr">
        <is>
          <t>1148300</t>
        </is>
      </c>
      <c r="D152" s="13" t="inlineStr">
        <is>
          <t>燃料ポンプ</t>
        </is>
      </c>
      <c r="E152" s="15" t="n">
        <v>210363</v>
      </c>
      <c r="F152" s="14" t="inlineStr">
        <is>
          <t>DAA-AYH30W, DBA-AGH30W, DBA-AGH35W, DBA-GGH30W, DBA-GGH35W</t>
        </is>
      </c>
      <c r="G152" s="13" t="inlineStr">
        <is>
          <t>2017年7月 5日</t>
        </is>
      </c>
      <c r="H152" s="13" t="inlineStr">
        <is>
          <t>2019年12月 6日</t>
        </is>
      </c>
      <c r="I15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2" s="14" t="inlineStr">
        <is>
          <t>全車両、低圧燃料ポンプを対策品と交換する。</t>
        </is>
      </c>
    </row>
    <row r="153">
      <c r="A153" s="8" t="inlineStr">
        <is>
          <t>ヴェルファイア</t>
        </is>
      </c>
      <c r="B153" s="8" t="inlineStr">
        <is>
          <t>2021/07/07</t>
        </is>
      </c>
      <c r="C153" s="8" t="inlineStr">
        <is>
          <t>1149870</t>
        </is>
      </c>
      <c r="D153" s="8" t="inlineStr">
        <is>
          <t>コンピュータ(エンジ</t>
        </is>
      </c>
      <c r="E153" s="11" t="n">
        <v>50983</v>
      </c>
      <c r="F153" s="14" t="inlineStr">
        <is>
          <t>3BA-AGH30W, 3BA-AGH35W, 3BA-GGH30W, 3BA-GGH35W, DBA-AGH30W, DBA-AGH35W, DBA-GGH30W, DBA-GGH35W</t>
        </is>
      </c>
      <c r="G153" s="8" t="inlineStr">
        <is>
          <t>2017年12月13日</t>
        </is>
      </c>
      <c r="H153" s="8" t="inlineStr">
        <is>
          <t>2021年6月11日</t>
        </is>
      </c>
      <c r="I153"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153"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154">
      <c r="A154" s="13" t="inlineStr">
        <is>
          <t>ヴェルファイア</t>
        </is>
      </c>
      <c r="B154" s="13" t="inlineStr">
        <is>
          <t>2021/09/22</t>
        </is>
      </c>
      <c r="C154" s="13" t="inlineStr">
        <is>
          <t>1150181</t>
        </is>
      </c>
      <c r="D154" s="13" t="inlineStr">
        <is>
          <t>その他(その他)</t>
        </is>
      </c>
      <c r="E154" s="15" t="n">
        <v>111842</v>
      </c>
      <c r="F154" s="14" t="inlineStr">
        <is>
          <t>3BA-AGH30W, 3BA-AGH35W, 3BA-GGH30W, 3BA-GGH35W, 6AA-AYH30W</t>
        </is>
      </c>
      <c r="G154" s="13" t="inlineStr">
        <is>
          <t>2021年4月26日</t>
        </is>
      </c>
      <c r="H154" s="13" t="inlineStr">
        <is>
          <t>2021年8月 3日</t>
        </is>
      </c>
      <c r="I154"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54" s="14" t="inlineStr">
        <is>
          <t>（１）全車両、車載通信モジュールの制御プログラムを対策仕様に修正する。</t>
        </is>
      </c>
    </row>
    <row r="155">
      <c r="A155" s="8" t="inlineStr">
        <is>
          <t>ヴェルファイア</t>
        </is>
      </c>
      <c r="B155" s="8" t="inlineStr">
        <is>
          <t>2021/09/22</t>
        </is>
      </c>
      <c r="C155" s="8" t="inlineStr">
        <is>
          <t>1150182</t>
        </is>
      </c>
      <c r="D155" s="8" t="inlineStr">
        <is>
          <t>コンピュータ</t>
        </is>
      </c>
      <c r="E155" s="11" t="n">
        <v>111842</v>
      </c>
      <c r="F155" s="14" t="inlineStr">
        <is>
          <t>3BA-AGH30W, 3BA-AGH35W, 3BA-GGH30W, 3BA-GGH35W, 6AA-AYH30W</t>
        </is>
      </c>
      <c r="G155" s="8" t="inlineStr">
        <is>
          <t>2021年4月26日</t>
        </is>
      </c>
      <c r="H155" s="8" t="inlineStr">
        <is>
          <t>2021年8月 3日</t>
        </is>
      </c>
      <c r="I155"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55" s="14" t="inlineStr">
        <is>
          <t>（２）全車両、ハイブリッドビークルコントロールコンピュータの制御プログラムを対策仕様に修正する。</t>
        </is>
      </c>
    </row>
    <row r="156">
      <c r="A156" s="13" t="inlineStr">
        <is>
          <t>ヴェルファイア</t>
        </is>
      </c>
      <c r="B156" s="13" t="inlineStr">
        <is>
          <t>2021/09/22</t>
        </is>
      </c>
      <c r="C156" s="13" t="inlineStr">
        <is>
          <t>1150183</t>
        </is>
      </c>
      <c r="D156" s="13" t="inlineStr">
        <is>
          <t>排気管</t>
        </is>
      </c>
      <c r="E156" s="15" t="n">
        <v>111842</v>
      </c>
      <c r="F156" s="14" t="inlineStr">
        <is>
          <t>3BA-AGH30W, 3BA-AGH35W, 3BA-GGH30W, 3BA-GGH35W, 6AA-AYH30W</t>
        </is>
      </c>
      <c r="G156" s="13" t="inlineStr">
        <is>
          <t>2021年4月26日</t>
        </is>
      </c>
      <c r="H156" s="13" t="inlineStr">
        <is>
          <t>2021年8月 3日</t>
        </is>
      </c>
      <c r="I156"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56" s="14" t="inlineStr">
        <is>
          <t>（３）全車両、エキゾーストマニホールドを良品と交換する。</t>
        </is>
      </c>
    </row>
    <row r="157">
      <c r="A157" s="8" t="inlineStr">
        <is>
          <t>ヴェルファイア</t>
        </is>
      </c>
      <c r="B157" s="8" t="inlineStr">
        <is>
          <t>2023/11/02</t>
        </is>
      </c>
      <c r="C157" s="8" t="inlineStr">
        <is>
          <t>1154040</t>
        </is>
      </c>
      <c r="D157" s="8" t="inlineStr">
        <is>
          <t>燃料ポンプ</t>
        </is>
      </c>
      <c r="E157" s="11" t="n">
        <v>328108</v>
      </c>
      <c r="F157" s="14" t="inlineStr">
        <is>
          <t>DAA-AYH30W, DBA-AGH30W, DBA-AGH35W</t>
        </is>
      </c>
      <c r="G157" s="8" t="inlineStr">
        <is>
          <t>2017年7月 3日</t>
        </is>
      </c>
      <c r="H157" s="8" t="inlineStr">
        <is>
          <t>2020年1月14日</t>
        </is>
      </c>
      <c r="I15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7" s="14" t="inlineStr">
        <is>
          <t>全車両、低圧燃料ポンプを対策品と交換する。</t>
        </is>
      </c>
    </row>
    <row r="158">
      <c r="A158" s="13" t="inlineStr">
        <is>
          <t>ヴェルファイア</t>
        </is>
      </c>
      <c r="B158" s="13" t="inlineStr">
        <is>
          <t>2025/01/22</t>
        </is>
      </c>
      <c r="C158" s="13" t="inlineStr">
        <is>
          <t>1156010</t>
        </is>
      </c>
      <c r="D158" s="13" t="inlineStr">
        <is>
          <t>燃料ポンプ</t>
        </is>
      </c>
      <c r="E158" s="15" t="n">
        <v>54577</v>
      </c>
      <c r="F158" s="14" t="inlineStr">
        <is>
          <t>DBA-AGH30W, DBA-AGH35W</t>
        </is>
      </c>
      <c r="G158" s="13" t="inlineStr">
        <is>
          <t>2017年7月 6日</t>
        </is>
      </c>
      <c r="H158" s="13" t="inlineStr">
        <is>
          <t>2019年9月10日</t>
        </is>
      </c>
      <c r="I1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8" s="14" t="inlineStr">
        <is>
          <t>全車両、低圧燃料ポンプを対策品と交換する。</t>
        </is>
      </c>
    </row>
    <row r="159">
      <c r="A159" s="8" t="inlineStr">
        <is>
          <t>ヴェルファイア</t>
        </is>
      </c>
      <c r="B159" s="8" t="inlineStr">
        <is>
          <t>2025/01/22</t>
        </is>
      </c>
      <c r="C159" s="8" t="inlineStr">
        <is>
          <t>1156021</t>
        </is>
      </c>
      <c r="D159" s="8" t="inlineStr">
        <is>
          <t>その他(エンジン)</t>
        </is>
      </c>
      <c r="E159" s="11" t="n">
        <v>434520</v>
      </c>
      <c r="F159" s="14" t="inlineStr">
        <is>
          <t>3BA-AGH30W, 3BA-AGH35W, 3BA-GGH30W, 3BA-GGH35W, 6AA-AYH30W, DBA-AGH30W, DBA-AGH35W, DBA-GGH30W, DBA-GGH35W</t>
        </is>
      </c>
      <c r="G159" s="8" t="inlineStr">
        <is>
          <t>2014年12月 6日</t>
        </is>
      </c>
      <c r="H159" s="8" t="inlineStr">
        <is>
          <t>2023年4月24日</t>
        </is>
      </c>
      <c r="I159"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59"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0">
      <c r="A160" s="13" t="inlineStr">
        <is>
          <t>ヴェルファイア</t>
        </is>
      </c>
      <c r="B160" s="13" t="inlineStr">
        <is>
          <t>2025/01/22</t>
        </is>
      </c>
      <c r="C160" s="13" t="inlineStr">
        <is>
          <t>1156022</t>
        </is>
      </c>
      <c r="D160" s="13" t="inlineStr">
        <is>
          <t>車両全般</t>
        </is>
      </c>
      <c r="E160" s="15" t="n">
        <v>434520</v>
      </c>
      <c r="F160" s="14" t="inlineStr">
        <is>
          <t>3BA-AGH30W, 3BA-AGH35W, 3BA-GGH30W, 3BA-GGH35W, 6AA-AYH30W, DBA-AGH30W, DBA-AGH35W, DBA-GGH30W, DBA-GGH35W</t>
        </is>
      </c>
      <c r="G160" s="13" t="inlineStr">
        <is>
          <t>2014年12月 6日</t>
        </is>
      </c>
      <c r="H160" s="13" t="inlineStr">
        <is>
          <t>2023年4月24日</t>
        </is>
      </c>
      <c r="I160"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60"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1">
      <c r="A161" s="8" t="inlineStr">
        <is>
          <t>ヴェルファイア</t>
        </is>
      </c>
      <c r="B161" s="8" t="inlineStr">
        <is>
          <t>2025/07/16</t>
        </is>
      </c>
      <c r="C161" s="8" t="inlineStr">
        <is>
          <t>1156940</t>
        </is>
      </c>
      <c r="D161" s="8" t="inlineStr">
        <is>
          <t>その他(電気装置)</t>
        </is>
      </c>
      <c r="E161" s="11" t="n">
        <v>646376</v>
      </c>
      <c r="F161" s="14" t="inlineStr">
        <is>
          <t>5BA-TAHA40W, 5BA-TAHA45W, 6AA-AAHH40W, 6AA-AAHH45W</t>
        </is>
      </c>
      <c r="G161" s="8" t="inlineStr">
        <is>
          <t>2022年6月15日</t>
        </is>
      </c>
      <c r="H161" s="8" t="inlineStr">
        <is>
          <t>2025年6月19日</t>
        </is>
      </c>
      <c r="I161"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161"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2">
      <c r="A162" s="13" t="inlineStr">
        <is>
          <t>ヴェルファイア</t>
        </is>
      </c>
      <c r="B162" s="13" t="inlineStr">
        <is>
          <t>2025/10/30</t>
        </is>
      </c>
      <c r="C162" s="13" t="inlineStr">
        <is>
          <t>1157310</t>
        </is>
      </c>
      <c r="D162" s="13" t="inlineStr">
        <is>
          <t>後写鏡</t>
        </is>
      </c>
      <c r="E162" s="15" t="n">
        <v>1285002</v>
      </c>
      <c r="F162" s="14" t="inlineStr">
        <is>
          <t>5BA-TAHA40W, 5BA-TAHA45W, 6AA-AAHH40W, 6AA-AAHH45W</t>
        </is>
      </c>
      <c r="G162" s="13" t="inlineStr">
        <is>
          <t>2021年9月 1日</t>
        </is>
      </c>
      <c r="H162" s="13" t="inlineStr">
        <is>
          <t>2025年9月25日</t>
        </is>
      </c>
      <c r="I162"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2" s="14" t="inlineStr">
        <is>
          <t>全車両、パノラミックビューモニター用制御コンピュータのプログラムを対策仕様に修正する。</t>
        </is>
      </c>
    </row>
    <row r="163">
      <c r="A163" s="8" t="inlineStr">
        <is>
          <t>ヴォクシー</t>
        </is>
      </c>
      <c r="B163" s="8" t="inlineStr">
        <is>
          <t>2008/04/09</t>
        </is>
      </c>
      <c r="C163" s="8" t="inlineStr">
        <is>
          <t>1120790</t>
        </is>
      </c>
      <c r="D163" s="8" t="inlineStr">
        <is>
          <t>コンピュータ(エンジ</t>
        </is>
      </c>
      <c r="E163" s="11" t="n">
        <v>2623</v>
      </c>
      <c r="F163" s="14" t="inlineStr">
        <is>
          <t>DBA-ZRR70G, DBA-ZRR75G</t>
        </is>
      </c>
      <c r="G163" s="8" t="inlineStr">
        <is>
          <t>2007年6月 7日</t>
        </is>
      </c>
      <c r="H163" s="8" t="inlineStr">
        <is>
          <t>2007年11月23日</t>
        </is>
      </c>
      <c r="I163"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163" s="14" t="inlineStr">
        <is>
          <t>全車両、エンジン制御コンピュータのプログラムを修正する。</t>
        </is>
      </c>
    </row>
    <row r="164">
      <c r="A164" s="13" t="inlineStr">
        <is>
          <t>ヴォクシー</t>
        </is>
      </c>
      <c r="B164" s="13" t="inlineStr">
        <is>
          <t>2010/10/21</t>
        </is>
      </c>
      <c r="C164" s="13" t="inlineStr">
        <is>
          <t>1126260</t>
        </is>
      </c>
      <c r="D164" s="13" t="inlineStr">
        <is>
          <t>その他(その他)</t>
        </is>
      </c>
      <c r="E164" s="15" t="n">
        <v>1869</v>
      </c>
      <c r="F164" s="14" t="inlineStr">
        <is>
          <t>DBA-ZRR70G, DBA-ZRR70W, DBA-ZRR75G, DBA-ZRR75W</t>
        </is>
      </c>
      <c r="G164" s="13" t="inlineStr">
        <is>
          <t>2010年4月12日</t>
        </is>
      </c>
      <c r="H164" s="13" t="inlineStr">
        <is>
          <t>2010年9月17日</t>
        </is>
      </c>
      <c r="I164" s="14" t="inlineStr">
        <is>
          <t>スピードメータなど計器盤照明の制御プログラムが不適切なため、スイッチを操作して車幅灯等を点灯させた際に計器盤照明が連動して点灯しないことがある。</t>
        </is>
      </c>
      <c r="J164" s="14" t="inlineStr">
        <is>
          <t>全車両、照明制御プログラムを修正した計器盤に交換する。</t>
        </is>
      </c>
    </row>
    <row r="165">
      <c r="A165" s="8" t="inlineStr">
        <is>
          <t>ヴォクシー</t>
        </is>
      </c>
      <c r="B165" s="8" t="inlineStr">
        <is>
          <t>2011/01/26</t>
        </is>
      </c>
      <c r="C165" s="8" t="inlineStr">
        <is>
          <t>1126941</t>
        </is>
      </c>
      <c r="D165" s="8" t="inlineStr">
        <is>
          <t>燃料ホース/パイプ</t>
        </is>
      </c>
      <c r="E165" s="11" t="n">
        <v>1202800</v>
      </c>
      <c r="F165" s="14" t="inlineStr">
        <is>
          <t>CBA-AZR60G, CBA-AZR60G改, CBA-AZR65G, DBA-AZR60G, DBA-AZR60G改, DBA-AZR65G, TA-AZR60G, TA-AZR60G改, TA-AZR65G</t>
        </is>
      </c>
      <c r="G165" s="8" t="inlineStr">
        <is>
          <t>2000年5月10日</t>
        </is>
      </c>
      <c r="H165" s="8" t="inlineStr">
        <is>
          <t>2008年10月24日</t>
        </is>
      </c>
      <c r="I16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65" s="14" t="inlineStr">
        <is>
          <t>① 全車両、燃料パイプを対策品に交換する。</t>
        </is>
      </c>
    </row>
    <row r="166">
      <c r="A166" s="13" t="inlineStr">
        <is>
          <t>ヴォクシー</t>
        </is>
      </c>
      <c r="B166" s="13" t="inlineStr">
        <is>
          <t>2011/01/26</t>
        </is>
      </c>
      <c r="C166" s="13" t="inlineStr">
        <is>
          <t>1126942</t>
        </is>
      </c>
      <c r="D166" s="13" t="inlineStr">
        <is>
          <t>燃料ポンプ</t>
        </is>
      </c>
      <c r="E166" s="15" t="n">
        <v>358672</v>
      </c>
      <c r="F166" s="14" t="inlineStr">
        <is>
          <t>TA-AZR60G, TA-AZR60G改, TA-AZR65G</t>
        </is>
      </c>
      <c r="G166" s="13" t="inlineStr">
        <is>
          <t>2000年5月10日</t>
        </is>
      </c>
      <c r="H166" s="13" t="inlineStr">
        <is>
          <t>2008年10月24日</t>
        </is>
      </c>
      <c r="I166"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66" s="14" t="inlineStr">
        <is>
          <t>② 全車両、チェックバルブとガスケットを対策品に交換する。</t>
        </is>
      </c>
    </row>
    <row r="167">
      <c r="A167" s="8" t="inlineStr">
        <is>
          <t>ヴォクシー</t>
        </is>
      </c>
      <c r="B167" s="8" t="inlineStr">
        <is>
          <t>2013/04/11</t>
        </is>
      </c>
      <c r="C167" s="8" t="inlineStr">
        <is>
          <t>1131400</t>
        </is>
      </c>
      <c r="D167" s="8" t="inlineStr">
        <is>
          <t>エアバッグ</t>
        </is>
      </c>
      <c r="E167" s="11" t="n">
        <v>304862</v>
      </c>
      <c r="F167" s="14" t="inlineStr">
        <is>
          <t>TA-AZR60G, TA-AZR65G</t>
        </is>
      </c>
      <c r="G167" s="8" t="inlineStr">
        <is>
          <t>2000年11月22日</t>
        </is>
      </c>
      <c r="H167" s="8" t="inlineStr">
        <is>
          <t>2003年6月 9日</t>
        </is>
      </c>
      <c r="I167"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67" s="14" t="inlineStr">
        <is>
          <t>全車両、当該インフレータを良品に交換する。</t>
        </is>
      </c>
    </row>
    <row r="168">
      <c r="A168" s="13" t="inlineStr">
        <is>
          <t>ヴォクシー</t>
        </is>
      </c>
      <c r="B168" s="13" t="inlineStr">
        <is>
          <t>2014/06/11</t>
        </is>
      </c>
      <c r="C168" s="13" t="inlineStr">
        <is>
          <t>1133690</t>
        </is>
      </c>
      <c r="D168" s="13" t="inlineStr">
        <is>
          <t>エアバッグ</t>
        </is>
      </c>
      <c r="E168" s="15" t="n">
        <v>648081</v>
      </c>
      <c r="F168" s="14" t="inlineStr">
        <is>
          <t>TA-AZR60G, TA-AZR65G</t>
        </is>
      </c>
      <c r="G168" s="13" t="inlineStr">
        <is>
          <t>2000年12月 4日</t>
        </is>
      </c>
      <c r="H168" s="13" t="inlineStr">
        <is>
          <t>2004年4月19日</t>
        </is>
      </c>
      <c r="I168"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68"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9">
      <c r="A169" s="8" t="inlineStr">
        <is>
          <t>ヴォクシー</t>
        </is>
      </c>
      <c r="B169" s="8" t="inlineStr">
        <is>
          <t>2014/10/15</t>
        </is>
      </c>
      <c r="C169" s="8" t="inlineStr">
        <is>
          <t>1134482</t>
        </is>
      </c>
      <c r="D169" s="8" t="inlineStr">
        <is>
          <t>圧力制御伝達部</t>
        </is>
      </c>
      <c r="E169" s="11" t="n">
        <v>704295</v>
      </c>
      <c r="F169" s="14" t="inlineStr">
        <is>
          <t>DBA-ZRR70G, DBA-ZRR70W, DBA-ZRR75G, DBA-ZRR75W</t>
        </is>
      </c>
      <c r="G169" s="8" t="inlineStr">
        <is>
          <t>2006年2月 6日</t>
        </is>
      </c>
      <c r="H169" s="8" t="inlineStr">
        <is>
          <t>2012年4月 4日</t>
        </is>
      </c>
      <c r="I169"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69" s="14" t="inlineStr">
        <is>
          <t>全車両、ゴム製シールを対策品に交換する。なお、ブレーキ液漏れがあるものは、ブレーキブースタを新品と交換する。</t>
        </is>
      </c>
    </row>
    <row r="170">
      <c r="A170" s="13" t="inlineStr">
        <is>
          <t>ヴォクシー</t>
        </is>
      </c>
      <c r="B170" s="13" t="inlineStr">
        <is>
          <t>2014/12/04</t>
        </is>
      </c>
      <c r="C170" s="13" t="inlineStr">
        <is>
          <t>1134830</t>
        </is>
      </c>
      <c r="D170" s="13" t="inlineStr">
        <is>
          <t>エアバッグ</t>
        </is>
      </c>
      <c r="E170" s="15" t="n">
        <v>185093</v>
      </c>
      <c r="F170" s="14" t="inlineStr">
        <is>
          <t>TA-AZR60G, TA-AZR65G</t>
        </is>
      </c>
      <c r="G170" s="13" t="inlineStr">
        <is>
          <t>2002年9月24日</t>
        </is>
      </c>
      <c r="H170" s="13" t="inlineStr">
        <is>
          <t>2003年12月25日</t>
        </is>
      </c>
      <c r="I170"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70"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1">
      <c r="A171" s="8" t="inlineStr">
        <is>
          <t>ヴォクシー</t>
        </is>
      </c>
      <c r="B171" s="8" t="inlineStr">
        <is>
          <t>2015/05/13</t>
        </is>
      </c>
      <c r="C171" s="8" t="inlineStr">
        <is>
          <t>1135630</t>
        </is>
      </c>
      <c r="D171" s="8" t="inlineStr">
        <is>
          <t>エアバッグ</t>
        </is>
      </c>
      <c r="E171" s="11" t="n">
        <v>1300983</v>
      </c>
      <c r="F171" s="14" t="inlineStr">
        <is>
          <t>CBA-AZR60G, CBA-AZR65G, DBA-AZR60G, DBA-AZR65G, TA-AZR60G, TA-AZR65G</t>
        </is>
      </c>
      <c r="G171" s="8" t="inlineStr">
        <is>
          <t>2004年1月 6日</t>
        </is>
      </c>
      <c r="H171" s="8" t="inlineStr">
        <is>
          <t>2008年3月 7日</t>
        </is>
      </c>
      <c r="I171"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1"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2">
      <c r="A172" s="13" t="inlineStr">
        <is>
          <t>ヴォクシー</t>
        </is>
      </c>
      <c r="B172" s="13" t="inlineStr">
        <is>
          <t>2015/06/25</t>
        </is>
      </c>
      <c r="C172" s="13" t="inlineStr">
        <is>
          <t>1135920</t>
        </is>
      </c>
      <c r="D172" s="13" t="inlineStr">
        <is>
          <t>エアバッグ</t>
        </is>
      </c>
      <c r="E172" s="15" t="n">
        <v>311687</v>
      </c>
      <c r="F172" s="14" t="inlineStr">
        <is>
          <t>DBA-AZR60G, DBA-AZR65G</t>
        </is>
      </c>
      <c r="G172" s="13" t="inlineStr">
        <is>
          <t>2007年4月 1日</t>
        </is>
      </c>
      <c r="H172" s="13" t="inlineStr">
        <is>
          <t>2008年12月25日</t>
        </is>
      </c>
      <c r="I172"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72"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3">
      <c r="A173" s="8" t="inlineStr">
        <is>
          <t>ヴォクシー</t>
        </is>
      </c>
      <c r="B173" s="8" t="inlineStr">
        <is>
          <t>2015/11/25</t>
        </is>
      </c>
      <c r="C173" s="8" t="inlineStr">
        <is>
          <t>1136960</t>
        </is>
      </c>
      <c r="D173" s="8" t="inlineStr">
        <is>
          <t>エアバッグ</t>
        </is>
      </c>
      <c r="E173" s="11" t="n">
        <v>1612670</v>
      </c>
      <c r="F173" s="14" t="inlineStr">
        <is>
          <t>CBA-AZR60G, CBA-AZR65G, DBA-AZR60G, DBA-AZR65G, TA-AZR60G, TA-AZR65G</t>
        </is>
      </c>
      <c r="G173" s="8" t="inlineStr">
        <is>
          <t>2004年1月 6日</t>
        </is>
      </c>
      <c r="H173" s="8" t="inlineStr">
        <is>
          <t>2008年12月25日</t>
        </is>
      </c>
      <c r="I173" s="14" t="inlineStr">
        <is>
          <t>助手席用一段展開制御式エアバッグのインフレータ（膨張装置）において、エアバッグ展開時にインフレータ容器が破損して飛び散り、出火したり乗員が負傷するおそれがある。</t>
        </is>
      </c>
      <c r="J173"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74">
      <c r="A174" s="13" t="inlineStr">
        <is>
          <t>ヴォクシー</t>
        </is>
      </c>
      <c r="B174" s="13" t="inlineStr">
        <is>
          <t>2016/10/26</t>
        </is>
      </c>
      <c r="C174" s="13" t="inlineStr">
        <is>
          <t>1139110</t>
        </is>
      </c>
      <c r="D174" s="13" t="inlineStr">
        <is>
          <t>エアバッグ</t>
        </is>
      </c>
      <c r="E174" s="15" t="n">
        <v>1159578</v>
      </c>
      <c r="F174" s="14" t="inlineStr">
        <is>
          <t>DBA-ZRR70G, DBA-ZRR70W, DBA-ZRR75G, DBA-ZRR75W</t>
        </is>
      </c>
      <c r="G174" s="13" t="inlineStr">
        <is>
          <t>2000年8月22日</t>
        </is>
      </c>
      <c r="H174" s="13" t="inlineStr">
        <is>
          <t>2011年12月28日</t>
        </is>
      </c>
      <c r="I17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4"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75">
      <c r="A175" s="8" t="inlineStr">
        <is>
          <t>ヴォクシー</t>
        </is>
      </c>
      <c r="B175" s="8" t="inlineStr">
        <is>
          <t>2017/03/30</t>
        </is>
      </c>
      <c r="C175" s="8" t="inlineStr">
        <is>
          <t>1140180</t>
        </is>
      </c>
      <c r="D175" s="8" t="inlineStr">
        <is>
          <t>エアバッグ</t>
        </is>
      </c>
      <c r="E175" s="11" t="n">
        <v>725999</v>
      </c>
      <c r="F175" s="14" t="inlineStr">
        <is>
          <t>DBA-ZRR70G, DBA-ZRR70W, DBA-ZRR75G, DBA-ZRR75W</t>
        </is>
      </c>
      <c r="G175" s="8" t="inlineStr">
        <is>
          <t>2010年1月 6日</t>
        </is>
      </c>
      <c r="H175" s="8" t="inlineStr">
        <is>
          <t>2012年12月26日</t>
        </is>
      </c>
      <c r="I17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5" s="14" t="inlineStr">
        <is>
          <t>全車両、予防的措置としてエアバッグインフレータまたはエアバッグアッセンブリを改良品に交換する。</t>
        </is>
      </c>
    </row>
    <row r="176">
      <c r="A176" s="13" t="inlineStr">
        <is>
          <t>ヴォクシー</t>
        </is>
      </c>
      <c r="B176" s="13" t="inlineStr">
        <is>
          <t>2018/01/17</t>
        </is>
      </c>
      <c r="C176" s="13" t="inlineStr">
        <is>
          <t>1141740</t>
        </is>
      </c>
      <c r="D176" s="13" t="inlineStr">
        <is>
          <t>エアバッグ</t>
        </is>
      </c>
      <c r="E176" s="15" t="n">
        <v>452</v>
      </c>
      <c r="F176" s="14" t="inlineStr">
        <is>
          <t>DBA-ZRR70G, DBA-ZRR70W, DBA-ZRR75G, DBA-ZRR75W</t>
        </is>
      </c>
      <c r="G176" s="13" t="inlineStr">
        <is>
          <t>2005年9月22日</t>
        </is>
      </c>
      <c r="H176" s="13" t="inlineStr">
        <is>
          <t>2011年12月12日</t>
        </is>
      </c>
      <c r="I176"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76" s="14" t="inlineStr">
        <is>
          <t>全車両、助手席エアバッグを良品と交換する。</t>
        </is>
      </c>
    </row>
    <row r="177">
      <c r="A177" s="8" t="inlineStr">
        <is>
          <t>ヴォクシー</t>
        </is>
      </c>
      <c r="B177" s="8" t="inlineStr">
        <is>
          <t>2018/01/31</t>
        </is>
      </c>
      <c r="C177" s="8" t="inlineStr">
        <is>
          <t>1141851</t>
        </is>
      </c>
      <c r="D177" s="8" t="inlineStr">
        <is>
          <t>エアバッグ</t>
        </is>
      </c>
      <c r="E177" s="11" t="n">
        <v>91210</v>
      </c>
      <c r="F177" s="14" t="inlineStr">
        <is>
          <t>DAA-ZWR80G, DBA-ZRR80G, DBA-ZRR80W, DBA-ZRR85G, DBA-ZRR85W</t>
        </is>
      </c>
      <c r="G177" s="8" t="inlineStr">
        <is>
          <t>2015年5月20日</t>
        </is>
      </c>
      <c r="H177" s="8" t="inlineStr">
        <is>
          <t>2016年1月 7日</t>
        </is>
      </c>
      <c r="I17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77" s="14" t="inlineStr">
        <is>
          <t>全車両、各センサの製造番号を点検し、該当する場合は良品と交換する。</t>
        </is>
      </c>
    </row>
    <row r="178">
      <c r="A178" s="13" t="inlineStr">
        <is>
          <t>ヴォクシー</t>
        </is>
      </c>
      <c r="B178" s="13" t="inlineStr">
        <is>
          <t>2018/03/28</t>
        </is>
      </c>
      <c r="C178" s="13" t="inlineStr">
        <is>
          <t>1142280</t>
        </is>
      </c>
      <c r="D178" s="13" t="inlineStr">
        <is>
          <t>エアバッグ</t>
        </is>
      </c>
      <c r="E178" s="15" t="n">
        <v>249473</v>
      </c>
      <c r="F178" s="14" t="inlineStr">
        <is>
          <t>DBA-ZRR70G, DBA-ZRR70W, DBA-ZRR75G, DBA-ZRR75W</t>
        </is>
      </c>
      <c r="G178" s="13" t="inlineStr">
        <is>
          <t>2013年1月 7日</t>
        </is>
      </c>
      <c r="H178" s="13" t="inlineStr">
        <is>
          <t>2014年12月25日</t>
        </is>
      </c>
      <c r="I1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8" s="14" t="inlineStr">
        <is>
          <t>全車両、予防的措置としてエアバッグインフレータまたはエアバッグアッセンブリを代替品と交換する。</t>
        </is>
      </c>
    </row>
    <row r="179">
      <c r="A179" s="8" t="inlineStr">
        <is>
          <t>ヴォクシー</t>
        </is>
      </c>
      <c r="B179" s="8" t="inlineStr">
        <is>
          <t>2018/11/01</t>
        </is>
      </c>
      <c r="C179" s="8" t="inlineStr">
        <is>
          <t>1143640</t>
        </is>
      </c>
      <c r="D179" s="8" t="inlineStr">
        <is>
          <t>エアーバッグ</t>
        </is>
      </c>
      <c r="E179" s="11" t="n">
        <v>298445</v>
      </c>
      <c r="F179" s="14" t="inlineStr">
        <is>
          <t>TA-AZR60G, TA-AZR65G</t>
        </is>
      </c>
      <c r="G179" s="8" t="inlineStr">
        <is>
          <t>2000年11月22日</t>
        </is>
      </c>
      <c r="H179" s="8" t="inlineStr">
        <is>
          <t>2006年6月23日</t>
        </is>
      </c>
      <c r="I17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9" s="14" t="inlineStr">
        <is>
          <t>全車両、予防的措置としてエアバッグインフレータまたはエアバッグアッセンブリを代替品と交換する。</t>
        </is>
      </c>
    </row>
    <row r="180">
      <c r="A180" s="13" t="inlineStr">
        <is>
          <t>ヴォクシー</t>
        </is>
      </c>
      <c r="B180" s="13" t="inlineStr">
        <is>
          <t>2019/09/19</t>
        </is>
      </c>
      <c r="C180" s="13" t="inlineStr">
        <is>
          <t>1145671</t>
        </is>
      </c>
      <c r="D180" s="13" t="inlineStr">
        <is>
          <t>燃料ポンプ</t>
        </is>
      </c>
      <c r="E180" s="15" t="n">
        <v>390633</v>
      </c>
      <c r="F180" s="14" t="inlineStr">
        <is>
          <t>DAA-ZWR80G, DAA-ZWR80W</t>
        </is>
      </c>
      <c r="G180" s="13" t="inlineStr">
        <is>
          <t>2013年12月20日</t>
        </is>
      </c>
      <c r="H180" s="13" t="inlineStr">
        <is>
          <t>2018年7月18日</t>
        </is>
      </c>
      <c r="I18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80" s="14" t="inlineStr">
        <is>
          <t>全車両、燃料ポンプを対策品に交換する。</t>
        </is>
      </c>
    </row>
    <row r="181">
      <c r="A181" s="8" t="inlineStr">
        <is>
          <t>ヴォクシー</t>
        </is>
      </c>
      <c r="B181" s="8" t="inlineStr">
        <is>
          <t>2019/09/19</t>
        </is>
      </c>
      <c r="C181" s="8" t="inlineStr">
        <is>
          <t>1145672</t>
        </is>
      </c>
      <c r="D181" s="8" t="inlineStr">
        <is>
          <t>座席</t>
        </is>
      </c>
      <c r="E181" s="11" t="n">
        <v>202917</v>
      </c>
      <c r="F181" s="14" t="inlineStr">
        <is>
          <t>DAA-ZWR80G, DAA-ZWR80W, DBA-ZRR80G, DBA-ZRR80W, DBA-ZRR85G, DBA-ZRR85W</t>
        </is>
      </c>
      <c r="G181" s="8" t="inlineStr">
        <is>
          <t>2017年4月10日</t>
        </is>
      </c>
      <c r="H181" s="8" t="inlineStr">
        <is>
          <t>2018年5月11日</t>
        </is>
      </c>
      <c r="I181"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81"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82">
      <c r="A182" s="13" t="inlineStr">
        <is>
          <t>ヴォクシー</t>
        </is>
      </c>
      <c r="B182" s="13" t="inlineStr">
        <is>
          <t>2019/12/11</t>
        </is>
      </c>
      <c r="C182" s="13" t="inlineStr">
        <is>
          <t>1146250</t>
        </is>
      </c>
      <c r="D182" s="13" t="inlineStr">
        <is>
          <t>シートベルト</t>
        </is>
      </c>
      <c r="E182" s="15" t="n">
        <v>7790</v>
      </c>
      <c r="F182" s="14" t="inlineStr">
        <is>
          <t>DBA-ZRR80G, DBA-ZRR80G改, DBA-ZRR80W, DBA-ZRR80W改, DBA-ZRR85G, DBA-ZRR85G改, DBA-ZRR85W</t>
        </is>
      </c>
      <c r="G182" s="13" t="inlineStr">
        <is>
          <t>2019年8月19日</t>
        </is>
      </c>
      <c r="H182" s="13" t="inlineStr">
        <is>
          <t>2019年9月12日</t>
        </is>
      </c>
      <c r="I18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82" s="14" t="inlineStr">
        <is>
          <t>全車両、対象となる後部座席ベルトの製造番号を点検し、該当する場合は座席ベルトを良品と交換する。</t>
        </is>
      </c>
    </row>
    <row r="183">
      <c r="A183" s="8" t="inlineStr">
        <is>
          <t>ヴォクシー</t>
        </is>
      </c>
      <c r="B183" s="8" t="inlineStr">
        <is>
          <t>2020/03/04</t>
        </is>
      </c>
      <c r="C183" s="8" t="inlineStr">
        <is>
          <t>1146830</t>
        </is>
      </c>
      <c r="D183" s="8" t="inlineStr">
        <is>
          <t>燃料ポンプ</t>
        </is>
      </c>
      <c r="E183" s="11" t="n">
        <v>112934</v>
      </c>
      <c r="F183" s="14" t="inlineStr">
        <is>
          <t>DBA-ZRR80G, DBA-ZRR80G改, DBA-ZRR80W, DBA-ZRR80W改, DBA-ZRR85G, DBA-ZRR85G改, DBA-ZRR85W</t>
        </is>
      </c>
      <c r="G183" s="8" t="inlineStr">
        <is>
          <t>2013年9月 2日</t>
        </is>
      </c>
      <c r="H183" s="8" t="inlineStr">
        <is>
          <t>2019年1月14日</t>
        </is>
      </c>
      <c r="I1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3" s="14" t="inlineStr">
        <is>
          <t>全車両、低圧燃料ポンプを対策品と交換する。</t>
        </is>
      </c>
    </row>
    <row r="184">
      <c r="A184" s="13" t="inlineStr">
        <is>
          <t>ヴォクシー</t>
        </is>
      </c>
      <c r="B184" s="13" t="inlineStr">
        <is>
          <t>2020/10/28</t>
        </is>
      </c>
      <c r="C184" s="13" t="inlineStr">
        <is>
          <t>1148300</t>
        </is>
      </c>
      <c r="D184" s="13" t="inlineStr">
        <is>
          <t>燃料ポンプ</t>
        </is>
      </c>
      <c r="E184" s="15" t="n">
        <v>210363</v>
      </c>
      <c r="F184" s="14" t="inlineStr">
        <is>
          <t>DAA-ZWR80G, DAA-ZWR80W, DBA-ZRR80G, DBA-ZRR80W, DBA-ZRR85G, DBA-ZRR85W</t>
        </is>
      </c>
      <c r="G184" s="13" t="inlineStr">
        <is>
          <t>2017年7月 5日</t>
        </is>
      </c>
      <c r="H184" s="13" t="inlineStr">
        <is>
          <t>2019年12月 6日</t>
        </is>
      </c>
      <c r="I18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4" s="14" t="inlineStr">
        <is>
          <t>全車両、低圧燃料ポンプを対策品と交換する。</t>
        </is>
      </c>
    </row>
    <row r="185">
      <c r="A185" s="8" t="inlineStr">
        <is>
          <t>ヴォクシー</t>
        </is>
      </c>
      <c r="B185" s="8" t="inlineStr">
        <is>
          <t>2021/06/01</t>
        </is>
      </c>
      <c r="C185" s="8" t="inlineStr">
        <is>
          <t>1149660</t>
        </is>
      </c>
      <c r="D185" s="8" t="inlineStr">
        <is>
          <t>その他(電気装置)</t>
        </is>
      </c>
      <c r="E185" s="11" t="n">
        <v>24162</v>
      </c>
      <c r="F185" s="14" t="inlineStr">
        <is>
          <t>6AA-ZWR80G, 6AA-ZWR80W</t>
        </is>
      </c>
      <c r="G185" s="8" t="inlineStr">
        <is>
          <t>2020年11月27日</t>
        </is>
      </c>
      <c r="H185" s="8" t="inlineStr">
        <is>
          <t>2021年4月14日</t>
        </is>
      </c>
      <c r="I185"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85" s="14" t="inlineStr">
        <is>
          <t>全車両、電力変換モジュールを点検し、対象となるものは対策品に交換する。</t>
        </is>
      </c>
    </row>
    <row r="186">
      <c r="A186" s="13" t="inlineStr">
        <is>
          <t>ヴォクシー</t>
        </is>
      </c>
      <c r="B186" s="13" t="inlineStr">
        <is>
          <t>2022/04/13</t>
        </is>
      </c>
      <c r="C186" s="13" t="inlineStr">
        <is>
          <t>2106450</t>
        </is>
      </c>
      <c r="D186" s="13" t="inlineStr">
        <is>
          <t>その他(その他)</t>
        </is>
      </c>
      <c r="E186" s="15" t="n">
        <v>31534</v>
      </c>
      <c r="F186" s="14" t="inlineStr">
        <is>
          <t>6AA-ZWR90W, 6AA-ZWR92W, 6AA-ZWR95W, 6BA-MZRA90W, 6BA-MZRA92W, 6BA-MZRA95W</t>
        </is>
      </c>
      <c r="G186" s="13" t="inlineStr">
        <is>
          <t>2021年9月 1日</t>
        </is>
      </c>
      <c r="H186" s="13" t="inlineStr">
        <is>
          <t>2022年4月 8日</t>
        </is>
      </c>
      <c r="I186"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86" s="14" t="inlineStr">
        <is>
          <t>全車両、ディスプレイオーディオの制御プログラムを対策仕様に修正する。</t>
        </is>
      </c>
    </row>
    <row r="187">
      <c r="A187" s="8" t="inlineStr">
        <is>
          <t>ヴォクシー</t>
        </is>
      </c>
      <c r="B187" s="8" t="inlineStr">
        <is>
          <t>2022/06/03</t>
        </is>
      </c>
      <c r="C187" s="8" t="inlineStr">
        <is>
          <t>1151620</t>
        </is>
      </c>
      <c r="D187" s="8" t="inlineStr">
        <is>
          <t>コンピュータ(制御装</t>
        </is>
      </c>
      <c r="E187" s="11" t="n">
        <v>18784</v>
      </c>
      <c r="F187" s="14" t="inlineStr">
        <is>
          <t>6AA-ZWR90W, 6AA-ZWR92W, 6AA-ZWR95W</t>
        </is>
      </c>
      <c r="G187" s="8" t="inlineStr">
        <is>
          <t>2021年12月 1日</t>
        </is>
      </c>
      <c r="H187" s="8" t="inlineStr">
        <is>
          <t>2022年5月25日</t>
        </is>
      </c>
      <c r="I187"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87" s="14" t="inlineStr">
        <is>
          <t>全車両、ブレーキアクチュエータ用制御コンピュータのプログラムを対策仕様に修正する。また、ブレーキ関連部品を点検し、過熱による異常が認められた場合は交換する。</t>
        </is>
      </c>
    </row>
    <row r="188">
      <c r="A188" s="13" t="inlineStr">
        <is>
          <t>ヴォクシー</t>
        </is>
      </c>
      <c r="B188" s="13" t="inlineStr">
        <is>
          <t>2022/09/01</t>
        </is>
      </c>
      <c r="C188" s="13" t="inlineStr">
        <is>
          <t>1152021</t>
        </is>
      </c>
      <c r="D188" s="13" t="inlineStr">
        <is>
          <t>コンピュータ(かじ取</t>
        </is>
      </c>
      <c r="E188" s="15" t="n">
        <v>49651</v>
      </c>
      <c r="F188" s="14" t="inlineStr">
        <is>
          <t>6AA-ZWR90W, 6AA-ZWR95W, 6BA-MZRA90W, 6BA-MZRA95W</t>
        </is>
      </c>
      <c r="G188" s="13" t="inlineStr">
        <is>
          <t>2021年9月 1日</t>
        </is>
      </c>
      <c r="H188" s="13" t="inlineStr">
        <is>
          <t>2022年8月 9日</t>
        </is>
      </c>
      <c r="I188"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88" s="14" t="inlineStr">
        <is>
          <t>（１）全車両、レーントレーシングアシスト用制御コンピュータのプログラムを対策仕様に修正する。</t>
        </is>
      </c>
    </row>
    <row r="189">
      <c r="A189" s="8" t="inlineStr">
        <is>
          <t>ヴォクシー</t>
        </is>
      </c>
      <c r="B189" s="8" t="inlineStr">
        <is>
          <t>2022/09/01</t>
        </is>
      </c>
      <c r="C189" s="8" t="inlineStr">
        <is>
          <t>1152022</t>
        </is>
      </c>
      <c r="D189" s="8" t="inlineStr">
        <is>
          <t>後写鏡</t>
        </is>
      </c>
      <c r="E189" s="11" t="n">
        <v>30721</v>
      </c>
      <c r="F189" s="14" t="inlineStr">
        <is>
          <t>6AA-ZWR90W, 6AA-ZWR95W, 6BA-MZRA90W, 6BA-MZRA95W</t>
        </is>
      </c>
      <c r="G189" s="8" t="inlineStr">
        <is>
          <t>2021年9月 1日</t>
        </is>
      </c>
      <c r="H189" s="8" t="inlineStr">
        <is>
          <t>2022年8月 9日</t>
        </is>
      </c>
      <c r="I189"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89" s="14" t="inlineStr">
        <is>
          <t>（２）全車両、ディスプレイオーディオ用制御プログラムを対策仕様に修正する。</t>
        </is>
      </c>
    </row>
    <row r="190">
      <c r="A190" s="13" t="inlineStr">
        <is>
          <t>ヴォクシー</t>
        </is>
      </c>
      <c r="B190" s="13" t="inlineStr">
        <is>
          <t>2022/09/01</t>
        </is>
      </c>
      <c r="C190" s="13" t="inlineStr">
        <is>
          <t>1152023</t>
        </is>
      </c>
      <c r="D190" s="13" t="inlineStr">
        <is>
          <t>コンピュータ(制御装</t>
        </is>
      </c>
      <c r="E190" s="15" t="n">
        <v>27599</v>
      </c>
      <c r="F190" s="14" t="inlineStr">
        <is>
          <t>6BA-MZRA90W, 6BA-MZRA95W</t>
        </is>
      </c>
      <c r="G190" s="13" t="inlineStr">
        <is>
          <t>2021年9月 1日</t>
        </is>
      </c>
      <c r="H190" s="13" t="inlineStr">
        <is>
          <t>2022年8月 9日</t>
        </is>
      </c>
      <c r="I190"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90" s="14" t="inlineStr">
        <is>
          <t>（３）全車両、ブレーキアクチュエータ用制御コンピュータのプログラムを対策仕様に修正する。</t>
        </is>
      </c>
    </row>
    <row r="191">
      <c r="A191" s="8" t="inlineStr">
        <is>
          <t>ヴォクシー</t>
        </is>
      </c>
      <c r="B191" s="8" t="inlineStr">
        <is>
          <t>2023/02/16</t>
        </is>
      </c>
      <c r="C191" s="8" t="inlineStr">
        <is>
          <t>1152831</t>
        </is>
      </c>
      <c r="D191" s="8" t="inlineStr">
        <is>
          <t>コンピュータ(制御装</t>
        </is>
      </c>
      <c r="E191" s="11" t="n">
        <v>196984</v>
      </c>
      <c r="F191" s="14" t="inlineStr">
        <is>
          <t>6AA-ZWR90W, 6AA-ZWR92W, 6AA-ZWR95W, 6BA-MZRA90W, 6BA-MZRA92W, 6BA-MZRA95W</t>
        </is>
      </c>
      <c r="G191" s="8" t="inlineStr">
        <is>
          <t>2021年9月 1日</t>
        </is>
      </c>
      <c r="H191" s="8" t="inlineStr">
        <is>
          <t>2023年1月 9日</t>
        </is>
      </c>
      <c r="I191"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91" s="14" t="inlineStr">
        <is>
          <t>（１）全車両、衝突被害軽減ブレーキ用前方カメラのプログラムを対策仕様に修正する。</t>
        </is>
      </c>
    </row>
    <row r="192">
      <c r="A192" s="13" t="inlineStr">
        <is>
          <t>ヴォクシー</t>
        </is>
      </c>
      <c r="B192" s="13" t="inlineStr">
        <is>
          <t>2023/02/16</t>
        </is>
      </c>
      <c r="C192" s="13" t="inlineStr">
        <is>
          <t>1152832</t>
        </is>
      </c>
      <c r="D192" s="13" t="inlineStr">
        <is>
          <t>コンピュータ(かじ取</t>
        </is>
      </c>
      <c r="E192" s="15" t="n">
        <v>38477</v>
      </c>
      <c r="F192" s="14" t="inlineStr">
        <is>
          <t>6AA-ZWR90W, 6AA-ZWR92W, 6AA-ZWR95W, 6BA-MZRA90W, 6BA-MZRA92W, 6BA-MZRA95W</t>
        </is>
      </c>
      <c r="G192" s="13" t="inlineStr">
        <is>
          <t>2021年12月 1日</t>
        </is>
      </c>
      <c r="H192" s="13" t="inlineStr">
        <is>
          <t>2022年12月 9日</t>
        </is>
      </c>
      <c r="I192"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92" s="14" t="inlineStr">
        <is>
          <t>（２）全車両、コンビネーションメータのプログラムを対策仕様に修正する。</t>
        </is>
      </c>
    </row>
    <row r="193">
      <c r="A193" s="8" t="inlineStr">
        <is>
          <t>ヴォクシー</t>
        </is>
      </c>
      <c r="B193" s="8" t="inlineStr">
        <is>
          <t>2023/11/02</t>
        </is>
      </c>
      <c r="C193" s="8" t="inlineStr">
        <is>
          <t>1154040</t>
        </is>
      </c>
      <c r="D193" s="8" t="inlineStr">
        <is>
          <t>燃料ポンプ</t>
        </is>
      </c>
      <c r="E193" s="11" t="n">
        <v>328108</v>
      </c>
      <c r="F193" s="14" t="inlineStr">
        <is>
          <t>DAA-ZWR80G, DAA-ZWR80W, DBA-ZRR80G, DBA-ZRR80W, DBA-ZRR85G, DBA-ZRR85W</t>
        </is>
      </c>
      <c r="G193" s="8" t="inlineStr">
        <is>
          <t>2017年7月 3日</t>
        </is>
      </c>
      <c r="H193" s="8" t="inlineStr">
        <is>
          <t>2020年1月14日</t>
        </is>
      </c>
      <c r="I19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93" s="14" t="inlineStr">
        <is>
          <t>全車両、低圧燃料ポンプを対策品と交換する。</t>
        </is>
      </c>
    </row>
    <row r="194">
      <c r="A194" s="13" t="inlineStr">
        <is>
          <t>ヴォクシー</t>
        </is>
      </c>
      <c r="B194" s="13" t="inlineStr">
        <is>
          <t>2024/05/08</t>
        </is>
      </c>
      <c r="C194" s="13" t="inlineStr">
        <is>
          <t>1154780</t>
        </is>
      </c>
      <c r="D194" s="13" t="inlineStr">
        <is>
          <t>その他(保安灯火)</t>
        </is>
      </c>
      <c r="E194" s="15" t="n">
        <v>1271</v>
      </c>
      <c r="F194" s="14" t="inlineStr">
        <is>
          <t>6AA-ZWR90W, 6AA-ZWR95W, 6BA-MZRA90W, 6BA-MZRA92W, 6BA-MZRA95W</t>
        </is>
      </c>
      <c r="G194" s="13" t="inlineStr">
        <is>
          <t>2024年4月 4日</t>
        </is>
      </c>
      <c r="H194" s="13" t="inlineStr">
        <is>
          <t>2024年4月 9日</t>
        </is>
      </c>
      <c r="I194"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94" s="14" t="inlineStr">
        <is>
          <t>全車両、ライトコントロールコンピュータのプログラムを対策仕様に修正した前照灯に交換する。</t>
        </is>
      </c>
    </row>
    <row r="195">
      <c r="A195" s="8" t="inlineStr">
        <is>
          <t>ヴォクシー</t>
        </is>
      </c>
      <c r="B195" s="8" t="inlineStr">
        <is>
          <t>2024/06/14</t>
        </is>
      </c>
      <c r="C195" s="8" t="inlineStr">
        <is>
          <t>1154970</t>
        </is>
      </c>
      <c r="D195" s="8" t="inlineStr">
        <is>
          <t>その他(その他)</t>
        </is>
      </c>
      <c r="E195" s="11" t="n">
        <v>235077</v>
      </c>
      <c r="F195" s="14" t="inlineStr">
        <is>
          <t>6AA-ZWR90W, 6AA-ZWR92W, 6AA-ZWR95W, 6BA-MZRA90W, 6BA-MZRA92W, 6BA-MZRA95W</t>
        </is>
      </c>
      <c r="G195" s="8" t="inlineStr">
        <is>
          <t>2022年11月 7日</t>
        </is>
      </c>
      <c r="H195" s="8" t="inlineStr">
        <is>
          <t>2023年9月27日</t>
        </is>
      </c>
      <c r="I19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95" s="14" t="inlineStr">
        <is>
          <t>全車両、当該カメラの製造番号を点検し、該当する場合は良品と交換する。</t>
        </is>
      </c>
    </row>
    <row r="196">
      <c r="A196" s="13" t="inlineStr">
        <is>
          <t>ヴォクシー</t>
        </is>
      </c>
      <c r="B196" s="13" t="inlineStr">
        <is>
          <t>2025/10/30</t>
        </is>
      </c>
      <c r="C196" s="13" t="inlineStr">
        <is>
          <t>1157310</t>
        </is>
      </c>
      <c r="D196" s="13" t="inlineStr">
        <is>
          <t>後写鏡</t>
        </is>
      </c>
      <c r="E196" s="15" t="n">
        <v>1285002</v>
      </c>
      <c r="F196" s="14" t="inlineStr">
        <is>
          <t>6AA-ZWR90W, 6AA-ZWR95W, 6BA-MZRA90W, 6BA-MZRA95W</t>
        </is>
      </c>
      <c r="G196" s="13" t="inlineStr">
        <is>
          <t>2021年9月 1日</t>
        </is>
      </c>
      <c r="H196" s="13" t="inlineStr">
        <is>
          <t>2025年9月25日</t>
        </is>
      </c>
      <c r="I1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96" s="14" t="inlineStr">
        <is>
          <t>全車両、パノラミックビューモニター用制御コンピュータのプログラムを対策仕様に修正する。</t>
        </is>
      </c>
    </row>
  </sheetData>
  <autoFilter ref="A1:J19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7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10" customWidth="1" min="5" max="5"/>
    <col width="20" customWidth="1" min="6" max="6"/>
    <col width="12" customWidth="1" min="7" max="7"/>
    <col width="10" customWidth="1" min="8" max="8"/>
    <col width="16" customWidth="1" min="9" max="9"/>
    <col width="12" customWidth="1" min="10" max="10"/>
    <col width="34" customWidth="1" min="11" max="11"/>
    <col width="10" customWidth="1" min="12" max="12"/>
  </cols>
  <sheetData>
    <row r="1" ht="32" customHeight="1">
      <c r="A1" s="7" t="inlineStr">
        <is>
          <t>車種</t>
        </is>
      </c>
      <c r="B1" s="7" t="inlineStr">
        <is>
          <t>年式</t>
        </is>
      </c>
      <c r="C1" s="7" t="inlineStr">
        <is>
          <t>世代</t>
        </is>
      </c>
      <c r="D1" s="7" t="inlineStr">
        <is>
          <t>落札価格(円)</t>
        </is>
      </c>
      <c r="E1" s="7" t="inlineStr">
        <is>
          <t>入札数</t>
        </is>
      </c>
      <c r="F1" s="7" t="inlineStr">
        <is>
          <t>走行距離(km)</t>
        </is>
      </c>
      <c r="G1" s="7" t="inlineStr">
        <is>
          <t>距離区分</t>
        </is>
      </c>
      <c r="H1" s="7" t="inlineStr">
        <is>
          <t>修復歴</t>
        </is>
      </c>
      <c r="I1" s="7" t="inlineStr">
        <is>
          <t>諸費用(円)</t>
        </is>
      </c>
      <c r="J1" s="7" t="inlineStr">
        <is>
          <t>終了日時</t>
        </is>
      </c>
      <c r="K1" s="7" t="inlineStr">
        <is>
          <t>商品名</t>
        </is>
      </c>
      <c r="L1" s="7" t="inlineStr">
        <is>
          <t>URL</t>
        </is>
      </c>
    </row>
    <row r="2">
      <c r="A2" s="13" t="inlineStr">
        <is>
          <t>アイシス</t>
        </is>
      </c>
      <c r="B2" s="13" t="n">
        <v>2012</v>
      </c>
      <c r="C2" s="13" t="inlineStr">
        <is>
          <t>10系</t>
        </is>
      </c>
      <c r="D2" s="15" t="n">
        <v>171000</v>
      </c>
      <c r="E2" s="13" t="n">
        <v>11</v>
      </c>
      <c r="F2" s="15" t="n">
        <v>184000</v>
      </c>
      <c r="G2" s="13" t="inlineStr">
        <is>
          <t>REAL_MILEAGE</t>
        </is>
      </c>
      <c r="H2" s="13" t="inlineStr">
        <is>
          <t>NONE</t>
        </is>
      </c>
      <c r="I2" s="15" t="n">
        <v>50030</v>
      </c>
      <c r="J2" s="13" t="inlineStr">
        <is>
          <t>2026-07-10T20:26:18+09:00</t>
        </is>
      </c>
      <c r="K2" s="14" t="inlineStr">
        <is>
          <t>【車検R9/8】アイシス プラタナVホワイトセレクション 両側電動ドア Bluetoothナビ Bカメラ ETC スペアキー付</t>
        </is>
      </c>
      <c r="L2" s="13" t="inlineStr">
        <is>
          <t>https://page.auctions.yahoo.co.jp/jp/auction/c1235220596</t>
        </is>
      </c>
    </row>
    <row r="3">
      <c r="A3" s="8" t="inlineStr">
        <is>
          <t>アイシス</t>
        </is>
      </c>
      <c r="B3" s="8" t="n">
        <v>2012</v>
      </c>
      <c r="C3" s="8" t="inlineStr">
        <is>
          <t>10系</t>
        </is>
      </c>
      <c r="D3" s="11" t="n">
        <v>199000</v>
      </c>
      <c r="E3" s="8" t="n">
        <v>6</v>
      </c>
      <c r="F3" s="11" t="n">
        <v>184000</v>
      </c>
      <c r="G3" s="8" t="inlineStr">
        <is>
          <t>REAL_MILEAGE</t>
        </is>
      </c>
      <c r="H3" s="8" t="inlineStr">
        <is>
          <t>NONE</t>
        </is>
      </c>
      <c r="I3" s="11" t="n">
        <v>50030</v>
      </c>
      <c r="J3" s="8" t="inlineStr">
        <is>
          <t>2026-06-27T20:42:50+09:00</t>
        </is>
      </c>
      <c r="K3" s="14" t="inlineStr">
        <is>
          <t>【車検R9/8】アイシス プラタナVホワイトセレクション 両側電動ドア Bluetoothナビ Bカメラ ETC スペアキー付</t>
        </is>
      </c>
      <c r="L3" s="8" t="inlineStr">
        <is>
          <t>https://page.auctions.yahoo.co.jp/jp/auction/c1233869883</t>
        </is>
      </c>
    </row>
    <row r="4">
      <c r="A4" s="13" t="inlineStr">
        <is>
          <t>アイシス</t>
        </is>
      </c>
      <c r="B4" s="13" t="n">
        <v>2008</v>
      </c>
      <c r="C4" s="13" t="inlineStr">
        <is>
          <t>10系</t>
        </is>
      </c>
      <c r="D4" s="15" t="n">
        <v>171000</v>
      </c>
      <c r="E4" s="13" t="n">
        <v>20</v>
      </c>
      <c r="F4" s="15" t="n">
        <v>73778</v>
      </c>
      <c r="G4" s="13" t="inlineStr">
        <is>
          <t>REAL_MILEAGE</t>
        </is>
      </c>
      <c r="H4" s="13" t="n"/>
      <c r="I4" s="15" t="n">
        <v>0</v>
      </c>
      <c r="J4" s="13" t="inlineStr">
        <is>
          <t>2026-06-19T10:44:03+09:00</t>
        </is>
      </c>
      <c r="K4" s="14" t="inlineStr">
        <is>
          <t>アイシス福祉車両</t>
        </is>
      </c>
      <c r="L4" s="13" t="inlineStr">
        <is>
          <t>https://page.auctions.yahoo.co.jp/jp/auction/d1232751404</t>
        </is>
      </c>
    </row>
    <row r="5">
      <c r="A5" s="8" t="inlineStr">
        <is>
          <t>アイシス</t>
        </is>
      </c>
      <c r="B5" s="8" t="n">
        <v>2007</v>
      </c>
      <c r="C5" s="8" t="inlineStr">
        <is>
          <t>10系</t>
        </is>
      </c>
      <c r="D5" s="11" t="n">
        <v>82000</v>
      </c>
      <c r="E5" s="8" t="n">
        <v>3</v>
      </c>
      <c r="F5" s="11" t="n">
        <v>96000</v>
      </c>
      <c r="G5" s="8" t="inlineStr">
        <is>
          <t>REAL_MILEAGE</t>
        </is>
      </c>
      <c r="H5" s="8" t="inlineStr">
        <is>
          <t>NONE</t>
        </is>
      </c>
      <c r="I5" s="11" t="n">
        <v>0</v>
      </c>
      <c r="J5" s="8" t="inlineStr">
        <is>
          <t>2026-04-19T20:53:28+09:00</t>
        </is>
      </c>
      <c r="K5" s="14" t="inlineStr">
        <is>
          <t>アイシス　両側自動スライドドア　売り切り　個人</t>
        </is>
      </c>
      <c r="L5" s="8" t="inlineStr">
        <is>
          <t>https://page.auctions.yahoo.co.jp/jp/auction/n1225967945</t>
        </is>
      </c>
    </row>
    <row r="6">
      <c r="A6" s="13" t="inlineStr">
        <is>
          <t>アイシス</t>
        </is>
      </c>
      <c r="B6" s="13" t="n">
        <v>2007</v>
      </c>
      <c r="C6" s="13" t="inlineStr">
        <is>
          <t>10系</t>
        </is>
      </c>
      <c r="D6" s="15" t="n">
        <v>120000</v>
      </c>
      <c r="E6" s="13" t="n">
        <v>1</v>
      </c>
      <c r="F6" s="15" t="n">
        <v>148700</v>
      </c>
      <c r="G6" s="13" t="inlineStr">
        <is>
          <t>REAL_MILEAGE</t>
        </is>
      </c>
      <c r="H6" s="13" t="n"/>
      <c r="I6" s="15" t="n">
        <v>0</v>
      </c>
      <c r="J6" s="13" t="inlineStr">
        <is>
          <t>2026-03-17T21:09:18+09:00</t>
        </is>
      </c>
      <c r="K6" s="14" t="inlineStr">
        <is>
          <t>個人出品 検R8/8まで アイシス 2.0プラタナ 希少なU-セレクション 両側パワスラ パワーバックドア Bluetooth ETC 京都から売り切り</t>
        </is>
      </c>
      <c r="L6" s="13" t="inlineStr">
        <is>
          <t>https://page.auctions.yahoo.co.jp/jp/auction/k1222421481</t>
        </is>
      </c>
    </row>
    <row r="7">
      <c r="A7" s="8" t="inlineStr">
        <is>
          <t>アイシス</t>
        </is>
      </c>
      <c r="B7" s="8" t="n"/>
      <c r="C7" s="8" t="inlineStr"/>
      <c r="D7" s="11" t="n">
        <v>300000</v>
      </c>
      <c r="E7" s="8" t="n">
        <v>48</v>
      </c>
      <c r="F7" s="11" t="n"/>
      <c r="G7" s="8" t="n"/>
      <c r="H7" s="8" t="n"/>
      <c r="I7" s="11" t="n"/>
      <c r="J7" s="8" t="inlineStr">
        <is>
          <t>2026-03-05T21:38:34+09:00</t>
        </is>
      </c>
      <c r="K7" s="14" t="inlineStr">
        <is>
          <t>車検満タンR10年3月迄★H25プラタナVセレクション☆ナビ/ETC/バックカメラ/DVD地デジ走行OK/プッシュスタート/両側パワースライドドア</t>
        </is>
      </c>
      <c r="L7" s="8" t="inlineStr">
        <is>
          <t>https://page.auctions.yahoo.co.jp/jp/auction/x1221168405</t>
        </is>
      </c>
    </row>
    <row r="8">
      <c r="A8" s="13" t="inlineStr">
        <is>
          <t>アルファード</t>
        </is>
      </c>
      <c r="B8" s="13" t="n">
        <v>2025</v>
      </c>
      <c r="C8" s="13" t="inlineStr">
        <is>
          <t>40系</t>
        </is>
      </c>
      <c r="D8" s="15" t="n">
        <v>6080000</v>
      </c>
      <c r="E8" s="13" t="n">
        <v>1</v>
      </c>
      <c r="F8" s="15" t="n">
        <v>3800</v>
      </c>
      <c r="G8" s="13" t="inlineStr">
        <is>
          <t>REAL_MILEAGE</t>
        </is>
      </c>
      <c r="H8" s="13" t="inlineStr">
        <is>
          <t>EXISTS</t>
        </is>
      </c>
      <c r="I8" s="15" t="n">
        <v>0</v>
      </c>
      <c r="J8" s="13" t="inlineStr">
        <is>
          <t>2026-08-13T03:58:13+09:00</t>
        </is>
      </c>
      <c r="K8" s="14" t="inlineStr">
        <is>
          <t>★令和7年★アルファードハイブリッドZ★モデリスタエアロ★ムーンルーフ★実走行★車検付き★ナビTV★リアモニター★程度良好★</t>
        </is>
      </c>
      <c r="L8" s="13" t="inlineStr">
        <is>
          <t>https://page.auctions.yahoo.co.jp/jp/auction/d1228493693</t>
        </is>
      </c>
    </row>
    <row r="9">
      <c r="A9" s="8" t="inlineStr">
        <is>
          <t>アルファード</t>
        </is>
      </c>
      <c r="B9" s="8" t="n">
        <v>2025</v>
      </c>
      <c r="C9" s="8" t="inlineStr">
        <is>
          <t>40系</t>
        </is>
      </c>
      <c r="D9" s="11" t="n">
        <v>5450000</v>
      </c>
      <c r="E9" s="8" t="n">
        <v>1</v>
      </c>
      <c r="F9" s="11" t="n">
        <v>15000</v>
      </c>
      <c r="G9" s="8" t="inlineStr">
        <is>
          <t>REAL_MILEAGE</t>
        </is>
      </c>
      <c r="H9" s="8" t="inlineStr">
        <is>
          <t>NONE</t>
        </is>
      </c>
      <c r="I9" s="11" t="n">
        <v>0</v>
      </c>
      <c r="J9" s="8" t="inlineStr">
        <is>
          <t>2026-05-06T05:37:03+09:00</t>
        </is>
      </c>
      <c r="K9" s="14" t="inlineStr">
        <is>
          <t>アルファード ハイブリッド 2.5 X トヨタセーフティセンス</t>
        </is>
      </c>
      <c r="L9" s="8" t="inlineStr">
        <is>
          <t>https://page.auctions.yahoo.co.jp/jp/auction/j1227691818</t>
        </is>
      </c>
    </row>
    <row r="10">
      <c r="A10" s="13" t="inlineStr">
        <is>
          <t>アルファード</t>
        </is>
      </c>
      <c r="B10" s="13" t="n">
        <v>2025</v>
      </c>
      <c r="C10" s="13" t="inlineStr">
        <is>
          <t>40系</t>
        </is>
      </c>
      <c r="D10" s="15" t="n">
        <v>7898000</v>
      </c>
      <c r="E10" s="13" t="n">
        <v>1</v>
      </c>
      <c r="F10" s="15" t="n">
        <v>51</v>
      </c>
      <c r="G10" s="13" t="inlineStr">
        <is>
          <t>REAL_MILEAGE</t>
        </is>
      </c>
      <c r="H10" s="13" t="inlineStr">
        <is>
          <t>NONE</t>
        </is>
      </c>
      <c r="I10" s="15" t="n">
        <v>0</v>
      </c>
      <c r="J10" s="13" t="inlineStr">
        <is>
          <t>2026-04-21T22:26:28+09:00</t>
        </is>
      </c>
      <c r="K10" s="14" t="inlineStr">
        <is>
          <t>アルファード 2.5 Z ディスプレイオーディオPLUS・14インチリア</t>
        </is>
      </c>
      <c r="L10" s="13" t="inlineStr">
        <is>
          <t>https://page.auctions.yahoo.co.jp/jp/auction/k1223937563</t>
        </is>
      </c>
    </row>
    <row r="11">
      <c r="A11" s="8" t="inlineStr">
        <is>
          <t>アルファード</t>
        </is>
      </c>
      <c r="B11" s="8" t="n">
        <v>2025</v>
      </c>
      <c r="C11" s="8" t="inlineStr">
        <is>
          <t>40系</t>
        </is>
      </c>
      <c r="D11" s="11" t="n">
        <v>4801000</v>
      </c>
      <c r="E11" s="8" t="n">
        <v>90</v>
      </c>
      <c r="F11" s="11" t="n">
        <v>14680</v>
      </c>
      <c r="G11" s="8" t="inlineStr">
        <is>
          <t>REAL_MILEAGE</t>
        </is>
      </c>
      <c r="H11" s="8" t="inlineStr">
        <is>
          <t>EXISTS</t>
        </is>
      </c>
      <c r="I11" s="11" t="n">
        <v>0</v>
      </c>
      <c r="J11" s="8" t="inlineStr">
        <is>
          <t>2026-04-16T20:02:26+09:00</t>
        </is>
      </c>
      <c r="K11" s="14" t="inlineStr">
        <is>
          <t>令和7年 トヨタ アルファード AGH45W グレード Z 2500cc ガソリン 純正ナビ,レーダークルーズ,3眼LEDヘッドライト,パワーゲート,ETC2.0,4WD</t>
        </is>
      </c>
      <c r="L11" s="8" t="inlineStr">
        <is>
          <t>https://page.auctions.yahoo.co.jp/jp/auction/u1226178765</t>
        </is>
      </c>
    </row>
    <row r="12">
      <c r="A12" s="13" t="inlineStr">
        <is>
          <t>アルファード</t>
        </is>
      </c>
      <c r="B12" s="13" t="n">
        <v>2025</v>
      </c>
      <c r="C12" s="13" t="inlineStr">
        <is>
          <t>40系</t>
        </is>
      </c>
      <c r="D12" s="15" t="n">
        <v>5001000</v>
      </c>
      <c r="E12" s="13" t="n">
        <v>48</v>
      </c>
      <c r="F12" s="15" t="n">
        <v>90000</v>
      </c>
      <c r="G12" s="13" t="inlineStr">
        <is>
          <t>REAL_MILEAGE</t>
        </is>
      </c>
      <c r="H12" s="13" t="inlineStr">
        <is>
          <t>NONE</t>
        </is>
      </c>
      <c r="I12" s="15" t="n">
        <v>0</v>
      </c>
      <c r="J12" s="13" t="inlineStr">
        <is>
          <t>2026-04-03T12:15:13+09:00</t>
        </is>
      </c>
      <c r="K12" s="14" t="inlineStr">
        <is>
          <t>トヨタ アルファードHV 自社ローン 審査通過率100% 頭金0円〜 保証人不要 即日審査 全国陸送OK</t>
        </is>
      </c>
      <c r="L12" s="13" t="inlineStr">
        <is>
          <t>https://page.auctions.yahoo.co.jp/jp/auction/1224780593</t>
        </is>
      </c>
    </row>
    <row r="13">
      <c r="A13" s="8" t="inlineStr">
        <is>
          <t>アルファード</t>
        </is>
      </c>
      <c r="B13" s="8" t="n">
        <v>2025</v>
      </c>
      <c r="C13" s="8" t="inlineStr">
        <is>
          <t>40系</t>
        </is>
      </c>
      <c r="D13" s="11" t="n">
        <v>5480000</v>
      </c>
      <c r="E13" s="8" t="n">
        <v>1</v>
      </c>
      <c r="F13" s="11" t="n">
        <v>3000</v>
      </c>
      <c r="G13" s="8" t="inlineStr">
        <is>
          <t>REAL_MILEAGE</t>
        </is>
      </c>
      <c r="H13" s="8" t="inlineStr">
        <is>
          <t>EXISTS</t>
        </is>
      </c>
      <c r="I13" s="11" t="n">
        <v>0</v>
      </c>
      <c r="J13" s="8" t="inlineStr">
        <is>
          <t>2026-03-22T23:17:08+09:00</t>
        </is>
      </c>
      <c r="K13" s="14" t="inlineStr">
        <is>
          <t>アルファード 2.5 Z トヨタセーフティセンス　サンルーフ</t>
        </is>
      </c>
      <c r="L13" s="8" t="inlineStr">
        <is>
          <t>https://page.auctions.yahoo.co.jp/jp/auction/1223634222</t>
        </is>
      </c>
    </row>
    <row r="14">
      <c r="A14" s="13" t="inlineStr">
        <is>
          <t>アルファード</t>
        </is>
      </c>
      <c r="B14" s="13" t="n">
        <v>2025</v>
      </c>
      <c r="C14" s="13" t="inlineStr">
        <is>
          <t>40系</t>
        </is>
      </c>
      <c r="D14" s="15" t="n">
        <v>7703000</v>
      </c>
      <c r="E14" s="13" t="n">
        <v>1376</v>
      </c>
      <c r="F14" s="15" t="n">
        <v>14000</v>
      </c>
      <c r="G14" s="13" t="inlineStr">
        <is>
          <t>REAL_MILEAGE</t>
        </is>
      </c>
      <c r="H14" s="13" t="inlineStr">
        <is>
          <t>NONE</t>
        </is>
      </c>
      <c r="I14" s="15" t="n">
        <v>0</v>
      </c>
      <c r="J14" s="13" t="inlineStr">
        <is>
          <t>2026-03-21T01:33:02+09:00</t>
        </is>
      </c>
      <c r="K14" s="14" t="inlineStr">
        <is>
          <t>トヨタアルファードHV エグゼクティブ　自社ローン　保証会社利用　全国陸送可　保証人不要　頭金0円〜　金利0% 即日審査　検10.1 大阪発</t>
        </is>
      </c>
      <c r="L14" s="13" t="inlineStr">
        <is>
          <t>https://page.auctions.yahoo.co.jp/jp/auction/m1221979917</t>
        </is>
      </c>
    </row>
    <row r="15">
      <c r="A15" s="8" t="inlineStr">
        <is>
          <t>アルファード</t>
        </is>
      </c>
      <c r="B15" s="8" t="n">
        <v>2024</v>
      </c>
      <c r="C15" s="8" t="inlineStr">
        <is>
          <t>40系</t>
        </is>
      </c>
      <c r="D15" s="11" t="n">
        <v>5080000</v>
      </c>
      <c r="E15" s="8" t="n">
        <v>1</v>
      </c>
      <c r="F15" s="11" t="n">
        <v>22000</v>
      </c>
      <c r="G15" s="8" t="inlineStr">
        <is>
          <t>REAL_MILEAGE</t>
        </is>
      </c>
      <c r="H15" s="8" t="inlineStr">
        <is>
          <t>NONE</t>
        </is>
      </c>
      <c r="I15" s="11" t="n">
        <v>0</v>
      </c>
      <c r="J15" s="8" t="inlineStr">
        <is>
          <t>2026-08-21T17:07:22+09:00</t>
        </is>
      </c>
      <c r="K15" s="14" t="inlineStr">
        <is>
          <t>アルファード 2.5 Z トヨタセーフティセンス　レザーシート</t>
        </is>
      </c>
      <c r="L15" s="8" t="inlineStr">
        <is>
          <t>https://page.auctions.yahoo.co.jp/jp/auction/t1240187169</t>
        </is>
      </c>
    </row>
    <row r="16">
      <c r="A16" s="13" t="inlineStr">
        <is>
          <t>アルファード</t>
        </is>
      </c>
      <c r="B16" s="13" t="n">
        <v>2024</v>
      </c>
      <c r="C16" s="13" t="inlineStr">
        <is>
          <t>40系</t>
        </is>
      </c>
      <c r="D16" s="15" t="n">
        <v>5620000</v>
      </c>
      <c r="E16" s="13" t="n">
        <v>1</v>
      </c>
      <c r="F16" s="15" t="n">
        <v>12371</v>
      </c>
      <c r="G16" s="13" t="inlineStr">
        <is>
          <t>REAL_MILEAGE</t>
        </is>
      </c>
      <c r="H16" s="13" t="inlineStr">
        <is>
          <t>EXISTS</t>
        </is>
      </c>
      <c r="I16" s="15" t="n">
        <v>0</v>
      </c>
      <c r="J16" s="13" t="inlineStr">
        <is>
          <t>2026-03-26T10:02:42+09:00</t>
        </is>
      </c>
      <c r="K16" s="14" t="inlineStr">
        <is>
          <t>激安！！格安！！ここまで安い40型アルファードはまずありません！！しかも車検2年付！！人気の黒・Z・革シート・Wサンルーフ</t>
        </is>
      </c>
      <c r="L16" s="13" t="inlineStr">
        <is>
          <t>https://page.auctions.yahoo.co.jp/jp/auction/q1223923725</t>
        </is>
      </c>
    </row>
    <row r="17">
      <c r="A17" s="8" t="inlineStr">
        <is>
          <t>アルファード</t>
        </is>
      </c>
      <c r="B17" s="8" t="n">
        <v>2024</v>
      </c>
      <c r="C17" s="8" t="inlineStr">
        <is>
          <t>40系</t>
        </is>
      </c>
      <c r="D17" s="11" t="n">
        <v>5001000</v>
      </c>
      <c r="E17" s="8" t="n">
        <v>2</v>
      </c>
      <c r="F17" s="11" t="n">
        <v>55300</v>
      </c>
      <c r="G17" s="8" t="inlineStr">
        <is>
          <t>REAL_MILEAGE</t>
        </is>
      </c>
      <c r="H17" s="8" t="inlineStr">
        <is>
          <t>NONE</t>
        </is>
      </c>
      <c r="I17" s="11" t="n">
        <v>0</v>
      </c>
      <c r="J17" s="8" t="inlineStr">
        <is>
          <t>2026-02-25T16:58:59+09:00</t>
        </is>
      </c>
      <c r="K17" s="14" t="inlineStr">
        <is>
          <t xml:space="preserve">【車検2年取得後のお渡し】アルファード ハイブリッド Z 2WD 55,300km 車検2年付き 状態良好 ビル保管 法人ワンオーナー D記録簿あり </t>
        </is>
      </c>
      <c r="L17" s="8" t="inlineStr">
        <is>
          <t>https://page.auctions.yahoo.co.jp/jp/auction/w1220427283</t>
        </is>
      </c>
    </row>
    <row r="18">
      <c r="A18" s="13" t="inlineStr">
        <is>
          <t>アルファード</t>
        </is>
      </c>
      <c r="B18" s="13" t="n">
        <v>2023</v>
      </c>
      <c r="C18" s="13" t="inlineStr">
        <is>
          <t>40系</t>
        </is>
      </c>
      <c r="D18" s="15" t="n">
        <v>7400000</v>
      </c>
      <c r="E18" s="13" t="n">
        <v>1</v>
      </c>
      <c r="F18" s="15" t="n">
        <v>48000</v>
      </c>
      <c r="G18" s="13" t="inlineStr">
        <is>
          <t>REAL_MILEAGE</t>
        </is>
      </c>
      <c r="H18" s="13" t="inlineStr">
        <is>
          <t>NONE</t>
        </is>
      </c>
      <c r="I18" s="15" t="n">
        <v>0</v>
      </c>
      <c r="J18" s="13" t="inlineStr">
        <is>
          <t>2026-03-21T20:23:54+09:00</t>
        </is>
      </c>
      <c r="K18" s="14" t="inlineStr">
        <is>
          <t>個人　綺麗♪ 40アルファード エグゼクティブ　車検8年８月29 モデリスタ　早い方優先</t>
        </is>
      </c>
      <c r="L18" s="13" t="inlineStr">
        <is>
          <t>https://page.auctions.yahoo.co.jp/jp/auction/j1222327781</t>
        </is>
      </c>
    </row>
    <row r="19">
      <c r="A19" s="8" t="inlineStr">
        <is>
          <t>アルファード</t>
        </is>
      </c>
      <c r="B19" s="8" t="n">
        <v>2023</v>
      </c>
      <c r="C19" s="8" t="inlineStr">
        <is>
          <t>30系後期</t>
        </is>
      </c>
      <c r="D19" s="11" t="n">
        <v>5229000</v>
      </c>
      <c r="E19" s="8" t="n">
        <v>1</v>
      </c>
      <c r="F19" s="11" t="n">
        <v>32518</v>
      </c>
      <c r="G19" s="8" t="inlineStr">
        <is>
          <t>REAL_MILEAGE</t>
        </is>
      </c>
      <c r="H19" s="8" t="inlineStr">
        <is>
          <t>NONE</t>
        </is>
      </c>
      <c r="I19" s="11" t="n">
        <v>0</v>
      </c>
      <c r="J19" s="8" t="inlineStr">
        <is>
          <t>2026-03-08T23:36:36+09:00</t>
        </is>
      </c>
      <c r="K19" s="14" t="inlineStr">
        <is>
          <t>【諸費用コミ】:令和5年 アルファード 2.5 S Cパッケージ</t>
        </is>
      </c>
      <c r="L19" s="8" t="inlineStr">
        <is>
          <t>https://page.auctions.yahoo.co.jp/jp/auction/e1221380000</t>
        </is>
      </c>
    </row>
    <row r="20">
      <c r="A20" s="13" t="inlineStr">
        <is>
          <t>アルファード</t>
        </is>
      </c>
      <c r="B20" s="13" t="n">
        <v>2022</v>
      </c>
      <c r="C20" s="13" t="inlineStr">
        <is>
          <t>30系後期</t>
        </is>
      </c>
      <c r="D20" s="15" t="n">
        <v>4680000</v>
      </c>
      <c r="E20" s="13" t="n">
        <v>1</v>
      </c>
      <c r="F20" s="15" t="n">
        <v>21000</v>
      </c>
      <c r="G20" s="13" t="inlineStr">
        <is>
          <t>REAL_MILEAGE</t>
        </is>
      </c>
      <c r="H20" s="13" t="inlineStr">
        <is>
          <t>NONE</t>
        </is>
      </c>
      <c r="I20" s="15" t="n">
        <v>0</v>
      </c>
      <c r="J20" s="13" t="inlineStr">
        <is>
          <t>2026-03-21T02:22:12+09:00</t>
        </is>
      </c>
      <c r="K20" s="14" t="inlineStr">
        <is>
          <t>【諸費用コミ】:■自社NEWオートローン岡山■全国納車■頭金/保証人不■84回払可■ 令和4年 アルファード 2.5 S Cパッケ</t>
        </is>
      </c>
      <c r="L20" s="13" t="inlineStr">
        <is>
          <t>https://page.auctions.yahoo.co.jp/jp/auction/b1221360514</t>
        </is>
      </c>
    </row>
    <row r="21">
      <c r="A21" s="8" t="inlineStr">
        <is>
          <t>アルファード</t>
        </is>
      </c>
      <c r="B21" s="8" t="n">
        <v>2020</v>
      </c>
      <c r="C21" s="8" t="inlineStr">
        <is>
          <t>30系後期</t>
        </is>
      </c>
      <c r="D21" s="11" t="n">
        <v>2847000</v>
      </c>
      <c r="E21" s="8" t="n">
        <v>112</v>
      </c>
      <c r="F21" s="11" t="n">
        <v>94558</v>
      </c>
      <c r="G21" s="8" t="inlineStr">
        <is>
          <t>REAL_MILEAGE</t>
        </is>
      </c>
      <c r="H21" s="8" t="inlineStr">
        <is>
          <t>NONE</t>
        </is>
      </c>
      <c r="I21" s="11" t="n">
        <v>14900</v>
      </c>
      <c r="J21" s="8" t="inlineStr">
        <is>
          <t>2026-08-10T18:39:04+09:00</t>
        </is>
      </c>
      <c r="K21" s="14" t="inlineStr">
        <is>
          <t>★令和2年 トヨタアルファード 2.5 Sタイプゴールド 特別・限定 フリップダウンモニター デジタルインナーミラー車検9年8月★</t>
        </is>
      </c>
      <c r="L21" s="8" t="inlineStr">
        <is>
          <t>https://page.auctions.yahoo.co.jp/jp/auction/x1239543511</t>
        </is>
      </c>
    </row>
    <row r="22">
      <c r="A22" s="13" t="inlineStr">
        <is>
          <t>アルファード</t>
        </is>
      </c>
      <c r="B22" s="13" t="n">
        <v>2020</v>
      </c>
      <c r="C22" s="13" t="inlineStr">
        <is>
          <t>30系後期</t>
        </is>
      </c>
      <c r="D22" s="15" t="n">
        <v>2460000</v>
      </c>
      <c r="E22" s="13" t="n">
        <v>237</v>
      </c>
      <c r="F22" s="15" t="n">
        <v>49900</v>
      </c>
      <c r="G22" s="13" t="inlineStr">
        <is>
          <t>REAL_MILEAGE</t>
        </is>
      </c>
      <c r="H22" s="13" t="n"/>
      <c r="I22" s="15" t="n">
        <v>0</v>
      </c>
      <c r="J22" s="13" t="inlineStr">
        <is>
          <t>2026-06-06T21:41:23+09:00</t>
        </is>
      </c>
      <c r="K22" s="14" t="inlineStr">
        <is>
          <t xml:space="preserve">1スタトヨタ アルファード 2.5S タイプゴールド 低走行！ 30アルファード 後期 </t>
        </is>
      </c>
      <c r="L22" s="13" t="inlineStr">
        <is>
          <t>https://page.auctions.yahoo.co.jp/jp/auction/1231540953</t>
        </is>
      </c>
    </row>
    <row r="23">
      <c r="A23" s="8" t="inlineStr">
        <is>
          <t>アルファード</t>
        </is>
      </c>
      <c r="B23" s="8" t="n">
        <v>2020</v>
      </c>
      <c r="C23" s="8" t="inlineStr">
        <is>
          <t>30系後期</t>
        </is>
      </c>
      <c r="D23" s="11" t="n">
        <v>3650000</v>
      </c>
      <c r="E23" s="8" t="n">
        <v>94</v>
      </c>
      <c r="F23" s="11" t="n">
        <v>88700</v>
      </c>
      <c r="G23" s="8" t="inlineStr">
        <is>
          <t>REAL_MILEAGE</t>
        </is>
      </c>
      <c r="H23" s="8" t="inlineStr">
        <is>
          <t>NONE</t>
        </is>
      </c>
      <c r="I23" s="11" t="n">
        <v>0</v>
      </c>
      <c r="J23" s="8" t="inlineStr">
        <is>
          <t>2026-05-30T22:16:58+09:00</t>
        </is>
      </c>
      <c r="K23" s="14" t="inlineStr">
        <is>
          <t>★愛知発　★アルファード　★S C パッケージ　★令和2年登録　★8万キロ台　★車検付き　★サンルーフ★レザーシート</t>
        </is>
      </c>
      <c r="L23" s="8" t="inlineStr">
        <is>
          <t>https://page.auctions.yahoo.co.jp/jp/auction/x1231657445</t>
        </is>
      </c>
    </row>
    <row r="24">
      <c r="A24" s="13" t="inlineStr">
        <is>
          <t>アルファード</t>
        </is>
      </c>
      <c r="B24" s="13" t="n">
        <v>2020</v>
      </c>
      <c r="C24" s="13" t="inlineStr">
        <is>
          <t>30系後期</t>
        </is>
      </c>
      <c r="D24" s="15" t="n">
        <v>2448000</v>
      </c>
      <c r="E24" s="13" t="n">
        <v>3</v>
      </c>
      <c r="F24" s="15" t="n">
        <v>124950</v>
      </c>
      <c r="G24" s="13" t="inlineStr">
        <is>
          <t>REAL_MILEAGE</t>
        </is>
      </c>
      <c r="H24" s="13" t="inlineStr">
        <is>
          <t>NONE</t>
        </is>
      </c>
      <c r="I24" s="15" t="n">
        <v>0</v>
      </c>
      <c r="J24" s="13" t="inlineStr">
        <is>
          <t>2026-05-28T21:35:13+09:00</t>
        </is>
      </c>
      <c r="K24" s="14" t="inlineStr">
        <is>
          <t>美車　アルファード　30後期　タイプゴールド　 パール　モデリスタ 　車検有</t>
        </is>
      </c>
      <c r="L24" s="13" t="inlineStr">
        <is>
          <t>https://page.auctions.yahoo.co.jp/jp/auction/1226049327</t>
        </is>
      </c>
    </row>
    <row r="25">
      <c r="A25" s="8" t="inlineStr">
        <is>
          <t>アルファード</t>
        </is>
      </c>
      <c r="B25" s="8" t="n">
        <v>2020</v>
      </c>
      <c r="C25" s="8" t="inlineStr">
        <is>
          <t>30系後期</t>
        </is>
      </c>
      <c r="D25" s="11" t="n">
        <v>2206000</v>
      </c>
      <c r="E25" s="8" t="n">
        <v>162</v>
      </c>
      <c r="F25" s="11" t="n">
        <v>98500</v>
      </c>
      <c r="G25" s="8" t="inlineStr">
        <is>
          <t>REAL_MILEAGE</t>
        </is>
      </c>
      <c r="H25" s="8" t="n"/>
      <c r="I25" s="11" t="n">
        <v>0</v>
      </c>
      <c r="J25" s="8" t="inlineStr">
        <is>
          <t>2026-04-25T22:07:09+09:00</t>
        </is>
      </c>
      <c r="K25" s="14" t="inlineStr">
        <is>
          <t>早い者勝ち★極上美車★トヨタ アルファード Sタイプゴールド 4WD★特別仕様車★両側パワスラ★人気車</t>
        </is>
      </c>
      <c r="L25" s="8" t="inlineStr">
        <is>
          <t>https://page.auctions.yahoo.co.jp/jp/auction/r1227350447</t>
        </is>
      </c>
    </row>
    <row r="26">
      <c r="A26" s="13" t="inlineStr">
        <is>
          <t>アルファード</t>
        </is>
      </c>
      <c r="B26" s="13" t="n">
        <v>2020</v>
      </c>
      <c r="C26" s="13" t="inlineStr">
        <is>
          <t>30系後期</t>
        </is>
      </c>
      <c r="D26" s="15" t="n">
        <v>2509001</v>
      </c>
      <c r="E26" s="13" t="n">
        <v>187</v>
      </c>
      <c r="F26" s="15" t="n">
        <v>97400</v>
      </c>
      <c r="G26" s="13" t="inlineStr">
        <is>
          <t>REAL_MILEAGE</t>
        </is>
      </c>
      <c r="H26" s="13" t="inlineStr">
        <is>
          <t>NONE</t>
        </is>
      </c>
      <c r="I26" s="15" t="n">
        <v>0</v>
      </c>
      <c r="J26" s="13" t="inlineStr">
        <is>
          <t>2026-04-09T21:33:20+09:00</t>
        </is>
      </c>
      <c r="K26" s="14" t="inlineStr">
        <is>
          <t>★トヨタ アルファード Sタイプゴールド★2020年★4WD★低走行9.7万km★車検あり★両側パワスラ★極上美車★早い者勝ち！</t>
        </is>
      </c>
      <c r="L26" s="13" t="inlineStr">
        <is>
          <t>https://page.auctions.yahoo.co.jp/jp/auction/u1225216861</t>
        </is>
      </c>
    </row>
    <row r="27">
      <c r="A27" s="8" t="inlineStr">
        <is>
          <t>アルファード</t>
        </is>
      </c>
      <c r="B27" s="8" t="n">
        <v>2020</v>
      </c>
      <c r="C27" s="8" t="inlineStr">
        <is>
          <t>30系後期</t>
        </is>
      </c>
      <c r="D27" s="11" t="n">
        <v>2003001</v>
      </c>
      <c r="E27" s="8" t="n">
        <v>181</v>
      </c>
      <c r="F27" s="11" t="n">
        <v>98000</v>
      </c>
      <c r="G27" s="8" t="inlineStr">
        <is>
          <t>REAL_MILEAGE</t>
        </is>
      </c>
      <c r="H27" s="8" t="inlineStr">
        <is>
          <t>NONE</t>
        </is>
      </c>
      <c r="I27" s="11" t="n">
        <v>0</v>
      </c>
      <c r="J27" s="8" t="inlineStr">
        <is>
          <t>2026-03-22T21:28:19+09:00</t>
        </is>
      </c>
      <c r="K27" s="14" t="inlineStr">
        <is>
          <t>☆アルファード　後期モデル　X　8人乗り　検9年4月　ワンオーナー　即戦力☆</t>
        </is>
      </c>
      <c r="L27" s="8" t="inlineStr">
        <is>
          <t>https://page.auctions.yahoo.co.jp/jp/auction/d1222322595</t>
        </is>
      </c>
    </row>
    <row r="28">
      <c r="A28" s="13" t="inlineStr">
        <is>
          <t>アルファード</t>
        </is>
      </c>
      <c r="B28" s="13" t="n">
        <v>2019</v>
      </c>
      <c r="C28" s="13" t="inlineStr">
        <is>
          <t>30系後期</t>
        </is>
      </c>
      <c r="D28" s="15" t="n">
        <v>2851000</v>
      </c>
      <c r="E28" s="13" t="n">
        <v>2</v>
      </c>
      <c r="F28" s="15" t="n">
        <v>66000</v>
      </c>
      <c r="G28" s="13" t="inlineStr">
        <is>
          <t>REAL_MILEAGE</t>
        </is>
      </c>
      <c r="H28" s="13" t="inlineStr">
        <is>
          <t>EXISTS</t>
        </is>
      </c>
      <c r="I28" s="15" t="n">
        <v>0</v>
      </c>
      <c r="J28" s="13" t="inlineStr">
        <is>
          <t>2026-06-20T22:45:45+09:00</t>
        </is>
      </c>
      <c r="K28" s="14" t="inlineStr">
        <is>
          <t>R1年9月　トヨタ　アルファード　２．５ＳＣパッケージ！！人気色ブラック！！カワシート！！フリップダウンモニター！！</t>
        </is>
      </c>
      <c r="L28" s="13" t="inlineStr">
        <is>
          <t>https://page.auctions.yahoo.co.jp/jp/auction/o1232572315</t>
        </is>
      </c>
    </row>
    <row r="29">
      <c r="A29" s="8" t="inlineStr">
        <is>
          <t>アルファード</t>
        </is>
      </c>
      <c r="B29" s="8" t="n">
        <v>2019</v>
      </c>
      <c r="C29" s="8" t="inlineStr">
        <is>
          <t>30系後期</t>
        </is>
      </c>
      <c r="D29" s="11" t="n">
        <v>3003000</v>
      </c>
      <c r="E29" s="8" t="n">
        <v>307</v>
      </c>
      <c r="F29" s="11" t="n">
        <v>56000</v>
      </c>
      <c r="G29" s="8" t="inlineStr">
        <is>
          <t>REAL_MILEAGE</t>
        </is>
      </c>
      <c r="H29" s="8" t="inlineStr">
        <is>
          <t>NONE</t>
        </is>
      </c>
      <c r="I29" s="11" t="n">
        <v>0</v>
      </c>
      <c r="J29" s="8" t="inlineStr">
        <is>
          <t>2026-06-10T21:34:30+09:00</t>
        </is>
      </c>
      <c r="K29" s="14" t="inlineStr">
        <is>
          <t>アルファード ハイブリッド X/ 燃料：ハイブリッド（ガソリン）/排気量：2,500cc/ ETC /バックカメラ /サンルーフ /車検は2年 /</t>
        </is>
      </c>
      <c r="L29" s="8" t="inlineStr">
        <is>
          <t>https://page.auctions.yahoo.co.jp/jp/auction/v1232217117</t>
        </is>
      </c>
    </row>
    <row r="30">
      <c r="A30" s="13" t="inlineStr">
        <is>
          <t>アルファード</t>
        </is>
      </c>
      <c r="B30" s="13" t="n">
        <v>2019</v>
      </c>
      <c r="C30" s="13" t="inlineStr">
        <is>
          <t>30系後期</t>
        </is>
      </c>
      <c r="D30" s="15" t="n">
        <v>1980000</v>
      </c>
      <c r="E30" s="13" t="n">
        <v>1</v>
      </c>
      <c r="F30" s="15" t="n">
        <v>109000</v>
      </c>
      <c r="G30" s="13" t="inlineStr">
        <is>
          <t>REAL_MILEAGE</t>
        </is>
      </c>
      <c r="H30" s="13" t="inlineStr">
        <is>
          <t>EXISTS</t>
        </is>
      </c>
      <c r="I30" s="15" t="n">
        <v>0</v>
      </c>
      <c r="J30" s="13" t="inlineStr">
        <is>
          <t>2026-03-22T09:18:41+09:00</t>
        </is>
      </c>
      <c r="K30" s="14" t="inlineStr">
        <is>
          <t>アルファード 2.5 X LM仕様 LM350仕様</t>
        </is>
      </c>
      <c r="L30" s="13" t="inlineStr">
        <is>
          <t>https://page.auctions.yahoo.co.jp/jp/auction/h1221353438</t>
        </is>
      </c>
    </row>
    <row r="31">
      <c r="A31" s="8" t="inlineStr">
        <is>
          <t>アルファード</t>
        </is>
      </c>
      <c r="B31" s="8" t="n">
        <v>2019</v>
      </c>
      <c r="C31" s="8" t="inlineStr">
        <is>
          <t>30系後期</t>
        </is>
      </c>
      <c r="D31" s="11" t="n">
        <v>2821000</v>
      </c>
      <c r="E31" s="8" t="n">
        <v>15</v>
      </c>
      <c r="F31" s="11" t="n">
        <v>131000</v>
      </c>
      <c r="G31" s="8" t="inlineStr">
        <is>
          <t>REAL_MILEAGE</t>
        </is>
      </c>
      <c r="H31" s="8" t="inlineStr">
        <is>
          <t>NONE</t>
        </is>
      </c>
      <c r="I31" s="11" t="n">
        <v>0</v>
      </c>
      <c r="J31" s="8" t="inlineStr">
        <is>
          <t>2026-03-03T21:38:06+09:00</t>
        </is>
      </c>
      <c r="K31" s="14" t="inlineStr">
        <is>
          <t>美車30系アルファード後期★車検令和8年7月まで★EXラウンジ★禁煙車★</t>
        </is>
      </c>
      <c r="L31" s="8" t="inlineStr">
        <is>
          <t>https://page.auctions.yahoo.co.jp/jp/auction/j1220791923</t>
        </is>
      </c>
    </row>
    <row r="32">
      <c r="A32" s="13" t="inlineStr">
        <is>
          <t>アルファード</t>
        </is>
      </c>
      <c r="B32" s="13" t="n">
        <v>2019</v>
      </c>
      <c r="C32" s="13" t="inlineStr">
        <is>
          <t>30系後期</t>
        </is>
      </c>
      <c r="D32" s="15" t="n">
        <v>2502000</v>
      </c>
      <c r="E32" s="13" t="n">
        <v>104</v>
      </c>
      <c r="F32" s="15" t="n">
        <v>88300</v>
      </c>
      <c r="G32" s="13" t="inlineStr">
        <is>
          <t>REAL_MILEAGE</t>
        </is>
      </c>
      <c r="H32" s="13" t="inlineStr">
        <is>
          <t>NONE</t>
        </is>
      </c>
      <c r="I32" s="15" t="n">
        <v>0</v>
      </c>
      <c r="J32" s="13" t="inlineStr">
        <is>
          <t>2026-02-27T23:13:28+09:00</t>
        </is>
      </c>
      <c r="K32" s="14" t="inlineStr">
        <is>
          <t>後期 モデル / アルファード / SC / 車検ロング // 完全売切 内外装キレイ</t>
        </is>
      </c>
      <c r="L32" s="13" t="inlineStr">
        <is>
          <t>https://page.auctions.yahoo.co.jp/jp/auction/o1220925836</t>
        </is>
      </c>
    </row>
    <row r="33">
      <c r="A33" s="8" t="inlineStr">
        <is>
          <t>アルファード</t>
        </is>
      </c>
      <c r="B33" s="8" t="n">
        <v>2018</v>
      </c>
      <c r="C33" s="8" t="inlineStr">
        <is>
          <t>30系後期</t>
        </is>
      </c>
      <c r="D33" s="11" t="n">
        <v>2668000</v>
      </c>
      <c r="E33" s="8" t="n">
        <v>74</v>
      </c>
      <c r="F33" s="11" t="n">
        <v>84805</v>
      </c>
      <c r="G33" s="8" t="inlineStr">
        <is>
          <t>REAL_MILEAGE</t>
        </is>
      </c>
      <c r="H33" s="8" t="inlineStr">
        <is>
          <t>NONE</t>
        </is>
      </c>
      <c r="I33" s="11" t="n">
        <v>16550</v>
      </c>
      <c r="J33" s="8" t="inlineStr">
        <is>
          <t>2026-08-17T21:03:14+09:00</t>
        </is>
      </c>
      <c r="K33" s="14" t="inlineStr">
        <is>
          <t>平成30年 トヨタ アルファード 後期 Ｓ Ｃパッケージ フルモデリスタエアロ 両側パワースライドドア ETC JBL 前後ドラレコ シートヒーター</t>
        </is>
      </c>
      <c r="L33" s="8" t="inlineStr">
        <is>
          <t>https://page.auctions.yahoo.co.jp/jp/auction/u1240763242</t>
        </is>
      </c>
    </row>
    <row r="34">
      <c r="A34" s="13" t="inlineStr">
        <is>
          <t>アルファード</t>
        </is>
      </c>
      <c r="B34" s="13" t="n">
        <v>2018</v>
      </c>
      <c r="C34" s="13" t="inlineStr">
        <is>
          <t>30系後期</t>
        </is>
      </c>
      <c r="D34" s="15" t="n">
        <v>3251000</v>
      </c>
      <c r="E34" s="13" t="n">
        <v>139</v>
      </c>
      <c r="F34" s="15" t="n">
        <v>89789</v>
      </c>
      <c r="G34" s="13" t="inlineStr">
        <is>
          <t>REAL_MILEAGE</t>
        </is>
      </c>
      <c r="H34" s="13" t="inlineStr">
        <is>
          <t>NONE</t>
        </is>
      </c>
      <c r="I34" s="15" t="n">
        <v>0</v>
      </c>
      <c r="J34" s="13" t="inlineStr">
        <is>
          <t>2026-08-16T23:44:33+09:00</t>
        </is>
      </c>
      <c r="K34" s="14" t="inlineStr">
        <is>
          <t>★アルファード★30後期★フルモデリスタ★SRC★ハイブリッド★JBL★リアエンターテイナー★9万キロ★コーティング施行済み★</t>
        </is>
      </c>
      <c r="L34" s="13" t="inlineStr">
        <is>
          <t>https://page.auctions.yahoo.co.jp/jp/auction/l1239644074</t>
        </is>
      </c>
    </row>
    <row r="35">
      <c r="A35" s="8" t="inlineStr">
        <is>
          <t>アルファード</t>
        </is>
      </c>
      <c r="B35" s="8" t="n">
        <v>2018</v>
      </c>
      <c r="C35" s="8" t="inlineStr">
        <is>
          <t>30系後期</t>
        </is>
      </c>
      <c r="D35" s="11" t="n">
        <v>4700000</v>
      </c>
      <c r="E35" s="8" t="n">
        <v>1</v>
      </c>
      <c r="F35" s="11" t="n">
        <v>15000</v>
      </c>
      <c r="G35" s="8" t="inlineStr">
        <is>
          <t>REAL_MILEAGE</t>
        </is>
      </c>
      <c r="H35" s="8" t="inlineStr">
        <is>
          <t>NONE</t>
        </is>
      </c>
      <c r="I35" s="11" t="n">
        <v>0</v>
      </c>
      <c r="J35" s="8" t="inlineStr">
        <is>
          <t>2026-06-30T16:32:14+09:00</t>
        </is>
      </c>
      <c r="K35" s="14" t="inlineStr">
        <is>
          <t>アルファードハイブリッド　S 30年　走行15000k 車検満タン</t>
        </is>
      </c>
      <c r="L35" s="8" t="inlineStr">
        <is>
          <t>https://page.auctions.yahoo.co.jp/jp/auction/j1235422793</t>
        </is>
      </c>
    </row>
    <row r="36">
      <c r="A36" s="13" t="inlineStr">
        <is>
          <t>アルファード</t>
        </is>
      </c>
      <c r="B36" s="13" t="n">
        <v>2018</v>
      </c>
      <c r="C36" s="13" t="inlineStr">
        <is>
          <t>30系後期</t>
        </is>
      </c>
      <c r="D36" s="15" t="n">
        <v>2350000</v>
      </c>
      <c r="E36" s="13" t="n">
        <v>1</v>
      </c>
      <c r="F36" s="15" t="n">
        <v>90900</v>
      </c>
      <c r="G36" s="13" t="inlineStr">
        <is>
          <t>REAL_MILEAGE</t>
        </is>
      </c>
      <c r="H36" s="13" t="inlineStr">
        <is>
          <t>EXISTS</t>
        </is>
      </c>
      <c r="I36" s="15" t="n">
        <v>0</v>
      </c>
      <c r="J36" s="13" t="inlineStr">
        <is>
          <t>2026-06-04T09:10:36+09:00</t>
        </is>
      </c>
      <c r="K36" s="14" t="inlineStr">
        <is>
          <t>【諸費用コミ】:平成30年 トヨタ アルファード 2.5 S アルパイン ビックX リアモニター 両側パワスラ パワーバックドア</t>
        </is>
      </c>
      <c r="L36" s="13" t="inlineStr">
        <is>
          <t>https://page.auctions.yahoo.co.jp/jp/auction/d1230708142</t>
        </is>
      </c>
    </row>
    <row r="37">
      <c r="A37" s="8" t="inlineStr">
        <is>
          <t>アルファード</t>
        </is>
      </c>
      <c r="B37" s="8" t="n">
        <v>2018</v>
      </c>
      <c r="C37" s="8" t="inlineStr">
        <is>
          <t>30系後期</t>
        </is>
      </c>
      <c r="D37" s="11" t="n">
        <v>2901000</v>
      </c>
      <c r="E37" s="8" t="n">
        <v>238</v>
      </c>
      <c r="F37" s="11" t="n">
        <v>110848</v>
      </c>
      <c r="G37" s="8" t="inlineStr">
        <is>
          <t>REAL_MILEAGE</t>
        </is>
      </c>
      <c r="H37" s="8" t="inlineStr">
        <is>
          <t>NONE</t>
        </is>
      </c>
      <c r="I37" s="11" t="n">
        <v>0</v>
      </c>
      <c r="J37" s="8" t="inlineStr">
        <is>
          <t>2026-05-23T23:07:23+09:00</t>
        </is>
      </c>
      <c r="K37" s="14" t="inlineStr">
        <is>
          <t>アルファード30系 AGH30 後期 モデリスタエアロ SC パッケージ 車検付き</t>
        </is>
      </c>
      <c r="L37" s="8" t="inlineStr">
        <is>
          <t>https://page.auctions.yahoo.co.jp/jp/auction/x1229914235</t>
        </is>
      </c>
    </row>
    <row r="38">
      <c r="A38" s="13" t="inlineStr">
        <is>
          <t>アルファード</t>
        </is>
      </c>
      <c r="B38" s="13" t="n">
        <v>2018</v>
      </c>
      <c r="C38" s="13" t="inlineStr">
        <is>
          <t>30系後期</t>
        </is>
      </c>
      <c r="D38" s="15" t="n">
        <v>2830000</v>
      </c>
      <c r="E38" s="13" t="n">
        <v>1</v>
      </c>
      <c r="F38" s="15" t="n">
        <v>110848</v>
      </c>
      <c r="G38" s="13" t="inlineStr">
        <is>
          <t>REAL_MILEAGE</t>
        </is>
      </c>
      <c r="H38" s="13" t="n"/>
      <c r="I38" s="15" t="n">
        <v>0</v>
      </c>
      <c r="J38" s="13" t="inlineStr">
        <is>
          <t>2026-05-18T20:41:25+09:00</t>
        </is>
      </c>
      <c r="K38" s="14" t="inlineStr">
        <is>
          <t>アルファード30系 AGH30 後期 モデリスタエアロ SCパッケージ 大阪府内引き取りのみ</t>
        </is>
      </c>
      <c r="L38" s="13" t="inlineStr">
        <is>
          <t>https://page.auctions.yahoo.co.jp/jp/auction/g1230345804</t>
        </is>
      </c>
    </row>
    <row r="39">
      <c r="A39" s="8" t="inlineStr">
        <is>
          <t>アルファード</t>
        </is>
      </c>
      <c r="B39" s="8" t="n">
        <v>2018</v>
      </c>
      <c r="C39" s="8" t="inlineStr">
        <is>
          <t>30系後期</t>
        </is>
      </c>
      <c r="D39" s="11" t="n">
        <v>2174000</v>
      </c>
      <c r="E39" s="8" t="n">
        <v>558</v>
      </c>
      <c r="F39" s="11" t="n">
        <v>115550</v>
      </c>
      <c r="G39" s="8" t="inlineStr">
        <is>
          <t>REAL_MILEAGE</t>
        </is>
      </c>
      <c r="H39" s="8" t="n"/>
      <c r="I39" s="11" t="n">
        <v>0</v>
      </c>
      <c r="J39" s="8" t="inlineStr">
        <is>
          <t>2026-05-17T19:45:08+09:00</t>
        </is>
      </c>
      <c r="K39" s="14" t="inlineStr">
        <is>
          <t>格安売切！H30年式アルファード(2.5G)・検R9.6.30迄・フルセグ・両PS・Pバックドア・ベージュ本革シート・7人乗り・ナビ・その他装備多数</t>
        </is>
      </c>
      <c r="L39" s="8" t="inlineStr">
        <is>
          <t>https://page.auctions.yahoo.co.jp/jp/auction/x1229097571</t>
        </is>
      </c>
    </row>
    <row r="40">
      <c r="A40" s="13" t="inlineStr">
        <is>
          <t>アルファード</t>
        </is>
      </c>
      <c r="B40" s="13" t="n">
        <v>2017</v>
      </c>
      <c r="C40" s="13" t="inlineStr">
        <is>
          <t>30系前期</t>
        </is>
      </c>
      <c r="D40" s="15" t="n">
        <v>2611888</v>
      </c>
      <c r="E40" s="13" t="n">
        <v>189</v>
      </c>
      <c r="F40" s="15" t="n">
        <v>171500</v>
      </c>
      <c r="G40" s="13" t="inlineStr">
        <is>
          <t>REAL_MILEAGE</t>
        </is>
      </c>
      <c r="H40" s="13" t="n"/>
      <c r="I40" s="15" t="n">
        <v>46550</v>
      </c>
      <c r="J40" s="13" t="inlineStr">
        <is>
          <t>2026-07-12T21:20:56+09:00</t>
        </is>
      </c>
      <c r="K40" s="14" t="inlineStr">
        <is>
          <t xml:space="preserve">売切 レクサス LM300h エグゼクティブラウンジ アンビエント YouTube サンルーフ JBL Netflix 両側Pスラ アルファード FireTV 黒革 LM350 </t>
        </is>
      </c>
      <c r="L40" s="13" t="inlineStr">
        <is>
          <t>https://page.auctions.yahoo.co.jp/jp/auction/q1232097796</t>
        </is>
      </c>
    </row>
    <row r="41">
      <c r="A41" s="8" t="inlineStr">
        <is>
          <t>アルファード</t>
        </is>
      </c>
      <c r="B41" s="8" t="n">
        <v>2017</v>
      </c>
      <c r="C41" s="8" t="inlineStr">
        <is>
          <t>30系前期</t>
        </is>
      </c>
      <c r="D41" s="11" t="n">
        <v>3480000</v>
      </c>
      <c r="E41" s="8" t="n">
        <v>5</v>
      </c>
      <c r="F41" s="11" t="n">
        <v>9829</v>
      </c>
      <c r="G41" s="8" t="inlineStr">
        <is>
          <t>REAL_MILEAGE</t>
        </is>
      </c>
      <c r="H41" s="8" t="inlineStr">
        <is>
          <t>NONE</t>
        </is>
      </c>
      <c r="I41" s="11" t="n">
        <v>0</v>
      </c>
      <c r="J41" s="8" t="inlineStr">
        <is>
          <t>2026-07-05T21:41:33+09:00</t>
        </is>
      </c>
      <c r="K41" s="14" t="inlineStr">
        <is>
          <t>平成29年式30アルファードHV SR-C 4WD 寒冷地仕様　走行距離9,829Km　札幌発</t>
        </is>
      </c>
      <c r="L41" s="8" t="inlineStr">
        <is>
          <t>https://page.auctions.yahoo.co.jp/jp/auction/j1234475542</t>
        </is>
      </c>
    </row>
    <row r="42">
      <c r="A42" s="13" t="inlineStr">
        <is>
          <t>アルファード</t>
        </is>
      </c>
      <c r="B42" s="13" t="n">
        <v>2017</v>
      </c>
      <c r="C42" s="13" t="inlineStr">
        <is>
          <t>30系前期</t>
        </is>
      </c>
      <c r="D42" s="15" t="n">
        <v>2080001</v>
      </c>
      <c r="E42" s="13" t="n">
        <v>1</v>
      </c>
      <c r="F42" s="15" t="n">
        <v>113000</v>
      </c>
      <c r="G42" s="13" t="inlineStr">
        <is>
          <t>REAL_MILEAGE</t>
        </is>
      </c>
      <c r="H42" s="13" t="inlineStr">
        <is>
          <t>EXISTS</t>
        </is>
      </c>
      <c r="I42" s="15" t="n">
        <v>0</v>
      </c>
      <c r="J42" s="13" t="inlineStr">
        <is>
          <t>2026-06-18T17:33:04+09:00</t>
        </is>
      </c>
      <c r="K42" s="14" t="inlineStr">
        <is>
          <t>アルファード 2.5 S Aパッケージ タイプ ブラック LM仕様 LM350仕様 LEDヘッドライト シーケ</t>
        </is>
      </c>
      <c r="L42" s="13" t="inlineStr">
        <is>
          <t>https://page.auctions.yahoo.co.jp/jp/auction/t1231956375</t>
        </is>
      </c>
    </row>
    <row r="43">
      <c r="A43" s="8" t="inlineStr">
        <is>
          <t>アルファード</t>
        </is>
      </c>
      <c r="B43" s="8" t="n">
        <v>2017</v>
      </c>
      <c r="C43" s="8" t="inlineStr">
        <is>
          <t>30系前期</t>
        </is>
      </c>
      <c r="D43" s="11" t="n">
        <v>1330000</v>
      </c>
      <c r="E43" s="8" t="n">
        <v>1</v>
      </c>
      <c r="F43" s="11" t="n">
        <v>138000</v>
      </c>
      <c r="G43" s="8" t="inlineStr">
        <is>
          <t>REAL_MILEAGE</t>
        </is>
      </c>
      <c r="H43" s="8" t="inlineStr">
        <is>
          <t>NONE</t>
        </is>
      </c>
      <c r="I43" s="11" t="n">
        <v>0</v>
      </c>
      <c r="J43" s="8" t="inlineStr">
        <is>
          <t>2026-05-10T18:34:34+09:00</t>
        </is>
      </c>
      <c r="K43" s="14" t="inlineStr">
        <is>
          <t>アルファード 2.5 G ALPINE9インチナビ　フルセグTV</t>
        </is>
      </c>
      <c r="L43" s="8" t="inlineStr">
        <is>
          <t>https://page.auctions.yahoo.co.jp/jp/auction/p1229253295</t>
        </is>
      </c>
    </row>
    <row r="44">
      <c r="A44" s="13" t="inlineStr">
        <is>
          <t>アルファード</t>
        </is>
      </c>
      <c r="B44" s="13" t="n">
        <v>2017</v>
      </c>
      <c r="C44" s="13" t="inlineStr">
        <is>
          <t>30系前期</t>
        </is>
      </c>
      <c r="D44" s="15" t="n">
        <v>1330000</v>
      </c>
      <c r="E44" s="13" t="n">
        <v>1</v>
      </c>
      <c r="F44" s="15" t="n">
        <v>138000</v>
      </c>
      <c r="G44" s="13" t="inlineStr">
        <is>
          <t>REAL_MILEAGE</t>
        </is>
      </c>
      <c r="H44" s="13" t="inlineStr">
        <is>
          <t>NONE</t>
        </is>
      </c>
      <c r="I44" s="15" t="n">
        <v>0</v>
      </c>
      <c r="J44" s="13" t="inlineStr">
        <is>
          <t>2026-05-03T20:53:03+09:00</t>
        </is>
      </c>
      <c r="K44" s="14" t="inlineStr">
        <is>
          <t>アルファード 2.5 G ALPINE9インチナビ　フルセグTV</t>
        </is>
      </c>
      <c r="L44" s="13" t="inlineStr">
        <is>
          <t>https://page.auctions.yahoo.co.jp/jp/auction/o1227354964</t>
        </is>
      </c>
    </row>
    <row r="45">
      <c r="A45" s="8" t="inlineStr">
        <is>
          <t>アルファード</t>
        </is>
      </c>
      <c r="B45" s="8" t="n">
        <v>2017</v>
      </c>
      <c r="C45" s="8" t="inlineStr">
        <is>
          <t>30系前期</t>
        </is>
      </c>
      <c r="D45" s="11" t="n">
        <v>1500000</v>
      </c>
      <c r="E45" s="8" t="n">
        <v>1</v>
      </c>
      <c r="F45" s="11" t="n">
        <v>130000</v>
      </c>
      <c r="G45" s="8" t="inlineStr">
        <is>
          <t>REAL_MILEAGE</t>
        </is>
      </c>
      <c r="H45" s="8" t="inlineStr">
        <is>
          <t>NONE</t>
        </is>
      </c>
      <c r="I45" s="11" t="n">
        <v>0</v>
      </c>
      <c r="J45" s="8" t="inlineStr">
        <is>
          <t>2026-03-05T13:34:27+09:00</t>
        </is>
      </c>
      <c r="K45" s="14" t="inlineStr">
        <is>
          <t xml:space="preserve">トヨタ アルファード 30系前期 SCパッケージ </t>
        </is>
      </c>
      <c r="L45" s="8" t="inlineStr">
        <is>
          <t>https://page.auctions.yahoo.co.jp/jp/auction/u1221442364</t>
        </is>
      </c>
    </row>
    <row r="46">
      <c r="A46" s="13" t="inlineStr">
        <is>
          <t>アルファード</t>
        </is>
      </c>
      <c r="B46" s="13" t="n">
        <v>2016</v>
      </c>
      <c r="C46" s="13" t="inlineStr">
        <is>
          <t>30系前期</t>
        </is>
      </c>
      <c r="D46" s="15" t="n">
        <v>1395000</v>
      </c>
      <c r="E46" s="13" t="n">
        <v>7</v>
      </c>
      <c r="F46" s="15" t="n">
        <v>148000</v>
      </c>
      <c r="G46" s="13" t="inlineStr">
        <is>
          <t>REAL_MILEAGE</t>
        </is>
      </c>
      <c r="H46" s="13" t="n"/>
      <c r="I46" s="15" t="n">
        <v>0</v>
      </c>
      <c r="J46" s="13" t="inlineStr">
        <is>
          <t>2026-05-30T21:46:23+09:00</t>
        </is>
      </c>
      <c r="K46" s="14" t="inlineStr">
        <is>
          <t>今回限り売切り！好調美車！アルファード2.5S Aパケ 走行148,000 車検R9.3 ローダウン社外21inAW TVフリップダウンモニターETC下取大歓迎！</t>
        </is>
      </c>
      <c r="L46" s="13" t="inlineStr">
        <is>
          <t>https://page.auctions.yahoo.co.jp/jp/auction/w1230123248</t>
        </is>
      </c>
    </row>
    <row r="47">
      <c r="A47" s="8" t="inlineStr">
        <is>
          <t>アルファード</t>
        </is>
      </c>
      <c r="B47" s="8" t="n">
        <v>2016</v>
      </c>
      <c r="C47" s="8" t="inlineStr">
        <is>
          <t>30系前期</t>
        </is>
      </c>
      <c r="D47" s="11" t="n">
        <v>2981000</v>
      </c>
      <c r="E47" s="8" t="n">
        <v>140</v>
      </c>
      <c r="F47" s="11" t="n">
        <v>54629</v>
      </c>
      <c r="G47" s="8" t="inlineStr">
        <is>
          <t>REAL_MILEAGE</t>
        </is>
      </c>
      <c r="H47" s="8" t="inlineStr">
        <is>
          <t>NONE</t>
        </is>
      </c>
      <c r="I47" s="11" t="n">
        <v>0</v>
      </c>
      <c r="J47" s="8" t="inlineStr">
        <is>
          <t>2026-05-02T22:08:20+09:00</t>
        </is>
      </c>
      <c r="K47" s="14" t="inlineStr">
        <is>
          <t>0円スタート!! トヨタ アルファードHV G Fパッケージ 4WD 平成28年 5.4万km 車検R9/5 低走行 美車</t>
        </is>
      </c>
      <c r="L47" s="8" t="inlineStr">
        <is>
          <t>https://page.auctions.yahoo.co.jp/jp/auction/o1227278637</t>
        </is>
      </c>
    </row>
    <row r="48">
      <c r="A48" s="13" t="inlineStr">
        <is>
          <t>アルファード</t>
        </is>
      </c>
      <c r="B48" s="13" t="n">
        <v>2015</v>
      </c>
      <c r="C48" s="13" t="inlineStr">
        <is>
          <t>30系前期</t>
        </is>
      </c>
      <c r="D48" s="15" t="n">
        <v>1591000</v>
      </c>
      <c r="E48" s="13" t="n">
        <v>38</v>
      </c>
      <c r="F48" s="15" t="n">
        <v>94000</v>
      </c>
      <c r="G48" s="13" t="inlineStr">
        <is>
          <t>REAL_MILEAGE</t>
        </is>
      </c>
      <c r="H48" s="13" t="inlineStr">
        <is>
          <t>NONE</t>
        </is>
      </c>
      <c r="I48" s="15" t="n">
        <v>0</v>
      </c>
      <c r="J48" s="13" t="inlineStr">
        <is>
          <t>2026-07-15T21:58:47+09:00</t>
        </is>
      </c>
      <c r="K48" s="14" t="inlineStr">
        <is>
          <t>トヨタ アルファード 3.5 SA Cパッケージ ツインムーンルーフ JBL 7人乗り ETC 自走可能 書類付き</t>
        </is>
      </c>
      <c r="L48" s="13" t="inlineStr">
        <is>
          <t>https://page.auctions.yahoo.co.jp/jp/auction/o1236645906</t>
        </is>
      </c>
    </row>
    <row r="49">
      <c r="A49" s="8" t="inlineStr">
        <is>
          <t>アルファード</t>
        </is>
      </c>
      <c r="B49" s="8" t="n">
        <v>2015</v>
      </c>
      <c r="C49" s="8" t="inlineStr">
        <is>
          <t>30系前期</t>
        </is>
      </c>
      <c r="D49" s="11" t="n">
        <v>1648000</v>
      </c>
      <c r="E49" s="8" t="n">
        <v>1</v>
      </c>
      <c r="F49" s="11" t="n">
        <v>155000</v>
      </c>
      <c r="G49" s="8" t="inlineStr">
        <is>
          <t>REAL_MILEAGE</t>
        </is>
      </c>
      <c r="H49" s="8" t="inlineStr">
        <is>
          <t>NONE</t>
        </is>
      </c>
      <c r="I49" s="11" t="n">
        <v>60050</v>
      </c>
      <c r="J49" s="8" t="inlineStr">
        <is>
          <t>2026-06-28T14:00:52+09:00</t>
        </is>
      </c>
      <c r="K49" s="14" t="inlineStr">
        <is>
          <t xml:space="preserve">アルファード　4WD SA Cパッケージ 3500cc ツインモニター 20インチアルミ JBL　パール　車検10/5まで　無事故車　綺麗です　</t>
        </is>
      </c>
      <c r="L49" s="8" t="inlineStr">
        <is>
          <t>https://page.auctions.yahoo.co.jp/jp/auction/c1234354925</t>
        </is>
      </c>
    </row>
    <row r="50">
      <c r="A50" s="13" t="inlineStr">
        <is>
          <t>アルファード</t>
        </is>
      </c>
      <c r="B50" s="13" t="n">
        <v>2015</v>
      </c>
      <c r="C50" s="13" t="inlineStr">
        <is>
          <t>30系前期</t>
        </is>
      </c>
      <c r="D50" s="15" t="n">
        <v>1280000</v>
      </c>
      <c r="E50" s="13" t="n">
        <v>1</v>
      </c>
      <c r="F50" s="15" t="n">
        <v>138000</v>
      </c>
      <c r="G50" s="13" t="inlineStr">
        <is>
          <t>REAL_MILEAGE</t>
        </is>
      </c>
      <c r="H50" s="13" t="inlineStr">
        <is>
          <t>NONE</t>
        </is>
      </c>
      <c r="I50" s="15" t="n">
        <v>0</v>
      </c>
      <c r="J50" s="13" t="inlineStr">
        <is>
          <t>2026-06-17T11:47:05+09:00</t>
        </is>
      </c>
      <c r="K50" s="14" t="inlineStr">
        <is>
          <t>アルファード 2.5 S Aパッケージ ワンオーナー　純正9インチナビ</t>
        </is>
      </c>
      <c r="L50" s="13" t="inlineStr">
        <is>
          <t>https://page.auctions.yahoo.co.jp/jp/auction/m1232672191</t>
        </is>
      </c>
    </row>
    <row r="51">
      <c r="A51" s="8" t="inlineStr">
        <is>
          <t>アルファード</t>
        </is>
      </c>
      <c r="B51" s="8" t="n">
        <v>2015</v>
      </c>
      <c r="C51" s="8" t="inlineStr">
        <is>
          <t>30系前期</t>
        </is>
      </c>
      <c r="D51" s="11" t="n">
        <v>898000</v>
      </c>
      <c r="E51" s="8" t="n">
        <v>2</v>
      </c>
      <c r="F51" s="11" t="n">
        <v>98000</v>
      </c>
      <c r="G51" s="8" t="inlineStr">
        <is>
          <t>REAL_MILEAGE</t>
        </is>
      </c>
      <c r="H51" s="8" t="inlineStr">
        <is>
          <t>EXISTS</t>
        </is>
      </c>
      <c r="I51" s="11" t="n">
        <v>0</v>
      </c>
      <c r="J51" s="8" t="inlineStr">
        <is>
          <t>2026-05-17T13:36:04+09:00</t>
        </is>
      </c>
      <c r="K51" s="14" t="inlineStr">
        <is>
          <t>車検満タン 27年式 アルファード 後期 ナビ TV Bluetooth 後席モニター バックカメラ 両側Pスラ Pバックドア スマキー サンルーフ クルコン</t>
        </is>
      </c>
      <c r="L51" s="8" t="inlineStr">
        <is>
          <t>https://page.auctions.yahoo.co.jp/jp/auction/p1228485763</t>
        </is>
      </c>
    </row>
    <row r="52">
      <c r="A52" s="13" t="inlineStr">
        <is>
          <t>アルファード</t>
        </is>
      </c>
      <c r="B52" s="13" t="n">
        <v>2015</v>
      </c>
      <c r="C52" s="13" t="inlineStr">
        <is>
          <t>30系前期</t>
        </is>
      </c>
      <c r="D52" s="15" t="n">
        <v>1350000</v>
      </c>
      <c r="E52" s="13" t="n">
        <v>244</v>
      </c>
      <c r="F52" s="15" t="n">
        <v>203668</v>
      </c>
      <c r="G52" s="13" t="inlineStr">
        <is>
          <t>REAL_MILEAGE</t>
        </is>
      </c>
      <c r="H52" s="13" t="inlineStr">
        <is>
          <t>NONE</t>
        </is>
      </c>
      <c r="I52" s="15" t="n">
        <v>0</v>
      </c>
      <c r="J52" s="13" t="inlineStr">
        <is>
          <t>2026-04-12T23:47:22+09:00</t>
        </is>
      </c>
      <c r="K52" s="14" t="inlineStr">
        <is>
          <t>トヨタ アルファード30系 AGH30W SAパッケージ サンルーフ付き 車検付き</t>
        </is>
      </c>
      <c r="L52" s="13" t="inlineStr">
        <is>
          <t>https://page.auctions.yahoo.co.jp/jp/auction/q1225257033</t>
        </is>
      </c>
    </row>
    <row r="53">
      <c r="A53" s="8" t="inlineStr">
        <is>
          <t>アルファード</t>
        </is>
      </c>
      <c r="B53" s="8" t="n">
        <v>2014</v>
      </c>
      <c r="C53" s="8" t="inlineStr">
        <is>
          <t>20系</t>
        </is>
      </c>
      <c r="D53" s="11" t="n">
        <v>641000</v>
      </c>
      <c r="E53" s="8" t="n">
        <v>68</v>
      </c>
      <c r="F53" s="11" t="n">
        <v>190000</v>
      </c>
      <c r="G53" s="8" t="inlineStr">
        <is>
          <t>REAL_MILEAGE</t>
        </is>
      </c>
      <c r="H53" s="8" t="inlineStr">
        <is>
          <t>NONE</t>
        </is>
      </c>
      <c r="I53" s="11" t="n">
        <v>0</v>
      </c>
      <c r="J53" s="8" t="inlineStr">
        <is>
          <t>2026-05-24T20:44:48+09:00</t>
        </is>
      </c>
      <c r="K53" s="14" t="inlineStr">
        <is>
          <t>トヨタ アルファード 実走行19万km 修復歴なし 車検10年5月</t>
        </is>
      </c>
      <c r="L53" s="8" t="inlineStr">
        <is>
          <t>https://page.auctions.yahoo.co.jp/jp/auction/u1228787240</t>
        </is>
      </c>
    </row>
    <row r="54">
      <c r="A54" s="13" t="inlineStr">
        <is>
          <t>アルファード</t>
        </is>
      </c>
      <c r="B54" s="13" t="n">
        <v>2014</v>
      </c>
      <c r="C54" s="13" t="inlineStr">
        <is>
          <t>20系</t>
        </is>
      </c>
      <c r="D54" s="15" t="n">
        <v>700000</v>
      </c>
      <c r="E54" s="13" t="n">
        <v>44</v>
      </c>
      <c r="F54" s="15" t="n">
        <v>150022</v>
      </c>
      <c r="G54" s="13" t="inlineStr">
        <is>
          <t>REAL_MILEAGE</t>
        </is>
      </c>
      <c r="H54" s="13" t="inlineStr">
        <is>
          <t>NONE</t>
        </is>
      </c>
      <c r="I54" s="15" t="n">
        <v>0</v>
      </c>
      <c r="J54" s="13" t="inlineStr">
        <is>
          <t>2026-04-11T17:13:09+09:00</t>
        </is>
      </c>
      <c r="K54" s="14" t="inlineStr">
        <is>
          <t>トヨタ アルファード240S タイプゴールド2、車検あり</t>
        </is>
      </c>
      <c r="L54" s="13" t="inlineStr">
        <is>
          <t>https://page.auctions.yahoo.co.jp/jp/auction/v1224533580</t>
        </is>
      </c>
    </row>
    <row r="55">
      <c r="A55" s="8" t="inlineStr">
        <is>
          <t>アルファード</t>
        </is>
      </c>
      <c r="B55" s="8" t="n">
        <v>2013</v>
      </c>
      <c r="C55" s="8" t="inlineStr">
        <is>
          <t>20系</t>
        </is>
      </c>
      <c r="D55" s="11" t="n">
        <v>604260</v>
      </c>
      <c r="E55" s="8" t="n">
        <v>1</v>
      </c>
      <c r="F55" s="11" t="n">
        <v>116883</v>
      </c>
      <c r="G55" s="8" t="inlineStr">
        <is>
          <t>REAL_MILEAGE</t>
        </is>
      </c>
      <c r="H55" s="8" t="inlineStr">
        <is>
          <t>NONE</t>
        </is>
      </c>
      <c r="I55" s="11" t="n">
        <v>0</v>
      </c>
      <c r="J55" s="8" t="inlineStr">
        <is>
          <t>2026-07-20T15:43:43+09:00</t>
        </is>
      </c>
      <c r="K55" s="14" t="inlineStr">
        <is>
          <t>※ATJ様専用出品25年後期アルファード・240G</t>
        </is>
      </c>
      <c r="L55" s="8" t="inlineStr">
        <is>
          <t>https://page.auctions.yahoo.co.jp/jp/auction/w1237769295</t>
        </is>
      </c>
    </row>
    <row r="56">
      <c r="A56" s="13" t="inlineStr">
        <is>
          <t>アルファード</t>
        </is>
      </c>
      <c r="B56" s="13" t="n">
        <v>2013</v>
      </c>
      <c r="C56" s="13" t="inlineStr">
        <is>
          <t>20系</t>
        </is>
      </c>
      <c r="D56" s="15" t="n">
        <v>625000</v>
      </c>
      <c r="E56" s="13" t="n">
        <v>1</v>
      </c>
      <c r="F56" s="15" t="n">
        <v>182800</v>
      </c>
      <c r="G56" s="13" t="inlineStr">
        <is>
          <t>REAL_MILEAGE</t>
        </is>
      </c>
      <c r="H56" s="13" t="inlineStr">
        <is>
          <t>NONE</t>
        </is>
      </c>
      <c r="I56" s="15" t="n">
        <v>54960</v>
      </c>
      <c r="J56" s="13" t="inlineStr">
        <is>
          <t>2026-06-16T14:42:45+09:00</t>
        </is>
      </c>
      <c r="K56" s="14" t="inlineStr">
        <is>
          <t>アルファード*タイプゴールド*検10/6迄*HID*両パワスラ*Wサンルーフ*フリップダウン*PWバックドア*純正ナビ*Bカメラ*DTV*純正AW*310610</t>
        </is>
      </c>
      <c r="L56" s="13" t="inlineStr">
        <is>
          <t>https://page.auctions.yahoo.co.jp/jp/auction/w1233429720</t>
        </is>
      </c>
    </row>
    <row r="57">
      <c r="A57" s="8" t="inlineStr">
        <is>
          <t>アルファード</t>
        </is>
      </c>
      <c r="B57" s="8" t="n">
        <v>2013</v>
      </c>
      <c r="C57" s="8" t="inlineStr">
        <is>
          <t>20系</t>
        </is>
      </c>
      <c r="D57" s="11" t="n">
        <v>748000</v>
      </c>
      <c r="E57" s="8" t="n">
        <v>1</v>
      </c>
      <c r="F57" s="11" t="n">
        <v>128000</v>
      </c>
      <c r="G57" s="8" t="inlineStr">
        <is>
          <t>REAL_MILEAGE</t>
        </is>
      </c>
      <c r="H57" s="8" t="inlineStr">
        <is>
          <t>NONE</t>
        </is>
      </c>
      <c r="I57" s="11" t="n">
        <v>0</v>
      </c>
      <c r="J57" s="8" t="inlineStr">
        <is>
          <t>2026-06-07T07:59:51+09:00</t>
        </is>
      </c>
      <c r="K57" s="14" t="inlineStr">
        <is>
          <t>アルファード 2.4 240S バックカメラ・両側パワースライドドア</t>
        </is>
      </c>
      <c r="L57" s="8" t="inlineStr">
        <is>
          <t>https://page.auctions.yahoo.co.jp/jp/auction/x1217883506</t>
        </is>
      </c>
    </row>
    <row r="58">
      <c r="A58" s="13" t="inlineStr">
        <is>
          <t>アルファード</t>
        </is>
      </c>
      <c r="B58" s="13" t="n">
        <v>2013</v>
      </c>
      <c r="C58" s="13" t="inlineStr">
        <is>
          <t>20系</t>
        </is>
      </c>
      <c r="D58" s="15" t="n">
        <v>598000</v>
      </c>
      <c r="E58" s="13" t="n">
        <v>1</v>
      </c>
      <c r="F58" s="15" t="n">
        <v>175200</v>
      </c>
      <c r="G58" s="13" t="inlineStr">
        <is>
          <t>REAL_MILEAGE</t>
        </is>
      </c>
      <c r="H58" s="13" t="inlineStr">
        <is>
          <t>NONE</t>
        </is>
      </c>
      <c r="I58" s="15" t="n">
        <v>0</v>
      </c>
      <c r="J58" s="13" t="inlineStr">
        <is>
          <t>2026-05-09T14:30:17+09:00</t>
        </is>
      </c>
      <c r="K58" s="14" t="inlineStr">
        <is>
          <t>※福岡県新宮町※アルファード*240S*車検令和8年12月迄*即日お渡し可能*フリップダウンモニター*アルパインナビ*左パワスラ*210411</t>
        </is>
      </c>
      <c r="L58" s="13" t="inlineStr">
        <is>
          <t>https://page.auctions.yahoo.co.jp/jp/auction/l1228335014</t>
        </is>
      </c>
    </row>
    <row r="59">
      <c r="A59" s="8" t="inlineStr">
        <is>
          <t>アルファード</t>
        </is>
      </c>
      <c r="B59" s="8" t="n">
        <v>2013</v>
      </c>
      <c r="C59" s="8" t="inlineStr">
        <is>
          <t>20系</t>
        </is>
      </c>
      <c r="D59" s="11" t="n">
        <v>1280000</v>
      </c>
      <c r="E59" s="8" t="n">
        <v>1</v>
      </c>
      <c r="F59" s="11" t="n">
        <v>85000</v>
      </c>
      <c r="G59" s="8" t="inlineStr">
        <is>
          <t>REAL_MILEAGE</t>
        </is>
      </c>
      <c r="H59" s="8" t="inlineStr">
        <is>
          <t>EXISTS</t>
        </is>
      </c>
      <c r="I59" s="11" t="n">
        <v>0</v>
      </c>
      <c r="J59" s="8" t="inlineStr">
        <is>
          <t>2026-05-09T06:33:24+09:00</t>
        </is>
      </c>
      <c r="K59" s="14" t="inlineStr">
        <is>
          <t>【諸費用コミ】:■信用回復ローン岡山■全国納車■頭金/保証人不■84回払可■ 平成25年 アルファード 2.4 240S タイプゴ</t>
        </is>
      </c>
      <c r="L59" s="8" t="inlineStr">
        <is>
          <t>https://page.auctions.yahoo.co.jp/jp/auction/m1228485522</t>
        </is>
      </c>
    </row>
    <row r="60">
      <c r="A60" s="13" t="inlineStr">
        <is>
          <t>アルファード</t>
        </is>
      </c>
      <c r="B60" s="13" t="n">
        <v>2013</v>
      </c>
      <c r="C60" s="13" t="inlineStr">
        <is>
          <t>20系</t>
        </is>
      </c>
      <c r="D60" s="15" t="n">
        <v>802000</v>
      </c>
      <c r="E60" s="13" t="n">
        <v>4</v>
      </c>
      <c r="F60" s="15" t="n">
        <v>53000</v>
      </c>
      <c r="G60" s="13" t="inlineStr">
        <is>
          <t>REAL_MILEAGE</t>
        </is>
      </c>
      <c r="H60" s="13" t="n"/>
      <c r="I60" s="15" t="n">
        <v>0</v>
      </c>
      <c r="J60" s="13" t="inlineStr">
        <is>
          <t>2026-03-11T20:17:29+09:00</t>
        </is>
      </c>
      <c r="K60" s="14" t="inlineStr">
        <is>
          <t>トヨタ　アルファード　２４０ｓｃ　パッケージ</t>
        </is>
      </c>
      <c r="L60" s="13" t="inlineStr">
        <is>
          <t>https://page.auctions.yahoo.co.jp/jp/auction/x1220480034</t>
        </is>
      </c>
    </row>
    <row r="61">
      <c r="A61" s="8" t="inlineStr">
        <is>
          <t>アルファード</t>
        </is>
      </c>
      <c r="B61" s="8" t="n">
        <v>2012</v>
      </c>
      <c r="C61" s="8" t="inlineStr">
        <is>
          <t>20系</t>
        </is>
      </c>
      <c r="D61" s="11" t="n">
        <v>900000</v>
      </c>
      <c r="E61" s="8" t="n">
        <v>1</v>
      </c>
      <c r="F61" s="11" t="n">
        <v>145000</v>
      </c>
      <c r="G61" s="8" t="inlineStr">
        <is>
          <t>REAL_MILEAGE</t>
        </is>
      </c>
      <c r="H61" s="8" t="inlineStr">
        <is>
          <t>NONE</t>
        </is>
      </c>
      <c r="I61" s="11" t="n">
        <v>62160</v>
      </c>
      <c r="J61" s="8" t="inlineStr">
        <is>
          <t>2026-08-10T21:10:29+09:00</t>
        </is>
      </c>
      <c r="K61" s="14" t="inlineStr">
        <is>
          <t>アルファードハイブリッド SR Cパッケージ 全周囲モニター ツインサンルーフ パワーバックドア 車検2027年6/4 アルファード 20系</t>
        </is>
      </c>
      <c r="L61" s="8" t="inlineStr">
        <is>
          <t>https://page.auctions.yahoo.co.jp/jp/auction/u1236932454</t>
        </is>
      </c>
    </row>
    <row r="62">
      <c r="A62" s="13" t="inlineStr">
        <is>
          <t>アルファード</t>
        </is>
      </c>
      <c r="B62" s="13" t="n">
        <v>2012</v>
      </c>
      <c r="C62" s="13" t="inlineStr">
        <is>
          <t>20系</t>
        </is>
      </c>
      <c r="D62" s="15" t="n">
        <v>379500</v>
      </c>
      <c r="E62" s="13" t="n">
        <v>29</v>
      </c>
      <c r="F62" s="15" t="n">
        <v>225761</v>
      </c>
      <c r="G62" s="13" t="inlineStr">
        <is>
          <t>REAL_MILEAGE</t>
        </is>
      </c>
      <c r="H62" s="13" t="inlineStr">
        <is>
          <t>NONE</t>
        </is>
      </c>
      <c r="I62" s="15" t="n">
        <v>16360</v>
      </c>
      <c r="J62" s="13" t="inlineStr">
        <is>
          <t>2026-08-08T20:19:36+09:00</t>
        </is>
      </c>
      <c r="K62" s="14" t="inlineStr">
        <is>
          <t>【くるま☆市場】★検付き20アルファードツインムーンルーフTRDスポイラー社外アルミ</t>
        </is>
      </c>
      <c r="L62" s="13" t="inlineStr">
        <is>
          <t>https://page.auctions.yahoo.co.jp/jp/auction/n1239268106</t>
        </is>
      </c>
    </row>
    <row r="63">
      <c r="A63" s="8" t="inlineStr">
        <is>
          <t>アルファード</t>
        </is>
      </c>
      <c r="B63" s="8" t="n">
        <v>2012</v>
      </c>
      <c r="C63" s="8" t="inlineStr">
        <is>
          <t>20系</t>
        </is>
      </c>
      <c r="D63" s="11" t="n">
        <v>660000</v>
      </c>
      <c r="E63" s="8" t="n">
        <v>1</v>
      </c>
      <c r="F63" s="11" t="n">
        <v>110000</v>
      </c>
      <c r="G63" s="8" t="inlineStr">
        <is>
          <t>REAL_MILEAGE</t>
        </is>
      </c>
      <c r="H63" s="8" t="inlineStr">
        <is>
          <t>NONE</t>
        </is>
      </c>
      <c r="I63" s="11" t="n">
        <v>66860</v>
      </c>
      <c r="J63" s="8" t="inlineStr">
        <is>
          <t>2026-07-16T22:33:29+09:00</t>
        </is>
      </c>
      <c r="K63" s="14" t="inlineStr">
        <is>
          <t>機関快調★車検R9年10月★後期型アルファード240S Cパケ★革パワーシート/左右パワスラ/パワーBドア/アルミ/純正ナビ地デジ/走行中TV視聴OK</t>
        </is>
      </c>
      <c r="L63" s="8" t="inlineStr">
        <is>
          <t>https://page.auctions.yahoo.co.jp/jp/auction/j1237335260</t>
        </is>
      </c>
    </row>
    <row r="64">
      <c r="A64" s="13" t="inlineStr">
        <is>
          <t>アルファード</t>
        </is>
      </c>
      <c r="B64" s="13" t="n">
        <v>2012</v>
      </c>
      <c r="C64" s="13" t="inlineStr">
        <is>
          <t>20系</t>
        </is>
      </c>
      <c r="D64" s="15" t="n">
        <v>464000</v>
      </c>
      <c r="E64" s="13" t="n">
        <v>107</v>
      </c>
      <c r="F64" s="15" t="n">
        <v>85000</v>
      </c>
      <c r="G64" s="13" t="inlineStr">
        <is>
          <t>METER_REPLACEMENT</t>
        </is>
      </c>
      <c r="H64" s="13" t="inlineStr">
        <is>
          <t>NONE</t>
        </is>
      </c>
      <c r="I64" s="15" t="n">
        <v>0</v>
      </c>
      <c r="J64" s="13" t="inlineStr">
        <is>
          <t>2026-07-11T20:06:10+09:00</t>
        </is>
      </c>
      <c r="K64" s="14" t="inlineStr">
        <is>
          <t>トヨタ２０アルファード後期　モデリスタ　好調</t>
        </is>
      </c>
      <c r="L64" s="13" t="inlineStr">
        <is>
          <t>https://page.auctions.yahoo.co.jp/jp/auction/o1235992798</t>
        </is>
      </c>
    </row>
    <row r="65">
      <c r="A65" s="8" t="inlineStr">
        <is>
          <t>アルファード</t>
        </is>
      </c>
      <c r="B65" s="8" t="n">
        <v>2012</v>
      </c>
      <c r="C65" s="8" t="inlineStr">
        <is>
          <t>20系</t>
        </is>
      </c>
      <c r="D65" s="11" t="n">
        <v>501000</v>
      </c>
      <c r="E65" s="8" t="n">
        <v>66</v>
      </c>
      <c r="F65" s="11" t="n">
        <v>148100</v>
      </c>
      <c r="G65" s="8" t="inlineStr">
        <is>
          <t>REAL_MILEAGE</t>
        </is>
      </c>
      <c r="H65" s="8" t="inlineStr">
        <is>
          <t>NONE</t>
        </is>
      </c>
      <c r="I65" s="11" t="n">
        <v>0</v>
      </c>
      <c r="J65" s="8" t="inlineStr">
        <is>
          <t>2026-06-03T22:11:32+09:00</t>
        </is>
      </c>
      <c r="K65" s="14" t="inlineStr">
        <is>
          <t>程度良好★車検R9年2月★H24年式後期型アルファード240G★サンルーフ/左右パワスラ/パワーバックドア/アルパインナビ地デジ★機関快調/綺麗</t>
        </is>
      </c>
      <c r="L65" s="8" t="inlineStr">
        <is>
          <t>https://page.auctions.yahoo.co.jp/jp/auction/l1231555801</t>
        </is>
      </c>
    </row>
    <row r="66">
      <c r="A66" s="13" t="inlineStr">
        <is>
          <t>アルファード</t>
        </is>
      </c>
      <c r="B66" s="13" t="n">
        <v>2012</v>
      </c>
      <c r="C66" s="13" t="inlineStr">
        <is>
          <t>20系</t>
        </is>
      </c>
      <c r="D66" s="15" t="n">
        <v>205000</v>
      </c>
      <c r="E66" s="13" t="n">
        <v>6</v>
      </c>
      <c r="F66" s="15" t="n">
        <v>157475</v>
      </c>
      <c r="G66" s="13" t="inlineStr">
        <is>
          <t>REAL_MILEAGE</t>
        </is>
      </c>
      <c r="H66" s="13" t="inlineStr">
        <is>
          <t>NONE</t>
        </is>
      </c>
      <c r="I66" s="15" t="n">
        <v>0</v>
      </c>
      <c r="J66" s="13" t="inlineStr">
        <is>
          <t>2026-06-02T18:35:13+09:00</t>
        </is>
      </c>
      <c r="K66" s="14" t="inlineStr">
        <is>
          <t>横手発 H24 トヨタ アルファード ATH20W ハイブリッドSR 一時抹消渡し 左側面事故現状車 売切!!</t>
        </is>
      </c>
      <c r="L66" s="13" t="inlineStr">
        <is>
          <t>https://page.auctions.yahoo.co.jp/jp/auction/c1231276596</t>
        </is>
      </c>
    </row>
    <row r="67">
      <c r="A67" s="8" t="inlineStr">
        <is>
          <t>アルファード</t>
        </is>
      </c>
      <c r="B67" s="8" t="n">
        <v>2012</v>
      </c>
      <c r="C67" s="8" t="inlineStr">
        <is>
          <t>20系</t>
        </is>
      </c>
      <c r="D67" s="11" t="n">
        <v>850000</v>
      </c>
      <c r="E67" s="8" t="n">
        <v>32</v>
      </c>
      <c r="F67" s="11" t="n">
        <v>128000</v>
      </c>
      <c r="G67" s="8" t="inlineStr">
        <is>
          <t>REAL_MILEAGE</t>
        </is>
      </c>
      <c r="H67" s="8" t="n"/>
      <c r="I67" s="11" t="n">
        <v>0</v>
      </c>
      <c r="J67" s="8" t="inlineStr">
        <is>
          <t>2026-04-27T19:42:01+09:00</t>
        </is>
      </c>
      <c r="K67" s="14" t="inlineStr">
        <is>
          <t>★H24★アルファード★350S C PKG★後期★ツインサンルーフ★カスタム★両側パワスラ★上級グレード★車検令和10年2月★乗って帰れます★</t>
        </is>
      </c>
      <c r="L67" s="8" t="inlineStr">
        <is>
          <t>https://page.auctions.yahoo.co.jp/jp/auction/v1226639709</t>
        </is>
      </c>
    </row>
    <row r="68">
      <c r="A68" s="13" t="inlineStr">
        <is>
          <t>アルファード</t>
        </is>
      </c>
      <c r="B68" s="13" t="n">
        <v>2012</v>
      </c>
      <c r="C68" s="13" t="inlineStr">
        <is>
          <t>20系</t>
        </is>
      </c>
      <c r="D68" s="15" t="n">
        <v>1078000</v>
      </c>
      <c r="E68" s="13" t="n">
        <v>1</v>
      </c>
      <c r="F68" s="15" t="n">
        <v>123000</v>
      </c>
      <c r="G68" s="13" t="inlineStr">
        <is>
          <t>REAL_MILEAGE</t>
        </is>
      </c>
      <c r="H68" s="13" t="inlineStr">
        <is>
          <t>EXISTS</t>
        </is>
      </c>
      <c r="I68" s="15" t="n">
        <v>0</v>
      </c>
      <c r="J68" s="13" t="inlineStr">
        <is>
          <t>2026-04-25T07:20:31+09:00</t>
        </is>
      </c>
      <c r="K68" s="14" t="inlineStr">
        <is>
          <t>アルファードハイブリッド 2.4 G Lパッケージ 4WD ナビTVリアエンターテイメントBカメラ/両側</t>
        </is>
      </c>
      <c r="L68" s="13" t="inlineStr">
        <is>
          <t>https://page.auctions.yahoo.co.jp/jp/auction/k1227471855</t>
        </is>
      </c>
    </row>
    <row r="69">
      <c r="A69" s="8" t="inlineStr">
        <is>
          <t>アルファード</t>
        </is>
      </c>
      <c r="B69" s="8" t="n">
        <v>2012</v>
      </c>
      <c r="C69" s="8" t="inlineStr">
        <is>
          <t>20系</t>
        </is>
      </c>
      <c r="D69" s="11" t="n">
        <v>798000</v>
      </c>
      <c r="E69" s="8" t="n">
        <v>1</v>
      </c>
      <c r="F69" s="11" t="n">
        <v>41150</v>
      </c>
      <c r="G69" s="8" t="inlineStr">
        <is>
          <t>REAL_MILEAGE</t>
        </is>
      </c>
      <c r="H69" s="8" t="inlineStr">
        <is>
          <t>EXISTS</t>
        </is>
      </c>
      <c r="I69" s="11" t="n">
        <v>0</v>
      </c>
      <c r="J69" s="8" t="inlineStr">
        <is>
          <t>2026-04-22T10:16:27+09:00</t>
        </is>
      </c>
      <c r="K69" s="14" t="inlineStr">
        <is>
          <t>車検満タン アルファード 後期 ブラック 8人乗り 実走行41150km ナビ TV バックモニター 両側電動オートスライドドア スマートキー HID ETC</t>
        </is>
      </c>
      <c r="L69" s="8" t="inlineStr">
        <is>
          <t>https://page.auctions.yahoo.co.jp/jp/auction/c1227211674</t>
        </is>
      </c>
    </row>
    <row r="70">
      <c r="A70" s="13" t="inlineStr">
        <is>
          <t>アルファード</t>
        </is>
      </c>
      <c r="B70" s="13" t="n">
        <v>2012</v>
      </c>
      <c r="C70" s="13" t="inlineStr">
        <is>
          <t>20系</t>
        </is>
      </c>
      <c r="D70" s="15" t="n">
        <v>701000</v>
      </c>
      <c r="E70" s="13" t="n">
        <v>71</v>
      </c>
      <c r="F70" s="15" t="n">
        <v>157800</v>
      </c>
      <c r="G70" s="13" t="inlineStr">
        <is>
          <t>REAL_MILEAGE</t>
        </is>
      </c>
      <c r="H70" s="13" t="inlineStr">
        <is>
          <t>NONE</t>
        </is>
      </c>
      <c r="I70" s="15" t="n">
        <v>0</v>
      </c>
      <c r="J70" s="13" t="inlineStr">
        <is>
          <t>2026-04-10T23:03:32+09:00</t>
        </is>
      </c>
      <c r="K70" s="14" t="inlineStr">
        <is>
          <t>H24 アルファード 350G-L PKG 後期型 モデリスタ サンルーフ/MOPナビ/リアエンター/パノラミックビュー/18SP/両側PS/Pトランク 検R9年8月迄</t>
        </is>
      </c>
      <c r="L70" s="13" t="inlineStr">
        <is>
          <t>https://page.auctions.yahoo.co.jp/jp/auction/l1225363627</t>
        </is>
      </c>
    </row>
    <row r="71">
      <c r="A71" s="8" t="inlineStr">
        <is>
          <t>アルファード</t>
        </is>
      </c>
      <c r="B71" s="8" t="n">
        <v>2012</v>
      </c>
      <c r="C71" s="8" t="inlineStr">
        <is>
          <t>20系</t>
        </is>
      </c>
      <c r="D71" s="11" t="n">
        <v>1058000</v>
      </c>
      <c r="E71" s="8" t="n">
        <v>1</v>
      </c>
      <c r="F71" s="11" t="n">
        <v>93630</v>
      </c>
      <c r="G71" s="8" t="inlineStr">
        <is>
          <t>REAL_MILEAGE</t>
        </is>
      </c>
      <c r="H71" s="8" t="inlineStr">
        <is>
          <t>NONE</t>
        </is>
      </c>
      <c r="I71" s="11" t="n">
        <v>0</v>
      </c>
      <c r="J71" s="8" t="inlineStr">
        <is>
          <t>2026-04-09T18:23:40+09:00</t>
        </is>
      </c>
      <c r="K71" s="14" t="inlineStr">
        <is>
          <t>20アルファード 後期 350G Lパッケージ 車検2年付き サンルーフ エグゼクティブシート フリップダウン ベージュ革PS 両パワスラ</t>
        </is>
      </c>
      <c r="L71" s="8" t="inlineStr">
        <is>
          <t>https://page.auctions.yahoo.co.jp/jp/auction/f1209396210</t>
        </is>
      </c>
    </row>
    <row r="72">
      <c r="A72" s="13" t="inlineStr">
        <is>
          <t>アルファード</t>
        </is>
      </c>
      <c r="B72" s="13" t="n">
        <v>2012</v>
      </c>
      <c r="C72" s="13" t="inlineStr">
        <is>
          <t>20系</t>
        </is>
      </c>
      <c r="D72" s="15" t="n">
        <v>1118000</v>
      </c>
      <c r="E72" s="13" t="n">
        <v>1</v>
      </c>
      <c r="F72" s="15" t="n">
        <v>155000</v>
      </c>
      <c r="G72" s="13" t="inlineStr">
        <is>
          <t>REAL_MILEAGE</t>
        </is>
      </c>
      <c r="H72" s="13" t="inlineStr">
        <is>
          <t>NONE</t>
        </is>
      </c>
      <c r="I72" s="15" t="n">
        <v>0</v>
      </c>
      <c r="J72" s="13" t="inlineStr">
        <is>
          <t>2026-03-18T22:30:27+09:00</t>
        </is>
      </c>
      <c r="K72" s="14" t="inlineStr">
        <is>
          <t>ロイヤルラウンジ　最上級グレード　アルファード　希少　ALPHARD 20 後期　4人乗り　サンルーフ　ヴェルファイア　20系　車検9年3月</t>
        </is>
      </c>
      <c r="L72" s="13" t="inlineStr">
        <is>
          <t>https://page.auctions.yahoo.co.jp/jp/auction/w1220020447</t>
        </is>
      </c>
    </row>
    <row r="73">
      <c r="A73" s="8" t="inlineStr">
        <is>
          <t>アルファード</t>
        </is>
      </c>
      <c r="B73" s="8" t="n">
        <v>2012</v>
      </c>
      <c r="C73" s="8" t="inlineStr">
        <is>
          <t>20系</t>
        </is>
      </c>
      <c r="D73" s="11" t="n">
        <v>600000</v>
      </c>
      <c r="E73" s="8" t="n">
        <v>3</v>
      </c>
      <c r="F73" s="11" t="n">
        <v>207000</v>
      </c>
      <c r="G73" s="8" t="inlineStr">
        <is>
          <t>REAL_MILEAGE</t>
        </is>
      </c>
      <c r="H73" s="8" t="n"/>
      <c r="I73" s="11" t="n">
        <v>0</v>
      </c>
      <c r="J73" s="8" t="inlineStr">
        <is>
          <t>2026-02-27T22:59:09+09:00</t>
        </is>
      </c>
      <c r="K73" s="14" t="inlineStr">
        <is>
          <t>平成24年アルファードハイブリッドG 4WD 検査９年4月　諸費用込み</t>
        </is>
      </c>
      <c r="L73" s="8" t="inlineStr">
        <is>
          <t>https://page.auctions.yahoo.co.jp/jp/auction/t1219680799</t>
        </is>
      </c>
    </row>
    <row r="74">
      <c r="A74" s="13" t="inlineStr">
        <is>
          <t>アルファード</t>
        </is>
      </c>
      <c r="B74" s="13" t="n">
        <v>2012</v>
      </c>
      <c r="C74" s="13" t="inlineStr">
        <is>
          <t>20系</t>
        </is>
      </c>
      <c r="D74" s="15" t="n">
        <v>801000</v>
      </c>
      <c r="E74" s="13" t="n">
        <v>39</v>
      </c>
      <c r="F74" s="15" t="n">
        <v>119000</v>
      </c>
      <c r="G74" s="13" t="inlineStr">
        <is>
          <t>REAL_MILEAGE</t>
        </is>
      </c>
      <c r="H74" s="13" t="inlineStr">
        <is>
          <t>NONE</t>
        </is>
      </c>
      <c r="I74" s="15" t="n">
        <v>0</v>
      </c>
      <c r="J74" s="13" t="inlineStr">
        <is>
          <t>2026-02-25T21:49:24+09:00</t>
        </is>
      </c>
      <c r="K74" s="14" t="inlineStr">
        <is>
          <t>■240S　タイプゴールド　アルファード　車検たっぷり　20インチアルミ　新品車高調■ALPINE　ナビ　サンルーフ　ヴェルファイア■</t>
        </is>
      </c>
      <c r="L74" s="13" t="inlineStr">
        <is>
          <t>https://page.auctions.yahoo.co.jp/jp/auction/f1219948952</t>
        </is>
      </c>
    </row>
    <row r="75">
      <c r="A75" s="8" t="inlineStr">
        <is>
          <t>アルファード</t>
        </is>
      </c>
      <c r="B75" s="8" t="n">
        <v>2011</v>
      </c>
      <c r="C75" s="8" t="inlineStr">
        <is>
          <t>20系</t>
        </is>
      </c>
      <c r="D75" s="11" t="n">
        <v>380000</v>
      </c>
      <c r="E75" s="8" t="n">
        <v>149</v>
      </c>
      <c r="F75" s="11" t="n">
        <v>163421</v>
      </c>
      <c r="G75" s="8" t="inlineStr">
        <is>
          <t>REAL_MILEAGE</t>
        </is>
      </c>
      <c r="H75" s="8" t="inlineStr">
        <is>
          <t>EXISTS</t>
        </is>
      </c>
      <c r="I75" s="11" t="n">
        <v>49360</v>
      </c>
      <c r="J75" s="8" t="inlineStr">
        <is>
          <t>2026-08-09T21:32:55+09:00</t>
        </is>
      </c>
      <c r="K75" s="14" t="inlineStr">
        <is>
          <t>0024【一万円売り切り】アルファード240ｓプライムセレクションⅡタイプゴールドⅡ　DBA-ANH20W 車検R8年10月</t>
        </is>
      </c>
      <c r="L75" s="8" t="inlineStr">
        <is>
          <t>https://page.auctions.yahoo.co.jp/jp/auction/c1238761132</t>
        </is>
      </c>
    </row>
    <row r="76">
      <c r="A76" s="13" t="inlineStr">
        <is>
          <t>アルファード</t>
        </is>
      </c>
      <c r="B76" s="13" t="n">
        <v>2011</v>
      </c>
      <c r="C76" s="13" t="inlineStr">
        <is>
          <t>20系</t>
        </is>
      </c>
      <c r="D76" s="15" t="n">
        <v>535000</v>
      </c>
      <c r="E76" s="13" t="n">
        <v>1</v>
      </c>
      <c r="F76" s="15" t="n">
        <v>162000</v>
      </c>
      <c r="G76" s="13" t="inlineStr">
        <is>
          <t>REAL_MILEAGE</t>
        </is>
      </c>
      <c r="H76" s="13" t="inlineStr">
        <is>
          <t>NONE</t>
        </is>
      </c>
      <c r="I76" s="15" t="n">
        <v>0</v>
      </c>
      <c r="J76" s="13" t="inlineStr">
        <is>
          <t>2026-05-13T21:48:33+09:00</t>
        </is>
      </c>
      <c r="K76" s="14" t="inlineStr">
        <is>
          <t>アルファード*タイプゴールドⅡ*検10/4迄*4WD*TRD Fスポイラー*HID*両パワスラ*フリップダウン*8インチナビ*Bカメラ*純正AW*310325</t>
        </is>
      </c>
      <c r="L76" s="13" t="inlineStr">
        <is>
          <t>https://page.auctions.yahoo.co.jp/jp/auction/d1224936167</t>
        </is>
      </c>
    </row>
    <row r="77">
      <c r="A77" s="8" t="inlineStr">
        <is>
          <t>アルファード</t>
        </is>
      </c>
      <c r="B77" s="8" t="n">
        <v>2011</v>
      </c>
      <c r="C77" s="8" t="inlineStr">
        <is>
          <t>20系</t>
        </is>
      </c>
      <c r="D77" s="11" t="n">
        <v>700000</v>
      </c>
      <c r="E77" s="8" t="n">
        <v>2</v>
      </c>
      <c r="F77" s="11" t="n">
        <v>88950</v>
      </c>
      <c r="G77" s="8" t="inlineStr">
        <is>
          <t>REAL_MILEAGE</t>
        </is>
      </c>
      <c r="H77" s="8" t="inlineStr">
        <is>
          <t>NONE</t>
        </is>
      </c>
      <c r="I77" s="11" t="n">
        <v>0</v>
      </c>
      <c r="J77" s="8" t="inlineStr">
        <is>
          <t>2026-03-31T15:06:07+09:00</t>
        </is>
      </c>
      <c r="K77" s="14" t="inlineStr">
        <is>
          <t>返金保証付:【愛知県弥富市】厳選中古車 平成23年 トヨタ アルファード 2.4 240S プライムセレクションII</t>
        </is>
      </c>
      <c r="L77" s="8" t="inlineStr">
        <is>
          <t>https://page.auctions.yahoo.co.jp/jp/auction/r1224165428</t>
        </is>
      </c>
    </row>
    <row r="78">
      <c r="A78" s="13" t="inlineStr">
        <is>
          <t>アルファード</t>
        </is>
      </c>
      <c r="B78" s="13" t="n">
        <v>2011</v>
      </c>
      <c r="C78" s="13" t="inlineStr">
        <is>
          <t>20系</t>
        </is>
      </c>
      <c r="D78" s="15" t="n">
        <v>650000</v>
      </c>
      <c r="E78" s="13" t="n">
        <v>2</v>
      </c>
      <c r="F78" s="15" t="n">
        <v>12865</v>
      </c>
      <c r="G78" s="13" t="inlineStr">
        <is>
          <t>REAL_MILEAGE</t>
        </is>
      </c>
      <c r="H78" s="13" t="inlineStr">
        <is>
          <t>NONE</t>
        </is>
      </c>
      <c r="I78" s="15" t="n">
        <v>0</v>
      </c>
      <c r="J78" s="13" t="inlineStr">
        <is>
          <t>2026-03-23T23:00:59+09:00</t>
        </is>
      </c>
      <c r="K78" s="14" t="inlineStr">
        <is>
          <t>希少！アルファード GGH25 4WD 350S プライムセレクション2 タイプゴールド グレーメタリック　限定生産車</t>
        </is>
      </c>
      <c r="L78" s="13" t="inlineStr">
        <is>
          <t>https://page.auctions.yahoo.co.jp/jp/auction/l1223814824</t>
        </is>
      </c>
    </row>
    <row r="79">
      <c r="A79" s="8" t="inlineStr">
        <is>
          <t>アルファード</t>
        </is>
      </c>
      <c r="B79" s="8" t="n">
        <v>2010</v>
      </c>
      <c r="C79" s="8" t="inlineStr">
        <is>
          <t>20系</t>
        </is>
      </c>
      <c r="D79" s="11" t="n">
        <v>350000</v>
      </c>
      <c r="E79" s="8" t="n">
        <v>1</v>
      </c>
      <c r="F79" s="11" t="n">
        <v>163569</v>
      </c>
      <c r="G79" s="8" t="inlineStr">
        <is>
          <t>REAL_MILEAGE</t>
        </is>
      </c>
      <c r="H79" s="8" t="inlineStr">
        <is>
          <t>NONE</t>
        </is>
      </c>
      <c r="I79" s="11" t="n">
        <v>18290</v>
      </c>
      <c r="J79" s="8" t="inlineStr">
        <is>
          <t>2026-08-21T23:42:12+09:00</t>
        </is>
      </c>
      <c r="K79" s="14" t="inlineStr">
        <is>
          <t>アルファード　車検9年5月25日　HDDナビ　TV　走行中TVOK　サンルーフ　両側パワースライドドア　パワーバックドア　格安陸送致します</t>
        </is>
      </c>
      <c r="L79" s="8" t="inlineStr">
        <is>
          <t>https://page.auctions.yahoo.co.jp/jp/auction/r1234797111</t>
        </is>
      </c>
    </row>
    <row r="80">
      <c r="A80" s="13" t="inlineStr">
        <is>
          <t>アルファード</t>
        </is>
      </c>
      <c r="B80" s="13" t="n">
        <v>2010</v>
      </c>
      <c r="C80" s="13" t="inlineStr">
        <is>
          <t>20系</t>
        </is>
      </c>
      <c r="D80" s="15" t="n">
        <v>467900</v>
      </c>
      <c r="E80" s="13" t="n">
        <v>1</v>
      </c>
      <c r="F80" s="15" t="n">
        <v>156000</v>
      </c>
      <c r="G80" s="13" t="inlineStr">
        <is>
          <t>REAL_MILEAGE</t>
        </is>
      </c>
      <c r="H80" s="13" t="inlineStr">
        <is>
          <t>NONE</t>
        </is>
      </c>
      <c r="I80" s="15" t="n">
        <v>65890</v>
      </c>
      <c r="J80" s="13" t="inlineStr">
        <is>
          <t>2026-08-18T05:17:01+09:00</t>
        </is>
      </c>
      <c r="K80" s="14" t="inlineStr">
        <is>
          <t>※福岡県新宮町※アルファード*2WD*車検令和10年8月迄*サンルーフ*パワーバックドア*両パワスラ*Bluetoothオーディオ*バックカメラ*210404</t>
        </is>
      </c>
      <c r="L80" s="13" t="inlineStr">
        <is>
          <t>https://page.auctions.yahoo.co.jp/jp/auction/h1225811702</t>
        </is>
      </c>
    </row>
    <row r="81">
      <c r="A81" s="8" t="inlineStr">
        <is>
          <t>アルファード</t>
        </is>
      </c>
      <c r="B81" s="8" t="n">
        <v>2010</v>
      </c>
      <c r="C81" s="8" t="inlineStr">
        <is>
          <t>20系</t>
        </is>
      </c>
      <c r="D81" s="11" t="n">
        <v>339000</v>
      </c>
      <c r="E81" s="8" t="n">
        <v>173</v>
      </c>
      <c r="F81" s="11" t="n">
        <v>0</v>
      </c>
      <c r="G81" s="8" t="inlineStr">
        <is>
          <t>UNKNOWN_MILEAGE</t>
        </is>
      </c>
      <c r="H81" s="8" t="n"/>
      <c r="I81" s="11" t="n">
        <v>0</v>
      </c>
      <c r="J81" s="8" t="inlineStr">
        <is>
          <t>2026-08-16T04:24:29+09:00</t>
        </is>
      </c>
      <c r="K81" s="14" t="inlineStr">
        <is>
          <t>トヨタ　アルファード　平成22年9月　DBA-ANH25W　6万㎞台</t>
        </is>
      </c>
      <c r="L81" s="8" t="inlineStr">
        <is>
          <t>https://page.auctions.yahoo.co.jp/jp/auction/l1240221249</t>
        </is>
      </c>
    </row>
    <row r="82">
      <c r="A82" s="13" t="inlineStr">
        <is>
          <t>アルファード</t>
        </is>
      </c>
      <c r="B82" s="13" t="n">
        <v>2010</v>
      </c>
      <c r="C82" s="13" t="inlineStr">
        <is>
          <t>20系</t>
        </is>
      </c>
      <c r="D82" s="15" t="n">
        <v>450000</v>
      </c>
      <c r="E82" s="13" t="n">
        <v>1</v>
      </c>
      <c r="F82" s="15" t="n">
        <v>152153</v>
      </c>
      <c r="G82" s="13" t="inlineStr">
        <is>
          <t>REAL_MILEAGE</t>
        </is>
      </c>
      <c r="H82" s="13" t="n"/>
      <c r="I82" s="15" t="n">
        <v>18290</v>
      </c>
      <c r="J82" s="13" t="inlineStr">
        <is>
          <t>2026-08-06T20:35:28+09:00</t>
        </is>
      </c>
      <c r="K82" s="14" t="inlineStr">
        <is>
          <t>トヨタ　20アルファード　平成22年7月 152,153km　車検令和9年7月まで付き ２４０Ｓ　プライムセレクションⅡ</t>
        </is>
      </c>
      <c r="L82" s="13" t="inlineStr">
        <is>
          <t>https://page.auctions.yahoo.co.jp/jp/auction/o1232230565</t>
        </is>
      </c>
    </row>
    <row r="83">
      <c r="A83" s="8" t="inlineStr">
        <is>
          <t>アルファード</t>
        </is>
      </c>
      <c r="B83" s="8" t="n">
        <v>2010</v>
      </c>
      <c r="C83" s="8" t="inlineStr">
        <is>
          <t>20系</t>
        </is>
      </c>
      <c r="D83" s="11" t="n">
        <v>232000</v>
      </c>
      <c r="E83" s="8" t="n">
        <v>8</v>
      </c>
      <c r="F83" s="11" t="n">
        <v>161081</v>
      </c>
      <c r="G83" s="8" t="inlineStr">
        <is>
          <t>REAL_MILEAGE</t>
        </is>
      </c>
      <c r="H83" s="8" t="inlineStr">
        <is>
          <t>NONE</t>
        </is>
      </c>
      <c r="I83" s="11" t="n">
        <v>98290</v>
      </c>
      <c r="J83" s="8" t="inlineStr">
        <is>
          <t>2026-08-02T20:12:50+09:00</t>
        </is>
      </c>
      <c r="K83" s="14" t="inlineStr">
        <is>
          <t>福岡県発アルファード　車検年付　カロッツェリアナビ　両側パワースライドドア　パワーバックドア　バックカメラ　陸送可</t>
        </is>
      </c>
      <c r="L83" s="8" t="inlineStr">
        <is>
          <t>https://page.auctions.yahoo.co.jp/jp/auction/e1236817874</t>
        </is>
      </c>
    </row>
    <row r="84">
      <c r="A84" s="13" t="inlineStr">
        <is>
          <t>アルファード</t>
        </is>
      </c>
      <c r="B84" s="13" t="n">
        <v>2010</v>
      </c>
      <c r="C84" s="13" t="inlineStr">
        <is>
          <t>20系</t>
        </is>
      </c>
      <c r="D84" s="15" t="n">
        <v>365000</v>
      </c>
      <c r="E84" s="13" t="n">
        <v>47</v>
      </c>
      <c r="F84" s="15" t="n">
        <v>124900</v>
      </c>
      <c r="G84" s="13" t="inlineStr">
        <is>
          <t>REAL_MILEAGE</t>
        </is>
      </c>
      <c r="H84" s="13" t="n"/>
      <c r="I84" s="15" t="n">
        <v>18290</v>
      </c>
      <c r="J84" s="13" t="inlineStr">
        <is>
          <t>2026-07-27T21:23:29+09:00</t>
        </is>
      </c>
      <c r="K84" s="14" t="inlineStr">
        <is>
          <t>アルファード 350S 4WD 検査9年5月 アルパイン8インチナビ 地デジ フリップダウンモニター 両側パワースライドドア スマートキー ETC</t>
        </is>
      </c>
      <c r="L84" s="13" t="inlineStr">
        <is>
          <t>https://page.auctions.yahoo.co.jp/jp/auction/b1237447249</t>
        </is>
      </c>
    </row>
    <row r="85">
      <c r="A85" s="8" t="inlineStr">
        <is>
          <t>アルファード</t>
        </is>
      </c>
      <c r="B85" s="8" t="n">
        <v>2010</v>
      </c>
      <c r="C85" s="8" t="inlineStr">
        <is>
          <t>20系</t>
        </is>
      </c>
      <c r="D85" s="11" t="n">
        <v>201000</v>
      </c>
      <c r="E85" s="8" t="n">
        <v>37</v>
      </c>
      <c r="F85" s="11" t="n">
        <v>199070</v>
      </c>
      <c r="G85" s="8" t="inlineStr">
        <is>
          <t>REAL_MILEAGE</t>
        </is>
      </c>
      <c r="H85" s="8" t="n"/>
      <c r="I85" s="11" t="n">
        <v>96890</v>
      </c>
      <c r="J85" s="8" t="inlineStr">
        <is>
          <t>2026-07-26T20:30:47+09:00</t>
        </is>
      </c>
      <c r="K85" s="14" t="inlineStr">
        <is>
          <t>【売切】積雪地方必須の４WDモデル！アルファード 240S 車検有（R9/3月迄）</t>
        </is>
      </c>
      <c r="L85" s="8" t="inlineStr">
        <is>
          <t>https://page.auctions.yahoo.co.jp/jp/auction/e1237799467</t>
        </is>
      </c>
    </row>
    <row r="86">
      <c r="A86" s="13" t="inlineStr">
        <is>
          <t>アルファード</t>
        </is>
      </c>
      <c r="B86" s="13" t="n">
        <v>2010</v>
      </c>
      <c r="C86" s="13" t="inlineStr">
        <is>
          <t>20系</t>
        </is>
      </c>
      <c r="D86" s="15" t="n">
        <v>300000</v>
      </c>
      <c r="E86" s="13" t="n">
        <v>1</v>
      </c>
      <c r="F86" s="15" t="n">
        <v>190200</v>
      </c>
      <c r="G86" s="13" t="inlineStr">
        <is>
          <t>REAL_MILEAGE</t>
        </is>
      </c>
      <c r="H86" s="13" t="n"/>
      <c r="I86" s="15" t="n">
        <v>0</v>
      </c>
      <c r="J86" s="13" t="inlineStr">
        <is>
          <t>2026-06-23T09:30:20+09:00</t>
        </is>
      </c>
      <c r="K86" s="14" t="inlineStr">
        <is>
          <t>アルファード　ANH20W 税金・リサイクル券込々価格</t>
        </is>
      </c>
      <c r="L86" s="13" t="inlineStr">
        <is>
          <t>https://page.auctions.yahoo.co.jp/jp/auction/m1234077344</t>
        </is>
      </c>
    </row>
    <row r="87">
      <c r="A87" s="8" t="inlineStr">
        <is>
          <t>アルファード</t>
        </is>
      </c>
      <c r="B87" s="8" t="n">
        <v>2010</v>
      </c>
      <c r="C87" s="8" t="inlineStr">
        <is>
          <t>20系</t>
        </is>
      </c>
      <c r="D87" s="11" t="n">
        <v>361000</v>
      </c>
      <c r="E87" s="8" t="n">
        <v>33</v>
      </c>
      <c r="F87" s="11" t="n">
        <v>163900</v>
      </c>
      <c r="G87" s="8" t="inlineStr">
        <is>
          <t>REAL_MILEAGE</t>
        </is>
      </c>
      <c r="H87" s="8" t="inlineStr">
        <is>
          <t>NONE</t>
        </is>
      </c>
      <c r="I87" s="11" t="n">
        <v>0</v>
      </c>
      <c r="J87" s="8" t="inlineStr">
        <is>
          <t>2026-06-07T20:02:58+09:00</t>
        </is>
      </c>
      <c r="K87" s="14" t="inlineStr">
        <is>
          <t xml:space="preserve">埼玉県発 22年式 トヨタ 20系アルファード 240S 車検付 </t>
        </is>
      </c>
      <c r="L87" s="8" t="inlineStr">
        <is>
          <t>https://page.auctions.yahoo.co.jp/jp/auction/e1231705157</t>
        </is>
      </c>
    </row>
    <row r="88">
      <c r="A88" s="13" t="inlineStr">
        <is>
          <t>アルファード</t>
        </is>
      </c>
      <c r="B88" s="13" t="n">
        <v>2010</v>
      </c>
      <c r="C88" s="13" t="inlineStr">
        <is>
          <t>20系</t>
        </is>
      </c>
      <c r="D88" s="15" t="n">
        <v>245000</v>
      </c>
      <c r="E88" s="13" t="n">
        <v>96</v>
      </c>
      <c r="F88" s="15" t="n">
        <v>219882</v>
      </c>
      <c r="G88" s="13" t="inlineStr">
        <is>
          <t>REAL_MILEAGE</t>
        </is>
      </c>
      <c r="H88" s="13" t="n"/>
      <c r="I88" s="15" t="n">
        <v>0</v>
      </c>
      <c r="J88" s="13" t="inlineStr">
        <is>
          <t>2026-05-10T20:32:45+09:00</t>
        </is>
      </c>
      <c r="K88" s="14" t="inlineStr">
        <is>
          <t xml:space="preserve">アルファード☆20☆トヨタ　プライムセレクションⅡ　7人 両側パワスラドア　キャプテンシート　ナビ　Rカメラ ドラレコ ヴェルファイア　 </t>
        </is>
      </c>
      <c r="L88" s="13" t="inlineStr">
        <is>
          <t>https://page.auctions.yahoo.co.jp/jp/auction/1228553983</t>
        </is>
      </c>
    </row>
    <row r="89">
      <c r="A89" s="8" t="inlineStr">
        <is>
          <t>アルファード</t>
        </is>
      </c>
      <c r="B89" s="8" t="n">
        <v>2010</v>
      </c>
      <c r="C89" s="8" t="inlineStr">
        <is>
          <t>20系</t>
        </is>
      </c>
      <c r="D89" s="11" t="n">
        <v>398000</v>
      </c>
      <c r="E89" s="8" t="n">
        <v>1</v>
      </c>
      <c r="F89" s="11" t="n">
        <v>171200</v>
      </c>
      <c r="G89" s="8" t="inlineStr">
        <is>
          <t>REAL_MILEAGE</t>
        </is>
      </c>
      <c r="H89" s="8" t="inlineStr">
        <is>
          <t>NONE</t>
        </is>
      </c>
      <c r="I89" s="11" t="n">
        <v>0</v>
      </c>
      <c r="J89" s="8" t="inlineStr">
        <is>
          <t>2026-04-26T08:55:49+09:00</t>
        </is>
      </c>
      <c r="K89" s="14" t="inlineStr">
        <is>
          <t>２２年式 アルファード 240S リミテッド車検９年２月まで！調子良好！</t>
        </is>
      </c>
      <c r="L89" s="8" t="inlineStr">
        <is>
          <t>https://page.auctions.yahoo.co.jp/jp/auction/w1227388355</t>
        </is>
      </c>
    </row>
    <row r="90">
      <c r="A90" s="13" t="inlineStr">
        <is>
          <t>アルファード</t>
        </is>
      </c>
      <c r="B90" s="13" t="n">
        <v>2010</v>
      </c>
      <c r="C90" s="13" t="inlineStr">
        <is>
          <t>20系</t>
        </is>
      </c>
      <c r="D90" s="15" t="n">
        <v>455000</v>
      </c>
      <c r="E90" s="13" t="n">
        <v>3</v>
      </c>
      <c r="F90" s="15" t="n">
        <v>81000</v>
      </c>
      <c r="G90" s="13" t="inlineStr">
        <is>
          <t>REAL_MILEAGE</t>
        </is>
      </c>
      <c r="H90" s="13" t="n"/>
      <c r="I90" s="15" t="n">
        <v>0</v>
      </c>
      <c r="J90" s="13" t="inlineStr">
        <is>
          <t>2026-04-12T16:36:36+09:00</t>
        </is>
      </c>
      <c r="K90" s="14" t="inlineStr">
        <is>
          <t>平成22年アルファード8万キロ車検9/11</t>
        </is>
      </c>
      <c r="L90" s="13" t="inlineStr">
        <is>
          <t>https://page.auctions.yahoo.co.jp/jp/auction/g1224984012</t>
        </is>
      </c>
    </row>
    <row r="91">
      <c r="A91" s="8" t="inlineStr">
        <is>
          <t>アルファード</t>
        </is>
      </c>
      <c r="B91" s="8" t="n">
        <v>2010</v>
      </c>
      <c r="C91" s="8" t="inlineStr">
        <is>
          <t>20系</t>
        </is>
      </c>
      <c r="D91" s="11" t="n">
        <v>431610</v>
      </c>
      <c r="E91" s="8" t="n">
        <v>69</v>
      </c>
      <c r="F91" s="11" t="n">
        <v>91980</v>
      </c>
      <c r="G91" s="8" t="inlineStr">
        <is>
          <t>REAL_MILEAGE</t>
        </is>
      </c>
      <c r="H91" s="8" t="inlineStr">
        <is>
          <t>NONE</t>
        </is>
      </c>
      <c r="I91" s="11" t="n">
        <v>0</v>
      </c>
      <c r="J91" s="8" t="inlineStr">
        <is>
          <t>2026-04-05T20:44:39+09:00</t>
        </is>
      </c>
      <c r="K91" s="14" t="inlineStr">
        <is>
          <t>☆アルファード☆240S☆☆ 低走9万㌔ ★ パールワイト ★ 両側Pスラ</t>
        </is>
      </c>
      <c r="L91" s="8" t="inlineStr">
        <is>
          <t>https://page.auctions.yahoo.co.jp/jp/auction/c1224487384</t>
        </is>
      </c>
    </row>
    <row r="92">
      <c r="A92" s="13" t="inlineStr">
        <is>
          <t>アルファード</t>
        </is>
      </c>
      <c r="B92" s="13" t="n">
        <v>2009</v>
      </c>
      <c r="C92" s="13" t="inlineStr">
        <is>
          <t>20系</t>
        </is>
      </c>
      <c r="D92" s="15" t="n">
        <v>410000</v>
      </c>
      <c r="E92" s="13" t="n">
        <v>138</v>
      </c>
      <c r="F92" s="15" t="n">
        <v>107000</v>
      </c>
      <c r="G92" s="13" t="inlineStr">
        <is>
          <t>REAL_MILEAGE</t>
        </is>
      </c>
      <c r="H92" s="13" t="inlineStr">
        <is>
          <t>NONE</t>
        </is>
      </c>
      <c r="I92" s="15" t="n">
        <v>98290</v>
      </c>
      <c r="J92" s="13" t="inlineStr">
        <is>
          <t>2026-07-26T20:35:19+09:00</t>
        </is>
      </c>
      <c r="K92" s="14" t="inlineStr">
        <is>
          <t>☆車検R１０年6月 アルファード　両側パワースライド　フルセグ　ナビ　前両側パワーシート　クルコン　コーナーセンサー他車検整備済み</t>
        </is>
      </c>
      <c r="L92" s="13" t="inlineStr">
        <is>
          <t>https://page.auctions.yahoo.co.jp/jp/auction/t1236270954</t>
        </is>
      </c>
    </row>
    <row r="93">
      <c r="A93" s="8" t="inlineStr">
        <is>
          <t>アルファード</t>
        </is>
      </c>
      <c r="B93" s="8" t="n">
        <v>2009</v>
      </c>
      <c r="C93" s="8" t="inlineStr">
        <is>
          <t>20系</t>
        </is>
      </c>
      <c r="D93" s="11" t="n">
        <v>298000</v>
      </c>
      <c r="E93" s="8" t="n">
        <v>1</v>
      </c>
      <c r="F93" s="11" t="n">
        <v>150500</v>
      </c>
      <c r="G93" s="8" t="inlineStr">
        <is>
          <t>REAL_MILEAGE</t>
        </is>
      </c>
      <c r="H93" s="8" t="inlineStr">
        <is>
          <t>EXISTS</t>
        </is>
      </c>
      <c r="I93" s="11" t="n">
        <v>33090</v>
      </c>
      <c r="J93" s="8" t="inlineStr">
        <is>
          <t>2026-07-12T17:04:57+09:00</t>
        </is>
      </c>
      <c r="K93" s="14" t="inlineStr">
        <is>
          <t>２１年式 アルファード ２４０Ｓリミテッド予備検査取得可能！</t>
        </is>
      </c>
      <c r="L93" s="8" t="inlineStr">
        <is>
          <t>https://page.auctions.yahoo.co.jp/jp/auction/x1232837632</t>
        </is>
      </c>
    </row>
    <row r="94">
      <c r="A94" s="13" t="inlineStr">
        <is>
          <t>アルファード</t>
        </is>
      </c>
      <c r="B94" s="13" t="n">
        <v>2009</v>
      </c>
      <c r="C94" s="13" t="inlineStr">
        <is>
          <t>20系</t>
        </is>
      </c>
      <c r="D94" s="15" t="n">
        <v>365000</v>
      </c>
      <c r="E94" s="13" t="n">
        <v>44</v>
      </c>
      <c r="F94" s="15" t="n">
        <v>159000</v>
      </c>
      <c r="G94" s="13" t="inlineStr">
        <is>
          <t>REAL_MILEAGE</t>
        </is>
      </c>
      <c r="H94" s="13" t="inlineStr">
        <is>
          <t>NONE</t>
        </is>
      </c>
      <c r="I94" s="15" t="n">
        <v>57065</v>
      </c>
      <c r="J94" s="13" t="inlineStr">
        <is>
          <t>2026-06-28T21:16:45+09:00</t>
        </is>
      </c>
      <c r="K94" s="14" t="inlineStr">
        <is>
          <t>カールソン19AW TEIN車高調 20アルファード 車検9年2月</t>
        </is>
      </c>
      <c r="L94" s="13" t="inlineStr">
        <is>
          <t>https://page.auctions.yahoo.co.jp/jp/auction/c1232259948</t>
        </is>
      </c>
    </row>
    <row r="95">
      <c r="A95" s="8" t="inlineStr">
        <is>
          <t>アルファード</t>
        </is>
      </c>
      <c r="B95" s="8" t="n">
        <v>2009</v>
      </c>
      <c r="C95" s="8" t="inlineStr">
        <is>
          <t>20系</t>
        </is>
      </c>
      <c r="D95" s="11" t="n">
        <v>252000</v>
      </c>
      <c r="E95" s="8" t="n">
        <v>28</v>
      </c>
      <c r="F95" s="11" t="n">
        <v>171693</v>
      </c>
      <c r="G95" s="8" t="inlineStr">
        <is>
          <t>REAL_MILEAGE</t>
        </is>
      </c>
      <c r="H95" s="8" t="inlineStr">
        <is>
          <t>NONE</t>
        </is>
      </c>
      <c r="I95" s="11" t="n">
        <v>0</v>
      </c>
      <c r="J95" s="8" t="inlineStr">
        <is>
          <t>2026-06-27T22:12:13+09:00</t>
        </is>
      </c>
      <c r="K95" s="14" t="inlineStr">
        <is>
          <t>平成21年式　20系アルファード</t>
        </is>
      </c>
      <c r="L95" s="8" t="inlineStr">
        <is>
          <t>https://page.auctions.yahoo.co.jp/jp/auction/p1233444370</t>
        </is>
      </c>
    </row>
    <row r="96">
      <c r="A96" s="13" t="inlineStr">
        <is>
          <t>アルファード</t>
        </is>
      </c>
      <c r="B96" s="13" t="n">
        <v>2009</v>
      </c>
      <c r="C96" s="13" t="inlineStr">
        <is>
          <t>20系</t>
        </is>
      </c>
      <c r="D96" s="15" t="n">
        <v>502600</v>
      </c>
      <c r="E96" s="13" t="n">
        <v>19</v>
      </c>
      <c r="F96" s="15" t="n">
        <v>76800</v>
      </c>
      <c r="G96" s="13" t="inlineStr">
        <is>
          <t>REAL_MILEAGE</t>
        </is>
      </c>
      <c r="H96" s="13" t="inlineStr">
        <is>
          <t>NONE</t>
        </is>
      </c>
      <c r="I96" s="15" t="n">
        <v>57215</v>
      </c>
      <c r="J96" s="13" t="inlineStr">
        <is>
          <t>2026-06-25T21:09:04+09:00</t>
        </is>
      </c>
      <c r="K96" s="14" t="inlineStr">
        <is>
          <t>美車！程度良！！アルファード　240G 　低走行7万キロ台 純正OP多数　サンルーフ　18スピーカー　リアモニター　電動シート　電動スライド</t>
        </is>
      </c>
      <c r="L96" s="13" t="inlineStr">
        <is>
          <t>https://page.auctions.yahoo.co.jp/jp/auction/g1233175681</t>
        </is>
      </c>
    </row>
    <row r="97">
      <c r="A97" s="8" t="inlineStr">
        <is>
          <t>アルファード</t>
        </is>
      </c>
      <c r="B97" s="8" t="n">
        <v>2009</v>
      </c>
      <c r="C97" s="8" t="inlineStr">
        <is>
          <t>20系</t>
        </is>
      </c>
      <c r="D97" s="11" t="n">
        <v>550000</v>
      </c>
      <c r="E97" s="8" t="n">
        <v>1</v>
      </c>
      <c r="F97" s="11" t="n">
        <v>133778</v>
      </c>
      <c r="G97" s="8" t="inlineStr">
        <is>
          <t>REAL_MILEAGE</t>
        </is>
      </c>
      <c r="H97" s="8" t="inlineStr">
        <is>
          <t>NONE</t>
        </is>
      </c>
      <c r="I97" s="11" t="n">
        <v>0</v>
      </c>
      <c r="J97" s="8" t="inlineStr">
        <is>
          <t>2026-06-02T23:30:07+09:00</t>
        </is>
      </c>
      <c r="K97" s="14" t="inlineStr">
        <is>
          <t>返金保証付:【愛知県弥富市】厳選中古車 平成21年 トヨタ アルファード 2.4 240S 4WD TVナビ/ETC/Bカメラ</t>
        </is>
      </c>
      <c r="L97" s="8" t="inlineStr">
        <is>
          <t>https://page.auctions.yahoo.co.jp/jp/auction/p1228866359</t>
        </is>
      </c>
    </row>
    <row r="98">
      <c r="A98" s="13" t="inlineStr">
        <is>
          <t>アルファード</t>
        </is>
      </c>
      <c r="B98" s="13" t="n">
        <v>2009</v>
      </c>
      <c r="C98" s="13" t="inlineStr">
        <is>
          <t>20系</t>
        </is>
      </c>
      <c r="D98" s="15" t="n">
        <v>290000</v>
      </c>
      <c r="E98" s="13" t="n">
        <v>74</v>
      </c>
      <c r="F98" s="15" t="n">
        <v>145000</v>
      </c>
      <c r="G98" s="13" t="inlineStr">
        <is>
          <t>REAL_MILEAGE</t>
        </is>
      </c>
      <c r="H98" s="13" t="inlineStr">
        <is>
          <t>NONE</t>
        </is>
      </c>
      <c r="I98" s="15" t="n">
        <v>0</v>
      </c>
      <c r="J98" s="13" t="inlineStr">
        <is>
          <t>2026-05-28T22:04:14+09:00</t>
        </is>
      </c>
      <c r="K98" s="14" t="inlineStr">
        <is>
          <t>TOYOTA 20アルファード 検9年4月 240S 両側Pスラ 黒 セキュリティ 外装極上 シートカバー Bluetooth ナビ Bカメラ 即納 ETC トヨタ 大阪発</t>
        </is>
      </c>
      <c r="L98" s="13" t="inlineStr">
        <is>
          <t>https://page.auctions.yahoo.co.jp/jp/auction/u1230781857</t>
        </is>
      </c>
    </row>
    <row r="99">
      <c r="A99" s="8" t="inlineStr">
        <is>
          <t>アルファード</t>
        </is>
      </c>
      <c r="B99" s="8" t="n">
        <v>2009</v>
      </c>
      <c r="C99" s="8" t="inlineStr">
        <is>
          <t>20系</t>
        </is>
      </c>
      <c r="D99" s="11" t="n">
        <v>549000</v>
      </c>
      <c r="E99" s="8" t="n">
        <v>1</v>
      </c>
      <c r="F99" s="11" t="n">
        <v>114900</v>
      </c>
      <c r="G99" s="8" t="inlineStr">
        <is>
          <t>REAL_MILEAGE</t>
        </is>
      </c>
      <c r="H99" s="8" t="inlineStr">
        <is>
          <t>NONE</t>
        </is>
      </c>
      <c r="I99" s="11" t="n">
        <v>0</v>
      </c>
      <c r="J99" s="8" t="inlineStr">
        <is>
          <t>2026-05-20T17:10:13+09:00</t>
        </is>
      </c>
      <c r="K99" s="14" t="inlineStr">
        <is>
          <t>アルファード*検10/5迄*HID*両パワスラ*フリップダウン*純正ナビ*Bカメラ*DTV*BTオーディオ*DVD*CD*ETC*クルコン*社外AW*110427</t>
        </is>
      </c>
      <c r="L99" s="8" t="inlineStr">
        <is>
          <t>https://page.auctions.yahoo.co.jp/jp/auction/n1229291914</t>
        </is>
      </c>
    </row>
    <row r="100">
      <c r="A100" s="13" t="inlineStr">
        <is>
          <t>アルファード</t>
        </is>
      </c>
      <c r="B100" s="13" t="n">
        <v>2009</v>
      </c>
      <c r="C100" s="13" t="inlineStr">
        <is>
          <t>20系</t>
        </is>
      </c>
      <c r="D100" s="15" t="n">
        <v>303000</v>
      </c>
      <c r="E100" s="13" t="n">
        <v>162</v>
      </c>
      <c r="F100" s="15" t="n">
        <v>145000</v>
      </c>
      <c r="G100" s="13" t="inlineStr">
        <is>
          <t>REAL_MILEAGE</t>
        </is>
      </c>
      <c r="H100" s="13" t="inlineStr">
        <is>
          <t>NONE</t>
        </is>
      </c>
      <c r="I100" s="15" t="n">
        <v>0</v>
      </c>
      <c r="J100" s="13" t="inlineStr">
        <is>
          <t>2026-04-30T21:26:26+09:00</t>
        </is>
      </c>
      <c r="K100" s="14" t="inlineStr">
        <is>
          <t>TOYOTA 20アルファード 検9年4月 240S 両側Pスラ 黒 セキュリティ 外装極上 シートカバー Bluetooth ナビ Bカメラ 即納 ETC トヨタ 大阪発</t>
        </is>
      </c>
      <c r="L100" s="13" t="inlineStr">
        <is>
          <t>https://page.auctions.yahoo.co.jp/jp/auction/1227463203</t>
        </is>
      </c>
    </row>
    <row r="101">
      <c r="A101" s="8" t="inlineStr">
        <is>
          <t>アルファード</t>
        </is>
      </c>
      <c r="B101" s="8" t="n">
        <v>2009</v>
      </c>
      <c r="C101" s="8" t="inlineStr">
        <is>
          <t>20系</t>
        </is>
      </c>
      <c r="D101" s="11" t="n">
        <v>242000</v>
      </c>
      <c r="E101" s="8" t="n">
        <v>205</v>
      </c>
      <c r="F101" s="11" t="n">
        <v>141000</v>
      </c>
      <c r="G101" s="8" t="inlineStr">
        <is>
          <t>REAL_MILEAGE</t>
        </is>
      </c>
      <c r="H101" s="8" t="inlineStr">
        <is>
          <t>NONE</t>
        </is>
      </c>
      <c r="I101" s="11" t="n">
        <v>0</v>
      </c>
      <c r="J101" s="8" t="inlineStr">
        <is>
          <t>2026-04-16T23:30:51+09:00</t>
        </is>
      </c>
      <c r="K101" s="14" t="inlineStr">
        <is>
          <t>トヨタ アルファード 21年式 検9年4月迄 革調シートカバー 両側パワスラ Bカメラ Bluetooth 内外装仕上済 内装LED 大阪発</t>
        </is>
      </c>
      <c r="L101" s="8" t="inlineStr">
        <is>
          <t>https://page.auctions.yahoo.co.jp/jp/auction/d1226276627</t>
        </is>
      </c>
    </row>
    <row r="102">
      <c r="A102" s="13" t="inlineStr">
        <is>
          <t>アルファード</t>
        </is>
      </c>
      <c r="B102" s="13" t="n">
        <v>2009</v>
      </c>
      <c r="C102" s="13" t="inlineStr">
        <is>
          <t>20系</t>
        </is>
      </c>
      <c r="D102" s="15" t="n">
        <v>252000</v>
      </c>
      <c r="E102" s="13" t="n">
        <v>98</v>
      </c>
      <c r="F102" s="15" t="n">
        <v>141000</v>
      </c>
      <c r="G102" s="13" t="inlineStr">
        <is>
          <t>REAL_MILEAGE</t>
        </is>
      </c>
      <c r="H102" s="13" t="inlineStr">
        <is>
          <t>NONE</t>
        </is>
      </c>
      <c r="I102" s="15" t="n">
        <v>0</v>
      </c>
      <c r="J102" s="13" t="inlineStr">
        <is>
          <t>2026-04-09T23:01:11+09:00</t>
        </is>
      </c>
      <c r="K102" s="14" t="inlineStr">
        <is>
          <t>トヨタ アルファード 21年式 検9年4月迄 革調シートカバー 両側パワスラ Bカメラ Bluetooth 内外装仕上済 内装LED 大阪発</t>
        </is>
      </c>
      <c r="L102" s="13" t="inlineStr">
        <is>
          <t>https://page.auctions.yahoo.co.jp/jp/auction/f1225340364</t>
        </is>
      </c>
    </row>
    <row r="103">
      <c r="A103" s="8" t="inlineStr">
        <is>
          <t>アルファード</t>
        </is>
      </c>
      <c r="B103" s="8" t="n">
        <v>2009</v>
      </c>
      <c r="C103" s="8" t="inlineStr">
        <is>
          <t>20系</t>
        </is>
      </c>
      <c r="D103" s="11" t="n">
        <v>264000</v>
      </c>
      <c r="E103" s="8" t="n">
        <v>61</v>
      </c>
      <c r="F103" s="11" t="n">
        <v>213005</v>
      </c>
      <c r="G103" s="8" t="inlineStr">
        <is>
          <t>REAL_MILEAGE</t>
        </is>
      </c>
      <c r="H103" s="8" t="inlineStr">
        <is>
          <t>NONE</t>
        </is>
      </c>
      <c r="I103" s="11" t="n">
        <v>0</v>
      </c>
      <c r="J103" s="8" t="inlineStr">
        <is>
          <t>2026-04-03T22:44:48+09:00</t>
        </is>
      </c>
      <c r="K103" s="14" t="inlineStr">
        <is>
          <t>アルファード 240X 平成21年 4WD 走行距離21万km(12万km時点エンジンオーバーホール) 現行車トヨタ 北海道 ALPHARD TOYOTA</t>
        </is>
      </c>
      <c r="L103" s="8" t="inlineStr">
        <is>
          <t>https://page.auctions.yahoo.co.jp/jp/auction/p1223638465</t>
        </is>
      </c>
    </row>
    <row r="104">
      <c r="A104" s="13" t="inlineStr">
        <is>
          <t>アルファード</t>
        </is>
      </c>
      <c r="B104" s="13" t="n">
        <v>2009</v>
      </c>
      <c r="C104" s="13" t="inlineStr">
        <is>
          <t>20系</t>
        </is>
      </c>
      <c r="D104" s="15" t="n">
        <v>398000</v>
      </c>
      <c r="E104" s="13" t="n">
        <v>1</v>
      </c>
      <c r="F104" s="15" t="n">
        <v>126300</v>
      </c>
      <c r="G104" s="13" t="inlineStr">
        <is>
          <t>REAL_MILEAGE</t>
        </is>
      </c>
      <c r="H104" s="13" t="inlineStr">
        <is>
          <t>NONE</t>
        </is>
      </c>
      <c r="I104" s="15" t="n">
        <v>0</v>
      </c>
      <c r="J104" s="13" t="inlineStr">
        <is>
          <t>2026-03-31T08:36:01+09:00</t>
        </is>
      </c>
      <c r="K104" s="14" t="inlineStr">
        <is>
          <t>アルファード240S　カスタム　売り切り！　車高調　19インチ</t>
        </is>
      </c>
      <c r="L104" s="13" t="inlineStr">
        <is>
          <t>https://page.auctions.yahoo.co.jp/jp/auction/n1221699696</t>
        </is>
      </c>
    </row>
    <row r="105">
      <c r="A105" s="8" t="inlineStr">
        <is>
          <t>アルファード</t>
        </is>
      </c>
      <c r="B105" s="8" t="n">
        <v>2009</v>
      </c>
      <c r="C105" s="8" t="inlineStr">
        <is>
          <t>20系</t>
        </is>
      </c>
      <c r="D105" s="11" t="n">
        <v>301000</v>
      </c>
      <c r="E105" s="8" t="n">
        <v>122</v>
      </c>
      <c r="F105" s="11" t="n">
        <v>181100</v>
      </c>
      <c r="G105" s="8" t="inlineStr">
        <is>
          <t>REAL_MILEAGE</t>
        </is>
      </c>
      <c r="H105" s="8" t="n"/>
      <c r="I105" s="11" t="n">
        <v>0</v>
      </c>
      <c r="J105" s="8" t="inlineStr">
        <is>
          <t>2026-03-29T19:26:00+09:00</t>
        </is>
      </c>
      <c r="K105" s="14" t="inlineStr">
        <is>
          <t>【1万円スタート売り切り】トヨタアルファード240Sガソリン4WD</t>
        </is>
      </c>
      <c r="L105" s="8" t="inlineStr">
        <is>
          <t>https://page.auctions.yahoo.co.jp/jp/auction/f1223648267</t>
        </is>
      </c>
    </row>
    <row r="106">
      <c r="A106" s="13" t="inlineStr">
        <is>
          <t>アルファード</t>
        </is>
      </c>
      <c r="B106" s="13" t="n">
        <v>2009</v>
      </c>
      <c r="C106" s="13" t="inlineStr">
        <is>
          <t>20系</t>
        </is>
      </c>
      <c r="D106" s="15" t="n">
        <v>450000</v>
      </c>
      <c r="E106" s="13" t="n">
        <v>1</v>
      </c>
      <c r="F106" s="15" t="n">
        <v>133000</v>
      </c>
      <c r="G106" s="13" t="inlineStr">
        <is>
          <t>REAL_MILEAGE</t>
        </is>
      </c>
      <c r="H106" s="13" t="inlineStr">
        <is>
          <t>NONE</t>
        </is>
      </c>
      <c r="I106" s="15" t="n">
        <v>0</v>
      </c>
      <c r="J106" s="13" t="inlineStr">
        <is>
          <t>2026-03-22T22:25:42+09:00</t>
        </is>
      </c>
      <c r="K106" s="14" t="inlineStr">
        <is>
          <t>H21 アルファード 240S サンルーフ 13万km 車検R9年12月 純正ナビ フリップダウン 黒</t>
        </is>
      </c>
      <c r="L106" s="13" t="inlineStr">
        <is>
          <t>https://page.auctions.yahoo.co.jp/jp/auction/l1222193208</t>
        </is>
      </c>
    </row>
    <row r="107">
      <c r="A107" s="8" t="inlineStr">
        <is>
          <t>アルファード</t>
        </is>
      </c>
      <c r="B107" s="8" t="n">
        <v>2009</v>
      </c>
      <c r="C107" s="8" t="inlineStr">
        <is>
          <t>20系</t>
        </is>
      </c>
      <c r="D107" s="11" t="n">
        <v>378500</v>
      </c>
      <c r="E107" s="8" t="n">
        <v>120</v>
      </c>
      <c r="F107" s="11" t="n">
        <v>173250</v>
      </c>
      <c r="G107" s="8" t="inlineStr">
        <is>
          <t>REAL_MILEAGE</t>
        </is>
      </c>
      <c r="H107" s="8" t="inlineStr">
        <is>
          <t>NONE</t>
        </is>
      </c>
      <c r="I107" s="11" t="n">
        <v>0</v>
      </c>
      <c r="J107" s="8" t="inlineStr">
        <is>
          <t>2026-03-11T22:01:37+09:00</t>
        </is>
      </c>
      <c r="K107" s="14" t="inlineStr">
        <is>
          <t>アルファード3.5G後期仕様アルパイン専用ナビ2列目オットマンシートカバー付きパワフルなエンジン</t>
        </is>
      </c>
      <c r="L107" s="8" t="inlineStr">
        <is>
          <t>https://page.auctions.yahoo.co.jp/jp/auction/n1221899206</t>
        </is>
      </c>
    </row>
    <row r="108">
      <c r="A108" s="13" t="inlineStr">
        <is>
          <t>アルファード</t>
        </is>
      </c>
      <c r="B108" s="13" t="n">
        <v>2008</v>
      </c>
      <c r="C108" s="13" t="inlineStr">
        <is>
          <t>20系</t>
        </is>
      </c>
      <c r="D108" s="15" t="n">
        <v>900000</v>
      </c>
      <c r="E108" s="13" t="n">
        <v>1</v>
      </c>
      <c r="F108" s="15" t="n">
        <v>89000</v>
      </c>
      <c r="G108" s="13" t="inlineStr">
        <is>
          <t>REAL_MILEAGE</t>
        </is>
      </c>
      <c r="H108" s="13" t="inlineStr">
        <is>
          <t>NONE</t>
        </is>
      </c>
      <c r="I108" s="15" t="n">
        <v>30000</v>
      </c>
      <c r="J108" s="13" t="inlineStr">
        <is>
          <t>2026-08-13T00:31:42+09:00</t>
        </is>
      </c>
      <c r="K108" s="14" t="inlineStr">
        <is>
          <t>海道 釧路発！アルファード 3.5L 4WD Lパッケージ エグゼクティブシート オットマン 20インチ付き 車検令和9年11月 程度良し 即納車OK！</t>
        </is>
      </c>
      <c r="L108" s="13" t="inlineStr">
        <is>
          <t>https://page.auctions.yahoo.co.jp/jp/auction/r1240108339</t>
        </is>
      </c>
    </row>
    <row r="109">
      <c r="A109" s="8" t="inlineStr">
        <is>
          <t>アルファード</t>
        </is>
      </c>
      <c r="B109" s="8" t="n">
        <v>2008</v>
      </c>
      <c r="C109" s="8" t="inlineStr"/>
      <c r="D109" s="11" t="n">
        <v>450000</v>
      </c>
      <c r="E109" s="8" t="n">
        <v>1</v>
      </c>
      <c r="F109" s="11" t="n">
        <v>56500</v>
      </c>
      <c r="G109" s="8" t="inlineStr">
        <is>
          <t>REAL_MILEAGE</t>
        </is>
      </c>
      <c r="H109" s="8" t="inlineStr">
        <is>
          <t>NONE</t>
        </is>
      </c>
      <c r="I109" s="11" t="n">
        <v>0</v>
      </c>
      <c r="J109" s="8" t="inlineStr">
        <is>
          <t>2026-08-12T18:02:46+09:00</t>
        </is>
      </c>
      <c r="K109" s="14" t="inlineStr">
        <is>
          <t>アルファード　3.0MSプライムセレクションⅡ　ムーンルーフ　実走行　車検付き</t>
        </is>
      </c>
      <c r="L109" s="8" t="inlineStr">
        <is>
          <t>https://page.auctions.yahoo.co.jp/jp/auction/k1240093174</t>
        </is>
      </c>
    </row>
    <row r="110">
      <c r="A110" s="13" t="inlineStr">
        <is>
          <t>アルファード</t>
        </is>
      </c>
      <c r="B110" s="13" t="n">
        <v>2008</v>
      </c>
      <c r="C110" s="13" t="inlineStr">
        <is>
          <t>20系</t>
        </is>
      </c>
      <c r="D110" s="15" t="n">
        <v>211000</v>
      </c>
      <c r="E110" s="13" t="n">
        <v>49</v>
      </c>
      <c r="F110" s="15" t="n">
        <v>110786</v>
      </c>
      <c r="G110" s="13" t="inlineStr">
        <is>
          <t>REAL_MILEAGE</t>
        </is>
      </c>
      <c r="H110" s="13" t="inlineStr">
        <is>
          <t>NONE</t>
        </is>
      </c>
      <c r="I110" s="15" t="n">
        <v>18290</v>
      </c>
      <c r="J110" s="13" t="inlineStr">
        <is>
          <t>2026-07-24T21:47:29+09:00</t>
        </is>
      </c>
      <c r="K110" s="14" t="inlineStr">
        <is>
          <t>トヨタ、アルファードＶ、年式：平成20年５月、走行距離：110786KM、BLUETOOTH、TV、ナビ、車検付き、自走可能、右左スライドドア</t>
        </is>
      </c>
      <c r="L110" s="13" t="inlineStr">
        <is>
          <t>https://page.auctions.yahoo.co.jp/jp/auction/r1237793626</t>
        </is>
      </c>
    </row>
    <row r="111">
      <c r="A111" s="8" t="inlineStr">
        <is>
          <t>アルファード</t>
        </is>
      </c>
      <c r="B111" s="8" t="n">
        <v>2008</v>
      </c>
      <c r="C111" s="8" t="inlineStr">
        <is>
          <t>20系</t>
        </is>
      </c>
      <c r="D111" s="11" t="n">
        <v>248000</v>
      </c>
      <c r="E111" s="8" t="n">
        <v>1</v>
      </c>
      <c r="F111" s="11" t="n">
        <v>254000</v>
      </c>
      <c r="G111" s="8" t="inlineStr">
        <is>
          <t>REAL_MILEAGE</t>
        </is>
      </c>
      <c r="H111" s="8" t="inlineStr">
        <is>
          <t>NONE</t>
        </is>
      </c>
      <c r="I111" s="11" t="n">
        <v>52690</v>
      </c>
      <c r="J111" s="8" t="inlineStr">
        <is>
          <t>2026-07-13T23:02:23+09:00</t>
        </is>
      </c>
      <c r="K111" s="14" t="inlineStr">
        <is>
          <t>動画説明!新潟市!4WD!多走行ですが快調!20年アルファード240G 装備多数有!車検9年9月 外装内装綺麗め!この夏みんなでお出かけ用に!</t>
        </is>
      </c>
      <c r="L111" s="8" t="inlineStr">
        <is>
          <t>https://page.auctions.yahoo.co.jp/jp/auction/j1236139235</t>
        </is>
      </c>
    </row>
    <row r="112">
      <c r="A112" s="13" t="inlineStr">
        <is>
          <t>アルファード</t>
        </is>
      </c>
      <c r="B112" s="13" t="n">
        <v>2008</v>
      </c>
      <c r="C112" s="13" t="inlineStr">
        <is>
          <t>20系</t>
        </is>
      </c>
      <c r="D112" s="15" t="n">
        <v>698000</v>
      </c>
      <c r="E112" s="13" t="n">
        <v>1</v>
      </c>
      <c r="F112" s="15" t="n">
        <v>96000</v>
      </c>
      <c r="G112" s="13" t="inlineStr">
        <is>
          <t>REAL_MILEAGE</t>
        </is>
      </c>
      <c r="H112" s="13" t="inlineStr">
        <is>
          <t>EXISTS</t>
        </is>
      </c>
      <c r="I112" s="15" t="n">
        <v>0</v>
      </c>
      <c r="J112" s="13" t="inlineStr">
        <is>
          <t>2026-07-05T21:58:57+09:00</t>
        </is>
      </c>
      <c r="K112" s="14" t="inlineStr">
        <is>
          <t>【諸費用コミ】返金保証付:平成20年 トヨタ アルファード 3.5 350S Cパッケージ ナビ+TV、両側パワースライドドア</t>
        </is>
      </c>
      <c r="L112" s="13" t="inlineStr">
        <is>
          <t>https://page.auctions.yahoo.co.jp/jp/auction/h1235572756</t>
        </is>
      </c>
    </row>
    <row r="113">
      <c r="A113" s="8" t="inlineStr">
        <is>
          <t>アルファード</t>
        </is>
      </c>
      <c r="B113" s="8" t="n">
        <v>2008</v>
      </c>
      <c r="C113" s="8" t="inlineStr">
        <is>
          <t>20系</t>
        </is>
      </c>
      <c r="D113" s="11" t="n">
        <v>352000</v>
      </c>
      <c r="E113" s="8" t="n">
        <v>84</v>
      </c>
      <c r="F113" s="11" t="n">
        <v>143700</v>
      </c>
      <c r="G113" s="8" t="inlineStr">
        <is>
          <t>REAL_MILEAGE</t>
        </is>
      </c>
      <c r="H113" s="8" t="inlineStr">
        <is>
          <t>NONE</t>
        </is>
      </c>
      <c r="I113" s="11" t="n">
        <v>0</v>
      </c>
      <c r="J113" s="8" t="inlineStr">
        <is>
          <t>2026-06-29T19:01:09+09:00</t>
        </is>
      </c>
      <c r="K113" s="14" t="inlineStr">
        <is>
          <t>埼玉県発 20年式 トヨタ 20アルファード 240X 車検1年付き</t>
        </is>
      </c>
      <c r="L113" s="8" t="inlineStr">
        <is>
          <t>https://page.auctions.yahoo.co.jp/jp/auction/k1234391566</t>
        </is>
      </c>
    </row>
    <row r="114">
      <c r="A114" s="13" t="inlineStr">
        <is>
          <t>アルファード</t>
        </is>
      </c>
      <c r="B114" s="13" t="n">
        <v>2008</v>
      </c>
      <c r="C114" s="13" t="inlineStr">
        <is>
          <t>20系</t>
        </is>
      </c>
      <c r="D114" s="15" t="n">
        <v>535000</v>
      </c>
      <c r="E114" s="13" t="n">
        <v>1</v>
      </c>
      <c r="F114" s="15" t="n">
        <v>116300</v>
      </c>
      <c r="G114" s="13" t="inlineStr">
        <is>
          <t>REAL_MILEAGE</t>
        </is>
      </c>
      <c r="H114" s="13" t="inlineStr">
        <is>
          <t>EXISTS</t>
        </is>
      </c>
      <c r="I114" s="15" t="n">
        <v>67290</v>
      </c>
      <c r="J114" s="13" t="inlineStr">
        <is>
          <t>2026-06-19T13:10:45+09:00</t>
        </is>
      </c>
      <c r="K114" s="14" t="inlineStr">
        <is>
          <t>アルファード*検長*Wサンルーフ*HID*左パワスラ*エクリプス9インチナビ*Bカメラ*BTオーディオ*DTV*DVD*CD*ETC*アルミ*社外足*110119S2</t>
        </is>
      </c>
      <c r="L114" s="13" t="inlineStr">
        <is>
          <t>https://page.auctions.yahoo.co.jp/jp/auction/e1225736943</t>
        </is>
      </c>
    </row>
    <row r="115">
      <c r="A115" s="8" t="inlineStr">
        <is>
          <t>アルファード</t>
        </is>
      </c>
      <c r="B115" s="8" t="n">
        <v>2008</v>
      </c>
      <c r="C115" s="8" t="inlineStr">
        <is>
          <t>20系</t>
        </is>
      </c>
      <c r="D115" s="11" t="n">
        <v>640000</v>
      </c>
      <c r="E115" s="8" t="n">
        <v>1</v>
      </c>
      <c r="F115" s="11" t="n">
        <v>119987</v>
      </c>
      <c r="G115" s="8" t="inlineStr">
        <is>
          <t>REAL_MILEAGE</t>
        </is>
      </c>
      <c r="H115" s="8" t="n"/>
      <c r="I115" s="11" t="n">
        <v>0</v>
      </c>
      <c r="J115" s="8" t="inlineStr">
        <is>
          <t>2026-06-01T21:44:19+09:00</t>
        </is>
      </c>
      <c r="K115" s="14" t="inlineStr">
        <is>
          <t>【超美車】H20年 4WD アルファード 240S ANH25W 検査9年10月25日 ナビ, TV, バックカメラ, Bluetooth</t>
        </is>
      </c>
      <c r="L115" s="8" t="inlineStr">
        <is>
          <t>https://page.auctions.yahoo.co.jp/jp/auction/w1226299602</t>
        </is>
      </c>
    </row>
    <row r="116">
      <c r="A116" s="13" t="inlineStr">
        <is>
          <t>アルファード</t>
        </is>
      </c>
      <c r="B116" s="13" t="n">
        <v>2008</v>
      </c>
      <c r="C116" s="13" t="inlineStr">
        <is>
          <t>20系</t>
        </is>
      </c>
      <c r="D116" s="15" t="n">
        <v>401000</v>
      </c>
      <c r="E116" s="13" t="n">
        <v>92</v>
      </c>
      <c r="F116" s="15" t="n">
        <v>144180</v>
      </c>
      <c r="G116" s="13" t="inlineStr">
        <is>
          <t>REAL_MILEAGE</t>
        </is>
      </c>
      <c r="H116" s="13" t="inlineStr">
        <is>
          <t>NONE</t>
        </is>
      </c>
      <c r="I116" s="15" t="n">
        <v>0</v>
      </c>
      <c r="J116" s="13" t="inlineStr">
        <is>
          <t>2026-05-17T20:54:06+09:00</t>
        </is>
      </c>
      <c r="K116" s="14" t="inlineStr">
        <is>
          <t>TOYOTA★トヨタ★アルファード★車検R9年7月まであり★ローダウン</t>
        </is>
      </c>
      <c r="L116" s="13" t="inlineStr">
        <is>
          <t>https://page.auctions.yahoo.co.jp/jp/auction/b1229682468</t>
        </is>
      </c>
    </row>
    <row r="117">
      <c r="A117" s="8" t="inlineStr">
        <is>
          <t>アルファード</t>
        </is>
      </c>
      <c r="B117" s="8" t="n">
        <v>2008</v>
      </c>
      <c r="C117" s="8" t="inlineStr">
        <is>
          <t>20系</t>
        </is>
      </c>
      <c r="D117" s="11" t="n">
        <v>628001</v>
      </c>
      <c r="E117" s="8" t="n">
        <v>1</v>
      </c>
      <c r="F117" s="11" t="n">
        <v>81000</v>
      </c>
      <c r="G117" s="8" t="inlineStr">
        <is>
          <t>REAL_MILEAGE</t>
        </is>
      </c>
      <c r="H117" s="8" t="inlineStr">
        <is>
          <t>NONE</t>
        </is>
      </c>
      <c r="I117" s="11" t="n">
        <v>0</v>
      </c>
      <c r="J117" s="8" t="inlineStr">
        <is>
          <t>2026-04-29T23:22:36+09:00</t>
        </is>
      </c>
      <c r="K117" s="14" t="inlineStr">
        <is>
          <t>アルファード 3.5 350G Lパッケージ ETC　ナビ　ワンセグTV　AAC　エアバック</t>
        </is>
      </c>
      <c r="L117" s="8" t="inlineStr">
        <is>
          <t>https://page.auctions.yahoo.co.jp/jp/auction/r1226694553</t>
        </is>
      </c>
    </row>
    <row r="118">
      <c r="A118" s="13" t="inlineStr">
        <is>
          <t>アルファード</t>
        </is>
      </c>
      <c r="B118" s="13" t="n">
        <v>2008</v>
      </c>
      <c r="C118" s="13" t="inlineStr">
        <is>
          <t>20系</t>
        </is>
      </c>
      <c r="D118" s="15" t="n">
        <v>578000</v>
      </c>
      <c r="E118" s="13" t="n">
        <v>1</v>
      </c>
      <c r="F118" s="15" t="n">
        <v>85000</v>
      </c>
      <c r="G118" s="13" t="inlineStr">
        <is>
          <t>REAL_MILEAGE</t>
        </is>
      </c>
      <c r="H118" s="13" t="inlineStr">
        <is>
          <t>NONE</t>
        </is>
      </c>
      <c r="I118" s="15" t="n">
        <v>0</v>
      </c>
      <c r="J118" s="13" t="inlineStr">
        <is>
          <t>2026-04-23T13:44:23+09:00</t>
        </is>
      </c>
      <c r="K118" s="14" t="inlineStr">
        <is>
          <t>アルファード 2.4 240X 検10.4 ナビTVスマキーBカメDレコETC</t>
        </is>
      </c>
      <c r="L118" s="13" t="inlineStr">
        <is>
          <t>https://page.auctions.yahoo.co.jp/jp/auction/h1227120082</t>
        </is>
      </c>
    </row>
    <row r="119">
      <c r="A119" s="8" t="inlineStr">
        <is>
          <t>アルファード</t>
        </is>
      </c>
      <c r="B119" s="8" t="n">
        <v>2008</v>
      </c>
      <c r="C119" s="8" t="inlineStr">
        <is>
          <t>20系</t>
        </is>
      </c>
      <c r="D119" s="11" t="n">
        <v>461000</v>
      </c>
      <c r="E119" s="8" t="n">
        <v>8</v>
      </c>
      <c r="F119" s="11" t="n">
        <v>125861</v>
      </c>
      <c r="G119" s="8" t="inlineStr">
        <is>
          <t>REAL_MILEAGE</t>
        </is>
      </c>
      <c r="H119" s="8" t="inlineStr">
        <is>
          <t>NONE</t>
        </is>
      </c>
      <c r="I119" s="11" t="n">
        <v>0</v>
      </c>
      <c r="J119" s="8" t="inlineStr">
        <is>
          <t>2026-04-16T20:00:38+09:00</t>
        </is>
      </c>
      <c r="K119" s="14" t="inlineStr">
        <is>
          <t>大人カスタム　アルファード　車検付き　美車　込み込み</t>
        </is>
      </c>
      <c r="L119" s="8" t="inlineStr">
        <is>
          <t>https://page.auctions.yahoo.co.jp/jp/auction/n1225223066</t>
        </is>
      </c>
    </row>
    <row r="120">
      <c r="A120" s="13" t="inlineStr">
        <is>
          <t>アルファード</t>
        </is>
      </c>
      <c r="B120" s="13" t="n">
        <v>2008</v>
      </c>
      <c r="C120" s="13" t="inlineStr">
        <is>
          <t>20系</t>
        </is>
      </c>
      <c r="D120" s="15" t="n">
        <v>401000</v>
      </c>
      <c r="E120" s="13" t="n">
        <v>83</v>
      </c>
      <c r="F120" s="15" t="n">
        <v>305683</v>
      </c>
      <c r="G120" s="13" t="inlineStr">
        <is>
          <t>REAL_MILEAGE</t>
        </is>
      </c>
      <c r="H120" s="13" t="inlineStr">
        <is>
          <t>NONE</t>
        </is>
      </c>
      <c r="I120" s="15" t="n">
        <v>0</v>
      </c>
      <c r="J120" s="13" t="inlineStr">
        <is>
          <t>2026-04-01T20:45:22+09:00</t>
        </is>
      </c>
      <c r="K120" s="14" t="inlineStr">
        <is>
          <t>トヨタ アルファード V6 3500 350G 4WD 車いす移動車 8ナンバー 車検たっぷり！100円スタート！</t>
        </is>
      </c>
      <c r="L120" s="13" t="inlineStr">
        <is>
          <t>https://page.auctions.yahoo.co.jp/jp/auction/v1204504456</t>
        </is>
      </c>
    </row>
    <row r="121">
      <c r="A121" s="8" t="inlineStr">
        <is>
          <t>アルファード</t>
        </is>
      </c>
      <c r="B121" s="8" t="n">
        <v>2008</v>
      </c>
      <c r="C121" s="8" t="inlineStr"/>
      <c r="D121" s="11" t="n">
        <v>289000</v>
      </c>
      <c r="E121" s="8" t="n">
        <v>29</v>
      </c>
      <c r="F121" s="11" t="n">
        <v>127000</v>
      </c>
      <c r="G121" s="8" t="inlineStr">
        <is>
          <t>REAL_MILEAGE</t>
        </is>
      </c>
      <c r="H121" s="8" t="inlineStr">
        <is>
          <t>NONE</t>
        </is>
      </c>
      <c r="I121" s="11" t="n">
        <v>0</v>
      </c>
      <c r="J121" s="8" t="inlineStr">
        <is>
          <t>2026-02-28T21:51:55+09:00</t>
        </is>
      </c>
      <c r="K121" s="14" t="inlineStr">
        <is>
          <t xml:space="preserve">岐阜 即乗 検9年3月 H20年3月 12万㌔ 上級 アルファード 2.4AS 特別仕様車 プラチナセレクションⅡ 両側電動スライドドア </t>
        </is>
      </c>
      <c r="L121" s="8" t="inlineStr">
        <is>
          <t>https://page.auctions.yahoo.co.jp/jp/auction/d1219586932</t>
        </is>
      </c>
    </row>
    <row r="122">
      <c r="A122" s="13" t="inlineStr">
        <is>
          <t>アルファード</t>
        </is>
      </c>
      <c r="B122" s="13" t="n">
        <v>2007</v>
      </c>
      <c r="C122" s="13" t="inlineStr"/>
      <c r="D122" s="15" t="n">
        <v>302000</v>
      </c>
      <c r="E122" s="13" t="n">
        <v>86</v>
      </c>
      <c r="F122" s="15" t="n">
        <v>299000</v>
      </c>
      <c r="G122" s="13" t="inlineStr">
        <is>
          <t>REAL_MILEAGE</t>
        </is>
      </c>
      <c r="H122" s="13" t="inlineStr">
        <is>
          <t>NONE</t>
        </is>
      </c>
      <c r="I122" s="15" t="n">
        <v>35400</v>
      </c>
      <c r="J122" s="13" t="inlineStr">
        <is>
          <t>2026-08-09T21:31:36+09:00</t>
        </is>
      </c>
      <c r="K122" s="14" t="inlineStr">
        <is>
          <t>10アルファードハイブリッド ロイヤルラウンジ</t>
        </is>
      </c>
      <c r="L122" s="13" t="inlineStr">
        <is>
          <t>https://page.auctions.yahoo.co.jp/jp/auction/b1239848837</t>
        </is>
      </c>
    </row>
    <row r="123">
      <c r="A123" s="8" t="inlineStr">
        <is>
          <t>アルファード</t>
        </is>
      </c>
      <c r="B123" s="8" t="n">
        <v>2007</v>
      </c>
      <c r="C123" s="8" t="inlineStr"/>
      <c r="D123" s="11" t="n">
        <v>730000</v>
      </c>
      <c r="E123" s="8" t="n">
        <v>1</v>
      </c>
      <c r="F123" s="11" t="n">
        <v>135000</v>
      </c>
      <c r="G123" s="8" t="inlineStr">
        <is>
          <t>REAL_MILEAGE</t>
        </is>
      </c>
      <c r="H123" s="8" t="inlineStr">
        <is>
          <t>NONE</t>
        </is>
      </c>
      <c r="I123" s="11" t="n">
        <v>0</v>
      </c>
      <c r="J123" s="8" t="inlineStr">
        <is>
          <t>2026-06-03T23:14:29+09:00</t>
        </is>
      </c>
      <c r="K123" s="14" t="inlineStr">
        <is>
          <t>アルファード　白</t>
        </is>
      </c>
      <c r="L123" s="8" t="inlineStr">
        <is>
          <t>https://page.auctions.yahoo.co.jp/jp/auction/l1232152498</t>
        </is>
      </c>
    </row>
    <row r="124">
      <c r="A124" s="13" t="inlineStr">
        <is>
          <t>アルファード</t>
        </is>
      </c>
      <c r="B124" s="13" t="n">
        <v>2007</v>
      </c>
      <c r="C124" s="13" t="inlineStr"/>
      <c r="D124" s="15" t="n">
        <v>800000</v>
      </c>
      <c r="E124" s="13" t="n">
        <v>1</v>
      </c>
      <c r="F124" s="15" t="n">
        <v>88383</v>
      </c>
      <c r="G124" s="13" t="inlineStr">
        <is>
          <t>REAL_MILEAGE</t>
        </is>
      </c>
      <c r="H124" s="13" t="inlineStr">
        <is>
          <t>NONE</t>
        </is>
      </c>
      <c r="I124" s="15" t="n">
        <v>0</v>
      </c>
      <c r="J124" s="13" t="inlineStr">
        <is>
          <t>2026-06-03T23:14:09+09:00</t>
        </is>
      </c>
      <c r="K124" s="14" t="inlineStr">
        <is>
          <t>アルファードV　白</t>
        </is>
      </c>
      <c r="L124" s="13" t="inlineStr">
        <is>
          <t>https://page.auctions.yahoo.co.jp/jp/auction/n1232153325</t>
        </is>
      </c>
    </row>
    <row r="125">
      <c r="A125" s="8" t="inlineStr">
        <is>
          <t>アルファード</t>
        </is>
      </c>
      <c r="B125" s="8" t="n">
        <v>2007</v>
      </c>
      <c r="C125" s="8" t="inlineStr"/>
      <c r="D125" s="11" t="n">
        <v>820000</v>
      </c>
      <c r="E125" s="8" t="n">
        <v>1</v>
      </c>
      <c r="F125" s="11" t="n">
        <v>26298</v>
      </c>
      <c r="G125" s="8" t="inlineStr">
        <is>
          <t>REAL_MILEAGE</t>
        </is>
      </c>
      <c r="H125" s="8" t="inlineStr">
        <is>
          <t>NONE</t>
        </is>
      </c>
      <c r="I125" s="11" t="n">
        <v>0</v>
      </c>
      <c r="J125" s="8" t="inlineStr">
        <is>
          <t>2026-06-03T23:13:51+09:00</t>
        </is>
      </c>
      <c r="K125" s="14" t="inlineStr">
        <is>
          <t>トヨタ　アルファード　黒</t>
        </is>
      </c>
      <c r="L125" s="8" t="inlineStr">
        <is>
          <t>https://page.auctions.yahoo.co.jp/jp/auction/c1232155971</t>
        </is>
      </c>
    </row>
    <row r="126">
      <c r="A126" s="13" t="inlineStr">
        <is>
          <t>アルファード</t>
        </is>
      </c>
      <c r="B126" s="13" t="n">
        <v>2007</v>
      </c>
      <c r="C126" s="13" t="inlineStr"/>
      <c r="D126" s="15" t="n">
        <v>810000</v>
      </c>
      <c r="E126" s="13" t="n">
        <v>1</v>
      </c>
      <c r="F126" s="15" t="n">
        <v>128658</v>
      </c>
      <c r="G126" s="13" t="inlineStr">
        <is>
          <t>REAL_MILEAGE</t>
        </is>
      </c>
      <c r="H126" s="13" t="inlineStr">
        <is>
          <t>NONE</t>
        </is>
      </c>
      <c r="I126" s="15" t="n">
        <v>0</v>
      </c>
      <c r="J126" s="13" t="inlineStr">
        <is>
          <t>2026-06-03T23:12:27+09:00</t>
        </is>
      </c>
      <c r="K126" s="14" t="inlineStr">
        <is>
          <t>アルファード　黒</t>
        </is>
      </c>
      <c r="L126" s="13" t="inlineStr">
        <is>
          <t>https://page.auctions.yahoo.co.jp/jp/auction/q1232148661</t>
        </is>
      </c>
    </row>
    <row r="127">
      <c r="A127" s="8" t="inlineStr">
        <is>
          <t>アルファード</t>
        </is>
      </c>
      <c r="B127" s="8" t="n">
        <v>2007</v>
      </c>
      <c r="C127" s="8" t="inlineStr"/>
      <c r="D127" s="11" t="n">
        <v>248000</v>
      </c>
      <c r="E127" s="8" t="n">
        <v>1</v>
      </c>
      <c r="F127" s="11" t="n">
        <v>145000</v>
      </c>
      <c r="G127" s="8" t="inlineStr">
        <is>
          <t>REAL_MILEAGE</t>
        </is>
      </c>
      <c r="H127" s="8" t="inlineStr">
        <is>
          <t>NONE</t>
        </is>
      </c>
      <c r="I127" s="11" t="n">
        <v>0</v>
      </c>
      <c r="J127" s="8" t="inlineStr">
        <is>
          <t>2026-03-13T21:27:45+09:00</t>
        </is>
      </c>
      <c r="K127" s="14" t="inlineStr">
        <is>
          <t>アルファード 2.4 V AS プラチナセレクションII</t>
        </is>
      </c>
      <c r="L127" s="8" t="inlineStr">
        <is>
          <t>https://page.auctions.yahoo.co.jp/jp/auction/x1218908635</t>
        </is>
      </c>
    </row>
    <row r="128">
      <c r="A128" s="13" t="inlineStr">
        <is>
          <t>アルファード</t>
        </is>
      </c>
      <c r="B128" s="13" t="n">
        <v>2006</v>
      </c>
      <c r="C128" s="13" t="inlineStr"/>
      <c r="D128" s="15" t="n">
        <v>290000</v>
      </c>
      <c r="E128" s="13" t="n">
        <v>1</v>
      </c>
      <c r="F128" s="15" t="n">
        <v>75000</v>
      </c>
      <c r="G128" s="13" t="inlineStr">
        <is>
          <t>REAL_MILEAGE</t>
        </is>
      </c>
      <c r="H128" s="13" t="n"/>
      <c r="I128" s="15" t="n">
        <v>0</v>
      </c>
      <c r="J128" s="13" t="inlineStr">
        <is>
          <t>2026-07-19T19:42:49+09:00</t>
        </is>
      </c>
      <c r="K128" s="14" t="inlineStr">
        <is>
          <t>トヨタ アルファード ハイブリッド ath10W 広島</t>
        </is>
      </c>
      <c r="L128" s="13" t="inlineStr">
        <is>
          <t>https://page.auctions.yahoo.co.jp/jp/auction/v1236011521</t>
        </is>
      </c>
    </row>
    <row r="129">
      <c r="A129" s="8" t="inlineStr">
        <is>
          <t>アルファード</t>
        </is>
      </c>
      <c r="B129" s="8" t="n">
        <v>2006</v>
      </c>
      <c r="C129" s="8" t="inlineStr"/>
      <c r="D129" s="11" t="n">
        <v>311000</v>
      </c>
      <c r="E129" s="8" t="n">
        <v>9</v>
      </c>
      <c r="F129" s="11" t="n">
        <v>116800</v>
      </c>
      <c r="G129" s="8" t="inlineStr">
        <is>
          <t>REAL_MILEAGE</t>
        </is>
      </c>
      <c r="H129" s="8" t="inlineStr">
        <is>
          <t>NONE</t>
        </is>
      </c>
      <c r="I129" s="11" t="n">
        <v>0</v>
      </c>
      <c r="J129" s="8" t="inlineStr">
        <is>
          <t>2026-04-20T21:33:49+09:00</t>
        </is>
      </c>
      <c r="K129" s="14" t="inlineStr">
        <is>
          <t>★平成18年 後期 アルファード 3.0 MZ Gエディション★整備バッチリ★車検長い★アルパイン カーナビ★フリップダウンモニター★ドラレコ★</t>
        </is>
      </c>
      <c r="L129" s="8" t="inlineStr">
        <is>
          <t>https://page.auctions.yahoo.co.jp/jp/auction/1225546514</t>
        </is>
      </c>
    </row>
    <row r="130">
      <c r="A130" s="13" t="inlineStr">
        <is>
          <t>アルファード</t>
        </is>
      </c>
      <c r="B130" s="13" t="n">
        <v>2006</v>
      </c>
      <c r="C130" s="13" t="inlineStr"/>
      <c r="D130" s="15" t="n">
        <v>163000</v>
      </c>
      <c r="E130" s="13" t="n">
        <v>22</v>
      </c>
      <c r="F130" s="15" t="n">
        <v>216331</v>
      </c>
      <c r="G130" s="13" t="inlineStr">
        <is>
          <t>REAL_MILEAGE</t>
        </is>
      </c>
      <c r="H130" s="13" t="inlineStr">
        <is>
          <t>NONE</t>
        </is>
      </c>
      <c r="I130" s="15" t="n">
        <v>0</v>
      </c>
      <c r="J130" s="13" t="inlineStr">
        <is>
          <t>2026-03-06T21:35:56+09:00</t>
        </is>
      </c>
      <c r="K130" s="14" t="inlineStr">
        <is>
          <t>アルファードハイブリッドＨ18年216331km個人出品兵庫から</t>
        </is>
      </c>
      <c r="L130" s="13" t="inlineStr">
        <is>
          <t>https://page.auctions.yahoo.co.jp/jp/auction/u1220757315</t>
        </is>
      </c>
    </row>
    <row r="131">
      <c r="A131" s="8" t="inlineStr">
        <is>
          <t>アルファード</t>
        </is>
      </c>
      <c r="B131" s="8" t="n">
        <v>2005</v>
      </c>
      <c r="C131" s="8" t="inlineStr"/>
      <c r="D131" s="11" t="n">
        <v>550000</v>
      </c>
      <c r="E131" s="8" t="n">
        <v>78</v>
      </c>
      <c r="F131" s="11" t="n">
        <v>55135</v>
      </c>
      <c r="G131" s="8" t="inlineStr">
        <is>
          <t>REAL_MILEAGE</t>
        </is>
      </c>
      <c r="H131" s="8" t="inlineStr">
        <is>
          <t>NONE</t>
        </is>
      </c>
      <c r="I131" s="11" t="n">
        <v>0</v>
      </c>
      <c r="J131" s="8" t="inlineStr">
        <is>
          <t>2026-07-10T15:12:14+09:00</t>
        </is>
      </c>
      <c r="K131" s="14" t="inlineStr">
        <is>
          <t xml:space="preserve">アルファード10型　走行5万6千キロ 車検令和10年4月　タイヤ新品　エンジン、エアコン等絶好調　平成17年3月登録　リモートスタート付　</t>
        </is>
      </c>
      <c r="L131" s="8" t="inlineStr">
        <is>
          <t>https://page.auctions.yahoo.co.jp/jp/auction/m1235579443</t>
        </is>
      </c>
    </row>
    <row r="132">
      <c r="A132" s="13" t="inlineStr">
        <is>
          <t>アルファード</t>
        </is>
      </c>
      <c r="B132" s="13" t="n">
        <v>2004</v>
      </c>
      <c r="C132" s="13" t="inlineStr"/>
      <c r="D132" s="15" t="n">
        <v>330000</v>
      </c>
      <c r="E132" s="13" t="n">
        <v>22</v>
      </c>
      <c r="F132" s="15" t="n">
        <v>249000</v>
      </c>
      <c r="G132" s="13" t="inlineStr">
        <is>
          <t>REAL_MILEAGE</t>
        </is>
      </c>
      <c r="H132" s="13" t="inlineStr">
        <is>
          <t>NONE</t>
        </is>
      </c>
      <c r="I132" s="15" t="n">
        <v>15400</v>
      </c>
      <c r="J132" s="13" t="inlineStr">
        <is>
          <t>2026-08-07T11:00:19+09:00</t>
        </is>
      </c>
      <c r="K132" s="14" t="inlineStr">
        <is>
          <t>◎アルファード・4WD・ハイブリッド◎ウェルキャブ◎車検付き即乗り◎両側パワスラ◎ナビ＋バックカメラ◎低燃費◎禁煙車◎車検付即乗り◎</t>
        </is>
      </c>
      <c r="L132" s="13" t="inlineStr">
        <is>
          <t>https://page.auctions.yahoo.co.jp/jp/auction/g1233334725</t>
        </is>
      </c>
    </row>
    <row r="133">
      <c r="A133" s="8" t="inlineStr">
        <is>
          <t>アルファード</t>
        </is>
      </c>
      <c r="B133" s="8" t="n">
        <v>2004</v>
      </c>
      <c r="C133" s="8" t="inlineStr"/>
      <c r="D133" s="11" t="n">
        <v>245000</v>
      </c>
      <c r="E133" s="8" t="n">
        <v>38</v>
      </c>
      <c r="F133" s="11" t="n">
        <v>139165</v>
      </c>
      <c r="G133" s="8" t="inlineStr">
        <is>
          <t>REAL_MILEAGE</t>
        </is>
      </c>
      <c r="H133" s="8" t="inlineStr">
        <is>
          <t>NONE</t>
        </is>
      </c>
      <c r="I133" s="11" t="n">
        <v>14480</v>
      </c>
      <c r="J133" s="8" t="inlineStr">
        <is>
          <t>2026-07-28T20:50:54+09:00</t>
        </is>
      </c>
      <c r="K133" s="14" t="inlineStr">
        <is>
          <t>アルファード★ASプレミアム アルカンターラ★車検1年あり★両側パワースライドドア★ツインムーンルーフ★ナビ★ETC★バックカメラ</t>
        </is>
      </c>
      <c r="L133" s="8" t="inlineStr">
        <is>
          <t>https://page.auctions.yahoo.co.jp/jp/auction/q1238062117</t>
        </is>
      </c>
    </row>
    <row r="134">
      <c r="A134" s="13" t="inlineStr">
        <is>
          <t>アルファード</t>
        </is>
      </c>
      <c r="B134" s="13" t="n">
        <v>2004</v>
      </c>
      <c r="C134" s="13" t="inlineStr"/>
      <c r="D134" s="15" t="n">
        <v>256000</v>
      </c>
      <c r="E134" s="13" t="n">
        <v>14</v>
      </c>
      <c r="F134" s="15" t="n">
        <v>189400</v>
      </c>
      <c r="G134" s="13" t="inlineStr">
        <is>
          <t>REAL_MILEAGE</t>
        </is>
      </c>
      <c r="H134" s="13" t="inlineStr">
        <is>
          <t>NONE</t>
        </is>
      </c>
      <c r="I134" s="15" t="n">
        <v>44480</v>
      </c>
      <c r="J134" s="13" t="inlineStr">
        <is>
          <t>2026-07-12T20:34:20+09:00</t>
        </is>
      </c>
      <c r="K134" s="14" t="inlineStr">
        <is>
          <t>アルファードV6　3000　19インチアルミ　車検付き</t>
        </is>
      </c>
      <c r="L134" s="13" t="inlineStr">
        <is>
          <t>https://page.auctions.yahoo.co.jp/jp/auction/x1235270087</t>
        </is>
      </c>
    </row>
    <row r="135">
      <c r="A135" s="8" t="inlineStr">
        <is>
          <t>アルファード</t>
        </is>
      </c>
      <c r="B135" s="8" t="n">
        <v>2004</v>
      </c>
      <c r="C135" s="8" t="inlineStr"/>
      <c r="D135" s="11" t="n">
        <v>184015</v>
      </c>
      <c r="E135" s="8" t="n">
        <v>86</v>
      </c>
      <c r="F135" s="11" t="n">
        <v>163700</v>
      </c>
      <c r="G135" s="8" t="inlineStr">
        <is>
          <t>REAL_MILEAGE</t>
        </is>
      </c>
      <c r="H135" s="8" t="inlineStr">
        <is>
          <t>NONE</t>
        </is>
      </c>
      <c r="I135" s="11" t="n">
        <v>0</v>
      </c>
      <c r="J135" s="8" t="inlineStr">
        <is>
          <t>2026-06-12T22:49:43+09:00</t>
        </is>
      </c>
      <c r="K135" s="14" t="inlineStr">
        <is>
          <t>訳あり 売切 車検 9年2月 アルファードハイブリッド 最上級 Gエディション 4WD : ワンオーナー : メーカーオプション 総額679,000円</t>
        </is>
      </c>
      <c r="L135" s="8" t="inlineStr">
        <is>
          <t>https://page.auctions.yahoo.co.jp/jp/auction/h1232343707</t>
        </is>
      </c>
    </row>
    <row r="136">
      <c r="A136" s="13" t="inlineStr">
        <is>
          <t>アルファード</t>
        </is>
      </c>
      <c r="B136" s="13" t="n">
        <v>2004</v>
      </c>
      <c r="C136" s="13" t="inlineStr"/>
      <c r="D136" s="15" t="n">
        <v>200000</v>
      </c>
      <c r="E136" s="13" t="n">
        <v>1</v>
      </c>
      <c r="F136" s="15" t="n">
        <v>215045</v>
      </c>
      <c r="G136" s="13" t="inlineStr">
        <is>
          <t>REAL_MILEAGE</t>
        </is>
      </c>
      <c r="H136" s="13" t="inlineStr">
        <is>
          <t>EXISTS</t>
        </is>
      </c>
      <c r="I136" s="15" t="n">
        <v>0</v>
      </c>
      <c r="J136" s="13" t="inlineStr">
        <is>
          <t>2026-06-01T08:51:23+09:00</t>
        </is>
      </c>
      <c r="K136" s="14" t="inlineStr">
        <is>
          <t>平成16年式　初代アルファード　2.4AS　2WD　車検令和９年２月まで　個人出品です</t>
        </is>
      </c>
      <c r="L136" s="13" t="inlineStr">
        <is>
          <t>https://page.auctions.yahoo.co.jp/jp/auction/d1230223661</t>
        </is>
      </c>
    </row>
    <row r="137">
      <c r="A137" s="8" t="inlineStr">
        <is>
          <t>アルファード</t>
        </is>
      </c>
      <c r="B137" s="8" t="n">
        <v>2004</v>
      </c>
      <c r="C137" s="8" t="inlineStr"/>
      <c r="D137" s="11" t="n">
        <v>200000</v>
      </c>
      <c r="E137" s="8" t="n">
        <v>1</v>
      </c>
      <c r="F137" s="11" t="n">
        <v>152192</v>
      </c>
      <c r="G137" s="8" t="inlineStr">
        <is>
          <t>REAL_MILEAGE</t>
        </is>
      </c>
      <c r="H137" s="8" t="n"/>
      <c r="I137" s="11" t="n">
        <v>0</v>
      </c>
      <c r="J137" s="8" t="inlineStr">
        <is>
          <t>2026-03-02T07:21:06+09:00</t>
        </is>
      </c>
      <c r="K137" s="14" t="inlineStr">
        <is>
          <t>10アルファード</t>
        </is>
      </c>
      <c r="L137" s="8" t="inlineStr">
        <is>
          <t>https://page.auctions.yahoo.co.jp/jp/auction/j1221398143</t>
        </is>
      </c>
    </row>
    <row r="138">
      <c r="A138" s="13" t="inlineStr">
        <is>
          <t>アルファード</t>
        </is>
      </c>
      <c r="B138" s="13" t="n">
        <v>2002</v>
      </c>
      <c r="C138" s="13" t="inlineStr"/>
      <c r="D138" s="15" t="n">
        <v>300000</v>
      </c>
      <c r="E138" s="13" t="n">
        <v>1</v>
      </c>
      <c r="F138" s="15" t="n">
        <v>168050</v>
      </c>
      <c r="G138" s="13" t="inlineStr">
        <is>
          <t>REAL_MILEAGE</t>
        </is>
      </c>
      <c r="H138" s="13" t="inlineStr">
        <is>
          <t>NONE</t>
        </is>
      </c>
      <c r="I138" s="15" t="n">
        <v>0</v>
      </c>
      <c r="J138" s="13" t="inlineStr">
        <is>
          <t>2026-07-29T19:17:10+09:00</t>
        </is>
      </c>
      <c r="K138" s="14" t="inlineStr">
        <is>
          <t>最終値下げ　すべてコミコミ　個人　平成14年アルファード10 8人乗り　G 3.0 MS 車検長いR09/09 機関良好　車検長い</t>
        </is>
      </c>
      <c r="L138" s="13" t="inlineStr">
        <is>
          <t>https://page.auctions.yahoo.co.jp/jp/auction/o1235095851</t>
        </is>
      </c>
    </row>
    <row r="139">
      <c r="A139" s="8" t="inlineStr">
        <is>
          <t>アルファード</t>
        </is>
      </c>
      <c r="B139" s="8" t="n">
        <v>2002</v>
      </c>
      <c r="C139" s="8" t="inlineStr"/>
      <c r="D139" s="11" t="n">
        <v>251000</v>
      </c>
      <c r="E139" s="8" t="n">
        <v>2</v>
      </c>
      <c r="F139" s="11" t="n">
        <v>168050</v>
      </c>
      <c r="G139" s="8" t="inlineStr">
        <is>
          <t>REAL_MILEAGE</t>
        </is>
      </c>
      <c r="H139" s="8" t="inlineStr">
        <is>
          <t>NONE</t>
        </is>
      </c>
      <c r="I139" s="11" t="n">
        <v>64380</v>
      </c>
      <c r="J139" s="8" t="inlineStr">
        <is>
          <t>2026-06-26T11:37:23+09:00</t>
        </is>
      </c>
      <c r="K139" s="14" t="inlineStr">
        <is>
          <t>個人　平成14年アルファード10 8人乗り　G 3.0 MS 車検長いR09/09 機関良好</t>
        </is>
      </c>
      <c r="L139" s="8" t="inlineStr">
        <is>
          <t>https://page.auctions.yahoo.co.jp/jp/auction/n1232368841</t>
        </is>
      </c>
    </row>
    <row r="140">
      <c r="A140" s="13" t="inlineStr">
        <is>
          <t>アルファード</t>
        </is>
      </c>
      <c r="B140" s="13" t="n">
        <v>2002</v>
      </c>
      <c r="C140" s="13" t="inlineStr"/>
      <c r="D140" s="15" t="n">
        <v>200000</v>
      </c>
      <c r="E140" s="13" t="n">
        <v>1</v>
      </c>
      <c r="F140" s="15" t="n">
        <v>211745</v>
      </c>
      <c r="G140" s="13" t="inlineStr">
        <is>
          <t>REAL_MILEAGE</t>
        </is>
      </c>
      <c r="H140" s="13" t="n"/>
      <c r="I140" s="15" t="n">
        <v>0</v>
      </c>
      <c r="J140" s="13" t="inlineStr">
        <is>
          <t>2026-04-01T16:00:57+09:00</t>
        </is>
      </c>
      <c r="K140" s="14" t="inlineStr">
        <is>
          <t>トヨタ　アルファード10系　貨物登録　2人乗り　1ナンバー</t>
        </is>
      </c>
      <c r="L140" s="13" t="inlineStr">
        <is>
          <t>https://page.auctions.yahoo.co.jp/jp/auction/1224983755</t>
        </is>
      </c>
    </row>
    <row r="141">
      <c r="A141" s="8" t="inlineStr">
        <is>
          <t>アルファード</t>
        </is>
      </c>
      <c r="B141" s="8" t="n">
        <v>2002</v>
      </c>
      <c r="C141" s="8" t="inlineStr"/>
      <c r="D141" s="11" t="n">
        <v>211001</v>
      </c>
      <c r="E141" s="8" t="n">
        <v>62</v>
      </c>
      <c r="F141" s="11" t="n">
        <v>95000</v>
      </c>
      <c r="G141" s="8" t="inlineStr">
        <is>
          <t>REAL_MILEAGE</t>
        </is>
      </c>
      <c r="H141" s="8" t="n"/>
      <c r="I141" s="11" t="n">
        <v>0</v>
      </c>
      <c r="J141" s="8" t="inlineStr">
        <is>
          <t>2026-03-15T13:28:35+09:00</t>
        </is>
      </c>
      <c r="K141" s="14" t="inlineStr">
        <is>
          <t>アルファード 2.4 4WD 1円スタート 抹消済み</t>
        </is>
      </c>
      <c r="L141" s="8" t="inlineStr">
        <is>
          <t>https://page.auctions.yahoo.co.jp/jp/auction/u1222479827</t>
        </is>
      </c>
    </row>
    <row r="142">
      <c r="A142" s="13" t="inlineStr">
        <is>
          <t>アルファード</t>
        </is>
      </c>
      <c r="B142" s="13" t="n"/>
      <c r="C142" s="13" t="inlineStr"/>
      <c r="D142" s="15" t="n">
        <v>553001</v>
      </c>
      <c r="E142" s="13" t="n">
        <v>31</v>
      </c>
      <c r="F142" s="15" t="n"/>
      <c r="G142" s="13" t="n"/>
      <c r="H142" s="13" t="n"/>
      <c r="I142" s="15" t="n"/>
      <c r="J142" s="13" t="inlineStr">
        <is>
          <t>2026-08-03T19:58:03+09:00</t>
        </is>
      </c>
      <c r="K142" s="14" t="inlineStr">
        <is>
          <t>【車検 長い！】アルファード ハイブリッド キャンピングカー 平成20年式 検2028.3 車中泊OK! 電子レンジ・冷蔵庫・シンク・FFヒーター</t>
        </is>
      </c>
      <c r="L142" s="13" t="inlineStr">
        <is>
          <t>https://page.auctions.yahoo.co.jp/jp/auction/f1238407528</t>
        </is>
      </c>
    </row>
    <row r="143">
      <c r="A143" s="8" t="inlineStr">
        <is>
          <t>アルファード</t>
        </is>
      </c>
      <c r="B143" s="8" t="n"/>
      <c r="C143" s="8" t="inlineStr"/>
      <c r="D143" s="11" t="n">
        <v>379000</v>
      </c>
      <c r="E143" s="8" t="n">
        <v>20</v>
      </c>
      <c r="F143" s="11" t="n"/>
      <c r="G143" s="8" t="n"/>
      <c r="H143" s="8" t="n"/>
      <c r="I143" s="11" t="n"/>
      <c r="J143" s="8" t="inlineStr">
        <is>
          <t>2026-08-02T21:50:36+09:00</t>
        </is>
      </c>
      <c r="K143" s="14" t="inlineStr">
        <is>
          <t>実走行 130,000km 車検8年11月 修理歴ない、</t>
        </is>
      </c>
      <c r="L143" s="8" t="inlineStr">
        <is>
          <t>https://page.auctions.yahoo.co.jp/jp/auction/1236936298</t>
        </is>
      </c>
    </row>
    <row r="144">
      <c r="A144" s="13" t="inlineStr">
        <is>
          <t>アルファード</t>
        </is>
      </c>
      <c r="B144" s="13" t="n"/>
      <c r="C144" s="13" t="inlineStr"/>
      <c r="D144" s="15" t="n">
        <v>1599000</v>
      </c>
      <c r="E144" s="13" t="n">
        <v>3</v>
      </c>
      <c r="F144" s="15" t="n"/>
      <c r="G144" s="13" t="n"/>
      <c r="H144" s="13" t="n"/>
      <c r="I144" s="15" t="n"/>
      <c r="J144" s="13" t="inlineStr">
        <is>
          <t>2026-07-17T21:57:57+09:00</t>
        </is>
      </c>
      <c r="K144" s="14" t="inlineStr">
        <is>
          <t>AGH30W『陸送30%OFF』特別.限定★本検R10/6満タン2.5SAパッケ-ジタイプブラック/フリップダウン★両側パワスラ【ナビ/TV&amp;DVD/】LED</t>
        </is>
      </c>
      <c r="L144" s="13" t="inlineStr">
        <is>
          <t>https://page.auctions.yahoo.co.jp/jp/auction/h1234576108</t>
        </is>
      </c>
    </row>
    <row r="145">
      <c r="A145" s="8" t="inlineStr">
        <is>
          <t>アルファード</t>
        </is>
      </c>
      <c r="B145" s="8" t="n"/>
      <c r="C145" s="8" t="inlineStr"/>
      <c r="D145" s="11" t="n">
        <v>535000</v>
      </c>
      <c r="E145" s="8" t="n">
        <v>1</v>
      </c>
      <c r="F145" s="11" t="n"/>
      <c r="G145" s="8" t="n"/>
      <c r="H145" s="8" t="n"/>
      <c r="I145" s="11" t="n"/>
      <c r="J145" s="8" t="inlineStr">
        <is>
          <t>2026-07-06T15:07:28+09:00</t>
        </is>
      </c>
      <c r="K145" s="14" t="inlineStr">
        <is>
          <t>H23年式*検10/6迄*4WD*HID*両パワスラ*PWバックドア*フリップダウン*純正ナビ*Bカメラ*DTV*BTオーディオ*DVD*CD*ETC*社外AW*340617</t>
        </is>
      </c>
      <c r="L145" s="8" t="inlineStr">
        <is>
          <t>https://page.auctions.yahoo.co.jp/jp/auction/f1234257023</t>
        </is>
      </c>
    </row>
    <row r="146">
      <c r="A146" s="13" t="inlineStr">
        <is>
          <t>アルファード</t>
        </is>
      </c>
      <c r="B146" s="13" t="n"/>
      <c r="C146" s="13" t="inlineStr"/>
      <c r="D146" s="15" t="n">
        <v>351000</v>
      </c>
      <c r="E146" s="13" t="n">
        <v>100</v>
      </c>
      <c r="F146" s="15" t="n"/>
      <c r="G146" s="13" t="n"/>
      <c r="H146" s="13" t="n"/>
      <c r="I146" s="15" t="n"/>
      <c r="J146" s="13" t="inlineStr">
        <is>
          <t>2026-07-03T23:16:20+09:00</t>
        </is>
      </c>
      <c r="K146" s="14" t="inlineStr">
        <is>
          <t>個人販売★売切り★ アルファド10 MNH10W★ 実走行15万km★ 車検R8年11月★ ナビ/Bカメラ/ETC★ すぐ乗れます</t>
        </is>
      </c>
      <c r="L146" s="13" t="inlineStr">
        <is>
          <t>https://page.auctions.yahoo.co.jp/jp/auction/c1235139372</t>
        </is>
      </c>
    </row>
    <row r="147">
      <c r="A147" s="8" t="inlineStr">
        <is>
          <t>アルファード</t>
        </is>
      </c>
      <c r="B147" s="8" t="n"/>
      <c r="C147" s="8" t="inlineStr"/>
      <c r="D147" s="11" t="n">
        <v>271000</v>
      </c>
      <c r="E147" s="8" t="n">
        <v>64</v>
      </c>
      <c r="F147" s="11" t="n"/>
      <c r="G147" s="8" t="n"/>
      <c r="H147" s="8" t="n"/>
      <c r="I147" s="11" t="n"/>
      <c r="J147" s="8" t="inlineStr">
        <is>
          <t>2026-06-24T22:17:15+09:00</t>
        </is>
      </c>
      <c r="K147" s="14" t="inlineStr">
        <is>
          <t>25年式 20ヴェルファイア 後期 SR 7人乗 ナビBモニターBluetooth 2.4Z 新品ナビ新品フリップダウン 新品部品リビルト多数検8年9月末 大阪発</t>
        </is>
      </c>
      <c r="L147" s="8" t="inlineStr">
        <is>
          <t>https://page.auctions.yahoo.co.jp/jp/auction/w1234174630</t>
        </is>
      </c>
    </row>
    <row r="148">
      <c r="A148" s="13" t="inlineStr">
        <is>
          <t>アルファード</t>
        </is>
      </c>
      <c r="B148" s="13" t="n"/>
      <c r="C148" s="13" t="inlineStr"/>
      <c r="D148" s="15" t="n">
        <v>201000</v>
      </c>
      <c r="E148" s="13" t="n">
        <v>22</v>
      </c>
      <c r="F148" s="15" t="n"/>
      <c r="G148" s="13" t="n"/>
      <c r="H148" s="13" t="n"/>
      <c r="I148" s="15" t="n"/>
      <c r="J148" s="13" t="inlineStr">
        <is>
          <t>2026-06-07T08:00:16+09:00</t>
        </is>
      </c>
      <c r="K148" s="14" t="inlineStr">
        <is>
          <t>実走行 110,000km 車検8年11月 修理歴ない、</t>
        </is>
      </c>
      <c r="L148" s="13" t="inlineStr">
        <is>
          <t>https://page.auctions.yahoo.co.jp/jp/auction/n1231037575</t>
        </is>
      </c>
    </row>
    <row r="149">
      <c r="A149" s="8" t="inlineStr">
        <is>
          <t>アルファード</t>
        </is>
      </c>
      <c r="B149" s="8" t="n"/>
      <c r="C149" s="8" t="inlineStr"/>
      <c r="D149" s="11" t="n">
        <v>199000</v>
      </c>
      <c r="E149" s="8" t="n">
        <v>2</v>
      </c>
      <c r="F149" s="11" t="n"/>
      <c r="G149" s="8" t="n"/>
      <c r="H149" s="8" t="n"/>
      <c r="I149" s="11" t="n"/>
      <c r="J149" s="8" t="inlineStr">
        <is>
          <t>2026-06-01T20:10:10+09:00</t>
        </is>
      </c>
      <c r="K149" s="14" t="inlineStr">
        <is>
          <t>売り切り　ＡＮＨ２０Ｗ　両側パワースライド　スマートキー　ＥＴＣ　フルセグテレビ ナビ　７人乗り　フロントパワーシート</t>
        </is>
      </c>
      <c r="L149" s="8" t="inlineStr">
        <is>
          <t>https://page.auctions.yahoo.co.jp/jp/auction/n1231303617</t>
        </is>
      </c>
    </row>
    <row r="150">
      <c r="A150" s="13" t="inlineStr">
        <is>
          <t>アルファード</t>
        </is>
      </c>
      <c r="B150" s="13" t="n"/>
      <c r="C150" s="13" t="inlineStr"/>
      <c r="D150" s="15" t="n">
        <v>272000</v>
      </c>
      <c r="E150" s="13" t="n">
        <v>20</v>
      </c>
      <c r="F150" s="15" t="n"/>
      <c r="G150" s="13" t="n"/>
      <c r="H150" s="13" t="n"/>
      <c r="I150" s="15" t="n"/>
      <c r="J150" s="13" t="inlineStr">
        <is>
          <t>2026-05-23T23:34:17+09:00</t>
        </is>
      </c>
      <c r="K150" s="14" t="inlineStr">
        <is>
          <t>H21年　240S　車検9月まで</t>
        </is>
      </c>
      <c r="L150" s="13" t="inlineStr">
        <is>
          <t>https://page.auctions.yahoo.co.jp/jp/auction/l1230019412</t>
        </is>
      </c>
    </row>
    <row r="151">
      <c r="A151" s="8" t="inlineStr">
        <is>
          <t>アルファード</t>
        </is>
      </c>
      <c r="B151" s="8" t="n"/>
      <c r="C151" s="8" t="inlineStr"/>
      <c r="D151" s="11" t="n">
        <v>380000</v>
      </c>
      <c r="E151" s="8" t="n">
        <v>1</v>
      </c>
      <c r="F151" s="11" t="n"/>
      <c r="G151" s="8" t="n"/>
      <c r="H151" s="8" t="n"/>
      <c r="I151" s="11" t="n"/>
      <c r="J151" s="8" t="inlineStr">
        <is>
          <t>2026-05-12T11:41:46+09:00</t>
        </is>
      </c>
      <c r="K151" s="14" t="inlineStr">
        <is>
          <t>２２年式 アルファー２４０Ｘ予備検査取得可能！！</t>
        </is>
      </c>
      <c r="L151" s="8" t="inlineStr">
        <is>
          <t>https://page.auctions.yahoo.co.jp/jp/auction/r1228071721</t>
        </is>
      </c>
    </row>
    <row r="152">
      <c r="A152" s="13" t="inlineStr">
        <is>
          <t>アルファード</t>
        </is>
      </c>
      <c r="B152" s="13" t="n"/>
      <c r="C152" s="13" t="inlineStr"/>
      <c r="D152" s="15" t="n">
        <v>10500</v>
      </c>
      <c r="E152" s="13" t="n">
        <v>2</v>
      </c>
      <c r="F152" s="15" t="n"/>
      <c r="G152" s="13" t="n"/>
      <c r="H152" s="13" t="n"/>
      <c r="I152" s="15" t="n"/>
      <c r="J152" s="13" t="inlineStr">
        <is>
          <t>2026-04-20T19:47:12+09:00</t>
        </is>
      </c>
      <c r="K152" s="14" t="inlineStr">
        <is>
          <t>極上美車★人気特別仕様車★トヨタ アルファード Sタイプゴールド 4WD★車検長い★両側Pスラ★即乗りOK</t>
        </is>
      </c>
      <c r="L152" s="13" t="inlineStr">
        <is>
          <t>https://page.auctions.yahoo.co.jp/jp/auction/j1227227416</t>
        </is>
      </c>
    </row>
    <row r="153">
      <c r="A153" s="8" t="inlineStr">
        <is>
          <t>アルファード</t>
        </is>
      </c>
      <c r="B153" s="8" t="n"/>
      <c r="C153" s="8" t="inlineStr"/>
      <c r="D153" s="11" t="n">
        <v>2845260</v>
      </c>
      <c r="E153" s="8" t="n">
        <v>319</v>
      </c>
      <c r="F153" s="11" t="n"/>
      <c r="G153" s="8" t="n"/>
      <c r="H153" s="8" t="n"/>
      <c r="I153" s="11" t="n"/>
      <c r="J153" s="8" t="inlineStr">
        <is>
          <t>2026-04-18T23:06:34+09:00</t>
        </is>
      </c>
      <c r="K153" s="14" t="inlineStr">
        <is>
          <t>トヨタ シエンタ ハイブリッド 自社ローン 審査通過率100% 頭金0円〜 保証人不要 即日審査 全国陸送OK</t>
        </is>
      </c>
      <c r="L153" s="8" t="inlineStr">
        <is>
          <t>https://page.auctions.yahoo.co.jp/jp/auction/h1225310905</t>
        </is>
      </c>
    </row>
    <row r="154">
      <c r="A154" s="13" t="inlineStr">
        <is>
          <t>アルファード</t>
        </is>
      </c>
      <c r="B154" s="13" t="n"/>
      <c r="C154" s="13" t="inlineStr"/>
      <c r="D154" s="15" t="n">
        <v>4201000</v>
      </c>
      <c r="E154" s="13" t="n">
        <v>96</v>
      </c>
      <c r="F154" s="15" t="n"/>
      <c r="G154" s="13" t="n"/>
      <c r="H154" s="13" t="n"/>
      <c r="I154" s="15" t="n"/>
      <c r="J154" s="13" t="inlineStr">
        <is>
          <t>2026-04-18T22:46:08+09:00</t>
        </is>
      </c>
      <c r="K154" s="14" t="inlineStr">
        <is>
          <t>トヨタ ハイエースバン 自社ローン 審査通過率100% 頭金0円〜 保証人不要 即日審査 全国陸送OK</t>
        </is>
      </c>
      <c r="L154" s="13" t="inlineStr">
        <is>
          <t>https://page.auctions.yahoo.co.jp/jp/auction/t1225308727</t>
        </is>
      </c>
    </row>
    <row r="155">
      <c r="A155" s="8" t="inlineStr">
        <is>
          <t>アルファード</t>
        </is>
      </c>
      <c r="B155" s="8" t="n"/>
      <c r="C155" s="8" t="inlineStr"/>
      <c r="D155" s="11" t="n">
        <v>3861000</v>
      </c>
      <c r="E155" s="8" t="n">
        <v>227</v>
      </c>
      <c r="F155" s="11" t="n"/>
      <c r="G155" s="8" t="n"/>
      <c r="H155" s="8" t="n"/>
      <c r="I155" s="11" t="n"/>
      <c r="J155" s="8" t="inlineStr">
        <is>
          <t>2026-04-18T22:37:52+09:00</t>
        </is>
      </c>
      <c r="K155" s="14" t="inlineStr">
        <is>
          <t>トヨタ ノア ハイブリッド 自社ローン 審査通過率100% 頭金0円〜 保証人不要 即日審査 全国陸送OK</t>
        </is>
      </c>
      <c r="L155" s="8" t="inlineStr">
        <is>
          <t>https://page.auctions.yahoo.co.jp/jp/auction/d1225312272</t>
        </is>
      </c>
    </row>
    <row r="156">
      <c r="A156" s="13" t="inlineStr">
        <is>
          <t>アルファード</t>
        </is>
      </c>
      <c r="B156" s="13" t="n"/>
      <c r="C156" s="13" t="inlineStr"/>
      <c r="D156" s="15" t="n">
        <v>7780777</v>
      </c>
      <c r="E156" s="13" t="n">
        <v>107</v>
      </c>
      <c r="F156" s="15" t="n"/>
      <c r="G156" s="13" t="n"/>
      <c r="H156" s="13" t="n"/>
      <c r="I156" s="15" t="n"/>
      <c r="J156" s="13" t="inlineStr">
        <is>
          <t>2026-04-18T22:36:47+09:00</t>
        </is>
      </c>
      <c r="K156" s="14" t="inlineStr">
        <is>
          <t>トヨタ スープラ 自社ローン 審査通過率100% 頭金0円〜 保証人不要 即日審査 全国陸送OK</t>
        </is>
      </c>
      <c r="L156" s="13" t="inlineStr">
        <is>
          <t>https://page.auctions.yahoo.co.jp/jp/auction/s1225312160</t>
        </is>
      </c>
    </row>
    <row r="157">
      <c r="A157" s="8" t="inlineStr">
        <is>
          <t>アルファード</t>
        </is>
      </c>
      <c r="B157" s="8" t="n"/>
      <c r="C157" s="8" t="inlineStr"/>
      <c r="D157" s="11" t="n">
        <v>1616000</v>
      </c>
      <c r="E157" s="8" t="n">
        <v>73</v>
      </c>
      <c r="F157" s="11" t="n"/>
      <c r="G157" s="8" t="n"/>
      <c r="H157" s="8" t="n"/>
      <c r="I157" s="11" t="n"/>
      <c r="J157" s="8" t="inlineStr">
        <is>
          <t>2026-04-18T22:02:18+09:00</t>
        </is>
      </c>
      <c r="K157" s="14" t="inlineStr">
        <is>
          <t>トヨタ クラウンハイブリッド 自社ローン 審査通過率100% 頭金0円〜 保証人不要 即日審査 全国陸送OK</t>
        </is>
      </c>
      <c r="L157" s="8" t="inlineStr">
        <is>
          <t>https://page.auctions.yahoo.co.jp/jp/auction/v1225304845</t>
        </is>
      </c>
    </row>
    <row r="158">
      <c r="A158" s="13" t="inlineStr">
        <is>
          <t>ウィッシュ</t>
        </is>
      </c>
      <c r="B158" s="13" t="n">
        <v>2011</v>
      </c>
      <c r="C158" s="13" t="inlineStr">
        <is>
          <t>20系</t>
        </is>
      </c>
      <c r="D158" s="15" t="n">
        <v>365000</v>
      </c>
      <c r="E158" s="13" t="n">
        <v>78</v>
      </c>
      <c r="F158" s="15" t="n">
        <v>50488</v>
      </c>
      <c r="G158" s="13" t="inlineStr">
        <is>
          <t>REAL_MILEAGE</t>
        </is>
      </c>
      <c r="H158" s="13" t="inlineStr">
        <is>
          <t>NONE</t>
        </is>
      </c>
      <c r="I158" s="15" t="n">
        <v>0</v>
      </c>
      <c r="J158" s="13" t="inlineStr">
        <is>
          <t>2026-08-08T22:57:44+09:00</t>
        </is>
      </c>
      <c r="K158" s="14" t="inlineStr">
        <is>
          <t>【埼玉県深谷市】【個人出品】低走行車　ウイッシュ 5万km 家族間 ワンオーナー　車検8年9月28日迄 2ZR DBA-ZGE20G WISH ウィッシュ</t>
        </is>
      </c>
      <c r="L158" s="13" t="inlineStr">
        <is>
          <t>https://page.auctions.yahoo.co.jp/jp/auction/t1238415566</t>
        </is>
      </c>
    </row>
    <row r="159">
      <c r="A159" s="8" t="inlineStr">
        <is>
          <t>ウィッシュ</t>
        </is>
      </c>
      <c r="B159" s="8" t="n">
        <v>2011</v>
      </c>
      <c r="C159" s="8" t="inlineStr">
        <is>
          <t>20系</t>
        </is>
      </c>
      <c r="D159" s="11" t="n">
        <v>1660000</v>
      </c>
      <c r="E159" s="8" t="n">
        <v>1</v>
      </c>
      <c r="F159" s="11" t="n">
        <v>36274</v>
      </c>
      <c r="G159" s="8" t="inlineStr">
        <is>
          <t>REAL_MILEAGE</t>
        </is>
      </c>
      <c r="H159" s="8" t="inlineStr">
        <is>
          <t>NONE</t>
        </is>
      </c>
      <c r="I159" s="11" t="n">
        <v>0</v>
      </c>
      <c r="J159" s="8" t="inlineStr">
        <is>
          <t>2026-05-22T01:42:14+09:00</t>
        </is>
      </c>
      <c r="K159" s="14" t="inlineStr">
        <is>
          <t>ウィッシュ　1.8Sモノトーン</t>
        </is>
      </c>
      <c r="L159" s="8" t="inlineStr">
        <is>
          <t>https://page.auctions.yahoo.co.jp/jp/auction/g1230736026</t>
        </is>
      </c>
    </row>
    <row r="160">
      <c r="A160" s="13" t="inlineStr">
        <is>
          <t>ウィッシュ</t>
        </is>
      </c>
      <c r="B160" s="13" t="n">
        <v>2011</v>
      </c>
      <c r="C160" s="13" t="inlineStr">
        <is>
          <t>20系</t>
        </is>
      </c>
      <c r="D160" s="15" t="n">
        <v>252000</v>
      </c>
      <c r="E160" s="13" t="n">
        <v>35</v>
      </c>
      <c r="F160" s="15" t="n">
        <v>137850</v>
      </c>
      <c r="G160" s="13" t="inlineStr">
        <is>
          <t>REAL_MILEAGE</t>
        </is>
      </c>
      <c r="H160" s="13" t="n"/>
      <c r="I160" s="15" t="n">
        <v>0</v>
      </c>
      <c r="J160" s="13" t="inlineStr">
        <is>
          <t>2026-04-20T21:15:28+09:00</t>
        </is>
      </c>
      <c r="K160" s="14" t="inlineStr">
        <is>
          <t xml:space="preserve">＊トヨタ　＊ウィッシュ　１.8S モノトーン＊車検満タン　7人　137850KM　ETC　ナビゲーション　乗って帰ります　エンジンオイル交換無料　</t>
        </is>
      </c>
      <c r="L160" s="13" t="inlineStr">
        <is>
          <t>https://page.auctions.yahoo.co.jp/jp/auction/d1226358000</t>
        </is>
      </c>
    </row>
    <row r="161">
      <c r="A161" s="8" t="inlineStr">
        <is>
          <t>ウィッシュ</t>
        </is>
      </c>
      <c r="B161" s="8" t="n">
        <v>2009</v>
      </c>
      <c r="C161" s="8" t="inlineStr">
        <is>
          <t>20系</t>
        </is>
      </c>
      <c r="D161" s="11" t="n">
        <v>224000</v>
      </c>
      <c r="E161" s="8" t="n">
        <v>1</v>
      </c>
      <c r="F161" s="11" t="n">
        <v>123900</v>
      </c>
      <c r="G161" s="8" t="inlineStr">
        <is>
          <t>REAL_MILEAGE</t>
        </is>
      </c>
      <c r="H161" s="8" t="inlineStr">
        <is>
          <t>NONE</t>
        </is>
      </c>
      <c r="I161" s="11" t="n">
        <v>0</v>
      </c>
      <c r="J161" s="8" t="inlineStr">
        <is>
          <t>2026-06-07T23:12:10+09:00</t>
        </is>
      </c>
      <c r="K161" s="14" t="inlineStr">
        <is>
          <t>【値下げ！】トヨタ　ウィッシュ1.8S　ワンオーナー　エンジン良好</t>
        </is>
      </c>
      <c r="L161" s="8" t="inlineStr">
        <is>
          <t>https://page.auctions.yahoo.co.jp/jp/auction/f1224525449</t>
        </is>
      </c>
    </row>
    <row r="162">
      <c r="A162" s="13" t="inlineStr">
        <is>
          <t>ウィッシュ</t>
        </is>
      </c>
      <c r="B162" s="13" t="n">
        <v>2009</v>
      </c>
      <c r="C162" s="13" t="inlineStr"/>
      <c r="D162" s="15" t="n">
        <v>164000</v>
      </c>
      <c r="E162" s="13" t="n">
        <v>20</v>
      </c>
      <c r="F162" s="15" t="n">
        <v>141000</v>
      </c>
      <c r="G162" s="13" t="inlineStr">
        <is>
          <t>REAL_MILEAGE</t>
        </is>
      </c>
      <c r="H162" s="13" t="inlineStr">
        <is>
          <t>EXISTS</t>
        </is>
      </c>
      <c r="I162" s="15" t="n">
        <v>0</v>
      </c>
      <c r="J162" s="13" t="inlineStr">
        <is>
          <t>2026-06-01T22:59:26+09:00</t>
        </is>
      </c>
      <c r="K162" s="14" t="inlineStr">
        <is>
          <t>トヨタ　Wish 　ZGE21 2000　年式　21年　きれい</t>
        </is>
      </c>
      <c r="L162" s="13" t="inlineStr">
        <is>
          <t>https://page.auctions.yahoo.co.jp/jp/auction/v1230563918</t>
        </is>
      </c>
    </row>
    <row r="163">
      <c r="A163" s="8" t="inlineStr">
        <is>
          <t>ウィッシュ</t>
        </is>
      </c>
      <c r="B163" s="8" t="n">
        <v>2009</v>
      </c>
      <c r="C163" s="8" t="inlineStr">
        <is>
          <t>20系</t>
        </is>
      </c>
      <c r="D163" s="11" t="n">
        <v>319000</v>
      </c>
      <c r="E163" s="8" t="n">
        <v>92</v>
      </c>
      <c r="F163" s="11" t="n">
        <v>131792</v>
      </c>
      <c r="G163" s="8" t="inlineStr">
        <is>
          <t>REAL_MILEAGE</t>
        </is>
      </c>
      <c r="H163" s="8" t="inlineStr">
        <is>
          <t>NONE</t>
        </is>
      </c>
      <c r="I163" s="11" t="n">
        <v>0</v>
      </c>
      <c r="J163" s="8" t="inlineStr">
        <is>
          <t>2026-05-16T20:20:52+09:00</t>
        </is>
      </c>
      <c r="K163" s="14" t="inlineStr">
        <is>
          <t>【個人出品】20 ウイッシュ 前期　1.8S 4WD 13万km 家族間ツーオーナー　車検9年1月迄　TRDフロントスポイラー　BBS18インチ</t>
        </is>
      </c>
      <c r="L163" s="8" t="inlineStr">
        <is>
          <t>https://page.auctions.yahoo.co.jp/jp/auction/u1228874591</t>
        </is>
      </c>
    </row>
    <row r="164">
      <c r="A164" s="13" t="inlineStr">
        <is>
          <t>ウィッシュ</t>
        </is>
      </c>
      <c r="B164" s="13" t="n">
        <v>2009</v>
      </c>
      <c r="C164" s="13" t="inlineStr">
        <is>
          <t>20系</t>
        </is>
      </c>
      <c r="D164" s="15" t="n">
        <v>600000</v>
      </c>
      <c r="E164" s="13" t="n">
        <v>1</v>
      </c>
      <c r="F164" s="15" t="n">
        <v>90000</v>
      </c>
      <c r="G164" s="13" t="inlineStr">
        <is>
          <t>REAL_MILEAGE</t>
        </is>
      </c>
      <c r="H164" s="13" t="inlineStr">
        <is>
          <t>NONE</t>
        </is>
      </c>
      <c r="I164" s="15" t="n">
        <v>0</v>
      </c>
      <c r="J164" s="13" t="inlineStr">
        <is>
          <t>2026-03-10T18:25:03+09:00</t>
        </is>
      </c>
      <c r="K164" s="14" t="inlineStr">
        <is>
          <t>ウィッシュ</t>
        </is>
      </c>
      <c r="L164" s="13" t="inlineStr">
        <is>
          <t>https://page.auctions.yahoo.co.jp/jp/auction/o1222425068</t>
        </is>
      </c>
    </row>
    <row r="165">
      <c r="A165" s="8" t="inlineStr">
        <is>
          <t>ウィッシュ</t>
        </is>
      </c>
      <c r="B165" s="8" t="n">
        <v>2005</v>
      </c>
      <c r="C165" s="8" t="inlineStr"/>
      <c r="D165" s="11" t="n">
        <v>292000</v>
      </c>
      <c r="E165" s="8" t="n">
        <v>110</v>
      </c>
      <c r="F165" s="11" t="n">
        <v>135300</v>
      </c>
      <c r="G165" s="8" t="inlineStr">
        <is>
          <t>REAL_MILEAGE</t>
        </is>
      </c>
      <c r="H165" s="8" t="inlineStr">
        <is>
          <t>NONE</t>
        </is>
      </c>
      <c r="I165" s="11" t="n">
        <v>0</v>
      </c>
      <c r="J165" s="8" t="inlineStr">
        <is>
          <t>2026-05-31T23:41:15+09:00</t>
        </is>
      </c>
      <c r="K165" s="14" t="inlineStr">
        <is>
          <t>ウイッシュ WISH Xエアロスポーツパッケージ H17年 ナビ TV バックカメラ HID</t>
        </is>
      </c>
      <c r="L165" s="8" t="inlineStr">
        <is>
          <t>https://page.auctions.yahoo.co.jp/jp/auction/q1230842465</t>
        </is>
      </c>
    </row>
    <row r="166">
      <c r="A166" s="13" t="inlineStr">
        <is>
          <t>エスクァイア</t>
        </is>
      </c>
      <c r="B166" s="13" t="n">
        <v>2017</v>
      </c>
      <c r="C166" s="13" t="inlineStr">
        <is>
          <t>80系</t>
        </is>
      </c>
      <c r="D166" s="15" t="n">
        <v>582100</v>
      </c>
      <c r="E166" s="13" t="n">
        <v>84</v>
      </c>
      <c r="F166" s="15" t="n">
        <v>284630</v>
      </c>
      <c r="G166" s="13" t="inlineStr">
        <is>
          <t>REAL_MILEAGE</t>
        </is>
      </c>
      <c r="H166" s="13" t="inlineStr">
        <is>
          <t>NONE</t>
        </is>
      </c>
      <c r="I166" s="15" t="n">
        <v>0</v>
      </c>
      <c r="J166" s="13" t="inlineStr">
        <is>
          <t>2026-03-22T23:24:54+09:00</t>
        </is>
      </c>
      <c r="K166" s="14" t="inlineStr">
        <is>
          <t>【検R8.9/29迄】エスクァイア後期（8人乗 ）【人気のブラック】</t>
        </is>
      </c>
      <c r="L166" s="13" t="inlineStr">
        <is>
          <t>https://page.auctions.yahoo.co.jp/jp/auction/j1223416648</t>
        </is>
      </c>
    </row>
    <row r="167">
      <c r="A167" s="8" t="inlineStr">
        <is>
          <t>エスクァイア</t>
        </is>
      </c>
      <c r="B167" s="8" t="n">
        <v>2016</v>
      </c>
      <c r="C167" s="8" t="inlineStr">
        <is>
          <t>80系</t>
        </is>
      </c>
      <c r="D167" s="11" t="n">
        <v>614000</v>
      </c>
      <c r="E167" s="8" t="n">
        <v>24</v>
      </c>
      <c r="F167" s="11" t="n">
        <v>140184</v>
      </c>
      <c r="G167" s="8" t="inlineStr">
        <is>
          <t>REAL_MILEAGE</t>
        </is>
      </c>
      <c r="H167" s="8" t="inlineStr">
        <is>
          <t>NONE</t>
        </is>
      </c>
      <c r="I167" s="11" t="n">
        <v>42100</v>
      </c>
      <c r="J167" s="8" t="inlineStr">
        <is>
          <t>2026-07-06T22:54:33+09:00</t>
        </is>
      </c>
      <c r="K167" s="14" t="inlineStr">
        <is>
          <t>福岡より　トヨタ　エスクワイア　新車ワンオーナー　禁煙車　各所整備済　8人乗り</t>
        </is>
      </c>
      <c r="L167" s="8" t="inlineStr">
        <is>
          <t>https://page.auctions.yahoo.co.jp/jp/auction/j1234444719</t>
        </is>
      </c>
    </row>
    <row r="168">
      <c r="A168" s="13" t="inlineStr">
        <is>
          <t>エスクァイア</t>
        </is>
      </c>
      <c r="B168" s="13" t="n">
        <v>2016</v>
      </c>
      <c r="C168" s="13" t="inlineStr">
        <is>
          <t>80系</t>
        </is>
      </c>
      <c r="D168" s="15" t="n">
        <v>1500000</v>
      </c>
      <c r="E168" s="13" t="n">
        <v>129</v>
      </c>
      <c r="F168" s="15" t="n">
        <v>114446</v>
      </c>
      <c r="G168" s="13" t="inlineStr">
        <is>
          <t>REAL_MILEAGE</t>
        </is>
      </c>
      <c r="H168" s="13" t="inlineStr">
        <is>
          <t>NONE</t>
        </is>
      </c>
      <c r="I168" s="15" t="n">
        <v>0</v>
      </c>
      <c r="J168" s="13" t="inlineStr">
        <is>
          <t>2026-06-01T22:12:56+09:00</t>
        </is>
      </c>
      <c r="K168" s="14" t="inlineStr">
        <is>
          <t>エスクァイアハイブリッド　Gi ブラックテラード　You Tube 見れます　フィリップダウン　オールシ－ズンタイヤ　両側パワースライド</t>
        </is>
      </c>
      <c r="L168" s="13" t="inlineStr">
        <is>
          <t>https://page.auctions.yahoo.co.jp/jp/auction/x1230375148</t>
        </is>
      </c>
    </row>
    <row r="169">
      <c r="A169" s="8" t="inlineStr">
        <is>
          <t>エスクァイア</t>
        </is>
      </c>
      <c r="B169" s="8" t="n">
        <v>2015</v>
      </c>
      <c r="C169" s="8" t="inlineStr">
        <is>
          <t>80系</t>
        </is>
      </c>
      <c r="D169" s="11" t="n">
        <v>630000</v>
      </c>
      <c r="E169" s="8" t="n">
        <v>1</v>
      </c>
      <c r="F169" s="11" t="n">
        <v>153000</v>
      </c>
      <c r="G169" s="8" t="inlineStr">
        <is>
          <t>REAL_MILEAGE</t>
        </is>
      </c>
      <c r="H169" s="8" t="inlineStr">
        <is>
          <t>NONE</t>
        </is>
      </c>
      <c r="I169" s="11" t="n">
        <v>0</v>
      </c>
      <c r="J169" s="8" t="inlineStr">
        <is>
          <t>2026-08-15T07:01:57+09:00</t>
        </is>
      </c>
      <c r="K169" s="14" t="inlineStr">
        <is>
          <t>エスクァイア 1.8 ハイブリッド Gi 両側パワースライドドア/革シート/シートヒ</t>
        </is>
      </c>
      <c r="L169" s="8" t="inlineStr">
        <is>
          <t>https://page.auctions.yahoo.co.jp/jp/auction/h1239254002</t>
        </is>
      </c>
    </row>
    <row r="170">
      <c r="A170" s="13" t="inlineStr">
        <is>
          <t>エスクァイア</t>
        </is>
      </c>
      <c r="B170" s="13" t="n">
        <v>2015</v>
      </c>
      <c r="C170" s="13" t="inlineStr">
        <is>
          <t>80系</t>
        </is>
      </c>
      <c r="D170" s="15" t="n">
        <v>988000</v>
      </c>
      <c r="E170" s="13" t="n">
        <v>33</v>
      </c>
      <c r="F170" s="15" t="n">
        <v>81598</v>
      </c>
      <c r="G170" s="13" t="inlineStr">
        <is>
          <t>REAL_MILEAGE</t>
        </is>
      </c>
      <c r="H170" s="13" t="inlineStr">
        <is>
          <t>NONE</t>
        </is>
      </c>
      <c r="I170" s="15" t="n">
        <v>62110</v>
      </c>
      <c r="J170" s="13" t="inlineStr">
        <is>
          <t>2026-08-02T20:35:15+09:00</t>
        </is>
      </c>
      <c r="K170" s="14" t="inlineStr">
        <is>
          <t>法人出品★『陸送30%OFF』本車検R10年7月満タン☆エスクァイアXi☆実走行8万km♪両側パワ-スライド【ナビ/TV/DVD/ETC】LED/純正アルミ</t>
        </is>
      </c>
      <c r="L170" s="13" t="inlineStr">
        <is>
          <t>https://page.auctions.yahoo.co.jp/jp/auction/u1238014566</t>
        </is>
      </c>
    </row>
    <row r="171">
      <c r="A171" s="8" t="inlineStr">
        <is>
          <t>エスクァイア</t>
        </is>
      </c>
      <c r="B171" s="8" t="n">
        <v>2015</v>
      </c>
      <c r="C171" s="8" t="inlineStr">
        <is>
          <t>80系</t>
        </is>
      </c>
      <c r="D171" s="11" t="n">
        <v>657000</v>
      </c>
      <c r="E171" s="8" t="n">
        <v>1</v>
      </c>
      <c r="F171" s="11" t="n">
        <v>159500</v>
      </c>
      <c r="G171" s="8" t="inlineStr">
        <is>
          <t>REAL_MILEAGE</t>
        </is>
      </c>
      <c r="H171" s="8" t="inlineStr">
        <is>
          <t>EXISTS</t>
        </is>
      </c>
      <c r="I171" s="11" t="n">
        <v>43800</v>
      </c>
      <c r="J171" s="8" t="inlineStr">
        <is>
          <t>2026-08-01T12:42:31+09:00</t>
        </is>
      </c>
      <c r="K171" s="14" t="inlineStr">
        <is>
          <t>H27年式*エスクァイア*検長*4WD*HID*スマートキー*両パワスラ*純正ナビ*Bカメラ*BTオーディオ*DTV*DVD*CD*ETC*純正AW*310715</t>
        </is>
      </c>
      <c r="L171" s="8" t="inlineStr">
        <is>
          <t>https://page.auctions.yahoo.co.jp/jp/auction/x1238945493</t>
        </is>
      </c>
    </row>
    <row r="172">
      <c r="A172" s="13" t="inlineStr">
        <is>
          <t>エスクァイア</t>
        </is>
      </c>
      <c r="B172" s="13" t="n">
        <v>2015</v>
      </c>
      <c r="C172" s="13" t="inlineStr">
        <is>
          <t>80系</t>
        </is>
      </c>
      <c r="D172" s="15" t="n">
        <v>507100</v>
      </c>
      <c r="E172" s="13" t="n">
        <v>47</v>
      </c>
      <c r="F172" s="15" t="n">
        <v>151921</v>
      </c>
      <c r="G172" s="13" t="inlineStr">
        <is>
          <t>REAL_MILEAGE</t>
        </is>
      </c>
      <c r="H172" s="13" t="inlineStr">
        <is>
          <t>NONE</t>
        </is>
      </c>
      <c r="I172" s="15" t="n">
        <v>12500</v>
      </c>
      <c r="J172" s="13" t="inlineStr">
        <is>
          <t>2026-07-16T22:27:29+09:00</t>
        </is>
      </c>
      <c r="K172" s="14" t="inlineStr">
        <is>
          <t>【100円～売り切り】H27年★エスクァイア 2.0 Xi ★純正ナビ/Dテレビ/バックカメラ/ETC★1PSD★車検可能★(DBA-ZRR80G)</t>
        </is>
      </c>
      <c r="L172" s="13" t="inlineStr">
        <is>
          <t>https://page.auctions.yahoo.co.jp/jp/auction/v1236081307</t>
        </is>
      </c>
    </row>
    <row r="173">
      <c r="A173" s="8" t="inlineStr">
        <is>
          <t>エスクァイア</t>
        </is>
      </c>
      <c r="B173" s="8" t="n">
        <v>2015</v>
      </c>
      <c r="C173" s="8" t="inlineStr">
        <is>
          <t>80系</t>
        </is>
      </c>
      <c r="D173" s="11" t="n">
        <v>589000</v>
      </c>
      <c r="E173" s="8" t="n">
        <v>1</v>
      </c>
      <c r="F173" s="11" t="n">
        <v>187633</v>
      </c>
      <c r="G173" s="8" t="inlineStr">
        <is>
          <t>REAL_MILEAGE</t>
        </is>
      </c>
      <c r="H173" s="8" t="inlineStr">
        <is>
          <t>NONE</t>
        </is>
      </c>
      <c r="I173" s="11" t="n">
        <v>0</v>
      </c>
      <c r="J173" s="8" t="inlineStr">
        <is>
          <t>2026-07-04T21:08:48+09:00</t>
        </is>
      </c>
      <c r="K173" s="14" t="inlineStr">
        <is>
          <t>★広島発★広島市★中古車★車検2年付き★ エスクァイアハイブリッド 1.8 Gi</t>
        </is>
      </c>
      <c r="L173" s="8" t="inlineStr">
        <is>
          <t>https://page.auctions.yahoo.co.jp/jp/auction/g1235067919</t>
        </is>
      </c>
    </row>
    <row r="174">
      <c r="A174" s="13" t="inlineStr">
        <is>
          <t>エスクァイア</t>
        </is>
      </c>
      <c r="B174" s="13" t="n">
        <v>2015</v>
      </c>
      <c r="C174" s="13" t="inlineStr">
        <is>
          <t>80系</t>
        </is>
      </c>
      <c r="D174" s="15" t="n">
        <v>900000</v>
      </c>
      <c r="E174" s="13" t="n">
        <v>1</v>
      </c>
      <c r="F174" s="15" t="n">
        <v>169000</v>
      </c>
      <c r="G174" s="13" t="inlineStr">
        <is>
          <t>REAL_MILEAGE</t>
        </is>
      </c>
      <c r="H174" s="13" t="inlineStr">
        <is>
          <t>NONE</t>
        </is>
      </c>
      <c r="I174" s="15" t="n">
        <v>12500</v>
      </c>
      <c r="J174" s="13" t="inlineStr">
        <is>
          <t>2026-06-17T00:27:48+09:00</t>
        </is>
      </c>
      <c r="K174" s="14" t="inlineStr">
        <is>
          <t>【諸費用コミ】返金保証付:この価格で乗れます!エスクァイアハイブリッド 1.8 Gi スタイリングパッケージ モデリスタAW</t>
        </is>
      </c>
      <c r="L174" s="13" t="inlineStr">
        <is>
          <t>https://page.auctions.yahoo.co.jp/jp/auction/j1233787103</t>
        </is>
      </c>
    </row>
    <row r="175">
      <c r="A175" s="8" t="inlineStr">
        <is>
          <t>エスクァイア</t>
        </is>
      </c>
      <c r="B175" s="8" t="n">
        <v>2015</v>
      </c>
      <c r="C175" s="8" t="inlineStr">
        <is>
          <t>80系</t>
        </is>
      </c>
      <c r="D175" s="11" t="n">
        <v>1100000</v>
      </c>
      <c r="E175" s="8" t="n">
        <v>1</v>
      </c>
      <c r="F175" s="11" t="n">
        <v>129000</v>
      </c>
      <c r="G175" s="8" t="inlineStr">
        <is>
          <t>REAL_MILEAGE</t>
        </is>
      </c>
      <c r="H175" s="8" t="inlineStr">
        <is>
          <t>NONE</t>
        </is>
      </c>
      <c r="I175" s="11" t="n">
        <v>0</v>
      </c>
      <c r="J175" s="8" t="inlineStr">
        <is>
          <t>2026-06-02T10:23:13+09:00</t>
        </is>
      </c>
      <c r="K175" s="14" t="inlineStr">
        <is>
          <t>エスクァイア 1.8 ハイブリッド Gi 両側電動スライドドア　ETC　Bカメラ　ナビ</t>
        </is>
      </c>
      <c r="L175" s="8" t="inlineStr">
        <is>
          <t>https://page.auctions.yahoo.co.jp/jp/auction/j1228336626</t>
        </is>
      </c>
    </row>
    <row r="176">
      <c r="A176" s="13" t="inlineStr">
        <is>
          <t>エスクァイア</t>
        </is>
      </c>
      <c r="B176" s="13" t="n">
        <v>2015</v>
      </c>
      <c r="C176" s="13" t="inlineStr">
        <is>
          <t>80系</t>
        </is>
      </c>
      <c r="D176" s="15" t="n">
        <v>645000</v>
      </c>
      <c r="E176" s="13" t="n">
        <v>173</v>
      </c>
      <c r="F176" s="15" t="n">
        <v>154500</v>
      </c>
      <c r="G176" s="13" t="inlineStr">
        <is>
          <t>REAL_MILEAGE</t>
        </is>
      </c>
      <c r="H176" s="13" t="n"/>
      <c r="I176" s="15" t="n">
        <v>0</v>
      </c>
      <c r="J176" s="13" t="inlineStr">
        <is>
          <t>2026-05-31T21:13:50+09:00</t>
        </is>
      </c>
      <c r="K176" s="14" t="inlineStr">
        <is>
          <t>エスクワイア80 ハイブリッド　平成27 ETC 車検R8/11 シートヒーター</t>
        </is>
      </c>
      <c r="L176" s="13" t="inlineStr">
        <is>
          <t>https://page.auctions.yahoo.co.jp/jp/auction/d1230765878</t>
        </is>
      </c>
    </row>
    <row r="177">
      <c r="A177" s="8" t="inlineStr">
        <is>
          <t>エスクァイア</t>
        </is>
      </c>
      <c r="B177" s="8" t="n">
        <v>2015</v>
      </c>
      <c r="C177" s="8" t="inlineStr">
        <is>
          <t>80系</t>
        </is>
      </c>
      <c r="D177" s="11" t="n">
        <v>498300</v>
      </c>
      <c r="E177" s="8" t="n">
        <v>64</v>
      </c>
      <c r="F177" s="11" t="n">
        <v>187633</v>
      </c>
      <c r="G177" s="8" t="inlineStr">
        <is>
          <t>REAL_MILEAGE</t>
        </is>
      </c>
      <c r="H177" s="8" t="inlineStr">
        <is>
          <t>NONE</t>
        </is>
      </c>
      <c r="I177" s="11" t="n">
        <v>0</v>
      </c>
      <c r="J177" s="8" t="inlineStr">
        <is>
          <t>2026-05-05T21:20:18+09:00</t>
        </is>
      </c>
      <c r="K177" s="14" t="inlineStr">
        <is>
          <t>★広島発★広島市★中古車★ エスクァイアハイブリッド 1.8 Gi</t>
        </is>
      </c>
      <c r="L177" s="8" t="inlineStr">
        <is>
          <t>https://page.auctions.yahoo.co.jp/jp/auction/o1228143618</t>
        </is>
      </c>
    </row>
    <row r="178">
      <c r="A178" s="13" t="inlineStr">
        <is>
          <t>エスクァイア</t>
        </is>
      </c>
      <c r="B178" s="13" t="n">
        <v>2015</v>
      </c>
      <c r="C178" s="13" t="inlineStr">
        <is>
          <t>80系</t>
        </is>
      </c>
      <c r="D178" s="15" t="n">
        <v>830000</v>
      </c>
      <c r="E178" s="13" t="n">
        <v>2</v>
      </c>
      <c r="F178" s="15" t="n">
        <v>162000</v>
      </c>
      <c r="G178" s="13" t="inlineStr">
        <is>
          <t>REAL_MILEAGE</t>
        </is>
      </c>
      <c r="H178" s="13" t="inlineStr">
        <is>
          <t>NONE</t>
        </is>
      </c>
      <c r="I178" s="15" t="n">
        <v>0</v>
      </c>
      <c r="J178" s="13" t="inlineStr">
        <is>
          <t>2026-03-18T15:23:39+09:00</t>
        </is>
      </c>
      <c r="K178" s="14" t="inlineStr">
        <is>
          <t>H27 エスクァイア ハイブリット Xi 地デジナビ/純正AW/シートヒーター/両側パワースライドドア/ETC/シートカバー/7人乗り</t>
        </is>
      </c>
      <c r="L178" s="13" t="inlineStr">
        <is>
          <t>https://page.auctions.yahoo.co.jp/jp/auction/w1216602323</t>
        </is>
      </c>
    </row>
    <row r="179">
      <c r="A179" s="8" t="inlineStr">
        <is>
          <t>エスクァイア</t>
        </is>
      </c>
      <c r="B179" s="8" t="n">
        <v>2015</v>
      </c>
      <c r="C179" s="8" t="inlineStr">
        <is>
          <t>80系</t>
        </is>
      </c>
      <c r="D179" s="11" t="n">
        <v>979000</v>
      </c>
      <c r="E179" s="8" t="n">
        <v>1</v>
      </c>
      <c r="F179" s="11" t="n">
        <v>104708</v>
      </c>
      <c r="G179" s="8" t="inlineStr">
        <is>
          <t>REAL_MILEAGE</t>
        </is>
      </c>
      <c r="H179" s="8" t="inlineStr">
        <is>
          <t>EXISTS</t>
        </is>
      </c>
      <c r="I179" s="11" t="n">
        <v>0</v>
      </c>
      <c r="J179" s="8" t="inlineStr">
        <is>
          <t>2026-03-16T23:38:59+09:00</t>
        </is>
      </c>
      <c r="K179" s="14" t="inlineStr">
        <is>
          <t>陸送50%OFF●カーズ大阪●車検2年付●27年エスクァイア黒ハイブリッドGi●プッシュスタート●パワスラ●4B0140</t>
        </is>
      </c>
      <c r="L179" s="8" t="inlineStr">
        <is>
          <t>https://page.auctions.yahoo.co.jp/jp/auction/o1222678984</t>
        </is>
      </c>
    </row>
    <row r="180">
      <c r="A180" s="13" t="inlineStr">
        <is>
          <t>エスクァイア</t>
        </is>
      </c>
      <c r="B180" s="13" t="n">
        <v>2015</v>
      </c>
      <c r="C180" s="13" t="inlineStr">
        <is>
          <t>80系</t>
        </is>
      </c>
      <c r="D180" s="15" t="n">
        <v>900000</v>
      </c>
      <c r="E180" s="13" t="n">
        <v>124</v>
      </c>
      <c r="F180" s="15" t="n">
        <v>116400</v>
      </c>
      <c r="G180" s="13" t="inlineStr">
        <is>
          <t>REAL_MILEAGE</t>
        </is>
      </c>
      <c r="H180" s="13" t="inlineStr">
        <is>
          <t>EXISTS</t>
        </is>
      </c>
      <c r="I180" s="15" t="n">
        <v>0</v>
      </c>
      <c r="J180" s="13" t="inlineStr">
        <is>
          <t>2026-03-06T23:02:16+09:00</t>
        </is>
      </c>
      <c r="K180" s="14" t="inlineStr">
        <is>
          <t>エスクァイアHV Gｉ ナビ TV Bluetooth フリップモニター バックカメラ 両側パワスラ スマキー 黒本革シート シートヒーター クルコン ETC</t>
        </is>
      </c>
      <c r="L180" s="13" t="inlineStr">
        <is>
          <t>https://page.auctions.yahoo.co.jp/jp/auction/q1221212497</t>
        </is>
      </c>
    </row>
    <row r="181">
      <c r="A181" s="8" t="inlineStr">
        <is>
          <t>エスクァイア</t>
        </is>
      </c>
      <c r="B181" s="8" t="n">
        <v>2014</v>
      </c>
      <c r="C181" s="8" t="inlineStr">
        <is>
          <t>80系</t>
        </is>
      </c>
      <c r="D181" s="11" t="n">
        <v>1530000</v>
      </c>
      <c r="E181" s="8" t="n">
        <v>1</v>
      </c>
      <c r="F181" s="11" t="n">
        <v>125435</v>
      </c>
      <c r="G181" s="8" t="inlineStr">
        <is>
          <t>REAL_MILEAGE</t>
        </is>
      </c>
      <c r="H181" s="8" t="inlineStr">
        <is>
          <t>NONE</t>
        </is>
      </c>
      <c r="I181" s="11" t="n">
        <v>0</v>
      </c>
      <c r="J181" s="8" t="inlineStr">
        <is>
          <t>2026-08-12T23:40:30+09:00</t>
        </is>
      </c>
      <c r="K181" s="14" t="inlineStr">
        <is>
          <t>エスクァイア 　HVGI</t>
        </is>
      </c>
      <c r="L181" s="8" t="inlineStr">
        <is>
          <t>https://page.auctions.yahoo.co.jp/jp/auction/r1240564614</t>
        </is>
      </c>
    </row>
    <row r="182">
      <c r="A182" s="13" t="inlineStr">
        <is>
          <t>エスクァイア</t>
        </is>
      </c>
      <c r="B182" s="13" t="n">
        <v>2014</v>
      </c>
      <c r="C182" s="13" t="inlineStr">
        <is>
          <t>80系</t>
        </is>
      </c>
      <c r="D182" s="15" t="n">
        <v>1050000</v>
      </c>
      <c r="E182" s="13" t="n">
        <v>1</v>
      </c>
      <c r="F182" s="15" t="n">
        <v>176900</v>
      </c>
      <c r="G182" s="13" t="inlineStr">
        <is>
          <t>REAL_MILEAGE</t>
        </is>
      </c>
      <c r="H182" s="13" t="inlineStr">
        <is>
          <t>NONE</t>
        </is>
      </c>
      <c r="I182" s="15" t="n">
        <v>0</v>
      </c>
      <c r="J182" s="13" t="inlineStr">
        <is>
          <t>2026-08-12T23:39:58+09:00</t>
        </is>
      </c>
      <c r="K182" s="14" t="inlineStr">
        <is>
          <t>エスクァイア</t>
        </is>
      </c>
      <c r="L182" s="13" t="inlineStr">
        <is>
          <t>https://page.auctions.yahoo.co.jp/jp/auction/e1240558766</t>
        </is>
      </c>
    </row>
    <row r="183">
      <c r="A183" s="8" t="inlineStr">
        <is>
          <t>エスクァイア</t>
        </is>
      </c>
      <c r="B183" s="8" t="n">
        <v>2014</v>
      </c>
      <c r="C183" s="8" t="inlineStr">
        <is>
          <t>80系</t>
        </is>
      </c>
      <c r="D183" s="11" t="n">
        <v>543000</v>
      </c>
      <c r="E183" s="8" t="n">
        <v>80</v>
      </c>
      <c r="F183" s="11" t="n">
        <v>95914</v>
      </c>
      <c r="G183" s="8" t="inlineStr">
        <is>
          <t>REAL_MILEAGE</t>
        </is>
      </c>
      <c r="H183" s="8" t="inlineStr">
        <is>
          <t>NONE</t>
        </is>
      </c>
      <c r="I183" s="11" t="n">
        <v>0</v>
      </c>
      <c r="J183" s="8" t="inlineStr">
        <is>
          <t>2026-08-08T20:46:31+09:00</t>
        </is>
      </c>
      <c r="K183" s="14" t="inlineStr">
        <is>
          <t xml:space="preserve">【個人出品】H26 トヨタ エスクァイア 2.0　ガソリン車　96,000km フリップダウン 車検令和9年11月17日まで </t>
        </is>
      </c>
      <c r="L183" s="8" t="inlineStr">
        <is>
          <t>https://page.auctions.yahoo.co.jp/jp/auction/c1238406982</t>
        </is>
      </c>
    </row>
    <row r="184">
      <c r="A184" s="13" t="inlineStr">
        <is>
          <t>エスクァイア</t>
        </is>
      </c>
      <c r="B184" s="13" t="n">
        <v>2014</v>
      </c>
      <c r="C184" s="13" t="inlineStr">
        <is>
          <t>80系</t>
        </is>
      </c>
      <c r="D184" s="15" t="n">
        <v>798000</v>
      </c>
      <c r="E184" s="13" t="n">
        <v>1</v>
      </c>
      <c r="F184" s="15" t="n">
        <v>90000</v>
      </c>
      <c r="G184" s="13" t="inlineStr">
        <is>
          <t>REAL_MILEAGE</t>
        </is>
      </c>
      <c r="H184" s="13" t="inlineStr">
        <is>
          <t>EXISTS</t>
        </is>
      </c>
      <c r="I184" s="15" t="n">
        <v>0</v>
      </c>
      <c r="J184" s="13" t="inlineStr">
        <is>
          <t>2026-06-27T01:16:26+09:00</t>
        </is>
      </c>
      <c r="K184" s="14" t="inlineStr">
        <is>
          <t>エスクァイア 2.0 Xi TRDエアロ/ナビTVビデオBluetooth接続Bカメ</t>
        </is>
      </c>
      <c r="L184" s="13" t="inlineStr">
        <is>
          <t>https://page.auctions.yahoo.co.jp/jp/auction/c1233816119</t>
        </is>
      </c>
    </row>
    <row r="185">
      <c r="A185" s="8" t="inlineStr">
        <is>
          <t>エスクァイア</t>
        </is>
      </c>
      <c r="B185" s="8" t="n">
        <v>2014</v>
      </c>
      <c r="C185" s="8" t="inlineStr">
        <is>
          <t>80系</t>
        </is>
      </c>
      <c r="D185" s="11" t="n">
        <v>898000</v>
      </c>
      <c r="E185" s="8" t="n">
        <v>1</v>
      </c>
      <c r="F185" s="11" t="n">
        <v>106750</v>
      </c>
      <c r="G185" s="8" t="inlineStr">
        <is>
          <t>REAL_MILEAGE</t>
        </is>
      </c>
      <c r="H185" s="8" t="inlineStr">
        <is>
          <t>EXISTS</t>
        </is>
      </c>
      <c r="I185" s="11" t="n">
        <v>0</v>
      </c>
      <c r="J185" s="8" t="inlineStr">
        <is>
          <t>2026-06-05T22:30:33+09:00</t>
        </is>
      </c>
      <c r="K185" s="14" t="inlineStr">
        <is>
          <t>検10年5月 エスクァイア ハイブリッド 両側パワスラ ナビ TV 後席フリップダウンモニター Bモニター ドラレコ ETC シートヒーター スマキー</t>
        </is>
      </c>
      <c r="L185" s="8" t="inlineStr">
        <is>
          <t>https://page.auctions.yahoo.co.jp/jp/auction/h1229206534</t>
        </is>
      </c>
    </row>
    <row r="186">
      <c r="A186" s="13" t="inlineStr">
        <is>
          <t>エスクァイア</t>
        </is>
      </c>
      <c r="B186" s="13" t="n"/>
      <c r="C186" s="13" t="inlineStr"/>
      <c r="D186" s="15" t="n">
        <v>822000</v>
      </c>
      <c r="E186" s="13" t="n">
        <v>102</v>
      </c>
      <c r="F186" s="15" t="n"/>
      <c r="G186" s="13" t="n"/>
      <c r="H186" s="13" t="n"/>
      <c r="I186" s="15" t="n"/>
      <c r="J186" s="13" t="inlineStr">
        <is>
          <t>2026-05-14T22:28:26+09:00</t>
        </is>
      </c>
      <c r="K186" s="14" t="inlineStr">
        <is>
          <t>27年8万キロートヨタ　エスクァイア　4WD 純正ナビフルセグ地デジ　車検付き8年11月　USS鑑定書付き</t>
        </is>
      </c>
      <c r="L186" s="13" t="inlineStr">
        <is>
          <t>https://page.auctions.yahoo.co.jp/jp/auction/u1229333471</t>
        </is>
      </c>
    </row>
    <row r="187">
      <c r="A187" s="8" t="inlineStr">
        <is>
          <t>エスクァイア</t>
        </is>
      </c>
      <c r="B187" s="8" t="n"/>
      <c r="C187" s="8" t="inlineStr"/>
      <c r="D187" s="11" t="n">
        <v>1250000</v>
      </c>
      <c r="E187" s="8" t="n">
        <v>36</v>
      </c>
      <c r="F187" s="11" t="n"/>
      <c r="G187" s="8" t="n"/>
      <c r="H187" s="8" t="n"/>
      <c r="I187" s="11" t="n"/>
      <c r="J187" s="8" t="inlineStr">
        <is>
          <t>2026-05-08T12:30:13+09:00</t>
        </is>
      </c>
      <c r="K187" s="14" t="inlineStr">
        <is>
          <t>外装！内装綺麗！不具合なし！現車確認歓迎！</t>
        </is>
      </c>
      <c r="L187" s="8" t="inlineStr">
        <is>
          <t>https://page.auctions.yahoo.co.jp/jp/auction/q1228855387</t>
        </is>
      </c>
    </row>
    <row r="188">
      <c r="A188" s="13" t="inlineStr">
        <is>
          <t>エスクァイア</t>
        </is>
      </c>
      <c r="B188" s="13" t="n"/>
      <c r="C188" s="13" t="inlineStr"/>
      <c r="D188" s="15" t="n">
        <v>1248000</v>
      </c>
      <c r="E188" s="13" t="n">
        <v>36</v>
      </c>
      <c r="F188" s="15" t="n"/>
      <c r="G188" s="13" t="n"/>
      <c r="H188" s="13" t="n"/>
      <c r="I188" s="15" t="n"/>
      <c r="J188" s="13" t="inlineStr">
        <is>
          <t>2026-08-18T12:42:22+09:00</t>
        </is>
      </c>
      <c r="K188" s="14" t="inlineStr">
        <is>
          <t>モデリスタフルエアロ　後期仕様　アルパイン１１インチナビ　フリップダウンモニター　両側パワスラ　クルコン　装備多数　車検１０年８月</t>
        </is>
      </c>
      <c r="L188" s="13" t="inlineStr">
        <is>
          <t>https://page.auctions.yahoo.co.jp/jp/auction/n1240303412</t>
        </is>
      </c>
    </row>
    <row r="189">
      <c r="A189" s="8" t="inlineStr">
        <is>
          <t>エスクァイア</t>
        </is>
      </c>
      <c r="B189" s="8" t="n"/>
      <c r="C189" s="8" t="inlineStr"/>
      <c r="D189" s="11" t="n">
        <v>595000</v>
      </c>
      <c r="E189" s="8" t="n">
        <v>48</v>
      </c>
      <c r="F189" s="11" t="n"/>
      <c r="G189" s="8" t="n"/>
      <c r="H189" s="8" t="n"/>
      <c r="I189" s="11" t="n"/>
      <c r="J189" s="8" t="inlineStr">
        <is>
          <t>2026-06-29T21:05:00+09:00</t>
        </is>
      </c>
      <c r="K189" s="14" t="inlineStr">
        <is>
          <t>車検１０年７月　ハイブリッドＧⅰ　フリップダウンモニター　両側パワスラ　大画面ナビ　Ｂカメラ　Ｗエアコン　シートヒーター　クルコン</t>
        </is>
      </c>
      <c r="L189" s="8" t="inlineStr">
        <is>
          <t>https://page.auctions.yahoo.co.jp/jp/auction/d1234323414</t>
        </is>
      </c>
    </row>
    <row r="190">
      <c r="A190" s="13" t="inlineStr">
        <is>
          <t>エスクァイア</t>
        </is>
      </c>
      <c r="B190" s="13" t="n"/>
      <c r="C190" s="13" t="inlineStr"/>
      <c r="D190" s="15" t="n">
        <v>912000</v>
      </c>
      <c r="E190" s="13" t="n">
        <v>160</v>
      </c>
      <c r="F190" s="15" t="n"/>
      <c r="G190" s="13" t="n"/>
      <c r="H190" s="13" t="n"/>
      <c r="I190" s="15" t="n"/>
      <c r="J190" s="13" t="inlineStr">
        <is>
          <t>2026-06-16T20:55:19+09:00</t>
        </is>
      </c>
      <c r="K190" s="14" t="inlineStr">
        <is>
          <t>最上級ハイブリッドGi黒 本車検満タン渡し!(費用込)フルレザーシートヒーター 踏み間違え防止 両側パワスラ フルセグ アラウンドビューLED</t>
        </is>
      </c>
      <c r="L190" s="13" t="inlineStr">
        <is>
          <t>https://page.auctions.yahoo.co.jp/jp/auction/d1232152446</t>
        </is>
      </c>
    </row>
    <row r="191">
      <c r="A191" s="8" t="inlineStr">
        <is>
          <t>エスクァイア</t>
        </is>
      </c>
      <c r="B191" s="8" t="n"/>
      <c r="C191" s="8" t="inlineStr"/>
      <c r="D191" s="11" t="n">
        <v>656000</v>
      </c>
      <c r="E191" s="8" t="n">
        <v>96</v>
      </c>
      <c r="F191" s="11" t="n"/>
      <c r="G191" s="8" t="n"/>
      <c r="H191" s="8" t="n"/>
      <c r="I191" s="11" t="n"/>
      <c r="J191" s="8" t="inlineStr">
        <is>
          <t>2026-05-10T21:30:17+09:00</t>
        </is>
      </c>
      <c r="K191" s="14" t="inlineStr">
        <is>
          <t>トヨタ エスティマハイブリッド 2.4 G 4WD 実走行103,000km、車検10年5月、修復歴 なし</t>
        </is>
      </c>
      <c r="L191" s="8" t="inlineStr">
        <is>
          <t>https://page.auctions.yahoo.co.jp/jp/auction/r1225519791</t>
        </is>
      </c>
    </row>
    <row r="192">
      <c r="A192" s="13" t="inlineStr">
        <is>
          <t>エスクァイア</t>
        </is>
      </c>
      <c r="B192" s="13" t="n"/>
      <c r="C192" s="13" t="inlineStr"/>
      <c r="D192" s="15" t="n">
        <v>749000</v>
      </c>
      <c r="E192" s="13" t="n">
        <v>26</v>
      </c>
      <c r="F192" s="15" t="n"/>
      <c r="G192" s="13" t="n"/>
      <c r="H192" s="13" t="n"/>
      <c r="I192" s="15" t="n"/>
      <c r="J192" s="13" t="inlineStr">
        <is>
          <t>2026-03-19T21:14:19+09:00</t>
        </is>
      </c>
      <c r="K192" s="14" t="inlineStr">
        <is>
          <t xml:space="preserve">ハイブリッド　車検１０年３月　アルパイン１０インチナビ　デジタルミラー　Ｂカメラ　ＥＴＣ　シートヒーター　パワースライドドア　</t>
        </is>
      </c>
      <c r="L192" s="13" t="inlineStr">
        <is>
          <t>https://page.auctions.yahoo.co.jp/jp/auction/h1222118867</t>
        </is>
      </c>
    </row>
    <row r="193">
      <c r="A193" s="8" t="inlineStr">
        <is>
          <t>エスティマ</t>
        </is>
      </c>
      <c r="B193" s="8" t="n">
        <v>2017</v>
      </c>
      <c r="C193" s="8" t="inlineStr">
        <is>
          <t>50系</t>
        </is>
      </c>
      <c r="D193" s="11" t="n">
        <v>964000</v>
      </c>
      <c r="E193" s="8" t="n">
        <v>88</v>
      </c>
      <c r="F193" s="11" t="n">
        <v>218500</v>
      </c>
      <c r="G193" s="8" t="inlineStr">
        <is>
          <t>REAL_MILEAGE</t>
        </is>
      </c>
      <c r="H193" s="8" t="inlineStr">
        <is>
          <t>NONE</t>
        </is>
      </c>
      <c r="I193" s="11" t="n">
        <v>43670</v>
      </c>
      <c r="J193" s="8" t="inlineStr">
        <is>
          <t>2026-08-16T21:49:20+09:00</t>
        </is>
      </c>
      <c r="K193" s="14" t="inlineStr">
        <is>
          <t>トヨタ　エスティマ　ハイブリッド　AHR20W 後期　車検長い　4WD　　アエラスプレミアム　売り切り出品　今回のみ</t>
        </is>
      </c>
      <c r="L193" s="8" t="inlineStr">
        <is>
          <t>https://page.auctions.yahoo.co.jp/jp/auction/s1240371346</t>
        </is>
      </c>
    </row>
    <row r="194">
      <c r="A194" s="13" t="inlineStr">
        <is>
          <t>エスティマ</t>
        </is>
      </c>
      <c r="B194" s="13" t="n">
        <v>2017</v>
      </c>
      <c r="C194" s="13" t="inlineStr">
        <is>
          <t>50系</t>
        </is>
      </c>
      <c r="D194" s="15" t="n">
        <v>956000</v>
      </c>
      <c r="E194" s="13" t="n">
        <v>104</v>
      </c>
      <c r="F194" s="15" t="n">
        <v>218200</v>
      </c>
      <c r="G194" s="13" t="inlineStr">
        <is>
          <t>REAL_MILEAGE</t>
        </is>
      </c>
      <c r="H194" s="13" t="inlineStr">
        <is>
          <t>NONE</t>
        </is>
      </c>
      <c r="I194" s="15" t="n">
        <v>43670</v>
      </c>
      <c r="J194" s="13" t="inlineStr">
        <is>
          <t>2026-08-02T21:58:31+09:00</t>
        </is>
      </c>
      <c r="K194" s="14" t="inlineStr">
        <is>
          <t>トヨタ　エスティマ　ハイブリッド　AHR20W 後期　車検長い　4WD　　アエラスプレミアム</t>
        </is>
      </c>
      <c r="L194" s="13" t="inlineStr">
        <is>
          <t>https://page.auctions.yahoo.co.jp/jp/auction/d1238917368</t>
        </is>
      </c>
    </row>
    <row r="195">
      <c r="A195" s="8" t="inlineStr">
        <is>
          <t>エスティマ</t>
        </is>
      </c>
      <c r="B195" s="8" t="n">
        <v>2016</v>
      </c>
      <c r="C195" s="8" t="inlineStr">
        <is>
          <t>50系</t>
        </is>
      </c>
      <c r="D195" s="11" t="n">
        <v>1088000</v>
      </c>
      <c r="E195" s="8" t="n">
        <v>2</v>
      </c>
      <c r="F195" s="11" t="n">
        <v>112960</v>
      </c>
      <c r="G195" s="8" t="inlineStr">
        <is>
          <t>REAL_MILEAGE</t>
        </is>
      </c>
      <c r="H195" s="8" t="inlineStr">
        <is>
          <t>NONE</t>
        </is>
      </c>
      <c r="I195" s="11" t="n">
        <v>68300</v>
      </c>
      <c r="J195" s="8" t="inlineStr">
        <is>
          <t>2026-06-24T00:12:33+09:00</t>
        </is>
      </c>
      <c r="K195" s="14" t="inlineStr">
        <is>
          <t>検10年6月 後期型 エスティマ アエラス スマート セーフティセンスC PCS LDA 両側パワスラ クルコン ナビ TV Bモニター ETC 快適温熱シート</t>
        </is>
      </c>
      <c r="L195" s="8" t="inlineStr">
        <is>
          <t>https://page.auctions.yahoo.co.jp/jp/auction/d1233760829</t>
        </is>
      </c>
    </row>
    <row r="196">
      <c r="A196" s="13" t="inlineStr">
        <is>
          <t>エスティマ</t>
        </is>
      </c>
      <c r="B196" s="13" t="n">
        <v>2015</v>
      </c>
      <c r="C196" s="13" t="inlineStr">
        <is>
          <t>50系</t>
        </is>
      </c>
      <c r="D196" s="15" t="n">
        <v>850000</v>
      </c>
      <c r="E196" s="13" t="n">
        <v>12</v>
      </c>
      <c r="F196" s="15" t="n">
        <v>180265</v>
      </c>
      <c r="G196" s="13" t="inlineStr">
        <is>
          <t>REAL_MILEAGE</t>
        </is>
      </c>
      <c r="H196" s="13" t="inlineStr">
        <is>
          <t>NONE</t>
        </is>
      </c>
      <c r="I196" s="15" t="n">
        <v>47270</v>
      </c>
      <c r="J196" s="13" t="inlineStr">
        <is>
          <t>2026-06-14T11:42:32+09:00</t>
        </is>
      </c>
      <c r="K196" s="14" t="inlineStr">
        <is>
          <t>即決特典込々85万円 H27年トヨタ エスティマHV アエラス ベリーエディション【車検R9年1月】純正ナビ/TV/Bカメラ/4WD/ETC/好調美車/無事故</t>
        </is>
      </c>
      <c r="L196" s="13" t="inlineStr">
        <is>
          <t>https://page.auctions.yahoo.co.jp/jp/auction/g1233413225</t>
        </is>
      </c>
    </row>
    <row r="197">
      <c r="A197" s="8" t="inlineStr">
        <is>
          <t>エスティマ</t>
        </is>
      </c>
      <c r="B197" s="8" t="n">
        <v>2015</v>
      </c>
      <c r="C197" s="8" t="inlineStr">
        <is>
          <t>50系</t>
        </is>
      </c>
      <c r="D197" s="11" t="n">
        <v>1179000</v>
      </c>
      <c r="E197" s="8" t="n">
        <v>1</v>
      </c>
      <c r="F197" s="11" t="n">
        <v>119000</v>
      </c>
      <c r="G197" s="8" t="inlineStr">
        <is>
          <t>REAL_MILEAGE</t>
        </is>
      </c>
      <c r="H197" s="8" t="inlineStr">
        <is>
          <t>EXISTS</t>
        </is>
      </c>
      <c r="I197" s="11" t="n">
        <v>0</v>
      </c>
      <c r="J197" s="8" t="inlineStr">
        <is>
          <t>2026-03-23T12:49:27+09:00</t>
        </is>
      </c>
      <c r="K197" s="14" t="inlineStr">
        <is>
          <t>エスティマハイブリッド 2.4 アエラス 4WD 1オーナー 記録簿 ナビTV BT Bモニター ETC</t>
        </is>
      </c>
      <c r="L197" s="8" t="inlineStr">
        <is>
          <t>https://page.auctions.yahoo.co.jp/jp/auction/b1223300589</t>
        </is>
      </c>
    </row>
    <row r="198">
      <c r="A198" s="13" t="inlineStr">
        <is>
          <t>エスティマ</t>
        </is>
      </c>
      <c r="B198" s="13" t="n">
        <v>2014</v>
      </c>
      <c r="C198" s="13" t="inlineStr">
        <is>
          <t>50系</t>
        </is>
      </c>
      <c r="D198" s="15" t="n">
        <v>398000</v>
      </c>
      <c r="E198" s="13" t="n">
        <v>1</v>
      </c>
      <c r="F198" s="15" t="n">
        <v>175000</v>
      </c>
      <c r="G198" s="13" t="inlineStr">
        <is>
          <t>REAL_MILEAGE</t>
        </is>
      </c>
      <c r="H198" s="13" t="inlineStr">
        <is>
          <t>NONE</t>
        </is>
      </c>
      <c r="I198" s="15" t="n">
        <v>64340</v>
      </c>
      <c r="J198" s="13" t="inlineStr">
        <is>
          <t>2026-07-29T15:01:43+09:00</t>
        </is>
      </c>
      <c r="K198" s="14" t="inlineStr">
        <is>
          <t>26年式*エスティマ*アエラスプレミアムED*4WD*HID*両パワスラ*純正ナビ*Bカメラ*BTオーディオ*DTV*DVD*CD*ETC*クルコン*310422S1</t>
        </is>
      </c>
      <c r="L198" s="13" t="inlineStr">
        <is>
          <t>https://page.auctions.yahoo.co.jp/jp/auction/x1228231251</t>
        </is>
      </c>
    </row>
    <row r="199">
      <c r="A199" s="8" t="inlineStr">
        <is>
          <t>エスティマ</t>
        </is>
      </c>
      <c r="B199" s="8" t="n">
        <v>2014</v>
      </c>
      <c r="C199" s="8" t="inlineStr">
        <is>
          <t>50系</t>
        </is>
      </c>
      <c r="D199" s="11" t="n">
        <v>335000</v>
      </c>
      <c r="E199" s="8" t="n">
        <v>105</v>
      </c>
      <c r="F199" s="11" t="n">
        <v>296957</v>
      </c>
      <c r="G199" s="8" t="inlineStr">
        <is>
          <t>REAL_MILEAGE</t>
        </is>
      </c>
      <c r="H199" s="8" t="n"/>
      <c r="I199" s="11" t="n">
        <v>63570</v>
      </c>
      <c r="J199" s="8" t="inlineStr">
        <is>
          <t>2026-07-28T21:50:34+09:00</t>
        </is>
      </c>
      <c r="K199" s="14" t="inlineStr">
        <is>
          <t>仙台発 売切 H26 エスティマHV アエラス 4WD 車検R9.12 即乗りOK ワンオーナー 両側パワスラ ナビTV 後席モニター バックカメラ 寒冷地 ETC</t>
        </is>
      </c>
      <c r="L199" s="8" t="inlineStr">
        <is>
          <t>https://page.auctions.yahoo.co.jp/jp/auction/t1238043864</t>
        </is>
      </c>
    </row>
    <row r="200">
      <c r="A200" s="13" t="inlineStr">
        <is>
          <t>エスティマ</t>
        </is>
      </c>
      <c r="B200" s="13" t="n">
        <v>2014</v>
      </c>
      <c r="C200" s="13" t="inlineStr">
        <is>
          <t>50系</t>
        </is>
      </c>
      <c r="D200" s="15" t="n">
        <v>539000</v>
      </c>
      <c r="E200" s="13" t="n">
        <v>10</v>
      </c>
      <c r="F200" s="15" t="n">
        <v>269500</v>
      </c>
      <c r="G200" s="13" t="inlineStr">
        <is>
          <t>REAL_MILEAGE</t>
        </is>
      </c>
      <c r="H200" s="13" t="inlineStr">
        <is>
          <t>NONE</t>
        </is>
      </c>
      <c r="I200" s="15" t="n">
        <v>20790</v>
      </c>
      <c r="J200" s="13" t="inlineStr">
        <is>
          <t>2026-07-26T22:49:02+09:00</t>
        </is>
      </c>
      <c r="K200" s="14" t="inlineStr">
        <is>
          <t xml:space="preserve">予備検可 26年 後期Ⅲ型 最上級 エスティマHV G (レザー) プリクラシュセーフティS ACC スーパーライブS 4WD パノラミックビューモニター </t>
        </is>
      </c>
      <c r="L200" s="13" t="inlineStr">
        <is>
          <t>https://page.auctions.yahoo.co.jp/jp/auction/n1237679782</t>
        </is>
      </c>
    </row>
    <row r="201">
      <c r="A201" s="8" t="inlineStr">
        <is>
          <t>エスティマ</t>
        </is>
      </c>
      <c r="B201" s="8" t="n">
        <v>2014</v>
      </c>
      <c r="C201" s="8" t="inlineStr">
        <is>
          <t>50系</t>
        </is>
      </c>
      <c r="D201" s="11" t="n">
        <v>601000</v>
      </c>
      <c r="E201" s="8" t="n">
        <v>49</v>
      </c>
      <c r="F201" s="11" t="n">
        <v>157010</v>
      </c>
      <c r="G201" s="8" t="inlineStr">
        <is>
          <t>REAL_MILEAGE</t>
        </is>
      </c>
      <c r="H201" s="8" t="inlineStr">
        <is>
          <t>NONE</t>
        </is>
      </c>
      <c r="I201" s="11" t="n">
        <v>0</v>
      </c>
      <c r="J201" s="8" t="inlineStr">
        <is>
          <t>2026-05-22T22:05:54+09:00</t>
        </is>
      </c>
      <c r="K201" s="14" t="inlineStr">
        <is>
          <t>特別仕様車 4WD【エスティマ ハイブリッド アエラス プレミアムED】両側パワスラ/走行中TV・Bカメラ/後席モニター/ドラレコ/クルコン/ETC</t>
        </is>
      </c>
      <c r="L201" s="8" t="inlineStr">
        <is>
          <t>https://page.auctions.yahoo.co.jp/jp/auction/m1229800753</t>
        </is>
      </c>
    </row>
    <row r="202">
      <c r="A202" s="13" t="inlineStr">
        <is>
          <t>エスティマ</t>
        </is>
      </c>
      <c r="B202" s="13" t="n">
        <v>2014</v>
      </c>
      <c r="C202" s="13" t="inlineStr">
        <is>
          <t>50系</t>
        </is>
      </c>
      <c r="D202" s="15" t="n">
        <v>570500</v>
      </c>
      <c r="E202" s="13" t="n">
        <v>68</v>
      </c>
      <c r="F202" s="15" t="n">
        <v>120890</v>
      </c>
      <c r="G202" s="13" t="inlineStr">
        <is>
          <t>REAL_MILEAGE</t>
        </is>
      </c>
      <c r="H202" s="13" t="inlineStr">
        <is>
          <t>EXISTS</t>
        </is>
      </c>
      <c r="I202" s="15" t="n">
        <v>0</v>
      </c>
      <c r="J202" s="13" t="inlineStr">
        <is>
          <t>2026-02-23T22:12:02+09:00</t>
        </is>
      </c>
      <c r="K202" s="14" t="inlineStr">
        <is>
          <t>希少3500㏄ H26年 トヨタ エスティマ（ESTIMA）アエラス【検R9年3月】純正ナビ/地デジTV/Bカメラ/パワスラ/クルコン/ETC/BOSE/好調美車</t>
        </is>
      </c>
      <c r="L202" s="13" t="inlineStr">
        <is>
          <t>https://page.auctions.yahoo.co.jp/jp/auction/x1219579299</t>
        </is>
      </c>
    </row>
    <row r="203">
      <c r="A203" s="8" t="inlineStr">
        <is>
          <t>エスティマ</t>
        </is>
      </c>
      <c r="B203" s="8" t="n">
        <v>2013</v>
      </c>
      <c r="C203" s="8" t="inlineStr">
        <is>
          <t>50系</t>
        </is>
      </c>
      <c r="D203" s="11" t="n">
        <v>508000</v>
      </c>
      <c r="E203" s="8" t="n">
        <v>1</v>
      </c>
      <c r="F203" s="11" t="n">
        <v>122280</v>
      </c>
      <c r="G203" s="8" t="inlineStr">
        <is>
          <t>REAL_MILEAGE</t>
        </is>
      </c>
      <c r="H203" s="8" t="inlineStr">
        <is>
          <t>NONE</t>
        </is>
      </c>
      <c r="I203" s="11" t="n">
        <v>47340</v>
      </c>
      <c r="J203" s="8" t="inlineStr">
        <is>
          <t>2026-07-19T16:37:46+09:00</t>
        </is>
      </c>
      <c r="K203" s="14" t="inlineStr">
        <is>
          <t>エスティマ アエラス プレミアムED 車検2年付き 両パワスラ フリップ パワーシート 純SDナビ Bカメラ ETC クルコン ショートブロック対策品</t>
        </is>
      </c>
      <c r="L203" s="8" t="inlineStr">
        <is>
          <t>https://page.auctions.yahoo.co.jp/jp/auction/l1230597149</t>
        </is>
      </c>
    </row>
    <row r="204">
      <c r="A204" s="13" t="inlineStr">
        <is>
          <t>エスティマ</t>
        </is>
      </c>
      <c r="B204" s="13" t="n">
        <v>2013</v>
      </c>
      <c r="C204" s="13" t="inlineStr">
        <is>
          <t>50系</t>
        </is>
      </c>
      <c r="D204" s="15" t="n">
        <v>571000</v>
      </c>
      <c r="E204" s="13" t="n">
        <v>102</v>
      </c>
      <c r="F204" s="15" t="n">
        <v>69500</v>
      </c>
      <c r="G204" s="13" t="inlineStr">
        <is>
          <t>REAL_MILEAGE</t>
        </is>
      </c>
      <c r="H204" s="13" t="inlineStr">
        <is>
          <t>EXISTS</t>
        </is>
      </c>
      <c r="I204" s="15" t="n">
        <v>0</v>
      </c>
      <c r="J204" s="13" t="inlineStr">
        <is>
          <t>2026-06-13T22:40:18+09:00</t>
        </is>
      </c>
      <c r="K204" s="14" t="inlineStr">
        <is>
          <t>平成25年 エスティマ 2.4アエラス ブラック 外装綺麗 両パワスラ スマートキー ETC アルミ 車検R10.2</t>
        </is>
      </c>
      <c r="L204" s="13" t="inlineStr">
        <is>
          <t>https://page.auctions.yahoo.co.jp/jp/auction/k1231842879</t>
        </is>
      </c>
    </row>
    <row r="205">
      <c r="A205" s="8" t="inlineStr">
        <is>
          <t>エスティマ</t>
        </is>
      </c>
      <c r="B205" s="8" t="n">
        <v>2013</v>
      </c>
      <c r="C205" s="8" t="inlineStr">
        <is>
          <t>50系</t>
        </is>
      </c>
      <c r="D205" s="11" t="n">
        <v>380000</v>
      </c>
      <c r="E205" s="8" t="n">
        <v>56</v>
      </c>
      <c r="F205" s="11" t="n">
        <v>189000</v>
      </c>
      <c r="G205" s="8" t="inlineStr">
        <is>
          <t>REAL_MILEAGE</t>
        </is>
      </c>
      <c r="H205" s="8" t="inlineStr">
        <is>
          <t>NONE</t>
        </is>
      </c>
      <c r="I205" s="11" t="n">
        <v>0</v>
      </c>
      <c r="J205" s="8" t="inlineStr">
        <is>
          <t>2026-06-11T17:35:25+09:00</t>
        </is>
      </c>
      <c r="K205" s="14" t="inlineStr">
        <is>
          <t>１円売切り!後期 エスティマ 両側パワースライドドア ７人乗 フルセグTV Bluetooth 対策済エンジン 禁煙車 修復歴なし スマートキー2本 ETC</t>
        </is>
      </c>
      <c r="L205" s="8" t="inlineStr">
        <is>
          <t>https://page.auctions.yahoo.co.jp/jp/auction/n1231986815</t>
        </is>
      </c>
    </row>
    <row r="206">
      <c r="A206" s="13" t="inlineStr">
        <is>
          <t>エスティマ</t>
        </is>
      </c>
      <c r="B206" s="13" t="n">
        <v>2013</v>
      </c>
      <c r="C206" s="13" t="inlineStr">
        <is>
          <t>50系</t>
        </is>
      </c>
      <c r="D206" s="15" t="n">
        <v>848000</v>
      </c>
      <c r="E206" s="13" t="n">
        <v>1</v>
      </c>
      <c r="F206" s="15" t="n">
        <v>127850</v>
      </c>
      <c r="G206" s="13" t="inlineStr">
        <is>
          <t>REAL_MILEAGE</t>
        </is>
      </c>
      <c r="H206" s="13" t="inlineStr">
        <is>
          <t>EXISTS</t>
        </is>
      </c>
      <c r="I206" s="15" t="n">
        <v>0</v>
      </c>
      <c r="J206" s="13" t="inlineStr">
        <is>
          <t>2026-05-29T22:33:36+09:00</t>
        </is>
      </c>
      <c r="K206" s="14" t="inlineStr">
        <is>
          <t>車検満タン エスティマHV 後期 ナビ TV Bluetooth フリップモニター バックモニター 両側Pスラ Pバックドア スマートキー クルコン HID ETC</t>
        </is>
      </c>
      <c r="L206" s="13" t="inlineStr">
        <is>
          <t>https://page.auctions.yahoo.co.jp/jp/auction/s1230081660</t>
        </is>
      </c>
    </row>
    <row r="207">
      <c r="A207" s="8" t="inlineStr">
        <is>
          <t>エスティマ</t>
        </is>
      </c>
      <c r="B207" s="8" t="n">
        <v>2013</v>
      </c>
      <c r="C207" s="8" t="inlineStr">
        <is>
          <t>50系</t>
        </is>
      </c>
      <c r="D207" s="11" t="n">
        <v>330000</v>
      </c>
      <c r="E207" s="8" t="n">
        <v>1</v>
      </c>
      <c r="F207" s="11" t="n">
        <v>180000</v>
      </c>
      <c r="G207" s="8" t="inlineStr">
        <is>
          <t>REAL_MILEAGE</t>
        </is>
      </c>
      <c r="H207" s="8" t="inlineStr">
        <is>
          <t>NONE</t>
        </is>
      </c>
      <c r="I207" s="11" t="n">
        <v>0</v>
      </c>
      <c r="J207" s="8" t="inlineStr">
        <is>
          <t>2026-05-23T19:08:18+09:00</t>
        </is>
      </c>
      <c r="K207" s="14" t="inlineStr">
        <is>
          <t>エスティマ　トヨタ</t>
        </is>
      </c>
      <c r="L207" s="8" t="inlineStr">
        <is>
          <t>https://page.auctions.yahoo.co.jp/jp/auction/1230932478</t>
        </is>
      </c>
    </row>
    <row r="208">
      <c r="A208" s="13" t="inlineStr">
        <is>
          <t>エスティマ</t>
        </is>
      </c>
      <c r="B208" s="13" t="n">
        <v>2013</v>
      </c>
      <c r="C208" s="13" t="inlineStr">
        <is>
          <t>50系</t>
        </is>
      </c>
      <c r="D208" s="15" t="n">
        <v>399900</v>
      </c>
      <c r="E208" s="13" t="n">
        <v>1</v>
      </c>
      <c r="F208" s="15" t="n">
        <v>195000</v>
      </c>
      <c r="G208" s="13" t="inlineStr">
        <is>
          <t>REAL_MILEAGE</t>
        </is>
      </c>
      <c r="H208" s="13" t="inlineStr">
        <is>
          <t>NONE</t>
        </is>
      </c>
      <c r="I208" s="15" t="n">
        <v>0</v>
      </c>
      <c r="J208" s="13" t="inlineStr">
        <is>
          <t>2026-04-16T14:32:42+09:00</t>
        </is>
      </c>
      <c r="K208" s="14" t="inlineStr">
        <is>
          <t>★H25年エスティマハイブリッド アエラス★ワンオーナー★両側パワスラ★モデリスタ19インチAW★純正ナビ・TVキャンセラー★車検R10年4月★</t>
        </is>
      </c>
      <c r="L208" s="13" t="inlineStr">
        <is>
          <t>https://page.auctions.yahoo.co.jp/jp/auction/j1220568082</t>
        </is>
      </c>
    </row>
    <row r="209">
      <c r="A209" s="8" t="inlineStr">
        <is>
          <t>エスティマ</t>
        </is>
      </c>
      <c r="B209" s="8" t="n">
        <v>2013</v>
      </c>
      <c r="C209" s="8" t="inlineStr">
        <is>
          <t>50系</t>
        </is>
      </c>
      <c r="D209" s="11" t="n">
        <v>471000</v>
      </c>
      <c r="E209" s="8" t="n">
        <v>125</v>
      </c>
      <c r="F209" s="11" t="n">
        <v>128000</v>
      </c>
      <c r="G209" s="8" t="inlineStr">
        <is>
          <t>REAL_MILEAGE</t>
        </is>
      </c>
      <c r="H209" s="8" t="inlineStr">
        <is>
          <t>NONE</t>
        </is>
      </c>
      <c r="I209" s="11" t="n">
        <v>0</v>
      </c>
      <c r="J209" s="8" t="inlineStr">
        <is>
          <t>2026-04-12T22:15:25+09:00</t>
        </is>
      </c>
      <c r="K209" s="14" t="inlineStr">
        <is>
          <t>H25 中後期エスティマ【 2.4アエラス（3型）】車検10. 4 純正ナビ/DTV/後席モニター/Bカメラ/クルコン/両側パワスラ/美車/128.000km</t>
        </is>
      </c>
      <c r="L209" s="8" t="inlineStr">
        <is>
          <t>https://page.auctions.yahoo.co.jp/jp/auction/w1225238631</t>
        </is>
      </c>
    </row>
    <row r="210">
      <c r="A210" s="13" t="inlineStr">
        <is>
          <t>エスティマ</t>
        </is>
      </c>
      <c r="B210" s="13" t="n">
        <v>2013</v>
      </c>
      <c r="C210" s="13" t="inlineStr">
        <is>
          <t>50系</t>
        </is>
      </c>
      <c r="D210" s="15" t="n">
        <v>470000</v>
      </c>
      <c r="E210" s="13" t="n">
        <v>1</v>
      </c>
      <c r="F210" s="15" t="n">
        <v>185200</v>
      </c>
      <c r="G210" s="13" t="inlineStr">
        <is>
          <t>REAL_MILEAGE</t>
        </is>
      </c>
      <c r="H210" s="13" t="inlineStr">
        <is>
          <t>NONE</t>
        </is>
      </c>
      <c r="I210" s="15" t="n">
        <v>0</v>
      </c>
      <c r="J210" s="13" t="inlineStr">
        <is>
          <t>2026-03-29T21:29:21+09:00</t>
        </is>
      </c>
      <c r="K210" s="14" t="inlineStr">
        <is>
          <t>トヨタ　エスティマ　4WD ハイブリッド　7人乗り　パールホワイト　車検あり</t>
        </is>
      </c>
      <c r="L210" s="13" t="inlineStr">
        <is>
          <t>https://page.auctions.yahoo.co.jp/jp/auction/m1223741416</t>
        </is>
      </c>
    </row>
    <row r="211">
      <c r="A211" s="8" t="inlineStr">
        <is>
          <t>エスティマ</t>
        </is>
      </c>
      <c r="B211" s="8" t="n">
        <v>2013</v>
      </c>
      <c r="C211" s="8" t="inlineStr">
        <is>
          <t>50系</t>
        </is>
      </c>
      <c r="D211" s="11" t="n">
        <v>668000</v>
      </c>
      <c r="E211" s="8" t="n">
        <v>1</v>
      </c>
      <c r="F211" s="11" t="n">
        <v>136000</v>
      </c>
      <c r="G211" s="8" t="inlineStr">
        <is>
          <t>REAL_MILEAGE</t>
        </is>
      </c>
      <c r="H211" s="8" t="inlineStr">
        <is>
          <t>NONE</t>
        </is>
      </c>
      <c r="I211" s="11" t="n">
        <v>0</v>
      </c>
      <c r="J211" s="8" t="inlineStr">
        <is>
          <t>2026-03-15T08:05:09+09:00</t>
        </is>
      </c>
      <c r="K211" s="14" t="inlineStr">
        <is>
          <t>エスティマ 2.4 アエラス 4WD 純正8型SDナビTV BT Bカメラ後席モニター</t>
        </is>
      </c>
      <c r="L211" s="8" t="inlineStr">
        <is>
          <t>https://page.auctions.yahoo.co.jp/jp/auction/k1221350092</t>
        </is>
      </c>
    </row>
    <row r="212">
      <c r="A212" s="13" t="inlineStr">
        <is>
          <t>エスティマ</t>
        </is>
      </c>
      <c r="B212" s="13" t="n">
        <v>2013</v>
      </c>
      <c r="C212" s="13" t="inlineStr">
        <is>
          <t>50系</t>
        </is>
      </c>
      <c r="D212" s="15" t="n">
        <v>401000</v>
      </c>
      <c r="E212" s="13" t="n">
        <v>54</v>
      </c>
      <c r="F212" s="15" t="n">
        <v>86645</v>
      </c>
      <c r="G212" s="13" t="inlineStr">
        <is>
          <t>REAL_MILEAGE</t>
        </is>
      </c>
      <c r="H212" s="13" t="inlineStr">
        <is>
          <t>NONE</t>
        </is>
      </c>
      <c r="I212" s="15" t="n">
        <v>0</v>
      </c>
      <c r="J212" s="13" t="inlineStr">
        <is>
          <t>2026-03-08T21:41:29+09:00</t>
        </is>
      </c>
      <c r="K212" s="14" t="inlineStr">
        <is>
          <t>トヨタ　エスティマ　アエラス　走行8万キロ　/ H25 /Bluetooth ナビ/ETC/ 純正AW/両方自動スライドドア/プッシュスタート</t>
        </is>
      </c>
      <c r="L212" s="13" t="inlineStr">
        <is>
          <t>https://page.auctions.yahoo.co.jp/jp/auction/x1221843832</t>
        </is>
      </c>
    </row>
    <row r="213">
      <c r="A213" s="8" t="inlineStr">
        <is>
          <t>エスティマ</t>
        </is>
      </c>
      <c r="B213" s="8" t="n">
        <v>2013</v>
      </c>
      <c r="C213" s="8" t="inlineStr">
        <is>
          <t>50系</t>
        </is>
      </c>
      <c r="D213" s="11" t="n">
        <v>349900</v>
      </c>
      <c r="E213" s="8" t="n">
        <v>1</v>
      </c>
      <c r="F213" s="11" t="n">
        <v>109800</v>
      </c>
      <c r="G213" s="8" t="inlineStr">
        <is>
          <t>REAL_MILEAGE</t>
        </is>
      </c>
      <c r="H213" s="8" t="inlineStr">
        <is>
          <t>EXISTS</t>
        </is>
      </c>
      <c r="I213" s="11" t="n">
        <v>0</v>
      </c>
      <c r="J213" s="8" t="inlineStr">
        <is>
          <t>2026-03-07T00:55:27+09:00</t>
        </is>
      </c>
      <c r="K213" s="14" t="inlineStr">
        <is>
          <t>★H25年エスティマ アエラス レザーパッケージ★ワンオーナー★両側パワスラ★ナビ・地デジ・Bluetooth★オイル消費対策済み★車検R10年3月</t>
        </is>
      </c>
      <c r="L213" s="8" t="inlineStr">
        <is>
          <t>https://page.auctions.yahoo.co.jp/jp/auction/v1220741518</t>
        </is>
      </c>
    </row>
    <row r="214">
      <c r="A214" s="13" t="inlineStr">
        <is>
          <t>エスティマ</t>
        </is>
      </c>
      <c r="B214" s="13" t="n">
        <v>2013</v>
      </c>
      <c r="C214" s="13" t="inlineStr">
        <is>
          <t>50系</t>
        </is>
      </c>
      <c r="D214" s="15" t="n">
        <v>562000</v>
      </c>
      <c r="E214" s="13" t="n">
        <v>94</v>
      </c>
      <c r="F214" s="15" t="n">
        <v>117000</v>
      </c>
      <c r="G214" s="13" t="inlineStr">
        <is>
          <t>REAL_MILEAGE</t>
        </is>
      </c>
      <c r="H214" s="13" t="inlineStr">
        <is>
          <t>NONE</t>
        </is>
      </c>
      <c r="I214" s="15" t="n">
        <v>0</v>
      </c>
      <c r="J214" s="13" t="inlineStr">
        <is>
          <t>2026-03-01T22:15:11+09:00</t>
        </is>
      </c>
      <c r="K214" s="14" t="inlineStr">
        <is>
          <t>H25 中後期エスティマ【 2.4アエラス（3型）】車検10. 3 純正ナビ/DTV/後席モニター/Bカメラ/クルコン/両側パワスラ/美車/117.000km</t>
        </is>
      </c>
      <c r="L214" s="13" t="inlineStr">
        <is>
          <t>https://page.auctions.yahoo.co.jp/jp/auction/g1220552824</t>
        </is>
      </c>
    </row>
    <row r="215">
      <c r="A215" s="8" t="inlineStr">
        <is>
          <t>エスティマ</t>
        </is>
      </c>
      <c r="B215" s="8" t="n">
        <v>2013</v>
      </c>
      <c r="C215" s="8" t="inlineStr">
        <is>
          <t>50系</t>
        </is>
      </c>
      <c r="D215" s="11" t="n">
        <v>328000</v>
      </c>
      <c r="E215" s="8" t="n">
        <v>72</v>
      </c>
      <c r="F215" s="11" t="n">
        <v>148827</v>
      </c>
      <c r="G215" s="8" t="inlineStr">
        <is>
          <t>REAL_MILEAGE</t>
        </is>
      </c>
      <c r="H215" s="8" t="inlineStr">
        <is>
          <t>NONE</t>
        </is>
      </c>
      <c r="I215" s="11" t="n">
        <v>0</v>
      </c>
      <c r="J215" s="8" t="inlineStr">
        <is>
          <t>2026-02-28T21:06:48+09:00</t>
        </is>
      </c>
      <c r="K215" s="14" t="inlineStr">
        <is>
          <t xml:space="preserve"> H25年 トヨタ エスティマ（ESTIMA）アエラス 純正ナビ/地デジTV/Bカメラ/パワスラ/クルコン/ETC/フィリップダウンモニター/好調/無事故</t>
        </is>
      </c>
      <c r="L215" s="8" t="inlineStr">
        <is>
          <t>https://page.auctions.yahoo.co.jp/jp/auction/w1219688960</t>
        </is>
      </c>
    </row>
    <row r="216">
      <c r="A216" s="13" t="inlineStr">
        <is>
          <t>エスティマ</t>
        </is>
      </c>
      <c r="B216" s="13" t="n">
        <v>2013</v>
      </c>
      <c r="C216" s="13" t="inlineStr">
        <is>
          <t>50系</t>
        </is>
      </c>
      <c r="D216" s="15" t="n">
        <v>668000</v>
      </c>
      <c r="E216" s="13" t="n">
        <v>2</v>
      </c>
      <c r="F216" s="15" t="n">
        <v>88620</v>
      </c>
      <c r="G216" s="13" t="inlineStr">
        <is>
          <t>REAL_MILEAGE</t>
        </is>
      </c>
      <c r="H216" s="13" t="inlineStr">
        <is>
          <t>EXISTS</t>
        </is>
      </c>
      <c r="I216" s="15" t="n">
        <v>0</v>
      </c>
      <c r="J216" s="13" t="inlineStr">
        <is>
          <t>2026-02-25T22:06:15+09:00</t>
        </is>
      </c>
      <c r="K216" s="14" t="inlineStr">
        <is>
          <t>エスティマ☆アエラス☆後期型☆実走行8万キロ台☆車検令和10年2月☆純正SDナビ☆地デジ☆BT☆ETC☆バックカメラ☆両側パワースライドドア</t>
        </is>
      </c>
      <c r="L216" s="13" t="inlineStr">
        <is>
          <t>https://page.auctions.yahoo.co.jp/jp/auction/k1211414120</t>
        </is>
      </c>
    </row>
    <row r="217">
      <c r="A217" s="8" t="inlineStr">
        <is>
          <t>エスティマ</t>
        </is>
      </c>
      <c r="B217" s="8" t="n">
        <v>2012</v>
      </c>
      <c r="C217" s="8" t="inlineStr">
        <is>
          <t>50系</t>
        </is>
      </c>
      <c r="D217" s="11" t="n">
        <v>390000</v>
      </c>
      <c r="E217" s="8" t="n">
        <v>1</v>
      </c>
      <c r="F217" s="11" t="n">
        <v>119350</v>
      </c>
      <c r="G217" s="8" t="inlineStr">
        <is>
          <t>REAL_MILEAGE</t>
        </is>
      </c>
      <c r="H217" s="8" t="inlineStr">
        <is>
          <t>NONE</t>
        </is>
      </c>
      <c r="I217" s="11" t="n">
        <v>14340</v>
      </c>
      <c r="J217" s="8" t="inlineStr">
        <is>
          <t>2026-08-09T09:24:58+09:00</t>
        </is>
      </c>
      <c r="K217" s="14" t="inlineStr">
        <is>
          <t>予備検査付き☆24年7月登録☆エスティマ アエラス☆両側パワスラ.HDDナビ.地デジフルセグ.リアモニター.Bカメラ.ETC.修復歴無し.点検整備済</t>
        </is>
      </c>
      <c r="L217" s="8" t="inlineStr">
        <is>
          <t>https://page.auctions.yahoo.co.jp/jp/auction/t1239748763</t>
        </is>
      </c>
    </row>
    <row r="218">
      <c r="A218" s="13" t="inlineStr">
        <is>
          <t>エスティマ</t>
        </is>
      </c>
      <c r="B218" s="13" t="n">
        <v>2012</v>
      </c>
      <c r="C218" s="13" t="inlineStr">
        <is>
          <t>50系</t>
        </is>
      </c>
      <c r="D218" s="15" t="n">
        <v>1198000</v>
      </c>
      <c r="E218" s="13" t="n">
        <v>2</v>
      </c>
      <c r="F218" s="15" t="n">
        <v>55470</v>
      </c>
      <c r="G218" s="13" t="inlineStr">
        <is>
          <t>REAL_MILEAGE</t>
        </is>
      </c>
      <c r="H218" s="13" t="inlineStr">
        <is>
          <t>EXISTS</t>
        </is>
      </c>
      <c r="I218" s="15" t="n">
        <v>51860</v>
      </c>
      <c r="J218" s="13" t="inlineStr">
        <is>
          <t>2026-07-25T10:33:40+09:00</t>
        </is>
      </c>
      <c r="K218" s="14" t="inlineStr">
        <is>
          <t>エスティマHV 後期 アエラス HDDナビ TV Bluetooth フリップモニター アラウンドビュー 両側Pスラ スマキー サンルーフ クルコン HID ETC</t>
        </is>
      </c>
      <c r="L218" s="13" t="inlineStr">
        <is>
          <t>https://page.auctions.yahoo.co.jp/jp/auction/c1237518661</t>
        </is>
      </c>
    </row>
    <row r="219">
      <c r="A219" s="8" t="inlineStr">
        <is>
          <t>エスティマ</t>
        </is>
      </c>
      <c r="B219" s="8" t="n">
        <v>2012</v>
      </c>
      <c r="C219" s="8" t="inlineStr">
        <is>
          <t>50系</t>
        </is>
      </c>
      <c r="D219" s="11" t="n">
        <v>527000</v>
      </c>
      <c r="E219" s="8" t="n">
        <v>223</v>
      </c>
      <c r="F219" s="11" t="n">
        <v>193200</v>
      </c>
      <c r="G219" s="8" t="inlineStr">
        <is>
          <t>REAL_MILEAGE</t>
        </is>
      </c>
      <c r="H219" s="8" t="inlineStr">
        <is>
          <t>NONE</t>
        </is>
      </c>
      <c r="I219" s="11" t="n">
        <v>0</v>
      </c>
      <c r="J219" s="8" t="inlineStr">
        <is>
          <t>2026-06-10T21:16:10+09:00</t>
        </is>
      </c>
      <c r="K219" s="14" t="inlineStr">
        <is>
          <t>H24 エスティマHV アエラス 3型 4WD モデリスタ/サンルーフ/純正ナビ/後席モニター/両側PS/前後オートAC/ワイパーデアイサ 車検R9年12月迄</t>
        </is>
      </c>
      <c r="L219" s="8" t="inlineStr">
        <is>
          <t>https://page.auctions.yahoo.co.jp/jp/auction/s1232316803</t>
        </is>
      </c>
    </row>
    <row r="220">
      <c r="A220" s="13" t="inlineStr">
        <is>
          <t>エスティマ</t>
        </is>
      </c>
      <c r="B220" s="13" t="n">
        <v>2012</v>
      </c>
      <c r="C220" s="13" t="inlineStr">
        <is>
          <t>50系</t>
        </is>
      </c>
      <c r="D220" s="15" t="n">
        <v>380000</v>
      </c>
      <c r="E220" s="13" t="n">
        <v>1</v>
      </c>
      <c r="F220" s="15" t="n">
        <v>152000</v>
      </c>
      <c r="G220" s="13" t="inlineStr">
        <is>
          <t>REAL_MILEAGE</t>
        </is>
      </c>
      <c r="H220" s="13" t="inlineStr">
        <is>
          <t>NONE</t>
        </is>
      </c>
      <c r="I220" s="15" t="n">
        <v>0</v>
      </c>
      <c r="J220" s="13" t="inlineStr">
        <is>
          <t>2026-05-20T19:57:29+09:00</t>
        </is>
      </c>
      <c r="K220" s="14" t="inlineStr">
        <is>
          <t>エスティマ アエラス★8ナンバー★8インチナビ★両側電動スライド★検9/3★フリップダウン★Bluetooth★バックカメラ★ETC★車いす移動車</t>
        </is>
      </c>
      <c r="L220" s="13" t="inlineStr">
        <is>
          <t>https://page.auctions.yahoo.co.jp/jp/auction/f1229985552</t>
        </is>
      </c>
    </row>
    <row r="221">
      <c r="A221" s="8" t="inlineStr">
        <is>
          <t>エスティマ</t>
        </is>
      </c>
      <c r="B221" s="8" t="n">
        <v>2012</v>
      </c>
      <c r="C221" s="8" t="inlineStr">
        <is>
          <t>50系</t>
        </is>
      </c>
      <c r="D221" s="11" t="n">
        <v>566000</v>
      </c>
      <c r="E221" s="8" t="n">
        <v>125</v>
      </c>
      <c r="F221" s="11" t="n">
        <v>191000</v>
      </c>
      <c r="G221" s="8" t="inlineStr">
        <is>
          <t>REAL_MILEAGE</t>
        </is>
      </c>
      <c r="H221" s="8" t="inlineStr">
        <is>
          <t>NONE</t>
        </is>
      </c>
      <c r="I221" s="11" t="n">
        <v>0</v>
      </c>
      <c r="J221" s="8" t="inlineStr">
        <is>
          <t>2026-04-03T21:15:06+09:00</t>
        </is>
      </c>
      <c r="K221" s="14" t="inlineStr">
        <is>
          <t>H24 エスティマHV アエラス 3型 4WD サンルーフ/純正ナビ/後席モニター/両側PS/リアフォグ/前後オートAC/ワイパーデアイサー 車検満タン付</t>
        </is>
      </c>
      <c r="L221" s="8" t="inlineStr">
        <is>
          <t>https://page.auctions.yahoo.co.jp/jp/auction/l1224512992</t>
        </is>
      </c>
    </row>
    <row r="222">
      <c r="A222" s="13" t="inlineStr">
        <is>
          <t>エスティマ</t>
        </is>
      </c>
      <c r="B222" s="13" t="n">
        <v>2012</v>
      </c>
      <c r="C222" s="13" t="inlineStr">
        <is>
          <t>50系</t>
        </is>
      </c>
      <c r="D222" s="15" t="n">
        <v>569000</v>
      </c>
      <c r="E222" s="13" t="n">
        <v>5</v>
      </c>
      <c r="F222" s="15" t="n">
        <v>173200</v>
      </c>
      <c r="G222" s="13" t="inlineStr">
        <is>
          <t>REAL_MILEAGE</t>
        </is>
      </c>
      <c r="H222" s="13" t="inlineStr">
        <is>
          <t>NONE</t>
        </is>
      </c>
      <c r="I222" s="15" t="n">
        <v>0</v>
      </c>
      <c r="J222" s="13" t="inlineStr">
        <is>
          <t>2026-03-27T15:10:12+09:00</t>
        </is>
      </c>
      <c r="K222" s="14" t="inlineStr">
        <is>
          <t xml:space="preserve">売切 24年 マイナー後 後期Ⅲ型 最上級 エスティマHV G (レザーパッケージ) プリクラシュセーフティS ACC スーパーライブサウンド 4WD </t>
        </is>
      </c>
      <c r="L222" s="13" t="inlineStr">
        <is>
          <t>https://page.auctions.yahoo.co.jp/jp/auction/e1223642639</t>
        </is>
      </c>
    </row>
    <row r="223">
      <c r="A223" s="8" t="inlineStr">
        <is>
          <t>エスティマ</t>
        </is>
      </c>
      <c r="B223" s="8" t="n">
        <v>2012</v>
      </c>
      <c r="C223" s="8" t="inlineStr">
        <is>
          <t>50系</t>
        </is>
      </c>
      <c r="D223" s="11" t="n">
        <v>498000</v>
      </c>
      <c r="E223" s="8" t="n">
        <v>1</v>
      </c>
      <c r="F223" s="11" t="n">
        <v>183700</v>
      </c>
      <c r="G223" s="8" t="inlineStr">
        <is>
          <t>REAL_MILEAGE</t>
        </is>
      </c>
      <c r="H223" s="8" t="inlineStr">
        <is>
          <t>NONE</t>
        </is>
      </c>
      <c r="I223" s="11" t="n">
        <v>0</v>
      </c>
      <c r="J223" s="8" t="inlineStr">
        <is>
          <t>2026-03-10T23:04:03+09:00</t>
        </is>
      </c>
      <c r="K223" s="14" t="inlineStr">
        <is>
          <t>【諸費用コミ】:平成24年 エスティマハイブリッド 2.4 アエラス 4WD アルパインナビ フリップダウン★浜松市★中古車</t>
        </is>
      </c>
      <c r="L223" s="8" t="inlineStr">
        <is>
          <t>https://page.auctions.yahoo.co.jp/jp/auction/m1219139070</t>
        </is>
      </c>
    </row>
    <row r="224">
      <c r="A224" s="13" t="inlineStr">
        <is>
          <t>エスティマ</t>
        </is>
      </c>
      <c r="B224" s="13" t="n">
        <v>2012</v>
      </c>
      <c r="C224" s="13" t="inlineStr">
        <is>
          <t>50系</t>
        </is>
      </c>
      <c r="D224" s="15" t="n">
        <v>335000</v>
      </c>
      <c r="E224" s="13" t="n">
        <v>19</v>
      </c>
      <c r="F224" s="15" t="n">
        <v>115000</v>
      </c>
      <c r="G224" s="13" t="inlineStr">
        <is>
          <t>REAL_MILEAGE</t>
        </is>
      </c>
      <c r="H224" s="13" t="n"/>
      <c r="I224" s="15" t="n">
        <v>0</v>
      </c>
      <c r="J224" s="13" t="inlineStr">
        <is>
          <t>2026-03-02T15:57:21+09:00</t>
        </is>
      </c>
      <c r="K224" s="14" t="inlineStr">
        <is>
          <t xml:space="preserve">50エスティマ　車検長　　</t>
        </is>
      </c>
      <c r="L224" s="13" t="inlineStr">
        <is>
          <t>https://page.auctions.yahoo.co.jp/jp/auction/f1221152798</t>
        </is>
      </c>
    </row>
    <row r="225">
      <c r="A225" s="8" t="inlineStr">
        <is>
          <t>エスティマ</t>
        </is>
      </c>
      <c r="B225" s="8" t="n">
        <v>2012</v>
      </c>
      <c r="C225" s="8" t="inlineStr">
        <is>
          <t>50系</t>
        </is>
      </c>
      <c r="D225" s="11" t="n">
        <v>598000</v>
      </c>
      <c r="E225" s="8" t="n">
        <v>1</v>
      </c>
      <c r="F225" s="11" t="n">
        <v>138100</v>
      </c>
      <c r="G225" s="8" t="inlineStr">
        <is>
          <t>REAL_MILEAGE</t>
        </is>
      </c>
      <c r="H225" s="8" t="inlineStr">
        <is>
          <t>NONE</t>
        </is>
      </c>
      <c r="I225" s="11" t="n">
        <v>0</v>
      </c>
      <c r="J225" s="8" t="inlineStr">
        <is>
          <t>2026-02-28T20:35:19+09:00</t>
        </is>
      </c>
      <c r="K225" s="14" t="inlineStr">
        <is>
          <t>エスティマ アエラス レザーパッケージ 車検2年付き 1オーナー 両パワスラ 純フリップ Pセンサー Bカメラ ショートブロックASSY交換済み</t>
        </is>
      </c>
      <c r="L225" s="8" t="inlineStr">
        <is>
          <t>https://page.auctions.yahoo.co.jp/jp/auction/j1217587566</t>
        </is>
      </c>
    </row>
    <row r="226">
      <c r="A226" s="13" t="inlineStr">
        <is>
          <t>エスティマ</t>
        </is>
      </c>
      <c r="B226" s="13" t="n">
        <v>2012</v>
      </c>
      <c r="C226" s="13" t="inlineStr">
        <is>
          <t>50系</t>
        </is>
      </c>
      <c r="D226" s="15" t="n">
        <v>298000</v>
      </c>
      <c r="E226" s="13" t="n">
        <v>1</v>
      </c>
      <c r="F226" s="15" t="n">
        <v>117200</v>
      </c>
      <c r="G226" s="13" t="inlineStr">
        <is>
          <t>REAL_MILEAGE</t>
        </is>
      </c>
      <c r="H226" s="13" t="inlineStr">
        <is>
          <t>NONE</t>
        </is>
      </c>
      <c r="I226" s="15" t="n">
        <v>0</v>
      </c>
      <c r="J226" s="13" t="inlineStr">
        <is>
          <t>2026-02-25T03:43:40+09:00</t>
        </is>
      </c>
      <c r="K226" s="14" t="inlineStr">
        <is>
          <t>修復歴無し!車検9年9月！CVTオイル/フィルター交換済み!H24年エスティマアエラスGエディション両側パワスラ/外品フルセグナビ/バックカメラ</t>
        </is>
      </c>
      <c r="L226" s="13" t="inlineStr">
        <is>
          <t>https://page.auctions.yahoo.co.jp/jp/auction/m1219395156</t>
        </is>
      </c>
    </row>
    <row r="227">
      <c r="A227" s="8" t="inlineStr">
        <is>
          <t>エスティマ</t>
        </is>
      </c>
      <c r="B227" s="8" t="n">
        <v>2011</v>
      </c>
      <c r="C227" s="8" t="inlineStr">
        <is>
          <t>50系</t>
        </is>
      </c>
      <c r="D227" s="11" t="n">
        <v>380000</v>
      </c>
      <c r="E227" s="8" t="n">
        <v>2</v>
      </c>
      <c r="F227" s="11" t="n">
        <v>155200</v>
      </c>
      <c r="G227" s="8" t="inlineStr">
        <is>
          <t>REAL_MILEAGE</t>
        </is>
      </c>
      <c r="H227" s="8" t="inlineStr">
        <is>
          <t>NONE</t>
        </is>
      </c>
      <c r="I227" s="11" t="n">
        <v>125950</v>
      </c>
      <c r="J227" s="8" t="inlineStr">
        <is>
          <t>2026-08-20T10:36:29+09:00</t>
        </is>
      </c>
      <c r="K227" s="14" t="inlineStr">
        <is>
          <t>★売切！格安スタート！(^_-)-☆トヨタ　エスティマ　HYBRID　４WD★左右パワースライドドア装備(^_-)-☆満タン車検付きすぐ乗りOK(^_-)-☆</t>
        </is>
      </c>
      <c r="L227" s="8" t="inlineStr">
        <is>
          <t>https://page.auctions.yahoo.co.jp/jp/auction/r1240709745</t>
        </is>
      </c>
    </row>
    <row r="228">
      <c r="A228" s="13" t="inlineStr">
        <is>
          <t>エスティマ</t>
        </is>
      </c>
      <c r="B228" s="13" t="n">
        <v>2011</v>
      </c>
      <c r="C228" s="13" t="inlineStr">
        <is>
          <t>50系</t>
        </is>
      </c>
      <c r="D228" s="15" t="n">
        <v>1448000</v>
      </c>
      <c r="E228" s="13" t="n">
        <v>247</v>
      </c>
      <c r="F228" s="15" t="n">
        <v>99200</v>
      </c>
      <c r="G228" s="13" t="inlineStr">
        <is>
          <t>REAL_MILEAGE</t>
        </is>
      </c>
      <c r="H228" s="13" t="inlineStr">
        <is>
          <t>NONE</t>
        </is>
      </c>
      <c r="I228" s="15" t="n">
        <v>41090</v>
      </c>
      <c r="J228" s="13" t="inlineStr">
        <is>
          <t>2026-08-16T00:02:35+09:00</t>
        </is>
      </c>
      <c r="K228" s="14" t="inlineStr">
        <is>
          <t>H23 エスティマHV G レザーPKG 4WD 2型 実走行10万km未満 サンルーフ/本革シート/MOPナビ/リアエンタ/PCS/LKA/両側PS/Pトランク 車検満タン</t>
        </is>
      </c>
      <c r="L228" s="13" t="inlineStr">
        <is>
          <t>https://page.auctions.yahoo.co.jp/jp/auction/t1240093342</t>
        </is>
      </c>
    </row>
    <row r="229">
      <c r="A229" s="8" t="inlineStr">
        <is>
          <t>エスティマ</t>
        </is>
      </c>
      <c r="B229" s="8" t="n">
        <v>2011</v>
      </c>
      <c r="C229" s="8" t="inlineStr">
        <is>
          <t>50系</t>
        </is>
      </c>
      <c r="D229" s="11" t="n">
        <v>500000</v>
      </c>
      <c r="E229" s="8" t="n">
        <v>1</v>
      </c>
      <c r="F229" s="11" t="n">
        <v>120000</v>
      </c>
      <c r="G229" s="8" t="inlineStr">
        <is>
          <t>REAL_MILEAGE</t>
        </is>
      </c>
      <c r="H229" s="8" t="n"/>
      <c r="I229" s="11" t="n">
        <v>60000</v>
      </c>
      <c r="J229" s="8" t="inlineStr">
        <is>
          <t>2026-08-05T10:16:45+09:00</t>
        </is>
      </c>
      <c r="K229" s="14" t="inlineStr">
        <is>
          <t>トヨタ　エスティマハイブリッド　7人乗り　中期　12万キロ　車検令10.1　訳あり</t>
        </is>
      </c>
      <c r="L229" s="8" t="inlineStr">
        <is>
          <t>https://page.auctions.yahoo.co.jp/jp/auction/p1237150281</t>
        </is>
      </c>
    </row>
    <row r="230">
      <c r="A230" s="13" t="inlineStr">
        <is>
          <t>エスティマ</t>
        </is>
      </c>
      <c r="B230" s="13" t="n">
        <v>2011</v>
      </c>
      <c r="C230" s="13" t="inlineStr">
        <is>
          <t>50系</t>
        </is>
      </c>
      <c r="D230" s="15" t="n">
        <v>283000</v>
      </c>
      <c r="E230" s="13" t="n">
        <v>78</v>
      </c>
      <c r="F230" s="15" t="n">
        <v>174059</v>
      </c>
      <c r="G230" s="13" t="inlineStr">
        <is>
          <t>REAL_MILEAGE</t>
        </is>
      </c>
      <c r="H230" s="13" t="inlineStr">
        <is>
          <t>NONE</t>
        </is>
      </c>
      <c r="I230" s="15" t="n">
        <v>29890</v>
      </c>
      <c r="J230" s="13" t="inlineStr">
        <is>
          <t>2026-08-04T21:48:57+09:00</t>
        </is>
      </c>
      <c r="K230" s="14" t="inlineStr">
        <is>
          <t>仙台発 売切 H23 エスティマハイブリッド X E-Four 車検R8.10 4WD 両側パワスラ ナビTV Bカメラ 即乗りOK 7人乗り 人気の黒 ! スマキー2個</t>
        </is>
      </c>
      <c r="L230" s="13" t="inlineStr">
        <is>
          <t>https://page.auctions.yahoo.co.jp/jp/auction/k1238993406</t>
        </is>
      </c>
    </row>
    <row r="231">
      <c r="A231" s="8" t="inlineStr">
        <is>
          <t>エスティマ</t>
        </is>
      </c>
      <c r="B231" s="8" t="n">
        <v>2011</v>
      </c>
      <c r="C231" s="8" t="inlineStr">
        <is>
          <t>50系</t>
        </is>
      </c>
      <c r="D231" s="11" t="n">
        <v>338000</v>
      </c>
      <c r="E231" s="8" t="n">
        <v>1</v>
      </c>
      <c r="F231" s="11" t="n">
        <v>97378</v>
      </c>
      <c r="G231" s="8" t="inlineStr">
        <is>
          <t>REAL_MILEAGE</t>
        </is>
      </c>
      <c r="H231" s="8" t="inlineStr">
        <is>
          <t>EXISTS</t>
        </is>
      </c>
      <c r="I231" s="11" t="n">
        <v>15220</v>
      </c>
      <c r="J231" s="8" t="inlineStr">
        <is>
          <t>2026-07-28T13:53:15+09:00</t>
        </is>
      </c>
      <c r="K231" s="14" t="inlineStr">
        <is>
          <t>◇23年中期エスティマ・アエラスG-ED・乗り出し総額45.4万円◇実走行９.７万キロ/フリップダウン/フルセグTV/両側電動ドア/ナビ/後カメラ</t>
        </is>
      </c>
      <c r="L231" s="8" t="inlineStr">
        <is>
          <t>https://page.auctions.yahoo.co.jp/jp/auction/1235726619</t>
        </is>
      </c>
    </row>
    <row r="232">
      <c r="A232" s="13" t="inlineStr">
        <is>
          <t>エスティマ</t>
        </is>
      </c>
      <c r="B232" s="13" t="n">
        <v>2011</v>
      </c>
      <c r="C232" s="13" t="inlineStr">
        <is>
          <t>50系</t>
        </is>
      </c>
      <c r="D232" s="15" t="n">
        <v>279000</v>
      </c>
      <c r="E232" s="13" t="n">
        <v>18</v>
      </c>
      <c r="F232" s="15" t="n">
        <v>171000</v>
      </c>
      <c r="G232" s="13" t="inlineStr">
        <is>
          <t>REAL_MILEAGE</t>
        </is>
      </c>
      <c r="H232" s="13" t="n"/>
      <c r="I232" s="15" t="n">
        <v>14890</v>
      </c>
      <c r="J232" s="13" t="inlineStr">
        <is>
          <t>2026-07-25T10:59:52+09:00</t>
        </is>
      </c>
      <c r="K232" s="14" t="inlineStr">
        <is>
          <t>エスティマハイブリッド　G　平成２３年　１７１，０００㎞</t>
        </is>
      </c>
      <c r="L232" s="13" t="inlineStr">
        <is>
          <t>https://page.auctions.yahoo.co.jp/jp/auction/j1237985508</t>
        </is>
      </c>
    </row>
    <row r="233">
      <c r="A233" s="8" t="inlineStr">
        <is>
          <t>エスティマ</t>
        </is>
      </c>
      <c r="B233" s="8" t="n">
        <v>2011</v>
      </c>
      <c r="C233" s="8" t="inlineStr">
        <is>
          <t>50系</t>
        </is>
      </c>
      <c r="D233" s="11" t="n">
        <v>302000</v>
      </c>
      <c r="E233" s="8" t="n">
        <v>23</v>
      </c>
      <c r="F233" s="11" t="n">
        <v>180106</v>
      </c>
      <c r="G233" s="8" t="inlineStr">
        <is>
          <t>REAL_MILEAGE</t>
        </is>
      </c>
      <c r="H233" s="8" t="n"/>
      <c r="I233" s="11" t="n">
        <v>45700</v>
      </c>
      <c r="J233" s="8" t="inlineStr">
        <is>
          <t>2026-07-04T19:53:12+09:00</t>
        </is>
      </c>
      <c r="K233" s="14" t="inlineStr">
        <is>
          <t>【ムーンル－フ】　エスティマ　ハイブリッド　【4WD】バックモニタ/両側パワスラ/アルパインナビ/Bluetooth/フルセグ/17インチアルミ</t>
        </is>
      </c>
      <c r="L233" s="8" t="inlineStr">
        <is>
          <t>https://page.auctions.yahoo.co.jp/jp/auction/l1222568013</t>
        </is>
      </c>
    </row>
    <row r="234">
      <c r="A234" s="13" t="inlineStr">
        <is>
          <t>エスティマ</t>
        </is>
      </c>
      <c r="B234" s="13" t="n">
        <v>2011</v>
      </c>
      <c r="C234" s="13" t="inlineStr">
        <is>
          <t>50系</t>
        </is>
      </c>
      <c r="D234" s="15" t="n">
        <v>357000</v>
      </c>
      <c r="E234" s="13" t="n">
        <v>112</v>
      </c>
      <c r="F234" s="15" t="n">
        <v>63250</v>
      </c>
      <c r="G234" s="13" t="inlineStr">
        <is>
          <t>REAL_MILEAGE</t>
        </is>
      </c>
      <c r="H234" s="13" t="inlineStr">
        <is>
          <t>NONE</t>
        </is>
      </c>
      <c r="I234" s="15" t="n">
        <v>48840</v>
      </c>
      <c r="J234" s="13" t="inlineStr">
        <is>
          <t>2026-06-29T22:19:06+09:00</t>
        </is>
      </c>
      <c r="K234" s="14" t="inlineStr">
        <is>
          <t>●ワンオーナー●車検R8年10月●エスティマ●G●H23年式●ACR50●禁煙車●ETC●シートヒーター●両側パワスラ●ディーラー記録簿多数●</t>
        </is>
      </c>
      <c r="L234" s="13" t="inlineStr">
        <is>
          <t>https://page.auctions.yahoo.co.jp/jp/auction/c1234390772</t>
        </is>
      </c>
    </row>
    <row r="235">
      <c r="A235" s="8" t="inlineStr">
        <is>
          <t>エスティマ</t>
        </is>
      </c>
      <c r="B235" s="8" t="n">
        <v>2011</v>
      </c>
      <c r="C235" s="8" t="inlineStr">
        <is>
          <t>50系</t>
        </is>
      </c>
      <c r="D235" s="11" t="n">
        <v>328000</v>
      </c>
      <c r="E235" s="8" t="n">
        <v>1</v>
      </c>
      <c r="F235" s="11" t="n">
        <v>82988</v>
      </c>
      <c r="G235" s="8" t="inlineStr">
        <is>
          <t>REAL_MILEAGE</t>
        </is>
      </c>
      <c r="H235" s="8" t="inlineStr">
        <is>
          <t>NONE</t>
        </is>
      </c>
      <c r="I235" s="11" t="n">
        <v>0</v>
      </c>
      <c r="J235" s="8" t="inlineStr">
        <is>
          <t>2026-06-04T15:45:16+09:00</t>
        </is>
      </c>
      <c r="K235" s="14" t="inlineStr">
        <is>
          <t>◇23年中期エスティマ・アエラスG-ED・乗り出し総額44.8万円◇実走行8万キロ/両側電動ドア/ナビ/TV/Bluetooth/バックカメラ/ETC/修復歴無し</t>
        </is>
      </c>
      <c r="L235" s="8" t="inlineStr">
        <is>
          <t>https://page.auctions.yahoo.co.jp/jp/auction/t1231917635</t>
        </is>
      </c>
    </row>
    <row r="236">
      <c r="A236" s="13" t="inlineStr">
        <is>
          <t>エスティマ</t>
        </is>
      </c>
      <c r="B236" s="13" t="n">
        <v>2011</v>
      </c>
      <c r="C236" s="13" t="inlineStr">
        <is>
          <t>50系</t>
        </is>
      </c>
      <c r="D236" s="15" t="n">
        <v>195500</v>
      </c>
      <c r="E236" s="13" t="n">
        <v>69</v>
      </c>
      <c r="F236" s="15" t="n">
        <v>141440</v>
      </c>
      <c r="G236" s="13" t="inlineStr">
        <is>
          <t>REAL_MILEAGE</t>
        </is>
      </c>
      <c r="H236" s="13" t="n"/>
      <c r="I236" s="15" t="n">
        <v>0</v>
      </c>
      <c r="J236" s="13" t="inlineStr">
        <is>
          <t>2026-03-30T20:06:51+09:00</t>
        </is>
      </c>
      <c r="K236" s="14" t="inlineStr">
        <is>
          <t>H23年式トヨタ エスティマ G 走行距離 141440km</t>
        </is>
      </c>
      <c r="L236" s="13" t="inlineStr">
        <is>
          <t>https://page.auctions.yahoo.co.jp/jp/auction/m1224026168</t>
        </is>
      </c>
    </row>
    <row r="237">
      <c r="A237" s="8" t="inlineStr">
        <is>
          <t>エスティマ</t>
        </is>
      </c>
      <c r="B237" s="8" t="n">
        <v>2011</v>
      </c>
      <c r="C237" s="8" t="inlineStr">
        <is>
          <t>50系</t>
        </is>
      </c>
      <c r="D237" s="11" t="n">
        <v>196000</v>
      </c>
      <c r="E237" s="8" t="n">
        <v>71</v>
      </c>
      <c r="F237" s="11" t="n">
        <v>115174</v>
      </c>
      <c r="G237" s="8" t="inlineStr">
        <is>
          <t>REAL_MILEAGE</t>
        </is>
      </c>
      <c r="H237" s="8" t="n"/>
      <c r="I237" s="11" t="n">
        <v>0</v>
      </c>
      <c r="J237" s="8" t="inlineStr">
        <is>
          <t>2026-03-13T23:10:13+09:00</t>
        </is>
      </c>
      <c r="K237" s="14" t="inlineStr">
        <is>
          <t>トヨタ　（エスティマ）入荷しました。</t>
        </is>
      </c>
      <c r="L237" s="8" t="inlineStr">
        <is>
          <t>https://page.auctions.yahoo.co.jp/jp/auction/j1221184033</t>
        </is>
      </c>
    </row>
    <row r="238">
      <c r="A238" s="13" t="inlineStr">
        <is>
          <t>エスティマ</t>
        </is>
      </c>
      <c r="B238" s="13" t="n">
        <v>2011</v>
      </c>
      <c r="C238" s="13" t="inlineStr">
        <is>
          <t>50系</t>
        </is>
      </c>
      <c r="D238" s="15" t="n">
        <v>385000</v>
      </c>
      <c r="E238" s="13" t="n">
        <v>34</v>
      </c>
      <c r="F238" s="15" t="n">
        <v>146300</v>
      </c>
      <c r="G238" s="13" t="inlineStr">
        <is>
          <t>REAL_MILEAGE</t>
        </is>
      </c>
      <c r="H238" s="13" t="inlineStr">
        <is>
          <t>NONE</t>
        </is>
      </c>
      <c r="I238" s="15" t="n">
        <v>0</v>
      </c>
      <c r="J238" s="13" t="inlineStr">
        <is>
          <t>2026-02-26T22:37:09+09:00</t>
        </is>
      </c>
      <c r="K238" s="14" t="inlineStr">
        <is>
          <t>程度良好★車検R8年12月★エスティマ2.4アエラスG-ED★純正ナビ地デジ/リアモニター/Bカメラ/左右パワスラ/Pソナー/クルコン★快調/綺麗</t>
        </is>
      </c>
      <c r="L238" s="13" t="inlineStr">
        <is>
          <t>https://page.auctions.yahoo.co.jp/jp/auction/m1219491447</t>
        </is>
      </c>
    </row>
    <row r="239">
      <c r="A239" s="8" t="inlineStr">
        <is>
          <t>エスティマ</t>
        </is>
      </c>
      <c r="B239" s="8" t="n">
        <v>2010</v>
      </c>
      <c r="C239" s="8" t="inlineStr">
        <is>
          <t>50系</t>
        </is>
      </c>
      <c r="D239" s="11" t="n">
        <v>352000</v>
      </c>
      <c r="E239" s="8" t="n">
        <v>152</v>
      </c>
      <c r="F239" s="11" t="n">
        <v>133500</v>
      </c>
      <c r="G239" s="8" t="inlineStr">
        <is>
          <t>REAL_MILEAGE</t>
        </is>
      </c>
      <c r="H239" s="8" t="inlineStr">
        <is>
          <t>NONE</t>
        </is>
      </c>
      <c r="I239" s="11" t="n">
        <v>43000</v>
      </c>
      <c r="J239" s="8" t="inlineStr">
        <is>
          <t>2026-08-10T21:56:48+09:00</t>
        </is>
      </c>
      <c r="K239" s="14" t="inlineStr">
        <is>
          <t>エスティマ　ハイブリッド　G 4WD 車検9年3月　左右スライドドア　電動ゲート　シートヒーター　夏休みお盆　大活躍</t>
        </is>
      </c>
      <c r="L239" s="8" t="inlineStr">
        <is>
          <t>https://page.auctions.yahoo.co.jp/jp/auction/h1238761576</t>
        </is>
      </c>
    </row>
    <row r="240">
      <c r="A240" s="13" t="inlineStr">
        <is>
          <t>エスティマ</t>
        </is>
      </c>
      <c r="B240" s="13" t="n">
        <v>2010</v>
      </c>
      <c r="C240" s="13" t="inlineStr">
        <is>
          <t>50系</t>
        </is>
      </c>
      <c r="D240" s="15" t="n">
        <v>450000</v>
      </c>
      <c r="E240" s="13" t="n">
        <v>1</v>
      </c>
      <c r="F240" s="15" t="n">
        <v>81000</v>
      </c>
      <c r="G240" s="13" t="inlineStr">
        <is>
          <t>REAL_MILEAGE</t>
        </is>
      </c>
      <c r="H240" s="13" t="inlineStr">
        <is>
          <t>NONE</t>
        </is>
      </c>
      <c r="I240" s="15" t="n">
        <v>15220</v>
      </c>
      <c r="J240" s="13" t="inlineStr">
        <is>
          <t>2026-07-17T08:09:19+09:00</t>
        </is>
      </c>
      <c r="K240" s="14" t="inlineStr">
        <is>
          <t>☆エスティマ(7人乗り)☆アエラスサイドリフトアップ付き☆22年式ワンオーナー☆車検9年4月29日☆ドラレコ装備☆18インチアルミ☆</t>
        </is>
      </c>
      <c r="L240" s="13" t="inlineStr">
        <is>
          <t>https://page.auctions.yahoo.co.jp/jp/auction/x1236828317</t>
        </is>
      </c>
    </row>
    <row r="241">
      <c r="A241" s="8" t="inlineStr">
        <is>
          <t>エスティマ</t>
        </is>
      </c>
      <c r="B241" s="8" t="n">
        <v>2010</v>
      </c>
      <c r="C241" s="8" t="inlineStr">
        <is>
          <t>50系</t>
        </is>
      </c>
      <c r="D241" s="11" t="n">
        <v>338000</v>
      </c>
      <c r="E241" s="8" t="n">
        <v>1</v>
      </c>
      <c r="F241" s="11" t="n">
        <v>131850</v>
      </c>
      <c r="G241" s="8" t="inlineStr">
        <is>
          <t>REAL_MILEAGE</t>
        </is>
      </c>
      <c r="H241" s="8" t="inlineStr">
        <is>
          <t>NONE</t>
        </is>
      </c>
      <c r="I241" s="11" t="n">
        <v>60000</v>
      </c>
      <c r="J241" s="8" t="inlineStr">
        <is>
          <t>2026-06-16T12:40:31+09:00</t>
        </is>
      </c>
      <c r="K241" s="14" t="inlineStr">
        <is>
          <t>エスティマアエラスGエディション４WD 無事故禁煙車　ワンオーナー　即決！</t>
        </is>
      </c>
      <c r="L241" s="8" t="inlineStr">
        <is>
          <t>https://page.auctions.yahoo.co.jp/jp/auction/w1233339828</t>
        </is>
      </c>
    </row>
    <row r="242">
      <c r="A242" s="13" t="inlineStr">
        <is>
          <t>エスティマ</t>
        </is>
      </c>
      <c r="B242" s="13" t="n">
        <v>2010</v>
      </c>
      <c r="C242" s="13" t="inlineStr">
        <is>
          <t>50系</t>
        </is>
      </c>
      <c r="D242" s="15" t="n">
        <v>250000</v>
      </c>
      <c r="E242" s="13" t="n">
        <v>63</v>
      </c>
      <c r="F242" s="15" t="n">
        <v>152350</v>
      </c>
      <c r="G242" s="13" t="inlineStr">
        <is>
          <t>REAL_MILEAGE</t>
        </is>
      </c>
      <c r="H242" s="13" t="inlineStr">
        <is>
          <t>NONE</t>
        </is>
      </c>
      <c r="I242" s="15" t="n">
        <v>0</v>
      </c>
      <c r="J242" s="13" t="inlineStr">
        <is>
          <t>2026-05-04T21:39:46+09:00</t>
        </is>
      </c>
      <c r="K242" s="14" t="inlineStr">
        <is>
          <t>【1円スタート】広々ミニバン｜トヨタエスティマG｜両側パワスラドア｜リアモニター｜売り切り｜落札料のみ｜即決優先早期取引可！車検付き</t>
        </is>
      </c>
      <c r="L242" s="13" t="inlineStr">
        <is>
          <t>https://page.auctions.yahoo.co.jp/jp/auction/r1228145296</t>
        </is>
      </c>
    </row>
    <row r="243">
      <c r="A243" s="8" t="inlineStr">
        <is>
          <t>エスティマ</t>
        </is>
      </c>
      <c r="B243" s="8" t="n">
        <v>2010</v>
      </c>
      <c r="C243" s="8" t="inlineStr">
        <is>
          <t>50系</t>
        </is>
      </c>
      <c r="D243" s="11" t="n">
        <v>270000</v>
      </c>
      <c r="E243" s="8" t="n">
        <v>1</v>
      </c>
      <c r="F243" s="11" t="n">
        <v>137000</v>
      </c>
      <c r="G243" s="8" t="inlineStr">
        <is>
          <t>REAL_MILEAGE</t>
        </is>
      </c>
      <c r="H243" s="8" t="inlineStr">
        <is>
          <t>NONE</t>
        </is>
      </c>
      <c r="I243" s="11" t="n">
        <v>0</v>
      </c>
      <c r="J243" s="8" t="inlineStr">
        <is>
          <t>2026-04-26T21:02:50+09:00</t>
        </is>
      </c>
      <c r="K243" s="14" t="inlineStr">
        <is>
          <t>事故修復歴なし 程度好調■車検R9年9月■H22年中期エスティマ13万キロ■個人出品■ナビ地デジ走行中TV視聴可■正規メンテナンス■保証書有</t>
        </is>
      </c>
      <c r="L243" s="8" t="inlineStr">
        <is>
          <t>https://page.auctions.yahoo.co.jp/jp/auction/h1226184994</t>
        </is>
      </c>
    </row>
    <row r="244">
      <c r="A244" s="13" t="inlineStr">
        <is>
          <t>エスティマ</t>
        </is>
      </c>
      <c r="B244" s="13" t="n">
        <v>2010</v>
      </c>
      <c r="C244" s="13" t="inlineStr">
        <is>
          <t>50系</t>
        </is>
      </c>
      <c r="D244" s="15" t="n">
        <v>289000</v>
      </c>
      <c r="E244" s="13" t="n">
        <v>1</v>
      </c>
      <c r="F244" s="15" t="n">
        <v>117800</v>
      </c>
      <c r="G244" s="13" t="inlineStr">
        <is>
          <t>REAL_MILEAGE</t>
        </is>
      </c>
      <c r="H244" s="13" t="inlineStr">
        <is>
          <t>NONE</t>
        </is>
      </c>
      <c r="I244" s="15" t="n">
        <v>0</v>
      </c>
      <c r="J244" s="13" t="inlineStr">
        <is>
          <t>2026-03-30T22:13:12+09:00</t>
        </is>
      </c>
      <c r="K244" s="14" t="inlineStr">
        <is>
          <t>程度良好★車検R9年1月★H22年中期エスティマ2.4アエラスG-ED★ストラーダナビ地デジ（走行中TV視聴OK）/左右パワスラ/クルコン★快調/綺麗</t>
        </is>
      </c>
      <c r="L244" s="13" t="inlineStr">
        <is>
          <t>https://page.auctions.yahoo.co.jp/jp/auction/e1222563108</t>
        </is>
      </c>
    </row>
    <row r="245">
      <c r="A245" s="8" t="inlineStr">
        <is>
          <t>エスティマ</t>
        </is>
      </c>
      <c r="B245" s="8" t="n">
        <v>2009</v>
      </c>
      <c r="C245" s="8" t="inlineStr">
        <is>
          <t>50系</t>
        </is>
      </c>
      <c r="D245" s="11" t="n">
        <v>391000</v>
      </c>
      <c r="E245" s="8" t="n">
        <v>110</v>
      </c>
      <c r="F245" s="11" t="n">
        <v>71000</v>
      </c>
      <c r="G245" s="8" t="inlineStr">
        <is>
          <t>REAL_MILEAGE</t>
        </is>
      </c>
      <c r="H245" s="8" t="n"/>
      <c r="I245" s="11" t="n">
        <v>41420</v>
      </c>
      <c r="J245" s="8" t="inlineStr">
        <is>
          <t>2026-08-19T22:15:05+09:00</t>
        </is>
      </c>
      <c r="K245" s="14" t="inlineStr">
        <is>
          <t>100円売切り　平成21年　エスティマ　アエラス　走行71000キロ　車検令和10年8月まで　両側パワースライドドア　コーナーセンサー ７人乗り</t>
        </is>
      </c>
      <c r="L245" s="8" t="inlineStr">
        <is>
          <t>https://page.auctions.yahoo.co.jp/jp/auction/c1240546706</t>
        </is>
      </c>
    </row>
    <row r="246">
      <c r="A246" s="13" t="inlineStr">
        <is>
          <t>エスティマ</t>
        </is>
      </c>
      <c r="B246" s="13" t="n">
        <v>2009</v>
      </c>
      <c r="C246" s="13" t="inlineStr">
        <is>
          <t>50系</t>
        </is>
      </c>
      <c r="D246" s="15" t="n">
        <v>212000</v>
      </c>
      <c r="E246" s="13" t="n">
        <v>31</v>
      </c>
      <c r="F246" s="15" t="n">
        <v>142000</v>
      </c>
      <c r="G246" s="13" t="inlineStr">
        <is>
          <t>REAL_MILEAGE</t>
        </is>
      </c>
      <c r="H246" s="13" t="inlineStr">
        <is>
          <t>NONE</t>
        </is>
      </c>
      <c r="I246" s="15" t="n">
        <v>16750</v>
      </c>
      <c r="J246" s="13" t="inlineStr">
        <is>
          <t>2026-08-09T21:39:07+09:00</t>
        </is>
      </c>
      <c r="K246" s="14" t="inlineStr">
        <is>
          <t>トヨタエスティマハイブリッド 実走行142000 km 車檢なし 修復歴なし</t>
        </is>
      </c>
      <c r="L246" s="13" t="inlineStr">
        <is>
          <t>https://page.auctions.yahoo.co.jp/jp/auction/1238949241</t>
        </is>
      </c>
    </row>
    <row r="247">
      <c r="A247" s="8" t="inlineStr">
        <is>
          <t>エスティマ</t>
        </is>
      </c>
      <c r="B247" s="8" t="n">
        <v>2009</v>
      </c>
      <c r="C247" s="8" t="inlineStr">
        <is>
          <t>50系</t>
        </is>
      </c>
      <c r="D247" s="11" t="n">
        <v>400000</v>
      </c>
      <c r="E247" s="8" t="n">
        <v>1</v>
      </c>
      <c r="F247" s="11" t="n">
        <v>75000</v>
      </c>
      <c r="G247" s="8" t="inlineStr">
        <is>
          <t>REAL_MILEAGE</t>
        </is>
      </c>
      <c r="H247" s="8" t="inlineStr">
        <is>
          <t>NONE</t>
        </is>
      </c>
      <c r="I247" s="11" t="n">
        <v>50000</v>
      </c>
      <c r="J247" s="8" t="inlineStr">
        <is>
          <t>2026-07-30T17:36:30+09:00</t>
        </is>
      </c>
      <c r="K247" s="14" t="inlineStr">
        <is>
          <t>【実用性抜群！】2009y エスティマ2.4アエラスG-ED・7人！評価4点/無事故/実走行7.5万km/車検R9/5！両側電スラ！D車検整備！後席モニター！</t>
        </is>
      </c>
      <c r="L247" s="8" t="inlineStr">
        <is>
          <t>https://page.auctions.yahoo.co.jp/jp/auction/f1233052476</t>
        </is>
      </c>
    </row>
    <row r="248">
      <c r="A248" s="13" t="inlineStr">
        <is>
          <t>エスティマ</t>
        </is>
      </c>
      <c r="B248" s="13" t="n">
        <v>2009</v>
      </c>
      <c r="C248" s="13" t="inlineStr">
        <is>
          <t>50系</t>
        </is>
      </c>
      <c r="D248" s="15" t="n">
        <v>197000</v>
      </c>
      <c r="E248" s="13" t="n">
        <v>68</v>
      </c>
      <c r="F248" s="15" t="n">
        <v>142000</v>
      </c>
      <c r="G248" s="13" t="inlineStr">
        <is>
          <t>REAL_MILEAGE</t>
        </is>
      </c>
      <c r="H248" s="13" t="inlineStr">
        <is>
          <t>NONE</t>
        </is>
      </c>
      <c r="I248" s="15" t="n">
        <v>16750</v>
      </c>
      <c r="J248" s="13" t="inlineStr">
        <is>
          <t>2026-07-19T21:22:50+09:00</t>
        </is>
      </c>
      <c r="K248" s="14" t="inlineStr">
        <is>
          <t>トヨタエスティマハイブリッド 実走行142000 km 車檢なし 修復歴なし</t>
        </is>
      </c>
      <c r="L248" s="13" t="inlineStr">
        <is>
          <t>https://page.auctions.yahoo.co.jp/jp/auction/o1237141337</t>
        </is>
      </c>
    </row>
    <row r="249">
      <c r="A249" s="8" t="inlineStr">
        <is>
          <t>エスティマ</t>
        </is>
      </c>
      <c r="B249" s="8" t="n">
        <v>2009</v>
      </c>
      <c r="C249" s="8" t="inlineStr">
        <is>
          <t>50系</t>
        </is>
      </c>
      <c r="D249" s="11" t="n">
        <v>247000</v>
      </c>
      <c r="E249" s="8" t="n">
        <v>1</v>
      </c>
      <c r="F249" s="11" t="n">
        <v>102196</v>
      </c>
      <c r="G249" s="8" t="inlineStr">
        <is>
          <t>REAL_MILEAGE</t>
        </is>
      </c>
      <c r="H249" s="8" t="inlineStr">
        <is>
          <t>NONE</t>
        </is>
      </c>
      <c r="I249" s="11" t="n">
        <v>15220</v>
      </c>
      <c r="J249" s="8" t="inlineStr">
        <is>
          <t>2026-07-15T15:29:47+09:00</t>
        </is>
      </c>
      <c r="K249" s="14" t="inlineStr">
        <is>
          <t>◆カーズ大阪●車検2年付●21年エスティマ 2.4 アエラス ●プッシュスタート●3D8599</t>
        </is>
      </c>
      <c r="L249" s="8" t="inlineStr">
        <is>
          <t>https://page.auctions.yahoo.co.jp/jp/auction/f1234593187</t>
        </is>
      </c>
    </row>
    <row r="250">
      <c r="A250" s="13" t="inlineStr">
        <is>
          <t>エスティマ</t>
        </is>
      </c>
      <c r="B250" s="13" t="n">
        <v>2009</v>
      </c>
      <c r="C250" s="13" t="inlineStr">
        <is>
          <t>50系</t>
        </is>
      </c>
      <c r="D250" s="15" t="n">
        <v>495000</v>
      </c>
      <c r="E250" s="13" t="n">
        <v>1</v>
      </c>
      <c r="F250" s="15" t="n">
        <v>30000</v>
      </c>
      <c r="G250" s="13" t="inlineStr">
        <is>
          <t>REAL_MILEAGE</t>
        </is>
      </c>
      <c r="H250" s="13" t="inlineStr">
        <is>
          <t>NONE</t>
        </is>
      </c>
      <c r="I250" s="15" t="n">
        <v>15220</v>
      </c>
      <c r="J250" s="13" t="inlineStr">
        <is>
          <t>2026-07-01T21:34:45+09:00</t>
        </is>
      </c>
      <c r="K250" s="14" t="inlineStr">
        <is>
          <t>低走行3万キロ☆エスティマG☆ACR50W★寝台車☆寝台車☆両側パワスラ☆ナビ＋地デジTV☆豪華装備☆禁煙車☆格安販売☆予備車検☆陸送無料※</t>
        </is>
      </c>
      <c r="L250" s="13" t="inlineStr">
        <is>
          <t>https://page.auctions.yahoo.co.jp/jp/auction/p1233940185</t>
        </is>
      </c>
    </row>
    <row r="251">
      <c r="A251" s="8" t="inlineStr">
        <is>
          <t>エスティマ</t>
        </is>
      </c>
      <c r="B251" s="8" t="n">
        <v>2009</v>
      </c>
      <c r="C251" s="8" t="inlineStr">
        <is>
          <t>50系</t>
        </is>
      </c>
      <c r="D251" s="11" t="n">
        <v>351000</v>
      </c>
      <c r="E251" s="8" t="n">
        <v>6</v>
      </c>
      <c r="F251" s="11" t="n">
        <v>157000</v>
      </c>
      <c r="G251" s="8" t="inlineStr">
        <is>
          <t>REAL_MILEAGE</t>
        </is>
      </c>
      <c r="H251" s="8" t="inlineStr">
        <is>
          <t>NONE</t>
        </is>
      </c>
      <c r="I251" s="11" t="n">
        <v>15700</v>
      </c>
      <c r="J251" s="8" t="inlineStr">
        <is>
          <t>2026-06-29T21:03:14+09:00</t>
        </is>
      </c>
      <c r="K251" s="14" t="inlineStr">
        <is>
          <t>エスティマハイブリッド　車検令和10年1月　ダブルサンルーフ　両側後電動ドア　モデリスタエアロ　電動3rdシート格納　シートヒーター　TV</t>
        </is>
      </c>
      <c r="L251" s="8" t="inlineStr">
        <is>
          <t>https://page.auctions.yahoo.co.jp/jp/auction/1233672102</t>
        </is>
      </c>
    </row>
    <row r="252">
      <c r="A252" s="13" t="inlineStr">
        <is>
          <t>エスティマ</t>
        </is>
      </c>
      <c r="B252" s="13" t="n">
        <v>2009</v>
      </c>
      <c r="C252" s="13" t="inlineStr">
        <is>
          <t>50系</t>
        </is>
      </c>
      <c r="D252" s="15" t="n">
        <v>288000</v>
      </c>
      <c r="E252" s="13" t="n">
        <v>40</v>
      </c>
      <c r="F252" s="15" t="n">
        <v>129000</v>
      </c>
      <c r="G252" s="13" t="inlineStr">
        <is>
          <t>REAL_MILEAGE</t>
        </is>
      </c>
      <c r="H252" s="13" t="inlineStr">
        <is>
          <t>NONE</t>
        </is>
      </c>
      <c r="I252" s="15" t="n">
        <v>0</v>
      </c>
      <c r="J252" s="13" t="inlineStr">
        <is>
          <t>2026-06-14T19:41:44+09:00</t>
        </is>
      </c>
      <c r="K252" s="14" t="inlineStr">
        <is>
          <t>H21 中期エスティマ【 2.4アエラス レザーパッケージ 】車検10. 1 純正ナビ/DTV/Bカメラ/クルコン/両側パワスラ/ドラレコ/美車/129.000km</t>
        </is>
      </c>
      <c r="L252" s="13" t="inlineStr">
        <is>
          <t>https://page.auctions.yahoo.co.jp/jp/auction/b1232205865</t>
        </is>
      </c>
    </row>
    <row r="253">
      <c r="A253" s="8" t="inlineStr">
        <is>
          <t>エスティマ</t>
        </is>
      </c>
      <c r="B253" s="8" t="n">
        <v>2009</v>
      </c>
      <c r="C253" s="8" t="inlineStr">
        <is>
          <t>50系</t>
        </is>
      </c>
      <c r="D253" s="11" t="n">
        <v>320000</v>
      </c>
      <c r="E253" s="8" t="n">
        <v>1</v>
      </c>
      <c r="F253" s="11" t="n">
        <v>111000</v>
      </c>
      <c r="G253" s="8" t="inlineStr">
        <is>
          <t>REAL_MILEAGE</t>
        </is>
      </c>
      <c r="H253" s="8" t="inlineStr">
        <is>
          <t>NONE</t>
        </is>
      </c>
      <c r="I253" s="11" t="n">
        <v>0</v>
      </c>
      <c r="J253" s="8" t="inlineStr">
        <is>
          <t>2026-06-12T19:58:37+09:00</t>
        </is>
      </c>
      <c r="K253" s="14" t="inlineStr">
        <is>
          <t xml:space="preserve">エスティマ　2.4アエラスGエディション　 H21　中期モデル　検8/11　111,000km HDDナビ＆TV　Bカメラ　両側パワースライド　７人乗　</t>
        </is>
      </c>
      <c r="L253" s="8" t="inlineStr">
        <is>
          <t>https://page.auctions.yahoo.co.jp/jp/auction/d1232470276</t>
        </is>
      </c>
    </row>
    <row r="254">
      <c r="A254" s="13" t="inlineStr">
        <is>
          <t>エスティマ</t>
        </is>
      </c>
      <c r="B254" s="13" t="n">
        <v>2009</v>
      </c>
      <c r="C254" s="13" t="inlineStr">
        <is>
          <t>50系</t>
        </is>
      </c>
      <c r="D254" s="15" t="n">
        <v>198000</v>
      </c>
      <c r="E254" s="13" t="n">
        <v>2</v>
      </c>
      <c r="F254" s="15" t="n">
        <v>165000</v>
      </c>
      <c r="G254" s="13" t="inlineStr">
        <is>
          <t>REAL_MILEAGE</t>
        </is>
      </c>
      <c r="H254" s="13" t="inlineStr">
        <is>
          <t>NONE</t>
        </is>
      </c>
      <c r="I254" s="15" t="n">
        <v>0</v>
      </c>
      <c r="J254" s="13" t="inlineStr">
        <is>
          <t>2026-06-05T20:51:09+09:00</t>
        </is>
      </c>
      <c r="K254" s="14" t="inlineStr">
        <is>
          <t>H21エスティマ 2.4アエラス ACR55W/ 4WD /アルパイン8インチナビ/リアモニター/ウッドステアリング/左右PS/7人乗/車検R8年6月迄/売り切り</t>
        </is>
      </c>
      <c r="L254" s="13" t="inlineStr">
        <is>
          <t>https://page.auctions.yahoo.co.jp/jp/auction/x1226182627</t>
        </is>
      </c>
    </row>
    <row r="255">
      <c r="A255" s="8" t="inlineStr">
        <is>
          <t>エスティマ</t>
        </is>
      </c>
      <c r="B255" s="8" t="n">
        <v>2009</v>
      </c>
      <c r="C255" s="8" t="inlineStr">
        <is>
          <t>50系</t>
        </is>
      </c>
      <c r="D255" s="11" t="n">
        <v>306000</v>
      </c>
      <c r="E255" s="8" t="n">
        <v>78</v>
      </c>
      <c r="F255" s="11" t="n">
        <v>214639</v>
      </c>
      <c r="G255" s="8" t="inlineStr">
        <is>
          <t>REAL_MILEAGE</t>
        </is>
      </c>
      <c r="H255" s="8" t="inlineStr">
        <is>
          <t>NONE</t>
        </is>
      </c>
      <c r="I255" s="11" t="n">
        <v>0</v>
      </c>
      <c r="J255" s="8" t="inlineStr">
        <is>
          <t>2026-05-28T19:57:09+09:00</t>
        </is>
      </c>
      <c r="K255" s="14" t="inlineStr">
        <is>
          <t>3年間乗りました！！エスティマ ハイブリッド モデリスタ H21 G レザーパッケージ 革シート 4WD 両側パワースライド 三重県から出品</t>
        </is>
      </c>
      <c r="L255" s="8" t="inlineStr">
        <is>
          <t>https://page.auctions.yahoo.co.jp/jp/auction/f1231043404</t>
        </is>
      </c>
    </row>
    <row r="256">
      <c r="A256" s="13" t="inlineStr">
        <is>
          <t>エスティマ</t>
        </is>
      </c>
      <c r="B256" s="13" t="n">
        <v>2009</v>
      </c>
      <c r="C256" s="13" t="inlineStr">
        <is>
          <t>50系</t>
        </is>
      </c>
      <c r="D256" s="15" t="n">
        <v>439000</v>
      </c>
      <c r="E256" s="13" t="n">
        <v>1</v>
      </c>
      <c r="F256" s="15" t="n">
        <v>188400</v>
      </c>
      <c r="G256" s="13" t="inlineStr">
        <is>
          <t>REAL_MILEAGE</t>
        </is>
      </c>
      <c r="H256" s="13" t="inlineStr">
        <is>
          <t>NONE</t>
        </is>
      </c>
      <c r="I256" s="15" t="n">
        <v>0</v>
      </c>
      <c r="J256" s="13" t="inlineStr">
        <is>
          <t>2026-05-18T22:41:51+09:00</t>
        </is>
      </c>
      <c r="K256" s="14" t="inlineStr">
        <is>
          <t>売切 21年 最上級 エスティマHV G レザーパッケージ サンルーフ プリクラシュセーフティS ACC モデリスタエアロ＆TRD サス スーパーライブS</t>
        </is>
      </c>
      <c r="L256" s="13" t="inlineStr">
        <is>
          <t>https://page.auctions.yahoo.co.jp/jp/auction/k1228768586</t>
        </is>
      </c>
    </row>
    <row r="257">
      <c r="A257" s="8" t="inlineStr">
        <is>
          <t>エスティマ</t>
        </is>
      </c>
      <c r="B257" s="8" t="n">
        <v>2009</v>
      </c>
      <c r="C257" s="8" t="inlineStr">
        <is>
          <t>50系</t>
        </is>
      </c>
      <c r="D257" s="11" t="n">
        <v>680000</v>
      </c>
      <c r="E257" s="8" t="n">
        <v>118</v>
      </c>
      <c r="F257" s="11" t="n">
        <v>176300</v>
      </c>
      <c r="G257" s="8" t="inlineStr">
        <is>
          <t>REAL_MILEAGE</t>
        </is>
      </c>
      <c r="H257" s="8" t="inlineStr">
        <is>
          <t>NONE</t>
        </is>
      </c>
      <c r="I257" s="11" t="n">
        <v>0</v>
      </c>
      <c r="J257" s="8" t="inlineStr">
        <is>
          <t>2026-05-10T22:19:42+09:00</t>
        </is>
      </c>
      <c r="K257" s="14" t="inlineStr">
        <is>
          <t>H21 エスティマHV G レザーPKG 4WD 2型 サンルーフ/本革シート/MOPナビ/リアエンタ/PCS/LKA/両側PS/パワートランク/Bカメラ/ETC 車検満タン</t>
        </is>
      </c>
      <c r="L257" s="8" t="inlineStr">
        <is>
          <t>https://page.auctions.yahoo.co.jp/jp/auction/c1228668615</t>
        </is>
      </c>
    </row>
    <row r="258">
      <c r="A258" s="13" t="inlineStr">
        <is>
          <t>エスティマ</t>
        </is>
      </c>
      <c r="B258" s="13" t="n">
        <v>2009</v>
      </c>
      <c r="C258" s="13" t="inlineStr">
        <is>
          <t>50系</t>
        </is>
      </c>
      <c r="D258" s="15" t="n">
        <v>345000</v>
      </c>
      <c r="E258" s="13" t="n">
        <v>1</v>
      </c>
      <c r="F258" s="15" t="n">
        <v>122300</v>
      </c>
      <c r="G258" s="13" t="inlineStr">
        <is>
          <t>REAL_MILEAGE</t>
        </is>
      </c>
      <c r="H258" s="13" t="inlineStr">
        <is>
          <t>NONE</t>
        </is>
      </c>
      <c r="I258" s="15" t="n">
        <v>0</v>
      </c>
      <c r="J258" s="13" t="inlineStr">
        <is>
          <t>2026-05-08T21:12:26+09:00</t>
        </is>
      </c>
      <c r="K258" s="14" t="inlineStr">
        <is>
          <t>エスティマ*アエラスレザーPKG*Wサンルーフ*フリップダウン*HID*両パワスラ*純正ナビ*B/S/Fカメラ*BTオーディオ*DTV*純正AW*210219☆</t>
        </is>
      </c>
      <c r="L258" s="13" t="inlineStr">
        <is>
          <t>https://page.auctions.yahoo.co.jp/jp/auction/b1224587163</t>
        </is>
      </c>
    </row>
    <row r="259">
      <c r="A259" s="8" t="inlineStr">
        <is>
          <t>エスティマ</t>
        </is>
      </c>
      <c r="B259" s="8" t="n">
        <v>2009</v>
      </c>
      <c r="C259" s="8" t="inlineStr">
        <is>
          <t>50系</t>
        </is>
      </c>
      <c r="D259" s="11" t="n">
        <v>350000</v>
      </c>
      <c r="E259" s="8" t="n">
        <v>1</v>
      </c>
      <c r="F259" s="11" t="n">
        <v>186000</v>
      </c>
      <c r="G259" s="8" t="inlineStr">
        <is>
          <t>REAL_MILEAGE</t>
        </is>
      </c>
      <c r="H259" s="8" t="inlineStr">
        <is>
          <t>EXISTS</t>
        </is>
      </c>
      <c r="I259" s="11" t="n">
        <v>0</v>
      </c>
      <c r="J259" s="8" t="inlineStr">
        <is>
          <t>2026-04-19T08:54:20+09:00</t>
        </is>
      </c>
      <c r="K259" s="14" t="inlineStr">
        <is>
          <t>予備検査付き エスティマハイブリッドG　4WD 中期　フリップダウンモニター　電動リアゲート　電動シート格納　Bluetooth　100V電源</t>
        </is>
      </c>
      <c r="L259" s="8" t="inlineStr">
        <is>
          <t>https://page.auctions.yahoo.co.jp/jp/auction/o1226297966</t>
        </is>
      </c>
    </row>
    <row r="260">
      <c r="A260" s="13" t="inlineStr">
        <is>
          <t>エスティマ</t>
        </is>
      </c>
      <c r="B260" s="13" t="n">
        <v>2009</v>
      </c>
      <c r="C260" s="13" t="inlineStr">
        <is>
          <t>50系</t>
        </is>
      </c>
      <c r="D260" s="15" t="n">
        <v>394000</v>
      </c>
      <c r="E260" s="13" t="n">
        <v>40</v>
      </c>
      <c r="F260" s="15" t="n">
        <v>88500</v>
      </c>
      <c r="G260" s="13" t="inlineStr">
        <is>
          <t>REAL_MILEAGE</t>
        </is>
      </c>
      <c r="H260" s="13" t="inlineStr">
        <is>
          <t>EXISTS</t>
        </is>
      </c>
      <c r="I260" s="15" t="n">
        <v>0</v>
      </c>
      <c r="J260" s="13" t="inlineStr">
        <is>
          <t>2026-04-07T21:02:07+09:00</t>
        </is>
      </c>
      <c r="K260" s="14" t="inlineStr">
        <is>
          <t>H21 エスティマ 2.4アエラス G-ED 実走行8万km台 ツインムーンルーフ/MOPナビ/リアエンター/両側PS/TRDフロントスポイラー 車検R8年9月迄</t>
        </is>
      </c>
      <c r="L260" s="13" t="inlineStr">
        <is>
          <t>https://page.auctions.yahoo.co.jp/jp/auction/n1224726269</t>
        </is>
      </c>
    </row>
    <row r="261">
      <c r="A261" s="8" t="inlineStr">
        <is>
          <t>エスティマ</t>
        </is>
      </c>
      <c r="B261" s="8" t="n">
        <v>2009</v>
      </c>
      <c r="C261" s="8" t="inlineStr">
        <is>
          <t>50系</t>
        </is>
      </c>
      <c r="D261" s="11" t="n">
        <v>371000</v>
      </c>
      <c r="E261" s="8" t="n">
        <v>98</v>
      </c>
      <c r="F261" s="11" t="n">
        <v>226600</v>
      </c>
      <c r="G261" s="8" t="inlineStr">
        <is>
          <t>REAL_MILEAGE</t>
        </is>
      </c>
      <c r="H261" s="8" t="inlineStr">
        <is>
          <t>NONE</t>
        </is>
      </c>
      <c r="I261" s="11" t="n">
        <v>0</v>
      </c>
      <c r="J261" s="8" t="inlineStr">
        <is>
          <t>2026-03-30T21:31:43+09:00</t>
        </is>
      </c>
      <c r="K261" s="14" t="inlineStr">
        <is>
          <t>21年 エスティマ　ハイブリッド G 4WD 車検 令和8年11月 　AHR20W</t>
        </is>
      </c>
      <c r="L261" s="8" t="inlineStr">
        <is>
          <t>https://page.auctions.yahoo.co.jp/jp/auction/s1223808112</t>
        </is>
      </c>
    </row>
    <row r="262">
      <c r="A262" s="13" t="inlineStr">
        <is>
          <t>エスティマ</t>
        </is>
      </c>
      <c r="B262" s="13" t="n">
        <v>2009</v>
      </c>
      <c r="C262" s="13" t="inlineStr">
        <is>
          <t>50系</t>
        </is>
      </c>
      <c r="D262" s="15" t="n">
        <v>736555</v>
      </c>
      <c r="E262" s="13" t="n">
        <v>145</v>
      </c>
      <c r="F262" s="15" t="n">
        <v>143500</v>
      </c>
      <c r="G262" s="13" t="inlineStr">
        <is>
          <t>REAL_MILEAGE</t>
        </is>
      </c>
      <c r="H262" s="13" t="inlineStr">
        <is>
          <t>NONE</t>
        </is>
      </c>
      <c r="I262" s="15" t="n">
        <v>0</v>
      </c>
      <c r="J262" s="13" t="inlineStr">
        <is>
          <t>2026-03-26T22:01:23+09:00</t>
        </is>
      </c>
      <c r="K262" s="14" t="inlineStr">
        <is>
          <t>H21 エスティマHV G レザーPKG 4WD 2型 サンルーフ/本革シート/MOPナビ/リアエンタ/PCS/LKA/両側PS/パワートランク/Bカメラ/ETC 車検満タン</t>
        </is>
      </c>
      <c r="L262" s="13" t="inlineStr">
        <is>
          <t>https://page.auctions.yahoo.co.jp/jp/auction/e1223410043</t>
        </is>
      </c>
    </row>
    <row r="263">
      <c r="A263" s="8" t="inlineStr">
        <is>
          <t>エスティマ</t>
        </is>
      </c>
      <c r="B263" s="8" t="n">
        <v>2008</v>
      </c>
      <c r="C263" s="8" t="inlineStr">
        <is>
          <t>50系</t>
        </is>
      </c>
      <c r="D263" s="11" t="n">
        <v>191000</v>
      </c>
      <c r="E263" s="8" t="n">
        <v>55</v>
      </c>
      <c r="F263" s="11" t="n">
        <v>208570</v>
      </c>
      <c r="G263" s="8" t="inlineStr">
        <is>
          <t>REAL_MILEAGE</t>
        </is>
      </c>
      <c r="H263" s="8" t="inlineStr">
        <is>
          <t>NONE</t>
        </is>
      </c>
      <c r="I263" s="11" t="n">
        <v>50800</v>
      </c>
      <c r="J263" s="8" t="inlineStr">
        <is>
          <t>2026-08-16T22:16:33+09:00</t>
        </is>
      </c>
      <c r="K263" s="14" t="inlineStr">
        <is>
          <t>「個人出品」トヨタ エスティマハイブリッド 2.4G E-Four ワンオーナー 車検令和9年6月29日 現状渡し</t>
        </is>
      </c>
      <c r="L263" s="8" t="inlineStr">
        <is>
          <t>https://page.auctions.yahoo.co.jp/jp/auction/b1239604765</t>
        </is>
      </c>
    </row>
    <row r="264">
      <c r="A264" s="13" t="inlineStr">
        <is>
          <t>エスティマ</t>
        </is>
      </c>
      <c r="B264" s="13" t="n">
        <v>2008</v>
      </c>
      <c r="C264" s="13" t="inlineStr">
        <is>
          <t>50系</t>
        </is>
      </c>
      <c r="D264" s="15" t="n">
        <v>252000</v>
      </c>
      <c r="E264" s="13" t="n">
        <v>3</v>
      </c>
      <c r="F264" s="15" t="n">
        <v>205200</v>
      </c>
      <c r="G264" s="13" t="inlineStr">
        <is>
          <t>REAL_MILEAGE</t>
        </is>
      </c>
      <c r="H264" s="13" t="inlineStr">
        <is>
          <t>NONE</t>
        </is>
      </c>
      <c r="I264" s="15" t="n">
        <v>0</v>
      </c>
      <c r="J264" s="13" t="inlineStr">
        <is>
          <t>2026-06-21T06:18:09+09:00</t>
        </is>
      </c>
      <c r="K264" s="14" t="inlineStr">
        <is>
          <t>釧路　7人乗り　エスティマＨＶ　G 4WD 車検残あり</t>
        </is>
      </c>
      <c r="L264" s="13" t="inlineStr">
        <is>
          <t>https://page.auctions.yahoo.co.jp/jp/auction/s1231125233</t>
        </is>
      </c>
    </row>
    <row r="265">
      <c r="A265" s="8" t="inlineStr">
        <is>
          <t>エスティマ</t>
        </is>
      </c>
      <c r="B265" s="8" t="n">
        <v>2008</v>
      </c>
      <c r="C265" s="8" t="inlineStr">
        <is>
          <t>50系</t>
        </is>
      </c>
      <c r="D265" s="11" t="n">
        <v>334000</v>
      </c>
      <c r="E265" s="8" t="n">
        <v>5</v>
      </c>
      <c r="F265" s="11" t="n">
        <v>136300</v>
      </c>
      <c r="G265" s="8" t="inlineStr">
        <is>
          <t>REAL_MILEAGE</t>
        </is>
      </c>
      <c r="H265" s="8" t="inlineStr">
        <is>
          <t>NONE</t>
        </is>
      </c>
      <c r="I265" s="11" t="n">
        <v>0</v>
      </c>
      <c r="J265" s="8" t="inlineStr">
        <is>
          <t>2026-05-18T22:09:53+09:00</t>
        </is>
      </c>
      <c r="K265" s="14" t="inlineStr">
        <is>
          <t>車検 9年4月 エスティマハイブリッド 最上級 G 4WD 大型ムーンルーフ エンジンオイル消費対策済みエンジン 24年後期用 テールレンズ</t>
        </is>
      </c>
      <c r="L265" s="8" t="inlineStr">
        <is>
          <t>https://page.auctions.yahoo.co.jp/jp/auction/u1228619591</t>
        </is>
      </c>
    </row>
    <row r="266">
      <c r="A266" s="13" t="inlineStr">
        <is>
          <t>エスティマ</t>
        </is>
      </c>
      <c r="B266" s="13" t="n">
        <v>2008</v>
      </c>
      <c r="C266" s="13" t="inlineStr">
        <is>
          <t>50系</t>
        </is>
      </c>
      <c r="D266" s="15" t="n">
        <v>149000</v>
      </c>
      <c r="E266" s="13" t="n">
        <v>77</v>
      </c>
      <c r="F266" s="15" t="n">
        <v>270000</v>
      </c>
      <c r="G266" s="13" t="inlineStr">
        <is>
          <t>REAL_MILEAGE</t>
        </is>
      </c>
      <c r="H266" s="13" t="inlineStr">
        <is>
          <t>NONE</t>
        </is>
      </c>
      <c r="I266" s="15" t="n">
        <v>0</v>
      </c>
      <c r="J266" s="13" t="inlineStr">
        <is>
          <t>2026-05-12T20:58:26+09:00</t>
        </is>
      </c>
      <c r="K266" s="14" t="inlineStr">
        <is>
          <t>エスティマ・アエラス・Sパッケージ 4WD*HID*スマートキー*両パワスラ*純正ナビ*B/S/Fカメラ*ETC*純正18AW*</t>
        </is>
      </c>
      <c r="L266" s="13" t="inlineStr">
        <is>
          <t>https://page.auctions.yahoo.co.jp/jp/auction/c1228366227</t>
        </is>
      </c>
    </row>
    <row r="267">
      <c r="A267" s="8" t="inlineStr">
        <is>
          <t>エスティマ</t>
        </is>
      </c>
      <c r="B267" s="8" t="n">
        <v>2008</v>
      </c>
      <c r="C267" s="8" t="inlineStr">
        <is>
          <t>50系</t>
        </is>
      </c>
      <c r="D267" s="11" t="n">
        <v>339000</v>
      </c>
      <c r="E267" s="8" t="n">
        <v>1</v>
      </c>
      <c r="F267" s="11" t="n">
        <v>93333</v>
      </c>
      <c r="G267" s="8" t="inlineStr">
        <is>
          <t>REAL_MILEAGE</t>
        </is>
      </c>
      <c r="H267" s="8" t="inlineStr">
        <is>
          <t>NONE</t>
        </is>
      </c>
      <c r="I267" s="11" t="n">
        <v>0</v>
      </c>
      <c r="J267" s="8" t="inlineStr">
        <is>
          <t>2026-03-24T21:00:05+09:00</t>
        </is>
      </c>
      <c r="K267" s="14" t="inlineStr">
        <is>
          <t>★エスティマアエラスGエディション 4WD★車検10年3月10日★両側パワースライド★プッシュスタート★ナビ★TV★Bカメラ★ETC★アルミ★</t>
        </is>
      </c>
      <c r="L267" s="8" t="inlineStr">
        <is>
          <t>https://page.auctions.yahoo.co.jp/jp/auction/u1223397875</t>
        </is>
      </c>
    </row>
    <row r="268">
      <c r="A268" s="13" t="inlineStr">
        <is>
          <t>エスティマ</t>
        </is>
      </c>
      <c r="B268" s="13" t="n">
        <v>2008</v>
      </c>
      <c r="C268" s="13" t="inlineStr">
        <is>
          <t>50系</t>
        </is>
      </c>
      <c r="D268" s="15" t="n">
        <v>436000</v>
      </c>
      <c r="E268" s="13" t="n">
        <v>80</v>
      </c>
      <c r="F268" s="15" t="n">
        <v>131650</v>
      </c>
      <c r="G268" s="13" t="inlineStr">
        <is>
          <t>REAL_MILEAGE</t>
        </is>
      </c>
      <c r="H268" s="13" t="inlineStr">
        <is>
          <t>NONE</t>
        </is>
      </c>
      <c r="I268" s="15" t="n">
        <v>0</v>
      </c>
      <c r="J268" s="13" t="inlineStr">
        <is>
          <t>2026-03-21T22:55:22+09:00</t>
        </is>
      </c>
      <c r="K268" s="14" t="inlineStr">
        <is>
          <t>★50エスティマ★上級グレードG★サンルーフ・ヒッチメンバー・両側電動パワスラ★車検R9年3月★TARAGO仕様・USDM★オマケ付</t>
        </is>
      </c>
      <c r="L268" s="13" t="inlineStr">
        <is>
          <t>https://page.auctions.yahoo.co.jp/jp/auction/l1222111683</t>
        </is>
      </c>
    </row>
    <row r="269">
      <c r="A269" s="8" t="inlineStr">
        <is>
          <t>エスティマ</t>
        </is>
      </c>
      <c r="B269" s="8" t="n">
        <v>2007</v>
      </c>
      <c r="C269" s="8" t="inlineStr">
        <is>
          <t>50系</t>
        </is>
      </c>
      <c r="D269" s="11" t="n">
        <v>305000</v>
      </c>
      <c r="E269" s="8" t="n">
        <v>6</v>
      </c>
      <c r="F269" s="11" t="n">
        <v>143548</v>
      </c>
      <c r="G269" s="8" t="inlineStr">
        <is>
          <t>REAL_MILEAGE</t>
        </is>
      </c>
      <c r="H269" s="8" t="inlineStr">
        <is>
          <t>NONE</t>
        </is>
      </c>
      <c r="I269" s="11" t="n">
        <v>46750</v>
      </c>
      <c r="J269" s="8" t="inlineStr">
        <is>
          <t>2026-08-12T21:48:56+09:00</t>
        </is>
      </c>
      <c r="K269" s="14" t="inlineStr">
        <is>
          <t>エスティマ ハイブリッド 2.4G 4WD ナビ　TV 後席モニター　パワーバックドア　レーダークルーズ　LKA　サンルーフ　ETC 埼玉</t>
        </is>
      </c>
      <c r="L269" s="8" t="inlineStr">
        <is>
          <t>https://page.auctions.yahoo.co.jp/jp/auction/k1239494860</t>
        </is>
      </c>
    </row>
    <row r="270">
      <c r="A270" s="13" t="inlineStr">
        <is>
          <t>エスティマ</t>
        </is>
      </c>
      <c r="B270" s="13" t="n">
        <v>2007</v>
      </c>
      <c r="C270" s="13" t="inlineStr">
        <is>
          <t>50系</t>
        </is>
      </c>
      <c r="D270" s="15" t="n">
        <v>361000</v>
      </c>
      <c r="E270" s="13" t="n">
        <v>13</v>
      </c>
      <c r="F270" s="15" t="n">
        <v>115661</v>
      </c>
      <c r="G270" s="13" t="inlineStr">
        <is>
          <t>REAL_MILEAGE</t>
        </is>
      </c>
      <c r="H270" s="13" t="n"/>
      <c r="I270" s="15" t="n">
        <v>0</v>
      </c>
      <c r="J270" s="13" t="inlineStr">
        <is>
          <t>2026-06-07T23:56:00+09:00</t>
        </is>
      </c>
      <c r="K270" s="14" t="inlineStr">
        <is>
          <t>エスティマ　3.5 アエラス　4WD ヒッチメンバー　ヒッチサイクルキャリア付き</t>
        </is>
      </c>
      <c r="L270" s="13" t="inlineStr">
        <is>
          <t>https://page.auctions.yahoo.co.jp/jp/auction/e1231771029</t>
        </is>
      </c>
    </row>
    <row r="271">
      <c r="A271" s="8" t="inlineStr">
        <is>
          <t>エスティマ</t>
        </is>
      </c>
      <c r="B271" s="8" t="n">
        <v>2007</v>
      </c>
      <c r="C271" s="8" t="inlineStr">
        <is>
          <t>50系</t>
        </is>
      </c>
      <c r="D271" s="11" t="n">
        <v>498000</v>
      </c>
      <c r="E271" s="8" t="n">
        <v>3</v>
      </c>
      <c r="F271" s="11" t="n">
        <v>134300</v>
      </c>
      <c r="G271" s="8" t="inlineStr">
        <is>
          <t>REAL_MILEAGE</t>
        </is>
      </c>
      <c r="H271" s="8" t="n"/>
      <c r="I271" s="11" t="n">
        <v>0</v>
      </c>
      <c r="J271" s="8" t="inlineStr">
        <is>
          <t>2026-05-29T14:34:01+09:00</t>
        </is>
      </c>
      <c r="K271" s="14" t="inlineStr">
        <is>
          <t>☆免税8ナンバー公認☆2年車検付☆エスティマハイブリッドGグレード☆7名乗車公認☆距離13.4万☆期間良好☆エアコン好調☆格安陸送☆神奈川</t>
        </is>
      </c>
      <c r="L271" s="8" t="inlineStr">
        <is>
          <t>https://page.auctions.yahoo.co.jp/jp/auction/m1230865265</t>
        </is>
      </c>
    </row>
    <row r="272">
      <c r="A272" s="13" t="inlineStr">
        <is>
          <t>エスティマ</t>
        </is>
      </c>
      <c r="B272" s="13" t="n">
        <v>2007</v>
      </c>
      <c r="C272" s="13" t="inlineStr">
        <is>
          <t>50系</t>
        </is>
      </c>
      <c r="D272" s="15" t="n">
        <v>362000</v>
      </c>
      <c r="E272" s="13" t="n">
        <v>42</v>
      </c>
      <c r="F272" s="15" t="n">
        <v>82000</v>
      </c>
      <c r="G272" s="13" t="inlineStr">
        <is>
          <t>REAL_MILEAGE</t>
        </is>
      </c>
      <c r="H272" s="13" t="n"/>
      <c r="I272" s="15" t="n">
        <v>0</v>
      </c>
      <c r="J272" s="13" t="inlineStr">
        <is>
          <t>2026-05-25T20:40:54+09:00</t>
        </is>
      </c>
      <c r="K272" s="14" t="inlineStr">
        <is>
          <t>（平成19年）[2007 エスティマ（ハイブリッド車）レード名: X ] 走行距離: 82000, 検査は2028年1月まで有効で、</t>
        </is>
      </c>
      <c r="L272" s="13" t="inlineStr">
        <is>
          <t>https://page.auctions.yahoo.co.jp/jp/auction/w1230653492</t>
        </is>
      </c>
    </row>
    <row r="273">
      <c r="A273" s="8" t="inlineStr">
        <is>
          <t>エスティマ</t>
        </is>
      </c>
      <c r="B273" s="8" t="n">
        <v>2007</v>
      </c>
      <c r="C273" s="8" t="inlineStr">
        <is>
          <t>50系</t>
        </is>
      </c>
      <c r="D273" s="11" t="n">
        <v>199000</v>
      </c>
      <c r="E273" s="8" t="n">
        <v>45</v>
      </c>
      <c r="F273" s="11" t="n">
        <v>209520</v>
      </c>
      <c r="G273" s="8" t="inlineStr">
        <is>
          <t>REAL_MILEAGE</t>
        </is>
      </c>
      <c r="H273" s="8" t="inlineStr">
        <is>
          <t>NONE</t>
        </is>
      </c>
      <c r="I273" s="11" t="n">
        <v>0</v>
      </c>
      <c r="J273" s="8" t="inlineStr">
        <is>
          <t>2026-05-25T20:27:58+09:00</t>
        </is>
      </c>
      <c r="K273" s="14" t="inlineStr">
        <is>
          <t>車検付 50 エスティマ 平成19年式(2007) ホワイト 8人乗り 売り切り</t>
        </is>
      </c>
      <c r="L273" s="8" t="inlineStr">
        <is>
          <t>https://page.auctions.yahoo.co.jp/jp/auction/d1230289180</t>
        </is>
      </c>
    </row>
    <row r="274">
      <c r="A274" s="13" t="inlineStr">
        <is>
          <t>エスティマ</t>
        </is>
      </c>
      <c r="B274" s="13" t="n">
        <v>2007</v>
      </c>
      <c r="C274" s="13" t="inlineStr">
        <is>
          <t>50系</t>
        </is>
      </c>
      <c r="D274" s="15" t="n">
        <v>439000</v>
      </c>
      <c r="E274" s="13" t="n">
        <v>2</v>
      </c>
      <c r="F274" s="15" t="n">
        <v>126800</v>
      </c>
      <c r="G274" s="13" t="inlineStr">
        <is>
          <t>REAL_MILEAGE</t>
        </is>
      </c>
      <c r="H274" s="13" t="inlineStr">
        <is>
          <t>NONE</t>
        </is>
      </c>
      <c r="I274" s="15" t="n">
        <v>0</v>
      </c>
      <c r="J274" s="13" t="inlineStr">
        <is>
          <t>2026-05-23T15:48:28+09:00</t>
        </is>
      </c>
      <c r="K274" s="14" t="inlineStr">
        <is>
          <t>車検 9年5月 エスティマハイブリッド 最上級 G 4WD 大型ムーンルーフ フルエアロ フローティング大画面ナビ パノラミックスーパーライブS</t>
        </is>
      </c>
      <c r="L274" s="13" t="inlineStr">
        <is>
          <t>https://page.auctions.yahoo.co.jp/jp/auction/l1230733947</t>
        </is>
      </c>
    </row>
    <row r="275">
      <c r="A275" s="8" t="inlineStr">
        <is>
          <t>エスティマ</t>
        </is>
      </c>
      <c r="B275" s="8" t="n">
        <v>2007</v>
      </c>
      <c r="C275" s="8" t="inlineStr">
        <is>
          <t>50系</t>
        </is>
      </c>
      <c r="D275" s="11" t="n">
        <v>169000</v>
      </c>
      <c r="E275" s="8" t="n">
        <v>52</v>
      </c>
      <c r="F275" s="11" t="n">
        <v>222230</v>
      </c>
      <c r="G275" s="8" t="inlineStr">
        <is>
          <t>REAL_MILEAGE</t>
        </is>
      </c>
      <c r="H275" s="8" t="inlineStr">
        <is>
          <t>NONE</t>
        </is>
      </c>
      <c r="I275" s="11" t="n">
        <v>0</v>
      </c>
      <c r="J275" s="8" t="inlineStr">
        <is>
          <t>2026-05-06T21:05:00+09:00</t>
        </is>
      </c>
      <c r="K275" s="14" t="inlineStr">
        <is>
          <t xml:space="preserve">40mmリフトアップ　エスティマハイブリッド　HVバッテリー交換済み　トレーラーヒッチ付属　車検1年以上残　稀少8人乗り　格安売り切り </t>
        </is>
      </c>
      <c r="L275" s="8" t="inlineStr">
        <is>
          <t>https://page.auctions.yahoo.co.jp/jp/auction/o1228598996</t>
        </is>
      </c>
    </row>
    <row r="276">
      <c r="A276" s="13" t="inlineStr">
        <is>
          <t>エスティマ</t>
        </is>
      </c>
      <c r="B276" s="13" t="n">
        <v>2007</v>
      </c>
      <c r="C276" s="13" t="inlineStr">
        <is>
          <t>50系</t>
        </is>
      </c>
      <c r="D276" s="15" t="n">
        <v>158000</v>
      </c>
      <c r="E276" s="13" t="n">
        <v>33</v>
      </c>
      <c r="F276" s="15" t="n">
        <v>205235</v>
      </c>
      <c r="G276" s="13" t="inlineStr">
        <is>
          <t>REAL_MILEAGE</t>
        </is>
      </c>
      <c r="H276" s="13" t="inlineStr">
        <is>
          <t>NONE</t>
        </is>
      </c>
      <c r="I276" s="15" t="n">
        <v>0</v>
      </c>
      <c r="J276" s="13" t="inlineStr">
        <is>
          <t>2026-05-06T20:45:43+09:00</t>
        </is>
      </c>
      <c r="K276" s="14" t="inlineStr">
        <is>
          <t>トヨタ　エスティマ</t>
        </is>
      </c>
      <c r="L276" s="13" t="inlineStr">
        <is>
          <t>https://page.auctions.yahoo.co.jp/jp/auction/w1228134396</t>
        </is>
      </c>
    </row>
    <row r="277">
      <c r="A277" s="8" t="inlineStr">
        <is>
          <t>エスティマ</t>
        </is>
      </c>
      <c r="B277" s="8" t="n">
        <v>2007</v>
      </c>
      <c r="C277" s="8" t="inlineStr">
        <is>
          <t>50系</t>
        </is>
      </c>
      <c r="D277" s="11" t="n">
        <v>225000</v>
      </c>
      <c r="E277" s="8" t="n">
        <v>47</v>
      </c>
      <c r="F277" s="11" t="n">
        <v>142545</v>
      </c>
      <c r="G277" s="8" t="inlineStr">
        <is>
          <t>REAL_MILEAGE</t>
        </is>
      </c>
      <c r="H277" s="8" t="inlineStr">
        <is>
          <t>NONE</t>
        </is>
      </c>
      <c r="I277" s="11" t="n">
        <v>0</v>
      </c>
      <c r="J277" s="8" t="inlineStr">
        <is>
          <t>2026-04-25T21:58:09+09:00</t>
        </is>
      </c>
      <c r="K277" s="14" t="inlineStr">
        <is>
          <t>エスティマ　アエラス　車検付　全国陸送</t>
        </is>
      </c>
      <c r="L277" s="8" t="inlineStr">
        <is>
          <t>https://page.auctions.yahoo.co.jp/jp/auction/f1226986360</t>
        </is>
      </c>
    </row>
    <row r="278">
      <c r="A278" s="13" t="inlineStr">
        <is>
          <t>エスティマ</t>
        </is>
      </c>
      <c r="B278" s="13" t="n">
        <v>2007</v>
      </c>
      <c r="C278" s="13" t="inlineStr">
        <is>
          <t>50系</t>
        </is>
      </c>
      <c r="D278" s="15" t="n">
        <v>450000</v>
      </c>
      <c r="E278" s="13" t="n">
        <v>121</v>
      </c>
      <c r="F278" s="15" t="n">
        <v>134000</v>
      </c>
      <c r="G278" s="13" t="inlineStr">
        <is>
          <t>REAL_MILEAGE</t>
        </is>
      </c>
      <c r="H278" s="13" t="inlineStr">
        <is>
          <t>EXISTS</t>
        </is>
      </c>
      <c r="I278" s="15" t="n">
        <v>0</v>
      </c>
      <c r="J278" s="13" t="inlineStr">
        <is>
          <t>2026-04-19T21:52:10+09:00</t>
        </is>
      </c>
      <c r="K278" s="14" t="inlineStr">
        <is>
          <t>H19 エスティマHV G 4WD OP多数 サンルーフ/MOPナビ/リアエンター/PCS/LKA/両側PS/Bカメラ/Pトランク/前後オートエアコン 車検R10年4月迄</t>
        </is>
      </c>
      <c r="L278" s="13" t="inlineStr">
        <is>
          <t>https://page.auctions.yahoo.co.jp/jp/auction/t1226393711</t>
        </is>
      </c>
    </row>
    <row r="279">
      <c r="A279" s="8" t="inlineStr">
        <is>
          <t>エスティマ</t>
        </is>
      </c>
      <c r="B279" s="8" t="n">
        <v>2007</v>
      </c>
      <c r="C279" s="8" t="inlineStr">
        <is>
          <t>50系</t>
        </is>
      </c>
      <c r="D279" s="11" t="n">
        <v>390000</v>
      </c>
      <c r="E279" s="8" t="n">
        <v>1</v>
      </c>
      <c r="F279" s="11" t="n">
        <v>114894</v>
      </c>
      <c r="G279" s="8" t="inlineStr">
        <is>
          <t>REAL_MILEAGE</t>
        </is>
      </c>
      <c r="H279" s="8" t="inlineStr">
        <is>
          <t>NONE</t>
        </is>
      </c>
      <c r="I279" s="11" t="n">
        <v>0</v>
      </c>
      <c r="J279" s="8" t="inlineStr">
        <is>
          <t>2026-03-09T21:24:00+09:00</t>
        </is>
      </c>
      <c r="K279" s="14" t="inlineStr">
        <is>
          <t>エスティマ 3.5L ミニバン最高クラスの加速性能 外品部品多数 一文字テールランプなど 車検満タン</t>
        </is>
      </c>
      <c r="L279" s="8" t="inlineStr">
        <is>
          <t>https://page.auctions.yahoo.co.jp/jp/auction/j1221618420</t>
        </is>
      </c>
    </row>
    <row r="280">
      <c r="A280" s="13" t="inlineStr">
        <is>
          <t>エスティマ</t>
        </is>
      </c>
      <c r="B280" s="13" t="n">
        <v>2007</v>
      </c>
      <c r="C280" s="13" t="inlineStr">
        <is>
          <t>50系</t>
        </is>
      </c>
      <c r="D280" s="15" t="n">
        <v>274000</v>
      </c>
      <c r="E280" s="13" t="n">
        <v>139</v>
      </c>
      <c r="F280" s="15" t="n">
        <v>144440</v>
      </c>
      <c r="G280" s="13" t="inlineStr">
        <is>
          <t>REAL_MILEAGE</t>
        </is>
      </c>
      <c r="H280" s="13" t="n"/>
      <c r="I280" s="15" t="n">
        <v>0</v>
      </c>
      <c r="J280" s="13" t="inlineStr">
        <is>
          <t>2026-03-06T21:02:12+09:00</t>
        </is>
      </c>
      <c r="K280" s="14" t="inlineStr">
        <is>
          <t>H19 エスティマ　ハイブリッド　前期型　ガソリン満タン　地デジ　ナビ　クルーズコントロール付き</t>
        </is>
      </c>
      <c r="L280" s="13" t="inlineStr">
        <is>
          <t>https://page.auctions.yahoo.co.jp/jp/auction/t1220698769</t>
        </is>
      </c>
    </row>
    <row r="281">
      <c r="A281" s="8" t="inlineStr">
        <is>
          <t>エスティマ</t>
        </is>
      </c>
      <c r="B281" s="8" t="n">
        <v>2007</v>
      </c>
      <c r="C281" s="8" t="inlineStr">
        <is>
          <t>50系</t>
        </is>
      </c>
      <c r="D281" s="11" t="n">
        <v>216500</v>
      </c>
      <c r="E281" s="8" t="n">
        <v>34</v>
      </c>
      <c r="F281" s="11" t="n">
        <v>88200</v>
      </c>
      <c r="G281" s="8" t="inlineStr">
        <is>
          <t>REAL_MILEAGE</t>
        </is>
      </c>
      <c r="H281" s="8" t="n"/>
      <c r="I281" s="11" t="n">
        <v>0</v>
      </c>
      <c r="J281" s="8" t="inlineStr">
        <is>
          <t>2026-02-27T11:24:02+09:00</t>
        </is>
      </c>
      <c r="K281" s="14" t="inlineStr">
        <is>
          <t>【訳アリ】【売切】【千葉発】H19　エスティマアエラス　走8.8万km　７人乗り　ヒッチメンバー　両側パワスラ</t>
        </is>
      </c>
      <c r="L281" s="8" t="inlineStr">
        <is>
          <t>https://page.auctions.yahoo.co.jp/jp/auction/k1220029897</t>
        </is>
      </c>
    </row>
    <row r="282">
      <c r="A282" s="13" t="inlineStr">
        <is>
          <t>エスティマ</t>
        </is>
      </c>
      <c r="B282" s="13" t="n">
        <v>2006</v>
      </c>
      <c r="C282" s="13" t="inlineStr">
        <is>
          <t>50系</t>
        </is>
      </c>
      <c r="D282" s="15" t="n">
        <v>289000</v>
      </c>
      <c r="E282" s="13" t="n">
        <v>111</v>
      </c>
      <c r="F282" s="15" t="n">
        <v>138000</v>
      </c>
      <c r="G282" s="13" t="inlineStr">
        <is>
          <t>REAL_MILEAGE</t>
        </is>
      </c>
      <c r="H282" s="13" t="inlineStr">
        <is>
          <t>NONE</t>
        </is>
      </c>
      <c r="I282" s="15" t="n">
        <v>49930</v>
      </c>
      <c r="J282" s="13" t="inlineStr">
        <is>
          <t>2026-08-16T21:52:53+09:00</t>
        </is>
      </c>
      <c r="K282" s="14" t="inlineStr">
        <is>
          <t xml:space="preserve">0029【１万円売り切り！】トヨタエスティマ　アエラス　サンルーフ　車検R9年7月　型式DBA-ACR50W　</t>
        </is>
      </c>
      <c r="L282" s="13" t="inlineStr">
        <is>
          <t>https://page.auctions.yahoo.co.jp/jp/auction/t1240165778</t>
        </is>
      </c>
    </row>
    <row r="283">
      <c r="A283" s="8" t="inlineStr">
        <is>
          <t>エスティマ</t>
        </is>
      </c>
      <c r="B283" s="8" t="n">
        <v>2006</v>
      </c>
      <c r="C283" s="8" t="inlineStr">
        <is>
          <t>50系</t>
        </is>
      </c>
      <c r="D283" s="11" t="n">
        <v>185000</v>
      </c>
      <c r="E283" s="8" t="n">
        <v>41</v>
      </c>
      <c r="F283" s="11" t="n">
        <v>178000</v>
      </c>
      <c r="G283" s="8" t="inlineStr">
        <is>
          <t>REAL_MILEAGE</t>
        </is>
      </c>
      <c r="H283" s="8" t="n"/>
      <c r="I283" s="11" t="n">
        <v>53780</v>
      </c>
      <c r="J283" s="8" t="inlineStr">
        <is>
          <t>2026-08-02T22:14:57+09:00</t>
        </is>
      </c>
      <c r="K283" s="14" t="inlineStr">
        <is>
          <t xml:space="preserve">エスティマ　4WD　法人役員車両　車検Ｒ9/5迄　</t>
        </is>
      </c>
      <c r="L283" s="8" t="inlineStr">
        <is>
          <t>https://page.auctions.yahoo.co.jp/jp/auction/r1237823838</t>
        </is>
      </c>
    </row>
    <row r="284">
      <c r="A284" s="13" t="inlineStr">
        <is>
          <t>エスティマ</t>
        </is>
      </c>
      <c r="B284" s="13" t="n">
        <v>2006</v>
      </c>
      <c r="C284" s="13" t="inlineStr">
        <is>
          <t>50系</t>
        </is>
      </c>
      <c r="D284" s="15" t="n">
        <v>324222</v>
      </c>
      <c r="E284" s="13" t="n">
        <v>101</v>
      </c>
      <c r="F284" s="15" t="n">
        <v>125400</v>
      </c>
      <c r="G284" s="13" t="inlineStr">
        <is>
          <t>REAL_MILEAGE</t>
        </is>
      </c>
      <c r="H284" s="13" t="inlineStr">
        <is>
          <t>NONE</t>
        </is>
      </c>
      <c r="I284" s="15" t="n">
        <v>62216</v>
      </c>
      <c r="J284" s="13" t="inlineStr">
        <is>
          <t>2026-07-12T22:00:14+09:00</t>
        </is>
      </c>
      <c r="K284" s="14" t="inlineStr">
        <is>
          <t>AHR20 エスティマハイブリッド G プリクラッシュセーフティ MOPナビ 電動リアゲート 後席モニタ コーナセンサ ボディコーティング済み</t>
        </is>
      </c>
      <c r="L284" s="13" t="inlineStr">
        <is>
          <t>https://page.auctions.yahoo.co.jp/jp/auction/r1236021150</t>
        </is>
      </c>
    </row>
    <row r="285">
      <c r="A285" s="8" t="inlineStr">
        <is>
          <t>エスティマ</t>
        </is>
      </c>
      <c r="B285" s="8" t="n">
        <v>2006</v>
      </c>
      <c r="C285" s="8" t="inlineStr">
        <is>
          <t>50系</t>
        </is>
      </c>
      <c r="D285" s="11" t="n">
        <v>615000</v>
      </c>
      <c r="E285" s="8" t="n">
        <v>1</v>
      </c>
      <c r="F285" s="11" t="n">
        <v>73000</v>
      </c>
      <c r="G285" s="8" t="inlineStr">
        <is>
          <t>REAL_MILEAGE</t>
        </is>
      </c>
      <c r="H285" s="8" t="inlineStr">
        <is>
          <t>NONE</t>
        </is>
      </c>
      <c r="I285" s="11" t="n">
        <v>0</v>
      </c>
      <c r="J285" s="8" t="inlineStr">
        <is>
          <t>2026-06-08T14:50:33+09:00</t>
        </is>
      </c>
      <c r="K285" s="14" t="inlineStr">
        <is>
          <t>エスティマハイブリッド 2.4 G 4WD ハイブリッド4WD</t>
        </is>
      </c>
      <c r="L285" s="8" t="inlineStr">
        <is>
          <t>https://page.auctions.yahoo.co.jp/jp/auction/c1230070977</t>
        </is>
      </c>
    </row>
    <row r="286">
      <c r="A286" s="13" t="inlineStr">
        <is>
          <t>エスティマ</t>
        </is>
      </c>
      <c r="B286" s="13" t="n">
        <v>2006</v>
      </c>
      <c r="C286" s="13" t="inlineStr">
        <is>
          <t>50系</t>
        </is>
      </c>
      <c r="D286" s="15" t="n">
        <v>297000</v>
      </c>
      <c r="E286" s="13" t="n">
        <v>1</v>
      </c>
      <c r="F286" s="15" t="n">
        <v>69000</v>
      </c>
      <c r="G286" s="13" t="inlineStr">
        <is>
          <t>REAL_MILEAGE</t>
        </is>
      </c>
      <c r="H286" s="13" t="inlineStr">
        <is>
          <t>NONE</t>
        </is>
      </c>
      <c r="I286" s="15" t="n">
        <v>0</v>
      </c>
      <c r="J286" s="13" t="inlineStr">
        <is>
          <t>2026-05-31T06:58:49+09:00</t>
        </is>
      </c>
      <c r="K286" s="14" t="inlineStr">
        <is>
          <t>エスティマ 2.4 アエラス HDDナビ　フルセグTV　バックカメラ</t>
        </is>
      </c>
      <c r="L286" s="13" t="inlineStr">
        <is>
          <t>https://page.auctions.yahoo.co.jp/jp/auction/s1231075016</t>
        </is>
      </c>
    </row>
    <row r="287">
      <c r="A287" s="8" t="inlineStr">
        <is>
          <t>エスティマ</t>
        </is>
      </c>
      <c r="B287" s="8" t="n">
        <v>2006</v>
      </c>
      <c r="C287" s="8" t="inlineStr">
        <is>
          <t>50系</t>
        </is>
      </c>
      <c r="D287" s="11" t="n">
        <v>398000</v>
      </c>
      <c r="E287" s="8" t="n">
        <v>1</v>
      </c>
      <c r="F287" s="11" t="n">
        <v>67870</v>
      </c>
      <c r="G287" s="8" t="inlineStr">
        <is>
          <t>REAL_MILEAGE</t>
        </is>
      </c>
      <c r="H287" s="8" t="inlineStr">
        <is>
          <t>NONE</t>
        </is>
      </c>
      <c r="I287" s="11" t="n">
        <v>0</v>
      </c>
      <c r="J287" s="8" t="inlineStr">
        <is>
          <t>2026-03-09T09:51:12+09:00</t>
        </is>
      </c>
      <c r="K287" s="14" t="inlineStr">
        <is>
          <t>エスティマ☆アエラス☆実走行6万キロ台☆車検令和9年1月☆純正ナビ☆CD☆DVD☆ETC☆バックカメラ☆ダブルサンルーフ☆パワースライドドア</t>
        </is>
      </c>
      <c r="L287" s="8" t="inlineStr">
        <is>
          <t>https://page.auctions.yahoo.co.jp/jp/auction/r1214035249</t>
        </is>
      </c>
    </row>
    <row r="288">
      <c r="A288" s="13" t="inlineStr">
        <is>
          <t>エスティマ</t>
        </is>
      </c>
      <c r="B288" s="13" t="n">
        <v>2006</v>
      </c>
      <c r="C288" s="13" t="inlineStr">
        <is>
          <t>50系</t>
        </is>
      </c>
      <c r="D288" s="15" t="n">
        <v>126000</v>
      </c>
      <c r="E288" s="13" t="n">
        <v>13</v>
      </c>
      <c r="F288" s="15" t="n">
        <v>89242</v>
      </c>
      <c r="G288" s="13" t="inlineStr">
        <is>
          <t>REAL_MILEAGE</t>
        </is>
      </c>
      <c r="H288" s="13" t="n"/>
      <c r="I288" s="15" t="n">
        <v>0</v>
      </c>
      <c r="J288" s="13" t="inlineStr">
        <is>
          <t>2026-03-03T18:49:17+09:00</t>
        </is>
      </c>
      <c r="K288" s="14" t="inlineStr">
        <is>
          <t>八戸発 H18年 トヨタ TOYOTA エスティマ ACR50W G 車検R9年12月迄 走行8.9万キロ プッシュスタート 社外ナビ バックカメラ 売切!!</t>
        </is>
      </c>
      <c r="L288" s="13" t="inlineStr">
        <is>
          <t>https://page.auctions.yahoo.co.jp/jp/auction/u1221009478</t>
        </is>
      </c>
    </row>
    <row r="289">
      <c r="A289" s="8" t="inlineStr">
        <is>
          <t>エスティマ</t>
        </is>
      </c>
      <c r="B289" s="8" t="n">
        <v>2004</v>
      </c>
      <c r="C289" s="8" t="inlineStr"/>
      <c r="D289" s="11" t="n">
        <v>260000</v>
      </c>
      <c r="E289" s="8" t="n">
        <v>1</v>
      </c>
      <c r="F289" s="11" t="n">
        <v>72000</v>
      </c>
      <c r="G289" s="8" t="inlineStr">
        <is>
          <t>REAL_MILEAGE</t>
        </is>
      </c>
      <c r="H289" s="8" t="inlineStr">
        <is>
          <t>NONE</t>
        </is>
      </c>
      <c r="I289" s="11" t="n">
        <v>0</v>
      </c>
      <c r="J289" s="8" t="inlineStr">
        <is>
          <t>2026-03-25T18:33:32+09:00</t>
        </is>
      </c>
      <c r="K289" s="14" t="inlineStr">
        <is>
          <t>トヨタエスティマ、札幌発引取歓希少貴重品プレミア品エスティマアエラスL2.4 Gエディション4WD 平成16年サンルーフ後席モニター9スピーカ</t>
        </is>
      </c>
      <c r="L289" s="8" t="inlineStr">
        <is>
          <t>https://page.auctions.yahoo.co.jp/jp/auction/f1223768487</t>
        </is>
      </c>
    </row>
    <row r="290">
      <c r="A290" s="13" t="inlineStr">
        <is>
          <t>エスティマ</t>
        </is>
      </c>
      <c r="B290" s="13" t="n">
        <v>2003</v>
      </c>
      <c r="C290" s="13" t="inlineStr"/>
      <c r="D290" s="15" t="n">
        <v>210000</v>
      </c>
      <c r="E290" s="13" t="n">
        <v>1</v>
      </c>
      <c r="F290" s="15" t="n">
        <v>139813</v>
      </c>
      <c r="G290" s="13" t="inlineStr">
        <is>
          <t>REAL_MILEAGE</t>
        </is>
      </c>
      <c r="H290" s="13" t="n"/>
      <c r="I290" s="15" t="n">
        <v>13660</v>
      </c>
      <c r="J290" s="13" t="inlineStr">
        <is>
          <t>2026-07-13T18:56:28+09:00</t>
        </is>
      </c>
      <c r="K290" s="14" t="inlineStr">
        <is>
          <t>八戸発 H15年 トヨタ TOYOTA エスティマL MCR40 アエラスS 4WD バックカメラ タイベル交換済み 抹消渡し 売切!!</t>
        </is>
      </c>
      <c r="L290" s="13" t="inlineStr">
        <is>
          <t>https://page.auctions.yahoo.co.jp/jp/auction/c1236507607</t>
        </is>
      </c>
    </row>
    <row r="291">
      <c r="A291" s="8" t="inlineStr">
        <is>
          <t>エスティマ</t>
        </is>
      </c>
      <c r="B291" s="8" t="n">
        <v>2003</v>
      </c>
      <c r="C291" s="8" t="inlineStr"/>
      <c r="D291" s="11" t="n">
        <v>190000</v>
      </c>
      <c r="E291" s="8" t="n">
        <v>1</v>
      </c>
      <c r="F291" s="11" t="n">
        <v>197267</v>
      </c>
      <c r="G291" s="8" t="inlineStr">
        <is>
          <t>REAL_MILEAGE</t>
        </is>
      </c>
      <c r="H291" s="8" t="n"/>
      <c r="I291" s="11" t="n">
        <v>0</v>
      </c>
      <c r="J291" s="8" t="inlineStr">
        <is>
          <t>2026-06-12T18:14:36+09:00</t>
        </is>
      </c>
      <c r="K291" s="14" t="inlineStr">
        <is>
          <t>【難あり】 八戸発 H15年 TOYOTA トヨタ エスティマ MCR40W アエラス 4WD 純正ナビ バックカメラ 抹消渡し 売切!!</t>
        </is>
      </c>
      <c r="L291" s="8" t="inlineStr">
        <is>
          <t>https://page.auctions.yahoo.co.jp/jp/auction/d1232679048</t>
        </is>
      </c>
    </row>
    <row r="292">
      <c r="A292" s="13" t="inlineStr">
        <is>
          <t>エスティマ</t>
        </is>
      </c>
      <c r="B292" s="13" t="n">
        <v>2000</v>
      </c>
      <c r="C292" s="13" t="inlineStr"/>
      <c r="D292" s="15" t="n">
        <v>184000</v>
      </c>
      <c r="E292" s="13" t="n">
        <v>16</v>
      </c>
      <c r="F292" s="15" t="n">
        <v>97200</v>
      </c>
      <c r="G292" s="13" t="inlineStr">
        <is>
          <t>REAL_MILEAGE</t>
        </is>
      </c>
      <c r="H292" s="13" t="inlineStr">
        <is>
          <t>NONE</t>
        </is>
      </c>
      <c r="I292" s="15" t="n">
        <v>0</v>
      </c>
      <c r="J292" s="13" t="inlineStr">
        <is>
          <t>2026-06-13T16:01:35+09:00</t>
        </is>
      </c>
      <c r="K292" s="14" t="inlineStr">
        <is>
          <t>トヨタ　エスティマ　T アエラス　2.4 希少　車検残りあり　走行1桁</t>
        </is>
      </c>
      <c r="L292" s="13" t="inlineStr">
        <is>
          <t>https://page.auctions.yahoo.co.jp/jp/auction/n1231731615</t>
        </is>
      </c>
    </row>
    <row r="293">
      <c r="A293" s="8" t="inlineStr">
        <is>
          <t>エスティマ</t>
        </is>
      </c>
      <c r="B293" s="8" t="n">
        <v>1998</v>
      </c>
      <c r="C293" s="8" t="inlineStr"/>
      <c r="D293" s="11" t="n">
        <v>462000</v>
      </c>
      <c r="E293" s="8" t="n">
        <v>3</v>
      </c>
      <c r="F293" s="11" t="n">
        <v>106958</v>
      </c>
      <c r="G293" s="8" t="inlineStr">
        <is>
          <t>REAL_MILEAGE</t>
        </is>
      </c>
      <c r="H293" s="8" t="n"/>
      <c r="I293" s="11" t="n">
        <v>0</v>
      </c>
      <c r="J293" s="8" t="inlineStr">
        <is>
          <t>2026-07-27T06:08:28+09:00</t>
        </is>
      </c>
      <c r="K293" s="14" t="inlineStr">
        <is>
          <t>エスティマＴＣＲ２１ｗ</t>
        </is>
      </c>
      <c r="L293" s="8" t="inlineStr">
        <is>
          <t>https://page.auctions.yahoo.co.jp/jp/auction/h1237649980</t>
        </is>
      </c>
    </row>
    <row r="294">
      <c r="A294" s="13" t="inlineStr">
        <is>
          <t>エスティマ</t>
        </is>
      </c>
      <c r="B294" s="13" t="n">
        <v>1998</v>
      </c>
      <c r="C294" s="13" t="inlineStr"/>
      <c r="D294" s="15" t="n">
        <v>450000</v>
      </c>
      <c r="E294" s="13" t="n">
        <v>1</v>
      </c>
      <c r="F294" s="15" t="n">
        <v>92500</v>
      </c>
      <c r="G294" s="13" t="inlineStr">
        <is>
          <t>REAL_MILEAGE</t>
        </is>
      </c>
      <c r="H294" s="13" t="n"/>
      <c r="I294" s="15" t="n">
        <v>0</v>
      </c>
      <c r="J294" s="13" t="inlineStr">
        <is>
          <t>2026-03-17T11:32:28+09:00</t>
        </is>
      </c>
      <c r="K294" s="14" t="inlineStr">
        <is>
          <t>最終値下げ　トヨタ　エスティマアエラス　低走行アグラス車高調　スタビリンク新品交換</t>
        </is>
      </c>
      <c r="L294" s="13" t="inlineStr">
        <is>
          <t>https://page.auctions.yahoo.co.jp/jp/auction/1208907743</t>
        </is>
      </c>
    </row>
    <row r="295">
      <c r="A295" s="8" t="inlineStr">
        <is>
          <t>エスティマ</t>
        </is>
      </c>
      <c r="B295" s="8" t="n">
        <v>1992</v>
      </c>
      <c r="C295" s="8" t="inlineStr"/>
      <c r="D295" s="11" t="n">
        <v>207000</v>
      </c>
      <c r="E295" s="8" t="n">
        <v>37</v>
      </c>
      <c r="F295" s="11" t="n">
        <v>68000</v>
      </c>
      <c r="G295" s="8" t="inlineStr">
        <is>
          <t>REAL_MILEAGE</t>
        </is>
      </c>
      <c r="H295" s="8" t="inlineStr">
        <is>
          <t>NONE</t>
        </is>
      </c>
      <c r="I295" s="11" t="n">
        <v>0</v>
      </c>
      <c r="J295" s="8" t="inlineStr">
        <is>
          <t>2026-04-26T22:30:04+09:00</t>
        </is>
      </c>
      <c r="K295" s="14" t="inlineStr">
        <is>
          <t>☆極 希少 ☆もう出会えない??☆H4年式 初代 エスティマ ☆ 実走68000ｋｍ 電動サンルーフ 絶対的カブリ無し 旧車 ターボ 卵 冷蔵庫 車中泊</t>
        </is>
      </c>
      <c r="L295" s="8" t="inlineStr">
        <is>
          <t>https://page.auctions.yahoo.co.jp/jp/auction/1226232889</t>
        </is>
      </c>
    </row>
    <row r="296">
      <c r="A296" s="13" t="inlineStr">
        <is>
          <t>エスティマ</t>
        </is>
      </c>
      <c r="B296" s="13" t="n"/>
      <c r="C296" s="13" t="inlineStr"/>
      <c r="D296" s="15" t="n">
        <v>798000</v>
      </c>
      <c r="E296" s="13" t="n">
        <v>1</v>
      </c>
      <c r="F296" s="15" t="n"/>
      <c r="G296" s="13" t="n"/>
      <c r="H296" s="13" t="n"/>
      <c r="I296" s="15" t="n"/>
      <c r="J296" s="13" t="inlineStr">
        <is>
          <t>2026-08-09T22:08:14+09:00</t>
        </is>
      </c>
      <c r="K296" s="14" t="inlineStr">
        <is>
          <t>★売切★アエラス★後席リフトアップシート★両自動ドア*Wサンルーフ*ナビ*地フルセグTV*Bカメラ*FBソナ-*ETC*S-KEY★禁煙車★予備検査付!</t>
        </is>
      </c>
      <c r="L296" s="13" t="inlineStr">
        <is>
          <t>https://page.auctions.yahoo.co.jp/jp/auction/r1238631719</t>
        </is>
      </c>
    </row>
    <row r="297">
      <c r="A297" s="8" t="inlineStr">
        <is>
          <t>エスティマ</t>
        </is>
      </c>
      <c r="B297" s="8" t="n"/>
      <c r="C297" s="8" t="inlineStr"/>
      <c r="D297" s="11" t="n">
        <v>500000</v>
      </c>
      <c r="E297" s="8" t="n">
        <v>132</v>
      </c>
      <c r="F297" s="11" t="n"/>
      <c r="G297" s="8" t="n"/>
      <c r="H297" s="8" t="n"/>
      <c r="I297" s="11" t="n"/>
      <c r="J297" s="8" t="inlineStr">
        <is>
          <t>2026-08-09T22:01:38+09:00</t>
        </is>
      </c>
      <c r="K297" s="14" t="inlineStr">
        <is>
          <t>後期型！車検R9年5月まで！H26年式！レザーシート！ナビ！ETC！リア席モニター！乗って帰れます！</t>
        </is>
      </c>
      <c r="L297" s="8" t="inlineStr">
        <is>
          <t>https://page.auctions.yahoo.co.jp/jp/auction/x1238763497</t>
        </is>
      </c>
    </row>
    <row r="298">
      <c r="A298" s="13" t="inlineStr">
        <is>
          <t>エスティマ</t>
        </is>
      </c>
      <c r="B298" s="13" t="n"/>
      <c r="C298" s="13" t="inlineStr"/>
      <c r="D298" s="15" t="n">
        <v>300000</v>
      </c>
      <c r="E298" s="13" t="n">
        <v>1</v>
      </c>
      <c r="F298" s="15" t="n"/>
      <c r="G298" s="13" t="n"/>
      <c r="H298" s="13" t="n"/>
      <c r="I298" s="15" t="n"/>
      <c r="J298" s="13" t="inlineStr">
        <is>
          <t>2026-08-06T10:57:16+09:00</t>
        </is>
      </c>
      <c r="K298" s="14" t="inlineStr">
        <is>
          <t>返金保証付:サンルーフ/レザーシートヒーター/クルーズコントロール/両側電動ドア/Bluetooth/フルセグ/パワーバックドア</t>
        </is>
      </c>
      <c r="L298" s="13" t="inlineStr">
        <is>
          <t>https://page.auctions.yahoo.co.jp/jp/auction/x1239532023</t>
        </is>
      </c>
    </row>
    <row r="299">
      <c r="A299" s="8" t="inlineStr">
        <is>
          <t>エスティマ</t>
        </is>
      </c>
      <c r="B299" s="8" t="n"/>
      <c r="C299" s="8" t="inlineStr"/>
      <c r="D299" s="11" t="n">
        <v>298000</v>
      </c>
      <c r="E299" s="8" t="n">
        <v>2</v>
      </c>
      <c r="F299" s="11" t="n"/>
      <c r="G299" s="8" t="n"/>
      <c r="H299" s="8" t="n"/>
      <c r="I299" s="11" t="n"/>
      <c r="J299" s="8" t="inlineStr">
        <is>
          <t>2026-07-19T13:48:53+09:00</t>
        </is>
      </c>
      <c r="K299" s="14" t="inlineStr">
        <is>
          <t>★車検R8/9/29まで　後期型　アエラス　両側パワスラ/スマートキー×2個/純正18インチアルミ/純正ナビ＆TV＆Bluetooth/純正ETC　修復歴無し</t>
        </is>
      </c>
      <c r="L299" s="8" t="inlineStr">
        <is>
          <t>https://page.auctions.yahoo.co.jp/jp/auction/b1235450155</t>
        </is>
      </c>
    </row>
    <row r="300">
      <c r="A300" s="13" t="inlineStr">
        <is>
          <t>エスティマ</t>
        </is>
      </c>
      <c r="B300" s="13" t="n"/>
      <c r="C300" s="13" t="inlineStr"/>
      <c r="D300" s="15" t="n">
        <v>334000</v>
      </c>
      <c r="E300" s="13" t="n">
        <v>74</v>
      </c>
      <c r="F300" s="15" t="n"/>
      <c r="G300" s="13" t="n"/>
      <c r="H300" s="13" t="n"/>
      <c r="I300" s="15" t="n"/>
      <c r="J300" s="13" t="inlineStr">
        <is>
          <t>2026-07-16T21:07:39+09:00</t>
        </is>
      </c>
      <c r="K300" s="14" t="inlineStr">
        <is>
          <t>４ＷＤ　モデリスタグリル＆リップスポイラー　車検９年６月　修復なし　両側パワスラ　パワーバックドア　ストラーダナビ　クルコン</t>
        </is>
      </c>
      <c r="L300" s="13" t="inlineStr">
        <is>
          <t>https://page.auctions.yahoo.co.jp/jp/auction/c1236635646</t>
        </is>
      </c>
    </row>
    <row r="301">
      <c r="A301" s="8" t="inlineStr">
        <is>
          <t>エスティマ</t>
        </is>
      </c>
      <c r="B301" s="8" t="n"/>
      <c r="C301" s="8" t="inlineStr"/>
      <c r="D301" s="11" t="n">
        <v>790000</v>
      </c>
      <c r="E301" s="8" t="n">
        <v>1</v>
      </c>
      <c r="F301" s="11" t="n"/>
      <c r="G301" s="8" t="n"/>
      <c r="H301" s="8" t="n"/>
      <c r="I301" s="11" t="n"/>
      <c r="J301" s="8" t="inlineStr">
        <is>
          <t>2026-07-02T20:25:51+09:00</t>
        </is>
      </c>
      <c r="K301" s="14" t="inlineStr">
        <is>
          <t>●修復歴なし●実走行５万キロ●両側パワースライドドア●プッシュスタート●スマートキー●純正１８インチＡＷ●Ｒカメラ●ＥＴＣ</t>
        </is>
      </c>
      <c r="L301" s="8" t="inlineStr">
        <is>
          <t>https://page.auctions.yahoo.co.jp/jp/auction/j1224063776</t>
        </is>
      </c>
    </row>
    <row r="302">
      <c r="A302" s="13" t="inlineStr">
        <is>
          <t>エスティマ</t>
        </is>
      </c>
      <c r="B302" s="13" t="n"/>
      <c r="C302" s="13" t="inlineStr"/>
      <c r="D302" s="15" t="n">
        <v>329000</v>
      </c>
      <c r="E302" s="13" t="n">
        <v>57</v>
      </c>
      <c r="F302" s="15" t="n"/>
      <c r="G302" s="13" t="n"/>
      <c r="H302" s="13" t="n"/>
      <c r="I302" s="15" t="n"/>
      <c r="J302" s="13" t="inlineStr">
        <is>
          <t>2026-06-27T21:26:17+09:00</t>
        </is>
      </c>
      <c r="K302" s="14" t="inlineStr">
        <is>
          <t>完全売切 後期アエラス/モデリスタ製フルエアロ　フル装備　低燃費CVT＆アイドリングストップ　エンジン機関絶好調　修復歴無の極上美車</t>
        </is>
      </c>
      <c r="L302" s="13" t="inlineStr">
        <is>
          <t>https://page.auctions.yahoo.co.jp/jp/auction/j1234222658</t>
        </is>
      </c>
    </row>
    <row r="303">
      <c r="A303" s="8" t="inlineStr">
        <is>
          <t>エスティマ</t>
        </is>
      </c>
      <c r="B303" s="8" t="n"/>
      <c r="C303" s="8" t="inlineStr"/>
      <c r="D303" s="11" t="n">
        <v>498000</v>
      </c>
      <c r="E303" s="8" t="n">
        <v>1</v>
      </c>
      <c r="F303" s="11" t="n"/>
      <c r="G303" s="8" t="n"/>
      <c r="H303" s="8" t="n"/>
      <c r="I303" s="11" t="n"/>
      <c r="J303" s="8" t="inlineStr">
        <is>
          <t>2026-06-22T20:13:46+09:00</t>
        </is>
      </c>
      <c r="K303" s="14" t="inlineStr">
        <is>
          <t>★売切★後期★2,4アエラス*４ＷＤ★両自動ドア*TEIN車庫調*ナビ*地フルセグTV*後席フリップダウン*バックカメラ*ETC★禁煙車★予備検査付!</t>
        </is>
      </c>
      <c r="L303" s="8" t="inlineStr">
        <is>
          <t>https://page.auctions.yahoo.co.jp/jp/auction/o1231149728</t>
        </is>
      </c>
    </row>
    <row r="304">
      <c r="A304" s="13" t="inlineStr">
        <is>
          <t>エスティマ</t>
        </is>
      </c>
      <c r="B304" s="13" t="n"/>
      <c r="C304" s="13" t="inlineStr"/>
      <c r="D304" s="15" t="n">
        <v>228000</v>
      </c>
      <c r="E304" s="13" t="n">
        <v>19</v>
      </c>
      <c r="F304" s="15" t="n"/>
      <c r="G304" s="13" t="n"/>
      <c r="H304" s="13" t="n"/>
      <c r="I304" s="15" t="n"/>
      <c r="J304" s="13" t="inlineStr">
        <is>
          <t>2026-06-18T21:38:46+09:00</t>
        </is>
      </c>
      <c r="K304" s="14" t="inlineStr">
        <is>
          <t>最上級モデル/後期26年アエラス　特別仕様車プレミアムED　フル装備　CVT＆エンジン機関絶好調　検査令和9年10月　修復歴無しの美車</t>
        </is>
      </c>
      <c r="L304" s="13" t="inlineStr">
        <is>
          <t>https://page.auctions.yahoo.co.jp/jp/auction/h1233057441</t>
        </is>
      </c>
    </row>
    <row r="305">
      <c r="A305" s="8" t="inlineStr">
        <is>
          <t>エスティマ</t>
        </is>
      </c>
      <c r="B305" s="8" t="n"/>
      <c r="C305" s="8" t="inlineStr"/>
      <c r="D305" s="11" t="n">
        <v>478000</v>
      </c>
      <c r="E305" s="8" t="n">
        <v>2</v>
      </c>
      <c r="F305" s="11" t="n"/>
      <c r="G305" s="8" t="n"/>
      <c r="H305" s="8" t="n"/>
      <c r="I305" s="11" t="n"/>
      <c r="J305" s="8" t="inlineStr">
        <is>
          <t>2026-06-12T08:22:01+09:00</t>
        </is>
      </c>
      <c r="K305" s="14" t="inlineStr">
        <is>
          <t>★売切★後期★2.4アエラス*BLACK★両自動ドア*8incナビ*後フリップダウン*地フルセグTV*バックカメラ*ETC★禁煙車★予備検査付!</t>
        </is>
      </c>
      <c r="L305" s="8" t="inlineStr">
        <is>
          <t>https://page.auctions.yahoo.co.jp/jp/auction/t1233056908</t>
        </is>
      </c>
    </row>
    <row r="306">
      <c r="A306" s="13" t="inlineStr">
        <is>
          <t>エスティマ</t>
        </is>
      </c>
      <c r="B306" s="13" t="n"/>
      <c r="C306" s="13" t="inlineStr"/>
      <c r="D306" s="15" t="n">
        <v>598000</v>
      </c>
      <c r="E306" s="13" t="n">
        <v>1</v>
      </c>
      <c r="F306" s="15" t="n"/>
      <c r="G306" s="13" t="n"/>
      <c r="H306" s="13" t="n"/>
      <c r="I306" s="15" t="n"/>
      <c r="J306" s="13" t="inlineStr">
        <is>
          <t>2026-06-01T12:26:02+09:00</t>
        </is>
      </c>
      <c r="K306" s="14" t="inlineStr">
        <is>
          <t>★売切★後期★2,4アエラス*４ＷＤ*BLACK★両自動ドア*ナビ*地フルセグTV*後席フリップダウン*バックカメラ*ETC★禁煙車★予備検査付!</t>
        </is>
      </c>
      <c r="L306" s="13" t="inlineStr">
        <is>
          <t>https://page.auctions.yahoo.co.jp/jp/auction/e1231654121</t>
        </is>
      </c>
    </row>
    <row r="307">
      <c r="A307" s="8" t="inlineStr">
        <is>
          <t>エスティマ</t>
        </is>
      </c>
      <c r="B307" s="8" t="n"/>
      <c r="C307" s="8" t="inlineStr"/>
      <c r="D307" s="11" t="n">
        <v>478000</v>
      </c>
      <c r="E307" s="8" t="n">
        <v>2</v>
      </c>
      <c r="F307" s="11" t="n"/>
      <c r="G307" s="8" t="n"/>
      <c r="H307" s="8" t="n"/>
      <c r="I307" s="11" t="n"/>
      <c r="J307" s="8" t="inlineStr">
        <is>
          <t>2026-05-23T12:31:28+09:00</t>
        </is>
      </c>
      <c r="K307" s="14" t="inlineStr">
        <is>
          <t>★売切★後期モデル*豪華!★2.4 アエラス*8人乗★両自動ドア*8incナビ*地フルセグTV*後フリップダウン*Bカメラ*ETC★禁煙車★予備検査付!</t>
        </is>
      </c>
      <c r="L307" s="8" t="inlineStr">
        <is>
          <t>https://page.auctions.yahoo.co.jp/jp/auction/h1229407676</t>
        </is>
      </c>
    </row>
    <row r="308">
      <c r="A308" s="13" t="inlineStr">
        <is>
          <t>エスティマ</t>
        </is>
      </c>
      <c r="B308" s="13" t="n"/>
      <c r="C308" s="13" t="inlineStr"/>
      <c r="D308" s="15" t="n">
        <v>389000</v>
      </c>
      <c r="E308" s="13" t="n">
        <v>85</v>
      </c>
      <c r="F308" s="15" t="n"/>
      <c r="G308" s="13" t="n"/>
      <c r="H308" s="13" t="n"/>
      <c r="I308" s="15" t="n"/>
      <c r="J308" s="13" t="inlineStr">
        <is>
          <t>2026-05-15T21:47:09+09:00</t>
        </is>
      </c>
      <c r="K308" s="14" t="inlineStr">
        <is>
          <t>売切★H26年式アエラスプレミアムエディション 車検長い(R9/8迄)純正ナビ・地デジTV・両側Pスラ・Pリアゲート・Pシート</t>
        </is>
      </c>
      <c r="L308" s="13" t="inlineStr">
        <is>
          <t>https://page.auctions.yahoo.co.jp/jp/auction/p1228602125</t>
        </is>
      </c>
    </row>
    <row r="309">
      <c r="A309" s="8" t="inlineStr">
        <is>
          <t>エスティマ</t>
        </is>
      </c>
      <c r="B309" s="8" t="n"/>
      <c r="C309" s="8" t="inlineStr"/>
      <c r="D309" s="11" t="n">
        <v>271000</v>
      </c>
      <c r="E309" s="8" t="n">
        <v>64</v>
      </c>
      <c r="F309" s="11" t="n"/>
      <c r="G309" s="8" t="n"/>
      <c r="H309" s="8" t="n"/>
      <c r="I309" s="11" t="n"/>
      <c r="J309" s="8" t="inlineStr">
        <is>
          <t>2026-05-11T21:15:38+09:00</t>
        </is>
      </c>
      <c r="K309" s="14" t="inlineStr">
        <is>
          <t>車検１０年５月　アエラスＧエディション　修復なし　両側パワースライドドア　ナビ　Ｂカメラ　ＥＴＣ　クルコン　オートエアコン</t>
        </is>
      </c>
      <c r="L309" s="8" t="inlineStr">
        <is>
          <t>https://page.auctions.yahoo.co.jp/jp/auction/o1228491820</t>
        </is>
      </c>
    </row>
    <row r="310">
      <c r="A310" s="13" t="inlineStr">
        <is>
          <t>エスティマ</t>
        </is>
      </c>
      <c r="B310" s="13" t="n"/>
      <c r="C310" s="13" t="inlineStr"/>
      <c r="D310" s="15" t="n">
        <v>558000</v>
      </c>
      <c r="E310" s="13" t="n">
        <v>1</v>
      </c>
      <c r="F310" s="15" t="n"/>
      <c r="G310" s="13" t="n"/>
      <c r="H310" s="13" t="n"/>
      <c r="I310" s="15" t="n"/>
      <c r="J310" s="13" t="inlineStr">
        <is>
          <t>2026-05-09T13:35:50+09:00</t>
        </is>
      </c>
      <c r="K310" s="14" t="inlineStr">
        <is>
          <t>★売切★後期★2.4アエラス*４ＷＤ★両自動ドア*８inc-HDDナビ*地フルセグTV*バックカメラ*ETC★禁煙車★予備検査付!</t>
        </is>
      </c>
      <c r="L310" s="13" t="inlineStr">
        <is>
          <t>https://page.auctions.yahoo.co.jp/jp/auction/g1226165395</t>
        </is>
      </c>
    </row>
    <row r="311">
      <c r="A311" s="8" t="inlineStr">
        <is>
          <t>エスティマ</t>
        </is>
      </c>
      <c r="B311" s="8" t="n"/>
      <c r="C311" s="8" t="inlineStr"/>
      <c r="D311" s="11" t="n">
        <v>500000</v>
      </c>
      <c r="E311" s="8" t="n">
        <v>1</v>
      </c>
      <c r="F311" s="11" t="n"/>
      <c r="G311" s="8" t="n"/>
      <c r="H311" s="8" t="n"/>
      <c r="I311" s="11" t="n"/>
      <c r="J311" s="8" t="inlineStr">
        <is>
          <t>2026-03-31T21:24:24+09:00</t>
        </is>
      </c>
      <c r="K311" s="14" t="inlineStr">
        <is>
          <t xml:space="preserve">後期型アエラス黒 ７人乗り ８型ナビ フルセグTV フリップダウンモニター 両側電動ドア スマートキー×2 オットマン 車検9/8 </t>
        </is>
      </c>
      <c r="L311" s="8" t="inlineStr">
        <is>
          <t>https://page.auctions.yahoo.co.jp/jp/auction/n1223760877</t>
        </is>
      </c>
    </row>
    <row r="312">
      <c r="A312" s="13" t="inlineStr">
        <is>
          <t>エスティマ</t>
        </is>
      </c>
      <c r="B312" s="13" t="n"/>
      <c r="C312" s="13" t="inlineStr"/>
      <c r="D312" s="15" t="n">
        <v>400000</v>
      </c>
      <c r="E312" s="13" t="n">
        <v>2</v>
      </c>
      <c r="F312" s="15" t="n"/>
      <c r="G312" s="13" t="n"/>
      <c r="H312" s="13" t="n"/>
      <c r="I312" s="15" t="n"/>
      <c r="J312" s="13" t="inlineStr">
        <is>
          <t>2026-03-24T23:09:04+09:00</t>
        </is>
      </c>
      <c r="K312" s="14" t="inlineStr">
        <is>
          <t>★売切★特別仕様車★2,4アエラス20thアニバーサリー*BLACK★両側自動ドア*8incHDDナビ*地フルセグTV*フリップダウン*Bカメラ★禁煙車!</t>
        </is>
      </c>
      <c r="L312" s="13" t="inlineStr">
        <is>
          <t>https://page.auctions.yahoo.co.jp/jp/auction/r1222444502</t>
        </is>
      </c>
    </row>
    <row r="313">
      <c r="A313" s="8" t="inlineStr">
        <is>
          <t>エスティマ</t>
        </is>
      </c>
      <c r="B313" s="8" t="n"/>
      <c r="C313" s="8" t="inlineStr"/>
      <c r="D313" s="11" t="n">
        <v>358000</v>
      </c>
      <c r="E313" s="8" t="n">
        <v>1</v>
      </c>
      <c r="F313" s="11" t="n"/>
      <c r="G313" s="8" t="n"/>
      <c r="H313" s="8" t="n"/>
      <c r="I313" s="11" t="n"/>
      <c r="J313" s="8" t="inlineStr">
        <is>
          <t>2026-03-19T17:41:38+09:00</t>
        </is>
      </c>
      <c r="K313" s="14" t="inlineStr">
        <is>
          <t>無事故 実走行 OBD診断済 両側PWスライド ナビ フルセグTV フリップダウンモニター 前後カメラ シートヒーター 禁煙 予備検査付き</t>
        </is>
      </c>
      <c r="L313" s="8" t="inlineStr">
        <is>
          <t>https://page.auctions.yahoo.co.jp/jp/auction/l1223385759</t>
        </is>
      </c>
    </row>
    <row r="314">
      <c r="A314" s="13" t="inlineStr">
        <is>
          <t>エスティマ</t>
        </is>
      </c>
      <c r="B314" s="13" t="n"/>
      <c r="C314" s="13" t="inlineStr"/>
      <c r="D314" s="15" t="n">
        <v>276000</v>
      </c>
      <c r="E314" s="13" t="n">
        <v>140</v>
      </c>
      <c r="F314" s="15" t="n"/>
      <c r="G314" s="13" t="n"/>
      <c r="H314" s="13" t="n"/>
      <c r="I314" s="15" t="n"/>
      <c r="J314" s="13" t="inlineStr">
        <is>
          <t>2026-03-07T22:39:06+09:00</t>
        </is>
      </c>
      <c r="K314" s="14" t="inlineStr">
        <is>
          <t>売切！サンルーフ★両側電動パワースライドドア★クルーズコントロール★Bluetooth★バックカメラ★乗って帰れます！★内外装・機関状態良</t>
        </is>
      </c>
      <c r="L314" s="13" t="inlineStr">
        <is>
          <t>https://page.auctions.yahoo.co.jp/jp/auction/s1221665115</t>
        </is>
      </c>
    </row>
    <row r="315">
      <c r="A315" s="8" t="inlineStr">
        <is>
          <t>エスティマ</t>
        </is>
      </c>
      <c r="B315" s="8" t="n"/>
      <c r="C315" s="8" t="inlineStr"/>
      <c r="D315" s="11" t="n">
        <v>558000</v>
      </c>
      <c r="E315" s="8" t="n">
        <v>1</v>
      </c>
      <c r="F315" s="11" t="n"/>
      <c r="G315" s="8" t="n"/>
      <c r="H315" s="8" t="n"/>
      <c r="I315" s="11" t="n"/>
      <c r="J315" s="8" t="inlineStr">
        <is>
          <t>2026-08-05T23:48:53+09:00</t>
        </is>
      </c>
      <c r="K315" s="14" t="inlineStr">
        <is>
          <t>★売切★豪華*美車★23年式*ハイブリッド*4WD★7人乗★SDナビ*地フルセグTV*後フリップダウン*S&amp;Bカメラ*ETC★禁煙車★予備検査付!</t>
        </is>
      </c>
      <c r="L315" s="8" t="inlineStr">
        <is>
          <t>https://page.auctions.yahoo.co.jp/jp/auction/d1238024287</t>
        </is>
      </c>
    </row>
    <row r="316">
      <c r="A316" s="13" t="inlineStr">
        <is>
          <t>エスティマ</t>
        </is>
      </c>
      <c r="B316" s="13" t="n"/>
      <c r="C316" s="13" t="inlineStr"/>
      <c r="D316" s="15" t="n">
        <v>578000</v>
      </c>
      <c r="E316" s="13" t="n">
        <v>1</v>
      </c>
      <c r="F316" s="15" t="n"/>
      <c r="G316" s="13" t="n"/>
      <c r="H316" s="13" t="n"/>
      <c r="I316" s="15" t="n"/>
      <c r="J316" s="13" t="inlineStr">
        <is>
          <t>2026-06-06T09:25:05+09:00</t>
        </is>
      </c>
      <c r="K316" s="14" t="inlineStr">
        <is>
          <t>★売切★最高級★G*4WD★走行46900Km!★8incHDDナビ*地フルセグTV*後フリップダウン*FSBカメラ*ソナー*ドラレコ*ETC★禁煙車★予備検査付!</t>
        </is>
      </c>
      <c r="L316" s="13" t="inlineStr">
        <is>
          <t>https://page.auctions.yahoo.co.jp/jp/auction/x1232325840</t>
        </is>
      </c>
    </row>
    <row r="317">
      <c r="A317" s="8" t="inlineStr">
        <is>
          <t>エスティマ</t>
        </is>
      </c>
      <c r="B317" s="8" t="n"/>
      <c r="C317" s="8" t="inlineStr"/>
      <c r="D317" s="11" t="n">
        <v>335000</v>
      </c>
      <c r="E317" s="8" t="n">
        <v>93</v>
      </c>
      <c r="F317" s="11" t="n"/>
      <c r="G317" s="8" t="n"/>
      <c r="H317" s="8" t="n"/>
      <c r="I317" s="11" t="n"/>
      <c r="J317" s="8" t="inlineStr">
        <is>
          <t>2026-03-01T21:52:36+09:00</t>
        </is>
      </c>
      <c r="K317" s="14" t="inlineStr">
        <is>
          <t>H21【3型フェイス 4WD】寒冷地仕様/ナビ/18インチアルミホイール/両側PS/リアエンター/クルーズコントロール/リアエアコン/検8.8</t>
        </is>
      </c>
      <c r="L317" s="8" t="inlineStr">
        <is>
          <t>https://page.auctions.yahoo.co.jp/jp/auction/e1220679003</t>
        </is>
      </c>
    </row>
    <row r="318">
      <c r="A318" s="13" t="inlineStr">
        <is>
          <t>シエンタ</t>
        </is>
      </c>
      <c r="B318" s="13" t="n">
        <v>2025</v>
      </c>
      <c r="C318" s="13" t="inlineStr">
        <is>
          <t>10系</t>
        </is>
      </c>
      <c r="D318" s="15" t="n">
        <v>1651000</v>
      </c>
      <c r="E318" s="13" t="n">
        <v>211</v>
      </c>
      <c r="F318" s="15" t="n">
        <v>4200</v>
      </c>
      <c r="G318" s="13" t="inlineStr">
        <is>
          <t>REAL_MILEAGE</t>
        </is>
      </c>
      <c r="H318" s="13" t="n"/>
      <c r="I318" s="15" t="n">
        <v>91650</v>
      </c>
      <c r="J318" s="13" t="inlineStr">
        <is>
          <t>2026-07-12T21:26:53+09:00</t>
        </is>
      </c>
      <c r="K318" s="14" t="inlineStr">
        <is>
          <t>トヨタシエンタハイブリッドG、カーナビ、ETC、車検R8/12月まで、プッシュスタート、バックカメラ、360カメラビュー、</t>
        </is>
      </c>
      <c r="L318" s="13" t="inlineStr">
        <is>
          <t>https://page.auctions.yahoo.co.jp/jp/auction/l1233825722</t>
        </is>
      </c>
    </row>
    <row r="319">
      <c r="A319" s="8" t="inlineStr">
        <is>
          <t>シエンタ</t>
        </is>
      </c>
      <c r="B319" s="8" t="n">
        <v>2024</v>
      </c>
      <c r="C319" s="8" t="inlineStr">
        <is>
          <t>10系</t>
        </is>
      </c>
      <c r="D319" s="11" t="n">
        <v>1452000</v>
      </c>
      <c r="E319" s="8" t="n">
        <v>147</v>
      </c>
      <c r="F319" s="11" t="n">
        <v>35130</v>
      </c>
      <c r="G319" s="8" t="inlineStr">
        <is>
          <t>REAL_MILEAGE</t>
        </is>
      </c>
      <c r="H319" s="8" t="n"/>
      <c r="I319" s="11" t="n">
        <v>11650</v>
      </c>
      <c r="J319" s="8" t="inlineStr">
        <is>
          <t>2026-08-18T20:48:14+09:00</t>
        </is>
      </c>
      <c r="K319" s="14" t="inlineStr">
        <is>
          <t>トヨタ シエンタ 令和 6年式 ハイブリッド Zグレード、車検2年付き！大型TVナビゲーション、アラウンドビューモニター搭載</t>
        </is>
      </c>
      <c r="L319" s="8" t="inlineStr">
        <is>
          <t>https://page.auctions.yahoo.co.jp/jp/auction/s1240841121</t>
        </is>
      </c>
    </row>
    <row r="320">
      <c r="A320" s="13" t="inlineStr">
        <is>
          <t>シエンタ</t>
        </is>
      </c>
      <c r="B320" s="13" t="n">
        <v>2024</v>
      </c>
      <c r="C320" s="13" t="inlineStr">
        <is>
          <t>10系</t>
        </is>
      </c>
      <c r="D320" s="15" t="n">
        <v>1601000</v>
      </c>
      <c r="E320" s="13" t="n">
        <v>178</v>
      </c>
      <c r="F320" s="15" t="n">
        <v>58050</v>
      </c>
      <c r="G320" s="13" t="inlineStr">
        <is>
          <t>REAL_MILEAGE</t>
        </is>
      </c>
      <c r="H320" s="13" t="inlineStr">
        <is>
          <t>NONE</t>
        </is>
      </c>
      <c r="I320" s="15" t="n">
        <v>65750</v>
      </c>
      <c r="J320" s="13" t="inlineStr">
        <is>
          <t>2026-07-13T22:08:04+09:00</t>
        </is>
      </c>
      <c r="K320" s="14" t="inlineStr">
        <is>
          <t>トヨタ シエンタ ハイブリッドG R6年 5.8万km 車検R10年7月 両側パワスラ ナビ Bカメラ 7日間返金保証</t>
        </is>
      </c>
      <c r="L320" s="13" t="inlineStr">
        <is>
          <t>https://page.auctions.yahoo.co.jp/jp/auction/t1236255981</t>
        </is>
      </c>
    </row>
    <row r="321">
      <c r="A321" s="8" t="inlineStr">
        <is>
          <t>シエンタ</t>
        </is>
      </c>
      <c r="B321" s="8" t="n">
        <v>2024</v>
      </c>
      <c r="C321" s="8" t="inlineStr">
        <is>
          <t>10系</t>
        </is>
      </c>
      <c r="D321" s="11" t="n">
        <v>2113000</v>
      </c>
      <c r="E321" s="8" t="n">
        <v>194</v>
      </c>
      <c r="F321" s="11" t="n">
        <v>10900</v>
      </c>
      <c r="G321" s="8" t="inlineStr">
        <is>
          <t>REAL_MILEAGE</t>
        </is>
      </c>
      <c r="H321" s="8" t="n"/>
      <c r="I321" s="11" t="n">
        <v>0</v>
      </c>
      <c r="J321" s="8" t="inlineStr">
        <is>
          <t>2026-06-09T20:07:51+09:00</t>
        </is>
      </c>
      <c r="K321" s="14" t="inlineStr">
        <is>
          <t>トヨタ シエンタ ハイブリッドZ 7人乗り 令和6年11,000キロ車検令和9年9月(全てコミコミ)(1万円〜売り切り)</t>
        </is>
      </c>
      <c r="L321" s="8" t="inlineStr">
        <is>
          <t>https://page.auctions.yahoo.co.jp/jp/auction/u1232599316</t>
        </is>
      </c>
    </row>
    <row r="322">
      <c r="A322" s="13" t="inlineStr">
        <is>
          <t>シエンタ</t>
        </is>
      </c>
      <c r="B322" s="13" t="n">
        <v>2023</v>
      </c>
      <c r="C322" s="13" t="inlineStr">
        <is>
          <t>10系</t>
        </is>
      </c>
      <c r="D322" s="15" t="n">
        <v>2200000</v>
      </c>
      <c r="E322" s="13" t="n">
        <v>71</v>
      </c>
      <c r="F322" s="15" t="n">
        <v>35500</v>
      </c>
      <c r="G322" s="13" t="inlineStr">
        <is>
          <t>REAL_MILEAGE</t>
        </is>
      </c>
      <c r="H322" s="13" t="inlineStr">
        <is>
          <t>NONE</t>
        </is>
      </c>
      <c r="I322" s="15" t="n">
        <v>11650</v>
      </c>
      <c r="J322" s="13" t="inlineStr">
        <is>
          <t>2026-07-26T21:12:30+09:00</t>
        </is>
      </c>
      <c r="K322" s="14" t="inlineStr">
        <is>
          <t>トヨタ シエンタハイブリッド 1.5Z 純正ナビTV 両側パワースライドドア パノラミックビューモニター シートヒーター</t>
        </is>
      </c>
      <c r="L322" s="13" t="inlineStr">
        <is>
          <t>https://page.auctions.yahoo.co.jp/jp/auction/e1237923892</t>
        </is>
      </c>
    </row>
    <row r="323">
      <c r="A323" s="8" t="inlineStr">
        <is>
          <t>シエンタ</t>
        </is>
      </c>
      <c r="B323" s="8" t="n">
        <v>2023</v>
      </c>
      <c r="C323" s="8" t="inlineStr">
        <is>
          <t>10系</t>
        </is>
      </c>
      <c r="D323" s="11" t="n">
        <v>1999000</v>
      </c>
      <c r="E323" s="8" t="n">
        <v>158</v>
      </c>
      <c r="F323" s="11" t="n">
        <v>35000</v>
      </c>
      <c r="G323" s="8" t="inlineStr">
        <is>
          <t>REAL_MILEAGE</t>
        </is>
      </c>
      <c r="H323" s="8" t="inlineStr">
        <is>
          <t>NONE</t>
        </is>
      </c>
      <c r="I323" s="11" t="n">
        <v>11650</v>
      </c>
      <c r="J323" s="8" t="inlineStr">
        <is>
          <t>2026-07-15T21:08:47+09:00</t>
        </is>
      </c>
      <c r="K323" s="14" t="inlineStr">
        <is>
          <t>トヨタ シエンタハイブリッド 1.5Z 純正ナビTV 両側パワースライドドア パノラミックビューモニター シートヒーター</t>
        </is>
      </c>
      <c r="L323" s="8" t="inlineStr">
        <is>
          <t>https://page.auctions.yahoo.co.jp/jp/auction/w1236627927</t>
        </is>
      </c>
    </row>
    <row r="324">
      <c r="A324" s="13" t="inlineStr">
        <is>
          <t>シエンタ</t>
        </is>
      </c>
      <c r="B324" s="13" t="n">
        <v>2022</v>
      </c>
      <c r="C324" s="13" t="inlineStr">
        <is>
          <t>10系</t>
        </is>
      </c>
      <c r="D324" s="15" t="n">
        <v>1201000</v>
      </c>
      <c r="E324" s="13" t="n">
        <v>112</v>
      </c>
      <c r="F324" s="15" t="n">
        <v>10000</v>
      </c>
      <c r="G324" s="13" t="inlineStr">
        <is>
          <t>METER_REPLACEMENT</t>
        </is>
      </c>
      <c r="H324" s="13" t="inlineStr">
        <is>
          <t>NONE</t>
        </is>
      </c>
      <c r="I324" s="15" t="n">
        <v>0</v>
      </c>
      <c r="J324" s="13" t="inlineStr">
        <is>
          <t>2026-04-24T22:47:37+09:00</t>
        </is>
      </c>
      <c r="K324" s="14" t="inlineStr">
        <is>
          <t xml:space="preserve">トヨタ シエンタ ハイブリッド 令和4年式 MXPL10 1万キロ パールホワイト ナビTV バックカメラ パワースライドドア </t>
        </is>
      </c>
      <c r="L324" s="13" t="inlineStr">
        <is>
          <t>https://page.auctions.yahoo.co.jp/jp/auction/h1227085164</t>
        </is>
      </c>
    </row>
    <row r="325">
      <c r="A325" s="8" t="inlineStr">
        <is>
          <t>シエンタ</t>
        </is>
      </c>
      <c r="B325" s="8" t="n">
        <v>2021</v>
      </c>
      <c r="C325" s="8" t="inlineStr">
        <is>
          <t>170系</t>
        </is>
      </c>
      <c r="D325" s="11" t="n">
        <v>810000</v>
      </c>
      <c r="E325" s="8" t="n">
        <v>167</v>
      </c>
      <c r="F325" s="11" t="n">
        <v>25500</v>
      </c>
      <c r="G325" s="8" t="inlineStr">
        <is>
          <t>REAL_MILEAGE</t>
        </is>
      </c>
      <c r="H325" s="8" t="inlineStr">
        <is>
          <t>NONE</t>
        </is>
      </c>
      <c r="I325" s="11" t="n">
        <v>0</v>
      </c>
      <c r="J325" s="8" t="inlineStr">
        <is>
          <t>2026-04-08T20:58:48+09:00</t>
        </is>
      </c>
      <c r="K325" s="14" t="inlineStr">
        <is>
          <t>低走行距離／トヨタ シエンタ／ナビ／パワースライドドア（前後）／トヨタ セーフティ センス／新車点検済み</t>
        </is>
      </c>
      <c r="L325" s="8" t="inlineStr">
        <is>
          <t>https://page.auctions.yahoo.co.jp/jp/auction/m1225009289</t>
        </is>
      </c>
    </row>
    <row r="326">
      <c r="A326" s="13" t="inlineStr">
        <is>
          <t>シエンタ</t>
        </is>
      </c>
      <c r="B326" s="13" t="n">
        <v>2020</v>
      </c>
      <c r="C326" s="13" t="inlineStr">
        <is>
          <t>170系</t>
        </is>
      </c>
      <c r="D326" s="15" t="n">
        <v>903000</v>
      </c>
      <c r="E326" s="13" t="n">
        <v>83</v>
      </c>
      <c r="F326" s="15" t="n">
        <v>62000</v>
      </c>
      <c r="G326" s="13" t="inlineStr">
        <is>
          <t>REAL_MILEAGE</t>
        </is>
      </c>
      <c r="H326" s="13" t="inlineStr">
        <is>
          <t>NONE</t>
        </is>
      </c>
      <c r="I326" s="15" t="n">
        <v>10360</v>
      </c>
      <c r="J326" s="13" t="inlineStr">
        <is>
          <t>2026-07-18T21:37:39+09:00</t>
        </is>
      </c>
      <c r="K326" s="14" t="inlineStr">
        <is>
          <t>トヨタ シエンタ 令和2年式 5BA-NSP170G ファンベースG 両側パワースライドドア 純正ナビTV BT フリップダウンモニター ETC Bカメラ</t>
        </is>
      </c>
      <c r="L326" s="13" t="inlineStr">
        <is>
          <t>https://page.auctions.yahoo.co.jp/jp/auction/x1237179610</t>
        </is>
      </c>
    </row>
    <row r="327">
      <c r="A327" s="8" t="inlineStr">
        <is>
          <t>シエンタ</t>
        </is>
      </c>
      <c r="B327" s="8" t="n">
        <v>2020</v>
      </c>
      <c r="C327" s="8" t="inlineStr">
        <is>
          <t>170系</t>
        </is>
      </c>
      <c r="D327" s="11" t="n">
        <v>1070000</v>
      </c>
      <c r="E327" s="8" t="n">
        <v>252</v>
      </c>
      <c r="F327" s="11" t="n">
        <v>62000</v>
      </c>
      <c r="G327" s="8" t="inlineStr">
        <is>
          <t>REAL_MILEAGE</t>
        </is>
      </c>
      <c r="H327" s="8" t="inlineStr">
        <is>
          <t>NONE</t>
        </is>
      </c>
      <c r="I327" s="11" t="n">
        <v>10360</v>
      </c>
      <c r="J327" s="8" t="inlineStr">
        <is>
          <t>2026-07-08T21:33:10+09:00</t>
        </is>
      </c>
      <c r="K327" s="14" t="inlineStr">
        <is>
          <t>トヨタ シエンタ 令和2年式 5BA-NSP170G ファンベースG 両側パワースライドドア 純正ナビTV BT フリップダウンモニター ETC Bカメラ</t>
        </is>
      </c>
      <c r="L327" s="8" t="inlineStr">
        <is>
          <t>https://page.auctions.yahoo.co.jp/jp/auction/o1235907027</t>
        </is>
      </c>
    </row>
    <row r="328">
      <c r="A328" s="13" t="inlineStr">
        <is>
          <t>シエンタ</t>
        </is>
      </c>
      <c r="B328" s="13" t="n">
        <v>2019</v>
      </c>
      <c r="C328" s="13" t="inlineStr">
        <is>
          <t>170系</t>
        </is>
      </c>
      <c r="D328" s="15" t="n">
        <v>1058000</v>
      </c>
      <c r="E328" s="13" t="n">
        <v>1</v>
      </c>
      <c r="F328" s="15" t="n">
        <v>85000</v>
      </c>
      <c r="G328" s="13" t="inlineStr">
        <is>
          <t>REAL_MILEAGE</t>
        </is>
      </c>
      <c r="H328" s="13" t="inlineStr">
        <is>
          <t>NONE</t>
        </is>
      </c>
      <c r="I328" s="15" t="n">
        <v>0</v>
      </c>
      <c r="J328" s="13" t="inlineStr">
        <is>
          <t>2026-08-17T12:31:59+09:00</t>
        </is>
      </c>
      <c r="K328" s="14" t="inlineStr">
        <is>
          <t>シエンタ ハイブリッド 1.5 ファンベース G ブレーキサポート メモリーナビ ETC</t>
        </is>
      </c>
      <c r="L328" s="13" t="inlineStr">
        <is>
          <t>https://page.auctions.yahoo.co.jp/jp/auction/1239865299</t>
        </is>
      </c>
    </row>
    <row r="329">
      <c r="A329" s="8" t="inlineStr">
        <is>
          <t>シエンタ</t>
        </is>
      </c>
      <c r="B329" s="8" t="n">
        <v>2019</v>
      </c>
      <c r="C329" s="8" t="inlineStr">
        <is>
          <t>170系</t>
        </is>
      </c>
      <c r="D329" s="11" t="n">
        <v>1989000</v>
      </c>
      <c r="E329" s="8" t="n">
        <v>1</v>
      </c>
      <c r="F329" s="11" t="n">
        <v>61430</v>
      </c>
      <c r="G329" s="8" t="inlineStr">
        <is>
          <t>REAL_MILEAGE</t>
        </is>
      </c>
      <c r="H329" s="8" t="inlineStr">
        <is>
          <t>NONE</t>
        </is>
      </c>
      <c r="I329" s="11" t="n">
        <v>0</v>
      </c>
      <c r="J329" s="8" t="inlineStr">
        <is>
          <t>2026-07-14T23:58:33+09:00</t>
        </is>
      </c>
      <c r="K329" s="14" t="inlineStr">
        <is>
          <t>【諸費用コミ】:令和1年 シエンタ ハイブリッド 1.5 G クエロ</t>
        </is>
      </c>
      <c r="L329" s="8" t="inlineStr">
        <is>
          <t>https://page.auctions.yahoo.co.jp/jp/auction/u1236264743</t>
        </is>
      </c>
    </row>
    <row r="330">
      <c r="A330" s="13" t="inlineStr">
        <is>
          <t>シエンタ</t>
        </is>
      </c>
      <c r="B330" s="13" t="n">
        <v>2019</v>
      </c>
      <c r="C330" s="13" t="inlineStr">
        <is>
          <t>170系</t>
        </is>
      </c>
      <c r="D330" s="15" t="n">
        <v>970000</v>
      </c>
      <c r="E330" s="13" t="n">
        <v>1</v>
      </c>
      <c r="F330" s="15" t="n">
        <v>121266</v>
      </c>
      <c r="G330" s="13" t="inlineStr">
        <is>
          <t>REAL_MILEAGE</t>
        </is>
      </c>
      <c r="H330" s="13" t="inlineStr">
        <is>
          <t>NONE</t>
        </is>
      </c>
      <c r="I330" s="15" t="n">
        <v>44860</v>
      </c>
      <c r="J330" s="13" t="inlineStr">
        <is>
          <t>2026-07-09T10:25:06+09:00</t>
        </is>
      </c>
      <c r="K330" s="14" t="inlineStr">
        <is>
          <t>【個人極上後期型!R1シエンタHV上級ファンベースG 5人乗り 純正OP超満載☆セーフティセンス!9型純正SDナビ!パッケージOP4種全部付!検10/2】</t>
        </is>
      </c>
      <c r="L330" s="13" t="inlineStr">
        <is>
          <t>https://page.auctions.yahoo.co.jp/jp/auction/o1226788470</t>
        </is>
      </c>
    </row>
    <row r="331">
      <c r="A331" s="8" t="inlineStr">
        <is>
          <t>シエンタ</t>
        </is>
      </c>
      <c r="B331" s="8" t="n">
        <v>2019</v>
      </c>
      <c r="C331" s="8" t="inlineStr">
        <is>
          <t>170系</t>
        </is>
      </c>
      <c r="D331" s="11" t="n">
        <v>717200</v>
      </c>
      <c r="E331" s="8" t="n">
        <v>34</v>
      </c>
      <c r="F331" s="11" t="n">
        <v>75334</v>
      </c>
      <c r="G331" s="8" t="inlineStr">
        <is>
          <t>REAL_MILEAGE</t>
        </is>
      </c>
      <c r="H331" s="8" t="inlineStr">
        <is>
          <t>NONE</t>
        </is>
      </c>
      <c r="I331" s="11" t="n">
        <v>0</v>
      </c>
      <c r="J331" s="8" t="inlineStr">
        <is>
          <t>2026-07-02T21:16:18+09:00</t>
        </is>
      </c>
      <c r="K331" s="14" t="inlineStr">
        <is>
          <t>【諸費用コミ】:トヨタ シエンタ 1.5ファンベースGグランパー 両側パワースライドドア/バックモニター/ETC/BTオーディオ</t>
        </is>
      </c>
      <c r="L331" s="8" t="inlineStr">
        <is>
          <t>https://page.auctions.yahoo.co.jp/jp/auction/x1233999416</t>
        </is>
      </c>
    </row>
    <row r="332">
      <c r="A332" s="13" t="inlineStr">
        <is>
          <t>シエンタ</t>
        </is>
      </c>
      <c r="B332" s="13" t="n">
        <v>2019</v>
      </c>
      <c r="C332" s="13" t="inlineStr">
        <is>
          <t>170系</t>
        </is>
      </c>
      <c r="D332" s="15" t="n">
        <v>1250000</v>
      </c>
      <c r="E332" s="13" t="n">
        <v>1</v>
      </c>
      <c r="F332" s="15" t="n">
        <v>8627</v>
      </c>
      <c r="G332" s="13" t="inlineStr">
        <is>
          <t>REAL_MILEAGE</t>
        </is>
      </c>
      <c r="H332" s="13" t="inlineStr">
        <is>
          <t>NONE</t>
        </is>
      </c>
      <c r="I332" s="15" t="n">
        <v>0</v>
      </c>
      <c r="J332" s="13" t="inlineStr">
        <is>
          <t>2026-05-23T20:27:41+09:00</t>
        </is>
      </c>
      <c r="K332" s="14" t="inlineStr">
        <is>
          <t>個人出品　8ナンバー　シエンタ 1.5　X　ウェルキャブ　車いす仕様車　タイプⅠ　低走行　減税免税　福祉車両　トランポ</t>
        </is>
      </c>
      <c r="L332" s="13" t="inlineStr">
        <is>
          <t>https://page.auctions.yahoo.co.jp/jp/auction/v1226061895</t>
        </is>
      </c>
    </row>
    <row r="333">
      <c r="A333" s="8" t="inlineStr">
        <is>
          <t>シエンタ</t>
        </is>
      </c>
      <c r="B333" s="8" t="n">
        <v>2019</v>
      </c>
      <c r="C333" s="8" t="inlineStr">
        <is>
          <t>170系</t>
        </is>
      </c>
      <c r="D333" s="11" t="n">
        <v>751000</v>
      </c>
      <c r="E333" s="8" t="n">
        <v>226</v>
      </c>
      <c r="F333" s="11" t="n">
        <v>44000</v>
      </c>
      <c r="G333" s="8" t="inlineStr">
        <is>
          <t>REAL_MILEAGE</t>
        </is>
      </c>
      <c r="H333" s="8" t="inlineStr">
        <is>
          <t>NONE</t>
        </is>
      </c>
      <c r="I333" s="11" t="n">
        <v>0</v>
      </c>
      <c r="J333" s="8" t="inlineStr">
        <is>
          <t>2026-04-11T21:27:06+09:00</t>
        </is>
      </c>
      <c r="K333" s="14" t="inlineStr">
        <is>
          <t>トヨタ　シエンタ　ファンベースX　片側電動スライドドア　平成３１年１月登録　５人乗り　ディーラー記録簿多数　メンテナンスバッチリ</t>
        </is>
      </c>
      <c r="L333" s="8" t="inlineStr">
        <is>
          <t>https://page.auctions.yahoo.co.jp/jp/auction/m1220176295</t>
        </is>
      </c>
    </row>
    <row r="334">
      <c r="A334" s="13" t="inlineStr">
        <is>
          <t>シエンタ</t>
        </is>
      </c>
      <c r="B334" s="13" t="n">
        <v>2018</v>
      </c>
      <c r="C334" s="13" t="inlineStr">
        <is>
          <t>170系</t>
        </is>
      </c>
      <c r="D334" s="15" t="n">
        <v>1048000</v>
      </c>
      <c r="E334" s="13" t="n">
        <v>1</v>
      </c>
      <c r="F334" s="15" t="n">
        <v>36680</v>
      </c>
      <c r="G334" s="13" t="inlineStr">
        <is>
          <t>REAL_MILEAGE</t>
        </is>
      </c>
      <c r="H334" s="13" t="inlineStr">
        <is>
          <t>EXISTS</t>
        </is>
      </c>
      <c r="I334" s="15" t="n">
        <v>0</v>
      </c>
      <c r="J334" s="13" t="inlineStr">
        <is>
          <t>2026-04-24T16:20:39+09:00</t>
        </is>
      </c>
      <c r="K334" s="14" t="inlineStr">
        <is>
          <t>車検満タン シエンタHV 後期 実走行 トヨタセーフティセンス 衝突軽減BK ナビ TV Bluetooth バックカメラ 電動オートスライド スマキー ETC</t>
        </is>
      </c>
      <c r="L334" s="13" t="inlineStr">
        <is>
          <t>https://page.auctions.yahoo.co.jp/jp/auction/p1226998835</t>
        </is>
      </c>
    </row>
    <row r="335">
      <c r="A335" s="8" t="inlineStr">
        <is>
          <t>シエンタ</t>
        </is>
      </c>
      <c r="B335" s="8" t="n">
        <v>2018</v>
      </c>
      <c r="C335" s="8" t="inlineStr">
        <is>
          <t>170系</t>
        </is>
      </c>
      <c r="D335" s="11" t="n">
        <v>1651100</v>
      </c>
      <c r="E335" s="8" t="n">
        <v>549</v>
      </c>
      <c r="F335" s="11" t="n">
        <v>43793</v>
      </c>
      <c r="G335" s="8" t="inlineStr">
        <is>
          <t>REAL_MILEAGE</t>
        </is>
      </c>
      <c r="H335" s="8" t="inlineStr">
        <is>
          <t>NONE</t>
        </is>
      </c>
      <c r="I335" s="11" t="n">
        <v>0</v>
      </c>
      <c r="J335" s="8" t="inlineStr">
        <is>
          <t>2026-04-05T22:07:18+09:00</t>
        </is>
      </c>
      <c r="K335" s="14" t="inlineStr">
        <is>
          <t>売り切り7人乗り禁煙ワンオーナー H30年 シエンタHV1..5 G モデリスタカスタム多数 7人乗り 記録簿</t>
        </is>
      </c>
      <c r="L335" s="8" t="inlineStr">
        <is>
          <t>https://page.auctions.yahoo.co.jp/jp/auction/1224732660</t>
        </is>
      </c>
    </row>
    <row r="336">
      <c r="A336" s="13" t="inlineStr">
        <is>
          <t>シエンタ</t>
        </is>
      </c>
      <c r="B336" s="13" t="n">
        <v>2017</v>
      </c>
      <c r="C336" s="13" t="inlineStr">
        <is>
          <t>170系</t>
        </is>
      </c>
      <c r="D336" s="15" t="n">
        <v>868000</v>
      </c>
      <c r="E336" s="13" t="n">
        <v>1</v>
      </c>
      <c r="F336" s="15" t="n">
        <v>39450</v>
      </c>
      <c r="G336" s="13" t="inlineStr">
        <is>
          <t>REAL_MILEAGE</t>
        </is>
      </c>
      <c r="H336" s="13" t="inlineStr">
        <is>
          <t>EXISTS</t>
        </is>
      </c>
      <c r="I336" s="15" t="n">
        <v>35660</v>
      </c>
      <c r="J336" s="13" t="inlineStr">
        <is>
          <t>2026-08-05T11:24:50+09:00</t>
        </is>
      </c>
      <c r="K336" s="14" t="inlineStr">
        <is>
          <t>車検10年3月 29年式 シエンタ 実走 トヨタセーフティセンス 衝突軽減ブレーキ ナビTV Bluetooth バックモニター 両側パワスラ スマキー ETC</t>
        </is>
      </c>
      <c r="L336" s="13" t="inlineStr">
        <is>
          <t>https://page.auctions.yahoo.co.jp/jp/auction/o1234220334</t>
        </is>
      </c>
    </row>
    <row r="337">
      <c r="A337" s="8" t="inlineStr">
        <is>
          <t>シエンタ</t>
        </is>
      </c>
      <c r="B337" s="8" t="n">
        <v>2017</v>
      </c>
      <c r="C337" s="8" t="inlineStr">
        <is>
          <t>170系</t>
        </is>
      </c>
      <c r="D337" s="11" t="n">
        <v>704000</v>
      </c>
      <c r="E337" s="8" t="n">
        <v>86</v>
      </c>
      <c r="F337" s="11" t="n">
        <v>61600</v>
      </c>
      <c r="G337" s="8" t="inlineStr">
        <is>
          <t>REAL_MILEAGE</t>
        </is>
      </c>
      <c r="H337" s="8" t="inlineStr">
        <is>
          <t>NONE</t>
        </is>
      </c>
      <c r="I337" s="11" t="n">
        <v>80360</v>
      </c>
      <c r="J337" s="8" t="inlineStr">
        <is>
          <t>2026-07-12T20:30:38+09:00</t>
        </is>
      </c>
      <c r="K337" s="14" t="inlineStr">
        <is>
          <t>トヨタ シエンタ モデリスタフルエアロ X 4WD Ｈ29年度式(2017) 61600km ★★車検：2年付き！</t>
        </is>
      </c>
      <c r="L337" s="8" t="inlineStr">
        <is>
          <t>https://page.auctions.yahoo.co.jp/jp/auction/x1235898041</t>
        </is>
      </c>
    </row>
    <row r="338">
      <c r="A338" s="13" t="inlineStr">
        <is>
          <t>シエンタ</t>
        </is>
      </c>
      <c r="B338" s="13" t="n">
        <v>2017</v>
      </c>
      <c r="C338" s="13" t="inlineStr">
        <is>
          <t>170系</t>
        </is>
      </c>
      <c r="D338" s="15" t="n">
        <v>250000</v>
      </c>
      <c r="E338" s="13" t="n">
        <v>1</v>
      </c>
      <c r="F338" s="15" t="n">
        <v>167000</v>
      </c>
      <c r="G338" s="13" t="inlineStr">
        <is>
          <t>REAL_MILEAGE</t>
        </is>
      </c>
      <c r="H338" s="13" t="n"/>
      <c r="I338" s="15" t="n">
        <v>0</v>
      </c>
      <c r="J338" s="13" t="inlineStr">
        <is>
          <t>2026-07-03T16:47:28+09:00</t>
        </is>
      </c>
      <c r="K338" s="14" t="inlineStr">
        <is>
          <t>トヨタ　シエンタ　タクシーで利用してました、格安スタート売り切り</t>
        </is>
      </c>
      <c r="L338" s="13" t="inlineStr">
        <is>
          <t>https://page.auctions.yahoo.co.jp/jp/auction/w1235415260</t>
        </is>
      </c>
    </row>
    <row r="339">
      <c r="A339" s="8" t="inlineStr">
        <is>
          <t>シエンタ</t>
        </is>
      </c>
      <c r="B339" s="8" t="n">
        <v>2017</v>
      </c>
      <c r="C339" s="8" t="inlineStr">
        <is>
          <t>170系</t>
        </is>
      </c>
      <c r="D339" s="11" t="n">
        <v>657000</v>
      </c>
      <c r="E339" s="8" t="n">
        <v>1</v>
      </c>
      <c r="F339" s="11" t="n">
        <v>88000</v>
      </c>
      <c r="G339" s="8" t="inlineStr">
        <is>
          <t>REAL_MILEAGE</t>
        </is>
      </c>
      <c r="H339" s="8" t="inlineStr">
        <is>
          <t>EXISTS</t>
        </is>
      </c>
      <c r="I339" s="11" t="n">
        <v>46960</v>
      </c>
      <c r="J339" s="8" t="inlineStr">
        <is>
          <t>2026-06-25T08:47:44+09:00</t>
        </is>
      </c>
      <c r="K339" s="14" t="inlineStr">
        <is>
          <t>シエンタ*検10/6迄*29年式!*PCS*LDA*キーレス*左パワスラ*純正ナビ*Bカメラ*BTオーディオ*ワンセグTV*CD*ETC*310517</t>
        </is>
      </c>
      <c r="L339" s="8" t="inlineStr">
        <is>
          <t>https://page.auctions.yahoo.co.jp/jp/auction/v1233177557</t>
        </is>
      </c>
    </row>
    <row r="340">
      <c r="A340" s="13" t="inlineStr">
        <is>
          <t>シエンタ</t>
        </is>
      </c>
      <c r="B340" s="13" t="n">
        <v>2017</v>
      </c>
      <c r="C340" s="13" t="inlineStr">
        <is>
          <t>170系</t>
        </is>
      </c>
      <c r="D340" s="15" t="n">
        <v>396000</v>
      </c>
      <c r="E340" s="13" t="n">
        <v>91</v>
      </c>
      <c r="F340" s="15" t="n">
        <v>126000</v>
      </c>
      <c r="G340" s="13" t="inlineStr">
        <is>
          <t>REAL_MILEAGE</t>
        </is>
      </c>
      <c r="H340" s="13" t="inlineStr">
        <is>
          <t>NONE</t>
        </is>
      </c>
      <c r="I340" s="15" t="n">
        <v>0</v>
      </c>
      <c r="J340" s="13" t="inlineStr">
        <is>
          <t>2026-06-03T21:53:21+09:00</t>
        </is>
      </c>
      <c r="K340" s="14" t="inlineStr">
        <is>
          <t>トヨタ シエンタ ハイブリッド G（NHP170G） 自走可能・車検長期付き。</t>
        </is>
      </c>
      <c r="L340" s="13" t="inlineStr">
        <is>
          <t>https://page.auctions.yahoo.co.jp/jp/auction/g1231776296</t>
        </is>
      </c>
    </row>
    <row r="341">
      <c r="A341" s="8" t="inlineStr">
        <is>
          <t>シエンタ</t>
        </is>
      </c>
      <c r="B341" s="8" t="n">
        <v>2017</v>
      </c>
      <c r="C341" s="8" t="inlineStr">
        <is>
          <t>170系</t>
        </is>
      </c>
      <c r="D341" s="11" t="n">
        <v>831000</v>
      </c>
      <c r="E341" s="8" t="n">
        <v>19</v>
      </c>
      <c r="F341" s="11" t="n">
        <v>66000</v>
      </c>
      <c r="G341" s="8" t="inlineStr">
        <is>
          <t>REAL_MILEAGE</t>
        </is>
      </c>
      <c r="H341" s="8" t="n"/>
      <c r="I341" s="11" t="n">
        <v>0</v>
      </c>
      <c r="J341" s="8" t="inlineStr">
        <is>
          <t>2026-04-05T21:36:36+09:00</t>
        </is>
      </c>
      <c r="K341" s="14" t="inlineStr">
        <is>
          <t>個人出品 平成29年 トヨタ シエンタ　ハイブリッド　1.5G　クエロ　66,000キロ 検R8.11 モデリスタフルエアロ 神奈川</t>
        </is>
      </c>
      <c r="L341" s="8" t="inlineStr">
        <is>
          <t>https://page.auctions.yahoo.co.jp/jp/auction/o1224406484</t>
        </is>
      </c>
    </row>
    <row r="342">
      <c r="A342" s="13" t="inlineStr">
        <is>
          <t>シエンタ</t>
        </is>
      </c>
      <c r="B342" s="13" t="n">
        <v>2016</v>
      </c>
      <c r="C342" s="13" t="inlineStr">
        <is>
          <t>170系</t>
        </is>
      </c>
      <c r="D342" s="15" t="n">
        <v>413000</v>
      </c>
      <c r="E342" s="13" t="n">
        <v>80</v>
      </c>
      <c r="F342" s="15" t="n">
        <v>187700</v>
      </c>
      <c r="G342" s="13" t="inlineStr">
        <is>
          <t>REAL_MILEAGE</t>
        </is>
      </c>
      <c r="H342" s="13" t="inlineStr">
        <is>
          <t>NONE</t>
        </is>
      </c>
      <c r="I342" s="15" t="n">
        <v>38740</v>
      </c>
      <c r="J342" s="13" t="inlineStr">
        <is>
          <t>2026-08-19T22:22:01+09:00</t>
        </is>
      </c>
      <c r="K342" s="14" t="inlineStr">
        <is>
          <t>トヨタ シエンタ ハイブリッド G 車検R9 年4月 ☆両側電動スライド／トヨタセーフティセンス／純正ナビ／バックカメラ／LEDヘッドライト</t>
        </is>
      </c>
      <c r="L342" s="13" t="inlineStr">
        <is>
          <t>https://page.auctions.yahoo.co.jp/jp/auction/j1236931459</t>
        </is>
      </c>
    </row>
    <row r="343">
      <c r="A343" s="8" t="inlineStr">
        <is>
          <t>シエンタ</t>
        </is>
      </c>
      <c r="B343" s="8" t="n">
        <v>2016</v>
      </c>
      <c r="C343" s="8" t="inlineStr">
        <is>
          <t>170系</t>
        </is>
      </c>
      <c r="D343" s="11" t="n">
        <v>445000</v>
      </c>
      <c r="E343" s="8" t="n">
        <v>124</v>
      </c>
      <c r="F343" s="11" t="n">
        <v>184400</v>
      </c>
      <c r="G343" s="8" t="inlineStr">
        <is>
          <t>REAL_MILEAGE</t>
        </is>
      </c>
      <c r="H343" s="8" t="inlineStr">
        <is>
          <t>NONE</t>
        </is>
      </c>
      <c r="I343" s="11" t="n">
        <v>33360</v>
      </c>
      <c r="J343" s="8" t="inlineStr">
        <is>
          <t>2026-08-05T23:24:50+09:00</t>
        </is>
      </c>
      <c r="K343" s="14" t="inlineStr">
        <is>
          <t>H28 シエンタハイブリッド☆上級グレードG☆トヨタセーフティセンス☆LEDヘッドライト☆バックカメラ☆両側パワスラドア☆プリクラッシュ☆</t>
        </is>
      </c>
      <c r="L343" s="8" t="inlineStr">
        <is>
          <t>https://page.auctions.yahoo.co.jp/jp/auction/f1239039938</t>
        </is>
      </c>
    </row>
    <row r="344">
      <c r="A344" s="13" t="inlineStr">
        <is>
          <t>シエンタ</t>
        </is>
      </c>
      <c r="B344" s="13" t="n">
        <v>2016</v>
      </c>
      <c r="C344" s="13" t="inlineStr">
        <is>
          <t>170系</t>
        </is>
      </c>
      <c r="D344" s="15" t="n">
        <v>415000</v>
      </c>
      <c r="E344" s="13" t="n">
        <v>131</v>
      </c>
      <c r="F344" s="15" t="n">
        <v>220000</v>
      </c>
      <c r="G344" s="13" t="inlineStr">
        <is>
          <t>REAL_MILEAGE</t>
        </is>
      </c>
      <c r="H344" s="13" t="inlineStr">
        <is>
          <t>NONE</t>
        </is>
      </c>
      <c r="I344" s="15" t="n">
        <v>39110</v>
      </c>
      <c r="J344" s="13" t="inlineStr">
        <is>
          <t>2026-07-29T21:38:45+09:00</t>
        </is>
      </c>
      <c r="K344" s="14" t="inlineStr">
        <is>
          <t>H28 シエンタHV 最上級Gグレード ナビ 地デジ Bモニター 両側パワスラ モデリスタ ドラレコ 検9年3月 ETC 外アルミ リアモニター 大阪</t>
        </is>
      </c>
      <c r="L344" s="13" t="inlineStr">
        <is>
          <t>https://page.auctions.yahoo.co.jp/jp/auction/c1237700255</t>
        </is>
      </c>
    </row>
    <row r="345">
      <c r="A345" s="8" t="inlineStr">
        <is>
          <t>シエンタ</t>
        </is>
      </c>
      <c r="B345" s="8" t="n">
        <v>2016</v>
      </c>
      <c r="C345" s="8" t="inlineStr">
        <is>
          <t>170系</t>
        </is>
      </c>
      <c r="D345" s="11" t="n">
        <v>363000</v>
      </c>
      <c r="E345" s="8" t="n">
        <v>89</v>
      </c>
      <c r="F345" s="11" t="n">
        <v>220000</v>
      </c>
      <c r="G345" s="8" t="inlineStr">
        <is>
          <t>REAL_MILEAGE</t>
        </is>
      </c>
      <c r="H345" s="8" t="inlineStr">
        <is>
          <t>NONE</t>
        </is>
      </c>
      <c r="I345" s="11" t="n">
        <v>47720</v>
      </c>
      <c r="J345" s="8" t="inlineStr">
        <is>
          <t>2026-06-26T21:40:25+09:00</t>
        </is>
      </c>
      <c r="K345" s="14" t="inlineStr">
        <is>
          <t>H28 シエンタHV 最上級Gグレード ナビ 地デジ Bモニター ドラレコ 検9年3月 ETC 社外アルミ リアモニター 大阪発</t>
        </is>
      </c>
      <c r="L345" s="8" t="inlineStr">
        <is>
          <t>https://page.auctions.yahoo.co.jp/jp/auction/c1232604071</t>
        </is>
      </c>
    </row>
    <row r="346">
      <c r="A346" s="13" t="inlineStr">
        <is>
          <t>シエンタ</t>
        </is>
      </c>
      <c r="B346" s="13" t="n">
        <v>2016</v>
      </c>
      <c r="C346" s="13" t="inlineStr">
        <is>
          <t>170系</t>
        </is>
      </c>
      <c r="D346" s="15" t="n">
        <v>635000</v>
      </c>
      <c r="E346" s="13" t="n">
        <v>1</v>
      </c>
      <c r="F346" s="15" t="n">
        <v>106600</v>
      </c>
      <c r="G346" s="13" t="inlineStr">
        <is>
          <t>REAL_MILEAGE</t>
        </is>
      </c>
      <c r="H346" s="13" t="inlineStr">
        <is>
          <t>NONE</t>
        </is>
      </c>
      <c r="I346" s="15" t="n">
        <v>0</v>
      </c>
      <c r="J346" s="13" t="inlineStr">
        <is>
          <t>2026-06-22T13:21:54+09:00</t>
        </is>
      </c>
      <c r="K346" s="14" t="inlineStr">
        <is>
          <t>シエンタハイブリッド*検10/6迄*28年式!*スマートキー*両パワスラ*フリップダウン*純正ナビ*Bカメラ*DTV*BTオーディオ*DVD*CD*ETC*140525</t>
        </is>
      </c>
      <c r="L346" s="13" t="inlineStr">
        <is>
          <t>https://page.auctions.yahoo.co.jp/jp/auction/f1232281830</t>
        </is>
      </c>
    </row>
    <row r="347">
      <c r="A347" s="8" t="inlineStr">
        <is>
          <t>シエンタ</t>
        </is>
      </c>
      <c r="B347" s="8" t="n">
        <v>2016</v>
      </c>
      <c r="C347" s="8" t="inlineStr">
        <is>
          <t>170系</t>
        </is>
      </c>
      <c r="D347" s="11" t="n">
        <v>328000</v>
      </c>
      <c r="E347" s="8" t="n">
        <v>108</v>
      </c>
      <c r="F347" s="11" t="n">
        <v>290215</v>
      </c>
      <c r="G347" s="8" t="inlineStr">
        <is>
          <t>REAL_MILEAGE</t>
        </is>
      </c>
      <c r="H347" s="8" t="inlineStr">
        <is>
          <t>NONE</t>
        </is>
      </c>
      <c r="I347" s="11" t="n">
        <v>0</v>
      </c>
      <c r="J347" s="8" t="inlineStr">
        <is>
          <t>2026-03-24T22:23:30+09:00</t>
        </is>
      </c>
      <c r="K347" s="14" t="inlineStr">
        <is>
          <t>平成28年　トヨタシエンタ　ハイブリッドG 　DAA-NHP170G 両側パワースライドドア ナビ/DTV 1500cc 実走行 事故/修復歴無 東北 宮城 仙台</t>
        </is>
      </c>
      <c r="L347" s="8" t="inlineStr">
        <is>
          <t>https://page.auctions.yahoo.co.jp/jp/auction/w1223154432</t>
        </is>
      </c>
    </row>
    <row r="348">
      <c r="A348" s="13" t="inlineStr">
        <is>
          <t>シエンタ</t>
        </is>
      </c>
      <c r="B348" s="13" t="n">
        <v>2015</v>
      </c>
      <c r="C348" s="13" t="inlineStr">
        <is>
          <t>80系</t>
        </is>
      </c>
      <c r="D348" s="15" t="n">
        <v>479000</v>
      </c>
      <c r="E348" s="13" t="n">
        <v>1</v>
      </c>
      <c r="F348" s="15" t="n">
        <v>83390</v>
      </c>
      <c r="G348" s="13" t="inlineStr">
        <is>
          <t>REAL_MILEAGE</t>
        </is>
      </c>
      <c r="H348" s="13" t="inlineStr">
        <is>
          <t>NONE</t>
        </is>
      </c>
      <c r="I348" s="15" t="n">
        <v>35360</v>
      </c>
      <c r="J348" s="13" t="inlineStr">
        <is>
          <t>2026-08-20T18:20:09+09:00</t>
        </is>
      </c>
      <c r="K348" s="14" t="inlineStr">
        <is>
          <t>【修復歴無】埼玉発 H27 シエンタHV G 車検R8/9 実走行8万km台 両側パワスラ/社外ナビ/スマートキー/ETC/バックカメラ</t>
        </is>
      </c>
      <c r="L348" s="13" t="inlineStr">
        <is>
          <t>https://page.auctions.yahoo.co.jp/jp/auction/j1240512376</t>
        </is>
      </c>
    </row>
    <row r="349">
      <c r="A349" s="8" t="inlineStr">
        <is>
          <t>シエンタ</t>
        </is>
      </c>
      <c r="B349" s="8" t="n">
        <v>2015</v>
      </c>
      <c r="C349" s="8" t="inlineStr">
        <is>
          <t>170系</t>
        </is>
      </c>
      <c r="D349" s="11" t="n">
        <v>585000</v>
      </c>
      <c r="E349" s="8" t="n">
        <v>1</v>
      </c>
      <c r="F349" s="11" t="n">
        <v>153200</v>
      </c>
      <c r="G349" s="8" t="inlineStr">
        <is>
          <t>REAL_MILEAGE</t>
        </is>
      </c>
      <c r="H349" s="8" t="inlineStr">
        <is>
          <t>EXISTS</t>
        </is>
      </c>
      <c r="I349" s="11" t="n">
        <v>41160</v>
      </c>
      <c r="J349" s="8" t="inlineStr">
        <is>
          <t>2026-08-19T17:24:57+09:00</t>
        </is>
      </c>
      <c r="K349" s="14" t="inlineStr">
        <is>
          <t>H27年式*シエンタ*ハイブリッドG*検10/8迄*LEDヘッドライト*スマートキー*両パワスラ*純正ナビ*Bカメラ*BTオーディオ*DTV*DVD*CD*110622</t>
        </is>
      </c>
      <c r="L349" s="8" t="inlineStr">
        <is>
          <t>https://page.auctions.yahoo.co.jp/jp/auction/n1235080628</t>
        </is>
      </c>
    </row>
    <row r="350">
      <c r="A350" s="13" t="inlineStr">
        <is>
          <t>シエンタ</t>
        </is>
      </c>
      <c r="B350" s="13" t="n">
        <v>2015</v>
      </c>
      <c r="C350" s="13" t="inlineStr">
        <is>
          <t>170系</t>
        </is>
      </c>
      <c r="D350" s="15" t="n">
        <v>404000</v>
      </c>
      <c r="E350" s="13" t="n">
        <v>88</v>
      </c>
      <c r="F350" s="15" t="n">
        <v>135000</v>
      </c>
      <c r="G350" s="13" t="inlineStr">
        <is>
          <t>REAL_MILEAGE</t>
        </is>
      </c>
      <c r="H350" s="13" t="n"/>
      <c r="I350" s="15" t="n">
        <v>13000</v>
      </c>
      <c r="J350" s="13" t="inlineStr">
        <is>
          <t>2026-06-24T16:29:33+09:00</t>
        </is>
      </c>
      <c r="K350" s="14" t="inlineStr">
        <is>
          <t>【売切り】平成27年 トヨタ シエンタ ハイブリッドG 両側パワースライドドア スマートキー 機関良好「2年車検付きも可能です。</t>
        </is>
      </c>
      <c r="L350" s="13" t="inlineStr">
        <is>
          <t>https://page.auctions.yahoo.co.jp/jp/auction/n1232824825</t>
        </is>
      </c>
    </row>
    <row r="351">
      <c r="A351" s="8" t="inlineStr">
        <is>
          <t>シエンタ</t>
        </is>
      </c>
      <c r="B351" s="8" t="n">
        <v>2015</v>
      </c>
      <c r="C351" s="8" t="inlineStr">
        <is>
          <t>170系</t>
        </is>
      </c>
      <c r="D351" s="11" t="n">
        <v>698000</v>
      </c>
      <c r="E351" s="8" t="n">
        <v>1</v>
      </c>
      <c r="F351" s="11" t="n">
        <v>86000</v>
      </c>
      <c r="G351" s="8" t="inlineStr">
        <is>
          <t>REAL_MILEAGE</t>
        </is>
      </c>
      <c r="H351" s="8" t="inlineStr">
        <is>
          <t>NONE</t>
        </is>
      </c>
      <c r="I351" s="11" t="n">
        <v>0</v>
      </c>
      <c r="J351" s="8" t="inlineStr">
        <is>
          <t>2026-06-06T06:56:12+09:00</t>
        </is>
      </c>
      <c r="K351" s="14" t="inlineStr">
        <is>
          <t>シエンタ ハイブリッド 1.5 G 両側オートスライド ブレーキサポート</t>
        </is>
      </c>
      <c r="L351" s="8" t="inlineStr">
        <is>
          <t>https://page.auctions.yahoo.co.jp/jp/auction/m1226884327</t>
        </is>
      </c>
    </row>
    <row r="352">
      <c r="A352" s="13" t="inlineStr">
        <is>
          <t>シエンタ</t>
        </is>
      </c>
      <c r="B352" s="13" t="n">
        <v>2015</v>
      </c>
      <c r="C352" s="13" t="inlineStr">
        <is>
          <t>80系</t>
        </is>
      </c>
      <c r="D352" s="15" t="n">
        <v>663000</v>
      </c>
      <c r="E352" s="13" t="n">
        <v>1</v>
      </c>
      <c r="F352" s="15" t="n">
        <v>94000</v>
      </c>
      <c r="G352" s="13" t="inlineStr">
        <is>
          <t>REAL_MILEAGE</t>
        </is>
      </c>
      <c r="H352" s="13" t="inlineStr">
        <is>
          <t>NONE</t>
        </is>
      </c>
      <c r="I352" s="15" t="n">
        <v>0</v>
      </c>
      <c r="J352" s="13" t="inlineStr">
        <is>
          <t>2026-05-01T23:03:21+09:00</t>
        </is>
      </c>
      <c r="K352" s="14" t="inlineStr">
        <is>
          <t>【諸費用コミ】:【在庫確認必須】 シエンタ</t>
        </is>
      </c>
      <c r="L352" s="13" t="inlineStr">
        <is>
          <t>https://page.auctions.yahoo.co.jp/jp/auction/o1226866534</t>
        </is>
      </c>
    </row>
    <row r="353">
      <c r="A353" s="8" t="inlineStr">
        <is>
          <t>シエンタ</t>
        </is>
      </c>
      <c r="B353" s="8" t="n">
        <v>2015</v>
      </c>
      <c r="C353" s="8" t="inlineStr">
        <is>
          <t>170系</t>
        </is>
      </c>
      <c r="D353" s="11" t="n">
        <v>400000</v>
      </c>
      <c r="E353" s="8" t="n">
        <v>1</v>
      </c>
      <c r="F353" s="11" t="n">
        <v>178000</v>
      </c>
      <c r="G353" s="8" t="inlineStr">
        <is>
          <t>REAL_MILEAGE</t>
        </is>
      </c>
      <c r="H353" s="8" t="inlineStr">
        <is>
          <t>NONE</t>
        </is>
      </c>
      <c r="I353" s="11" t="n">
        <v>0</v>
      </c>
      <c r="J353" s="8" t="inlineStr">
        <is>
          <t>2026-04-23T12:54:20+09:00</t>
        </is>
      </c>
      <c r="K353" s="14" t="inlineStr">
        <is>
          <t>シエンタX　車検9年1月　7人乗</t>
        </is>
      </c>
      <c r="L353" s="8" t="inlineStr">
        <is>
          <t>https://page.auctions.yahoo.co.jp/jp/auction/f1226281939</t>
        </is>
      </c>
    </row>
    <row r="354">
      <c r="A354" s="13" t="inlineStr">
        <is>
          <t>シエンタ</t>
        </is>
      </c>
      <c r="B354" s="13" t="n">
        <v>2015</v>
      </c>
      <c r="C354" s="13" t="inlineStr">
        <is>
          <t>170系</t>
        </is>
      </c>
      <c r="D354" s="15" t="n">
        <v>508000</v>
      </c>
      <c r="E354" s="13" t="n">
        <v>1</v>
      </c>
      <c r="F354" s="15" t="n">
        <v>159185</v>
      </c>
      <c r="G354" s="13" t="inlineStr">
        <is>
          <t>REAL_MILEAGE</t>
        </is>
      </c>
      <c r="H354" s="13" t="inlineStr">
        <is>
          <t>NONE</t>
        </is>
      </c>
      <c r="I354" s="15" t="n">
        <v>0</v>
      </c>
      <c r="J354" s="13" t="inlineStr">
        <is>
          <t>2026-04-20T11:14:47+09:00</t>
        </is>
      </c>
      <c r="K354" s="14" t="inlineStr">
        <is>
          <t>シエンタ　ハイブリッド　G　モデリスタ　エアロ</t>
        </is>
      </c>
      <c r="L354" s="13" t="inlineStr">
        <is>
          <t>https://page.auctions.yahoo.co.jp/jp/auction/f1226517649</t>
        </is>
      </c>
    </row>
    <row r="355">
      <c r="A355" s="8" t="inlineStr">
        <is>
          <t>シエンタ</t>
        </is>
      </c>
      <c r="B355" s="8" t="n">
        <v>2015</v>
      </c>
      <c r="C355" s="8" t="inlineStr">
        <is>
          <t>170系</t>
        </is>
      </c>
      <c r="D355" s="11" t="n">
        <v>601100</v>
      </c>
      <c r="E355" s="8" t="n">
        <v>133</v>
      </c>
      <c r="F355" s="11" t="n">
        <v>102250</v>
      </c>
      <c r="G355" s="8" t="inlineStr">
        <is>
          <t>REAL_MILEAGE</t>
        </is>
      </c>
      <c r="H355" s="8" t="inlineStr">
        <is>
          <t>NONE</t>
        </is>
      </c>
      <c r="I355" s="11" t="n">
        <v>0</v>
      </c>
      <c r="J355" s="8" t="inlineStr">
        <is>
          <t>2026-04-11T19:26:29+09:00</t>
        </is>
      </c>
      <c r="K355" s="14" t="inlineStr">
        <is>
          <t>平成27年 トヨタ シエンタ (NHP170G )ハイブリッドG スマートキー/プッシュスタート/パナソニック SDナビゲーション, ETC</t>
        </is>
      </c>
      <c r="L355" s="8" t="inlineStr">
        <is>
          <t>https://page.auctions.yahoo.co.jp/jp/auction/p1224911028</t>
        </is>
      </c>
    </row>
    <row r="356">
      <c r="A356" s="13" t="inlineStr">
        <is>
          <t>シエンタ</t>
        </is>
      </c>
      <c r="B356" s="13" t="n">
        <v>2015</v>
      </c>
      <c r="C356" s="13" t="inlineStr">
        <is>
          <t>170系</t>
        </is>
      </c>
      <c r="D356" s="15" t="n">
        <v>611000</v>
      </c>
      <c r="E356" s="13" t="n">
        <v>53</v>
      </c>
      <c r="F356" s="15" t="n">
        <v>70950</v>
      </c>
      <c r="G356" s="13" t="inlineStr">
        <is>
          <t>REAL_MILEAGE</t>
        </is>
      </c>
      <c r="H356" s="13" t="inlineStr">
        <is>
          <t>NONE</t>
        </is>
      </c>
      <c r="I356" s="15" t="n">
        <v>0</v>
      </c>
      <c r="J356" s="13" t="inlineStr">
        <is>
          <t>2026-04-01T11:25:42+09:00</t>
        </is>
      </c>
      <c r="K356" s="14" t="inlineStr">
        <is>
          <t>平成27年 トヨタ シエンタ (NHP170G )ハイブリッドG (走行距離7万キロ) スマートキー/プッシュスタート/パナソニック ナビゲーション, ETC</t>
        </is>
      </c>
      <c r="L356" s="13" t="inlineStr">
        <is>
          <t>https://page.auctions.yahoo.co.jp/jp/auction/h1224580266</t>
        </is>
      </c>
    </row>
    <row r="357">
      <c r="A357" s="8" t="inlineStr">
        <is>
          <t>シエンタ</t>
        </is>
      </c>
      <c r="B357" s="8" t="n">
        <v>2015</v>
      </c>
      <c r="C357" s="8" t="inlineStr">
        <is>
          <t>170系</t>
        </is>
      </c>
      <c r="D357" s="11" t="n">
        <v>719200</v>
      </c>
      <c r="E357" s="8" t="n">
        <v>2</v>
      </c>
      <c r="F357" s="11" t="n">
        <v>44300</v>
      </c>
      <c r="G357" s="8" t="inlineStr">
        <is>
          <t>REAL_MILEAGE</t>
        </is>
      </c>
      <c r="H357" s="8" t="inlineStr">
        <is>
          <t>NONE</t>
        </is>
      </c>
      <c r="I357" s="11" t="n">
        <v>0</v>
      </c>
      <c r="J357" s="8" t="inlineStr">
        <is>
          <t>2026-03-27T20:46:47+09:00</t>
        </is>
      </c>
      <c r="K357" s="14" t="inlineStr">
        <is>
          <t>関東/埼玉　H.27(2015)年 トヨタ シエンタ 1.5 G ヴィンテージブラウンパールクリスタルシャ 車検令和8年10月まで　走行44,300km</t>
        </is>
      </c>
      <c r="L357" s="8" t="inlineStr">
        <is>
          <t>https://page.auctions.yahoo.co.jp/jp/auction/j1218725685</t>
        </is>
      </c>
    </row>
    <row r="358">
      <c r="A358" s="13" t="inlineStr">
        <is>
          <t>シエンタ</t>
        </is>
      </c>
      <c r="B358" s="13" t="n">
        <v>2015</v>
      </c>
      <c r="C358" s="13" t="inlineStr">
        <is>
          <t>170系</t>
        </is>
      </c>
      <c r="D358" s="15" t="n">
        <v>501000</v>
      </c>
      <c r="E358" s="13" t="n">
        <v>2</v>
      </c>
      <c r="F358" s="15" t="n">
        <v>145600</v>
      </c>
      <c r="G358" s="13" t="inlineStr">
        <is>
          <t>REAL_MILEAGE</t>
        </is>
      </c>
      <c r="H358" s="13" t="inlineStr">
        <is>
          <t>NONE</t>
        </is>
      </c>
      <c r="I358" s="15" t="n">
        <v>0</v>
      </c>
      <c r="J358" s="13" t="inlineStr">
        <is>
          <t>2026-03-21T19:54:30+09:00</t>
        </is>
      </c>
      <c r="K358" s="14" t="inlineStr">
        <is>
          <t>シエンタ　ハイブリッドG　両側パワースライドドア　車検令和８年１１月まで</t>
        </is>
      </c>
      <c r="L358" s="13" t="inlineStr">
        <is>
          <t>https://page.auctions.yahoo.co.jp/jp/auction/n1222988431</t>
        </is>
      </c>
    </row>
    <row r="359">
      <c r="A359" s="8" t="inlineStr">
        <is>
          <t>シエンタ</t>
        </is>
      </c>
      <c r="B359" s="8" t="n">
        <v>2013</v>
      </c>
      <c r="C359" s="8" t="inlineStr">
        <is>
          <t>80系</t>
        </is>
      </c>
      <c r="D359" s="11" t="n">
        <v>200000</v>
      </c>
      <c r="E359" s="8" t="n">
        <v>1</v>
      </c>
      <c r="F359" s="11" t="n">
        <v>165020</v>
      </c>
      <c r="G359" s="8" t="inlineStr">
        <is>
          <t>REAL_MILEAGE</t>
        </is>
      </c>
      <c r="H359" s="8" t="inlineStr">
        <is>
          <t>NONE</t>
        </is>
      </c>
      <c r="I359" s="11" t="n">
        <v>40190</v>
      </c>
      <c r="J359" s="8" t="inlineStr">
        <is>
          <t>2026-06-15T13:44:56+09:00</t>
        </is>
      </c>
      <c r="K359" s="14" t="inlineStr">
        <is>
          <t>シエンタ　1.5 ダイス　乗って帰れます！</t>
        </is>
      </c>
      <c r="L359" s="8" t="inlineStr">
        <is>
          <t>https://page.auctions.yahoo.co.jp/jp/auction/x1233621522</t>
        </is>
      </c>
    </row>
    <row r="360">
      <c r="A360" s="13" t="inlineStr">
        <is>
          <t>シエンタ</t>
        </is>
      </c>
      <c r="B360" s="13" t="n">
        <v>2013</v>
      </c>
      <c r="C360" s="13" t="inlineStr">
        <is>
          <t>80系</t>
        </is>
      </c>
      <c r="D360" s="15" t="n">
        <v>450000</v>
      </c>
      <c r="E360" s="13" t="n">
        <v>1</v>
      </c>
      <c r="F360" s="15" t="n">
        <v>20558</v>
      </c>
      <c r="G360" s="13" t="inlineStr">
        <is>
          <t>REAL_MILEAGE</t>
        </is>
      </c>
      <c r="H360" s="13" t="n"/>
      <c r="I360" s="15" t="n">
        <v>0</v>
      </c>
      <c r="J360" s="13" t="inlineStr">
        <is>
          <t>2026-05-25T21:58:07+09:00</t>
        </is>
      </c>
      <c r="K360" s="14" t="inlineStr">
        <is>
          <t>シエンタ 後期 上級 ダイス 7人乗り 1オーナー 実走2万キロ 両側スライドドア HID Fフォグ ナビ 革巻ハンドル ETC</t>
        </is>
      </c>
      <c r="L360" s="13" t="inlineStr">
        <is>
          <t>https://page.auctions.yahoo.co.jp/jp/auction/k1219846304</t>
        </is>
      </c>
    </row>
    <row r="361">
      <c r="A361" s="8" t="inlineStr">
        <is>
          <t>シエンタ</t>
        </is>
      </c>
      <c r="B361" s="8" t="n">
        <v>2012</v>
      </c>
      <c r="C361" s="8" t="inlineStr">
        <is>
          <t>80系</t>
        </is>
      </c>
      <c r="D361" s="11" t="n">
        <v>170000</v>
      </c>
      <c r="E361" s="8" t="n">
        <v>26</v>
      </c>
      <c r="F361" s="11" t="n">
        <v>182396</v>
      </c>
      <c r="G361" s="8" t="inlineStr">
        <is>
          <t>REAL_MILEAGE</t>
        </is>
      </c>
      <c r="H361" s="8" t="n"/>
      <c r="I361" s="11" t="n">
        <v>0</v>
      </c>
      <c r="J361" s="8" t="inlineStr">
        <is>
          <t>2026-07-24T21:59:58+09:00</t>
        </is>
      </c>
      <c r="K361" s="14" t="inlineStr">
        <is>
          <t>大阪1681★ TOYOTA/トヨタ 平成24年式 SIENTA シエンタ ダイスリミテッド 実動 書類無し DBA-NCP81G 1NZ 片側電動スライドドア ETC 売切り</t>
        </is>
      </c>
      <c r="L361" s="8" t="inlineStr">
        <is>
          <t>https://page.auctions.yahoo.co.jp/jp/auction/q1237645675</t>
        </is>
      </c>
    </row>
    <row r="362">
      <c r="A362" s="13" t="inlineStr">
        <is>
          <t>シエンタ</t>
        </is>
      </c>
      <c r="B362" s="13" t="n">
        <v>2012</v>
      </c>
      <c r="C362" s="13" t="inlineStr">
        <is>
          <t>80系</t>
        </is>
      </c>
      <c r="D362" s="15" t="n">
        <v>350000</v>
      </c>
      <c r="E362" s="13" t="n">
        <v>1</v>
      </c>
      <c r="F362" s="15" t="n">
        <v>69500</v>
      </c>
      <c r="G362" s="13" t="inlineStr">
        <is>
          <t>REAL_MILEAGE</t>
        </is>
      </c>
      <c r="H362" s="13" t="inlineStr">
        <is>
          <t>NONE</t>
        </is>
      </c>
      <c r="I362" s="15" t="n">
        <v>10490</v>
      </c>
      <c r="J362" s="13" t="inlineStr">
        <is>
          <t>2026-07-02T13:07:08+09:00</t>
        </is>
      </c>
      <c r="K362" s="14" t="inlineStr">
        <is>
          <t>◎NCP81G後期型シエンタダイスのカスタムチック赤/黒ツートンカラーのお洒落仕様 旧車 希少車 ヂパング車店</t>
        </is>
      </c>
      <c r="L362" s="13" t="inlineStr">
        <is>
          <t>https://page.auctions.yahoo.co.jp/jp/auction/v1234921019</t>
        </is>
      </c>
    </row>
    <row r="363">
      <c r="A363" s="8" t="inlineStr">
        <is>
          <t>シエンタ</t>
        </is>
      </c>
      <c r="B363" s="8" t="n">
        <v>2012</v>
      </c>
      <c r="C363" s="8" t="inlineStr">
        <is>
          <t>80系</t>
        </is>
      </c>
      <c r="D363" s="11" t="n">
        <v>830000</v>
      </c>
      <c r="E363" s="8" t="n">
        <v>1</v>
      </c>
      <c r="F363" s="11" t="n">
        <v>86726</v>
      </c>
      <c r="G363" s="8" t="inlineStr">
        <is>
          <t>REAL_MILEAGE</t>
        </is>
      </c>
      <c r="H363" s="8" t="inlineStr">
        <is>
          <t>NONE</t>
        </is>
      </c>
      <c r="I363" s="11" t="n">
        <v>0</v>
      </c>
      <c r="J363" s="8" t="inlineStr">
        <is>
          <t>2026-06-18T22:49:34+09:00</t>
        </is>
      </c>
      <c r="K363" s="14" t="inlineStr">
        <is>
          <t>シエンタL-1-8</t>
        </is>
      </c>
      <c r="L363" s="8" t="inlineStr">
        <is>
          <t>https://page.auctions.yahoo.co.jp/jp/auction/c1234046994</t>
        </is>
      </c>
    </row>
    <row r="364">
      <c r="A364" s="13" t="inlineStr">
        <is>
          <t>シエンタ</t>
        </is>
      </c>
      <c r="B364" s="13" t="n">
        <v>2012</v>
      </c>
      <c r="C364" s="13" t="inlineStr">
        <is>
          <t>80系</t>
        </is>
      </c>
      <c r="D364" s="15" t="n">
        <v>800000</v>
      </c>
      <c r="E364" s="13" t="n">
        <v>1</v>
      </c>
      <c r="F364" s="15" t="n">
        <v>109209</v>
      </c>
      <c r="G364" s="13" t="inlineStr">
        <is>
          <t>REAL_MILEAGE</t>
        </is>
      </c>
      <c r="H364" s="13" t="inlineStr">
        <is>
          <t>NONE</t>
        </is>
      </c>
      <c r="I364" s="15" t="n">
        <v>0</v>
      </c>
      <c r="J364" s="13" t="inlineStr">
        <is>
          <t>2026-06-18T22:49:13+09:00</t>
        </is>
      </c>
      <c r="K364" s="14" t="inlineStr">
        <is>
          <t>トヨタ　シエンタ　1.5 ダイス リミテッド</t>
        </is>
      </c>
      <c r="L364" s="13" t="inlineStr">
        <is>
          <t>https://page.auctions.yahoo.co.jp/jp/auction/k1234051626</t>
        </is>
      </c>
    </row>
    <row r="365">
      <c r="A365" s="8" t="inlineStr">
        <is>
          <t>シエンタ</t>
        </is>
      </c>
      <c r="B365" s="8" t="n">
        <v>2011</v>
      </c>
      <c r="C365" s="8" t="inlineStr">
        <is>
          <t>80系</t>
        </is>
      </c>
      <c r="D365" s="11" t="n">
        <v>660000</v>
      </c>
      <c r="E365" s="8" t="n">
        <v>1</v>
      </c>
      <c r="F365" s="11" t="n">
        <v>152000</v>
      </c>
      <c r="G365" s="8" t="inlineStr">
        <is>
          <t>REAL_MILEAGE</t>
        </is>
      </c>
      <c r="H365" s="8" t="inlineStr">
        <is>
          <t>EXISTS</t>
        </is>
      </c>
      <c r="I365" s="11" t="n">
        <v>0</v>
      </c>
      <c r="J365" s="8" t="inlineStr">
        <is>
          <t>2026-06-18T22:49:00+09:00</t>
        </is>
      </c>
      <c r="K365" s="14" t="inlineStr">
        <is>
          <t>シエンタ　X 1LPk</t>
        </is>
      </c>
      <c r="L365" s="8" t="inlineStr">
        <is>
          <t>https://page.auctions.yahoo.co.jp/jp/auction/d1234049595</t>
        </is>
      </c>
    </row>
    <row r="366">
      <c r="A366" s="13" t="inlineStr">
        <is>
          <t>シエンタ</t>
        </is>
      </c>
      <c r="B366" s="13" t="n">
        <v>2009</v>
      </c>
      <c r="C366" s="13" t="inlineStr">
        <is>
          <t>80系</t>
        </is>
      </c>
      <c r="D366" s="15" t="n">
        <v>251000</v>
      </c>
      <c r="E366" s="13" t="n">
        <v>29</v>
      </c>
      <c r="F366" s="15" t="n">
        <v>128800</v>
      </c>
      <c r="G366" s="13" t="inlineStr">
        <is>
          <t>REAL_MILEAGE</t>
        </is>
      </c>
      <c r="H366" s="13" t="inlineStr">
        <is>
          <t>NONE</t>
        </is>
      </c>
      <c r="I366" s="15" t="n">
        <v>11200</v>
      </c>
      <c r="J366" s="13" t="inlineStr">
        <is>
          <t>2026-07-12T19:26:35+09:00</t>
        </is>
      </c>
      <c r="K366" s="14" t="inlineStr">
        <is>
          <t>トヨタシエンタNCP81G 1円スタート　売り切り</t>
        </is>
      </c>
      <c r="L366" s="13" t="inlineStr">
        <is>
          <t>https://page.auctions.yahoo.co.jp/jp/auction/l1234245317</t>
        </is>
      </c>
    </row>
    <row r="367">
      <c r="A367" s="8" t="inlineStr">
        <is>
          <t>シエンタ</t>
        </is>
      </c>
      <c r="B367" s="8" t="n">
        <v>2009</v>
      </c>
      <c r="C367" s="8" t="inlineStr">
        <is>
          <t>80系</t>
        </is>
      </c>
      <c r="D367" s="11" t="n">
        <v>165000</v>
      </c>
      <c r="E367" s="8" t="n">
        <v>1</v>
      </c>
      <c r="F367" s="11" t="n">
        <v>294000</v>
      </c>
      <c r="G367" s="8" t="inlineStr">
        <is>
          <t>REAL_MILEAGE</t>
        </is>
      </c>
      <c r="H367" s="8" t="n"/>
      <c r="I367" s="11" t="n">
        <v>0</v>
      </c>
      <c r="J367" s="8" t="inlineStr">
        <is>
          <t>2026-02-25T19:11:43+09:00</t>
        </is>
      </c>
      <c r="K367" s="14" t="inlineStr">
        <is>
          <t>売り切り　個人　シエンタ　NCP81G 1NZ 貿易　輸出　抹消渡し　自家用　輸出用　部品取りにも　多走行です　愛知県北部から</t>
        </is>
      </c>
      <c r="L367" s="8" t="inlineStr">
        <is>
          <t>https://page.auctions.yahoo.co.jp/jp/auction/s1220612316</t>
        </is>
      </c>
    </row>
    <row r="368">
      <c r="A368" s="13" t="inlineStr">
        <is>
          <t>シエンタ</t>
        </is>
      </c>
      <c r="B368" s="13" t="n">
        <v>2006</v>
      </c>
      <c r="C368" s="13" t="inlineStr">
        <is>
          <t>80系</t>
        </is>
      </c>
      <c r="D368" s="15" t="n">
        <v>130000</v>
      </c>
      <c r="E368" s="13" t="n">
        <v>1</v>
      </c>
      <c r="F368" s="15" t="n">
        <v>206096</v>
      </c>
      <c r="G368" s="13" t="inlineStr">
        <is>
          <t>REAL_MILEAGE</t>
        </is>
      </c>
      <c r="H368" s="13" t="n"/>
      <c r="I368" s="15" t="n">
        <v>11200</v>
      </c>
      <c r="J368" s="13" t="inlineStr">
        <is>
          <t>2026-06-20T18:35:21+09:00</t>
        </is>
      </c>
      <c r="K368" s="14" t="inlineStr">
        <is>
          <t>【難あり】八戸発 H18年 トヨタ TOYOTA シエンタ NCP85 X 4WD 抹消渡し 売切!!</t>
        </is>
      </c>
      <c r="L368" s="13" t="inlineStr">
        <is>
          <t>https://page.auctions.yahoo.co.jp/jp/auction/r1233752441</t>
        </is>
      </c>
    </row>
    <row r="369">
      <c r="A369" s="8" t="inlineStr">
        <is>
          <t>シエンタ</t>
        </is>
      </c>
      <c r="B369" s="8" t="n">
        <v>2005</v>
      </c>
      <c r="C369" s="8" t="inlineStr">
        <is>
          <t>80系</t>
        </is>
      </c>
      <c r="D369" s="11" t="n">
        <v>181000</v>
      </c>
      <c r="E369" s="8" t="n">
        <v>3</v>
      </c>
      <c r="F369" s="11" t="n">
        <v>112400</v>
      </c>
      <c r="G369" s="8" t="inlineStr">
        <is>
          <t>REAL_MILEAGE</t>
        </is>
      </c>
      <c r="H369" s="8" t="n"/>
      <c r="I369" s="11" t="n">
        <v>0</v>
      </c>
      <c r="J369" s="8" t="inlineStr">
        <is>
          <t>2026-03-08T11:01:46+09:00</t>
        </is>
      </c>
      <c r="K369" s="14" t="inlineStr">
        <is>
          <t xml:space="preserve">トヨタ シエンタ 平成17年 車検令和8年10月30日 走行112500km 希少色 機関好調 ETC </t>
        </is>
      </c>
      <c r="L369" s="8" t="inlineStr">
        <is>
          <t>https://page.auctions.yahoo.co.jp/jp/auction/g1220509509</t>
        </is>
      </c>
    </row>
    <row r="370">
      <c r="A370" s="13" t="inlineStr">
        <is>
          <t>シエンタ</t>
        </is>
      </c>
      <c r="B370" s="13" t="n">
        <v>2003</v>
      </c>
      <c r="C370" s="13" t="inlineStr">
        <is>
          <t>80系</t>
        </is>
      </c>
      <c r="D370" s="15" t="n">
        <v>160000</v>
      </c>
      <c r="E370" s="13" t="n">
        <v>84</v>
      </c>
      <c r="F370" s="15" t="n">
        <v>184139</v>
      </c>
      <c r="G370" s="13" t="inlineStr">
        <is>
          <t>REAL_MILEAGE</t>
        </is>
      </c>
      <c r="H370" s="13" t="inlineStr">
        <is>
          <t>NONE</t>
        </is>
      </c>
      <c r="I370" s="15" t="n">
        <v>0</v>
      </c>
      <c r="J370" s="13" t="inlineStr">
        <is>
          <t>2026-08-15T20:59:19+09:00</t>
        </is>
      </c>
      <c r="K370" s="14" t="inlineStr">
        <is>
          <t>【売り切り！】トヨタ シエンタ Xリミテッド NCP81G 1.5L 車検令和9年2月まで！</t>
        </is>
      </c>
      <c r="L370" s="13" t="inlineStr">
        <is>
          <t>https://page.auctions.yahoo.co.jp/jp/auction/s1239740855</t>
        </is>
      </c>
    </row>
    <row r="371">
      <c r="A371" s="8" t="inlineStr">
        <is>
          <t>シエンタ</t>
        </is>
      </c>
      <c r="B371" s="8" t="n">
        <v>2003</v>
      </c>
      <c r="C371" s="8" t="inlineStr">
        <is>
          <t>80系</t>
        </is>
      </c>
      <c r="D371" s="11" t="n">
        <v>130001</v>
      </c>
      <c r="E371" s="8" t="n">
        <v>28</v>
      </c>
      <c r="F371" s="11" t="n">
        <v>119089</v>
      </c>
      <c r="G371" s="8" t="inlineStr">
        <is>
          <t>REAL_MILEAGE</t>
        </is>
      </c>
      <c r="H371" s="8" t="n"/>
      <c r="I371" s="11" t="n">
        <v>0</v>
      </c>
      <c r="J371" s="8" t="inlineStr">
        <is>
          <t>2026-06-07T20:20:44+09:00</t>
        </is>
      </c>
      <c r="K371" s="14" t="inlineStr">
        <is>
          <t>値引【個人出品】 車検:令和9年(2027年)1月 東京都日野市 トヨタ シエンタ 7人乗 電動スライド 保護シートカバー付き 練習用など</t>
        </is>
      </c>
      <c r="L371" s="8" t="inlineStr">
        <is>
          <t>https://page.auctions.yahoo.co.jp/jp/auction/d1228031568</t>
        </is>
      </c>
    </row>
    <row r="372">
      <c r="A372" s="13" t="inlineStr">
        <is>
          <t>シエンタ</t>
        </is>
      </c>
      <c r="B372" s="13" t="n">
        <v>1991</v>
      </c>
      <c r="C372" s="13" t="inlineStr"/>
      <c r="D372" s="15" t="n">
        <v>573000</v>
      </c>
      <c r="E372" s="13" t="n">
        <v>73</v>
      </c>
      <c r="F372" s="15" t="n">
        <v>79400</v>
      </c>
      <c r="G372" s="13" t="inlineStr">
        <is>
          <t>REAL_MILEAGE</t>
        </is>
      </c>
      <c r="H372" s="13" t="inlineStr">
        <is>
          <t>NONE</t>
        </is>
      </c>
      <c r="I372" s="15" t="n">
        <v>0</v>
      </c>
      <c r="J372" s="13" t="inlineStr">
        <is>
          <t>2026-03-11T22:58:10+09:00</t>
        </is>
      </c>
      <c r="K372" s="14" t="inlineStr">
        <is>
          <t>トヨタシエンタ令和3/3 X 79400キーロ！！2年車検</t>
        </is>
      </c>
      <c r="L372" s="13" t="inlineStr">
        <is>
          <t>https://page.auctions.yahoo.co.jp/jp/auction/f1221865115</t>
        </is>
      </c>
    </row>
    <row r="373">
      <c r="A373" s="8" t="inlineStr">
        <is>
          <t>シエンタ</t>
        </is>
      </c>
      <c r="B373" s="8" t="n"/>
      <c r="C373" s="8" t="inlineStr"/>
      <c r="D373" s="11" t="n">
        <v>598000</v>
      </c>
      <c r="E373" s="8" t="n">
        <v>6</v>
      </c>
      <c r="F373" s="11" t="n"/>
      <c r="G373" s="8" t="n"/>
      <c r="H373" s="8" t="n"/>
      <c r="I373" s="11" t="n"/>
      <c r="J373" s="8" t="inlineStr">
        <is>
          <t>2026-08-08T15:28:29+09:00</t>
        </is>
      </c>
      <c r="K373" s="14" t="inlineStr">
        <is>
          <t>ハイブリッドＧ　車検１０年８月　両側パワースライドドア　純正ナビ　バックカメラ　ステアリングスイッチ　オートエアコン　ＬＥＤライト</t>
        </is>
      </c>
      <c r="L373" s="8" t="inlineStr">
        <is>
          <t>https://page.auctions.yahoo.co.jp/jp/auction/s1239992739</t>
        </is>
      </c>
    </row>
    <row r="374">
      <c r="A374" s="13" t="inlineStr">
        <is>
          <t>シエンタ</t>
        </is>
      </c>
      <c r="B374" s="13" t="n"/>
      <c r="C374" s="13" t="inlineStr"/>
      <c r="D374" s="15" t="n">
        <v>471000</v>
      </c>
      <c r="E374" s="13" t="n">
        <v>80</v>
      </c>
      <c r="F374" s="15" t="n"/>
      <c r="G374" s="13" t="n"/>
      <c r="H374" s="13" t="n"/>
      <c r="I374" s="15" t="n"/>
      <c r="J374" s="13" t="inlineStr">
        <is>
          <t>2026-08-01T21:14:41+09:00</t>
        </is>
      </c>
      <c r="K374" s="14" t="inlineStr">
        <is>
          <t>ハイブリッドＧ　車検１０年８月　修復なし　両側パワスラ　パイオニアナビ　Ｂカメラ　ＥＴＣ　シートヒーター　ドラレコ　ＬＥＤライト</t>
        </is>
      </c>
      <c r="L374" s="13" t="inlineStr">
        <is>
          <t>https://page.auctions.yahoo.co.jp/jp/auction/j1238385961</t>
        </is>
      </c>
    </row>
    <row r="375">
      <c r="A375" s="8" t="inlineStr">
        <is>
          <t>シエンタ</t>
        </is>
      </c>
      <c r="B375" s="8" t="n"/>
      <c r="C375" s="8" t="inlineStr"/>
      <c r="D375" s="11" t="n">
        <v>469000</v>
      </c>
      <c r="E375" s="8" t="n">
        <v>86</v>
      </c>
      <c r="F375" s="11" t="n"/>
      <c r="G375" s="8" t="n"/>
      <c r="H375" s="8" t="n"/>
      <c r="I375" s="11" t="n"/>
      <c r="J375" s="8" t="inlineStr">
        <is>
          <t>2026-07-26T21:14:21+09:00</t>
        </is>
      </c>
      <c r="K375" s="14" t="inlineStr">
        <is>
          <t>東大阪発　クエロ　ブラック209 モデリスタエアロ　ガソリン車　7人乗り 両側電動スライドドア　令和8年9月迄　支払い金額は落札金額のみ</t>
        </is>
      </c>
      <c r="L375" s="8" t="inlineStr">
        <is>
          <t>https://page.auctions.yahoo.co.jp/jp/auction/g1238170630</t>
        </is>
      </c>
    </row>
    <row r="376">
      <c r="A376" s="13" t="inlineStr">
        <is>
          <t>シエンタ</t>
        </is>
      </c>
      <c r="B376" s="13" t="n"/>
      <c r="C376" s="13" t="inlineStr"/>
      <c r="D376" s="15" t="n">
        <v>597000</v>
      </c>
      <c r="E376" s="13" t="n">
        <v>165</v>
      </c>
      <c r="F376" s="15" t="n"/>
      <c r="G376" s="13" t="n"/>
      <c r="H376" s="13" t="n"/>
      <c r="I376" s="15" t="n"/>
      <c r="J376" s="13" t="inlineStr">
        <is>
          <t>2026-06-30T22:14:39+09:00</t>
        </is>
      </c>
      <c r="K376" s="14" t="inlineStr">
        <is>
          <t>完全売切！【無事故/実走】28年式上級/ハイブリッドG☆人気の2x2x2/６人乗り☆衝突軽減/レーンキープ/LEDヘッド＆両側自動ドア☆車検R9.11</t>
        </is>
      </c>
      <c r="L376" s="13" t="inlineStr">
        <is>
          <t>https://page.auctions.yahoo.co.jp/jp/auction/b1234595984</t>
        </is>
      </c>
    </row>
    <row r="377">
      <c r="A377" s="8" t="inlineStr">
        <is>
          <t>シエンタ</t>
        </is>
      </c>
      <c r="B377" s="8" t="n"/>
      <c r="C377" s="8" t="inlineStr"/>
      <c r="D377" s="11" t="n">
        <v>540000</v>
      </c>
      <c r="E377" s="8" t="n">
        <v>62</v>
      </c>
      <c r="F377" s="11" t="n"/>
      <c r="G377" s="8" t="n"/>
      <c r="H377" s="8" t="n"/>
      <c r="I377" s="11" t="n"/>
      <c r="J377" s="8" t="inlineStr">
        <is>
          <t>2026-06-27T21:40:01+09:00</t>
        </is>
      </c>
      <c r="K377" s="14" t="inlineStr">
        <is>
          <t xml:space="preserve">ハイブリッドＧ　車検１０年７月　修復なし　ＰＣＳ　ＬＤＡ　ＡＨＢ　Ｓ-ＴＲＣ　両側パワスラ　純正ナビ　Ｂカメラ　シートヒーター　</t>
        </is>
      </c>
      <c r="L377" s="8" t="inlineStr">
        <is>
          <t>https://page.auctions.yahoo.co.jp/jp/auction/f1234273838</t>
        </is>
      </c>
    </row>
    <row r="378">
      <c r="A378" s="13" t="inlineStr">
        <is>
          <t>シエンタ</t>
        </is>
      </c>
      <c r="B378" s="13" t="n"/>
      <c r="C378" s="13" t="inlineStr"/>
      <c r="D378" s="15" t="n">
        <v>634000</v>
      </c>
      <c r="E378" s="13" t="n">
        <v>81</v>
      </c>
      <c r="F378" s="15" t="n"/>
      <c r="G378" s="13" t="n"/>
      <c r="H378" s="13" t="n"/>
      <c r="I378" s="15" t="n"/>
      <c r="J378" s="13" t="inlineStr">
        <is>
          <t>2026-06-18T22:00:37+09:00</t>
        </is>
      </c>
      <c r="K378" s="14" t="inlineStr">
        <is>
          <t>上級 ハイブリッド G トヨタセイフティーセンス 本車検2年 機関良好 両側自動ドア フルセグナビBT対応Bカメラ スマキー 自動ブレーキ Dレコ</t>
        </is>
      </c>
      <c r="L378" s="13" t="inlineStr">
        <is>
          <t>https://page.auctions.yahoo.co.jp/jp/auction/f1232568724</t>
        </is>
      </c>
    </row>
    <row r="379">
      <c r="A379" s="8" t="inlineStr">
        <is>
          <t>シエンタ</t>
        </is>
      </c>
      <c r="B379" s="8" t="n"/>
      <c r="C379" s="8" t="inlineStr"/>
      <c r="D379" s="11" t="n">
        <v>621000</v>
      </c>
      <c r="E379" s="8" t="n">
        <v>190</v>
      </c>
      <c r="F379" s="11" t="n"/>
      <c r="G379" s="8" t="n"/>
      <c r="H379" s="8" t="n"/>
      <c r="I379" s="11" t="n"/>
      <c r="J379" s="8" t="inlineStr">
        <is>
          <t>2026-06-17T21:33:49+09:00</t>
        </is>
      </c>
      <c r="K379" s="14" t="inlineStr">
        <is>
          <t>『陸送30%OFF』☆車検満タン10/6☆セ-フティセンス☆ハイブリッドG♪【Fダウンモニタ-/両パワスラ/ナビ/フルセグ/Bカメラ/スマ-トキ-/ETC】</t>
        </is>
      </c>
      <c r="L379" s="8" t="inlineStr">
        <is>
          <t>https://page.auctions.yahoo.co.jp/jp/auction/j1232658588</t>
        </is>
      </c>
    </row>
    <row r="380">
      <c r="A380" s="13" t="inlineStr">
        <is>
          <t>シエンタ</t>
        </is>
      </c>
      <c r="B380" s="13" t="n"/>
      <c r="C380" s="13" t="inlineStr"/>
      <c r="D380" s="15" t="n">
        <v>421000</v>
      </c>
      <c r="E380" s="13" t="n">
        <v>168</v>
      </c>
      <c r="F380" s="15" t="n"/>
      <c r="G380" s="13" t="n"/>
      <c r="H380" s="13" t="n"/>
      <c r="I380" s="15" t="n"/>
      <c r="J380" s="13" t="inlineStr">
        <is>
          <t>2026-05-28T22:42:07+09:00</t>
        </is>
      </c>
      <c r="K380" s="14" t="inlineStr">
        <is>
          <t>H28 シエンタHV 最上級Gグレード ナビ 地デジ Bモニター ドラレコ 検9年3月 ETC 社外アルミ リアモニター 大阪発</t>
        </is>
      </c>
      <c r="L380" s="13" t="inlineStr">
        <is>
          <t>https://page.auctions.yahoo.co.jp/jp/auction/t1230773918</t>
        </is>
      </c>
    </row>
    <row r="381">
      <c r="A381" s="8" t="inlineStr">
        <is>
          <t>シエンタ</t>
        </is>
      </c>
      <c r="B381" s="8" t="n"/>
      <c r="C381" s="8" t="inlineStr"/>
      <c r="D381" s="11" t="n">
        <v>619000</v>
      </c>
      <c r="E381" s="8" t="n">
        <v>73</v>
      </c>
      <c r="F381" s="11" t="n"/>
      <c r="G381" s="8" t="n"/>
      <c r="H381" s="8" t="n"/>
      <c r="I381" s="11" t="n"/>
      <c r="J381" s="8" t="inlineStr">
        <is>
          <t>2026-05-03T20:57:14+09:00</t>
        </is>
      </c>
      <c r="K381" s="14" t="inlineStr">
        <is>
          <t>【H28/1　シエンタ　ハイブリッドG　パワースライドドア　TV・ETC　売り切りスタート！！】</t>
        </is>
      </c>
      <c r="L381" s="8" t="inlineStr">
        <is>
          <t>https://page.auctions.yahoo.co.jp/jp/auction/e1228243925</t>
        </is>
      </c>
    </row>
    <row r="382">
      <c r="A382" s="13" t="inlineStr">
        <is>
          <t>シエンタ</t>
        </is>
      </c>
      <c r="B382" s="13" t="n"/>
      <c r="C382" s="13" t="inlineStr"/>
      <c r="D382" s="15" t="n">
        <v>665000</v>
      </c>
      <c r="E382" s="13" t="n">
        <v>176</v>
      </c>
      <c r="F382" s="15" t="n"/>
      <c r="G382" s="13" t="n"/>
      <c r="H382" s="13" t="n"/>
      <c r="I382" s="15" t="n"/>
      <c r="J382" s="13" t="inlineStr">
        <is>
          <t>2026-04-25T22:20:34+09:00</t>
        </is>
      </c>
      <c r="K382" s="14" t="inlineStr">
        <is>
          <t>トヨタシアンタ G、年式:平成30年6月、走行距離:50820KM、車検:いるなら受けてあげます、テレビ、ETC、外装と内装めちゃきれい、自走可能</t>
        </is>
      </c>
      <c r="L382" s="13" t="inlineStr">
        <is>
          <t>https://page.auctions.yahoo.co.jp/jp/auction/o1227404312</t>
        </is>
      </c>
    </row>
    <row r="383">
      <c r="A383" s="8" t="inlineStr">
        <is>
          <t>シエンタ</t>
        </is>
      </c>
      <c r="B383" s="8" t="n"/>
      <c r="C383" s="8" t="inlineStr"/>
      <c r="D383" s="11" t="n">
        <v>602000</v>
      </c>
      <c r="E383" s="8" t="n">
        <v>103</v>
      </c>
      <c r="F383" s="11" t="n"/>
      <c r="G383" s="8" t="n"/>
      <c r="H383" s="8" t="n"/>
      <c r="I383" s="11" t="n"/>
      <c r="J383" s="8" t="inlineStr">
        <is>
          <t>2026-04-25T21:38:01+09:00</t>
        </is>
      </c>
      <c r="K383" s="14" t="inlineStr">
        <is>
          <t>最上級ハイブリッドG　モデリスタ製フルエアロ＆リアスポイラー　HVシステム＆エンジン機関絶好調　修復歴無の艶ピカ極上美車</t>
        </is>
      </c>
      <c r="L383" s="8" t="inlineStr">
        <is>
          <t>https://page.auctions.yahoo.co.jp/jp/auction/e1226588363</t>
        </is>
      </c>
    </row>
    <row r="384">
      <c r="A384" s="13" t="inlineStr">
        <is>
          <t>シエンタ</t>
        </is>
      </c>
      <c r="B384" s="13" t="n"/>
      <c r="C384" s="13" t="inlineStr"/>
      <c r="D384" s="15" t="n">
        <v>192000</v>
      </c>
      <c r="E384" s="13" t="n">
        <v>21</v>
      </c>
      <c r="F384" s="15" t="n"/>
      <c r="G384" s="13" t="n"/>
      <c r="H384" s="13" t="n"/>
      <c r="I384" s="15" t="n"/>
      <c r="J384" s="13" t="inlineStr">
        <is>
          <t>2026-03-29T22:38:51+09:00</t>
        </is>
      </c>
      <c r="K384" s="14" t="inlineStr">
        <is>
          <t xml:space="preserve">平成25 ポルテ グレード F </t>
        </is>
      </c>
      <c r="L384" s="13" t="inlineStr">
        <is>
          <t>https://page.auctions.yahoo.co.jp/jp/auction/q1223553567</t>
        </is>
      </c>
    </row>
    <row r="385">
      <c r="A385" s="8" t="inlineStr">
        <is>
          <t>ノア</t>
        </is>
      </c>
      <c r="B385" s="8" t="n">
        <v>2023</v>
      </c>
      <c r="C385" s="8" t="inlineStr">
        <is>
          <t>90系</t>
        </is>
      </c>
      <c r="D385" s="11" t="n">
        <v>2921000</v>
      </c>
      <c r="E385" s="8" t="n">
        <v>1</v>
      </c>
      <c r="F385" s="11" t="n">
        <v>4000</v>
      </c>
      <c r="G385" s="8" t="inlineStr">
        <is>
          <t>REAL_MILEAGE</t>
        </is>
      </c>
      <c r="H385" s="8" t="inlineStr">
        <is>
          <t>NONE</t>
        </is>
      </c>
      <c r="I385" s="11" t="n">
        <v>0</v>
      </c>
      <c r="J385" s="8" t="inlineStr">
        <is>
          <t>2026-04-13T23:27:50+09:00</t>
        </is>
      </c>
      <c r="K385" s="14" t="inlineStr">
        <is>
          <t>【諸費用コミ】:【在庫確認必須】 ノア</t>
        </is>
      </c>
      <c r="L385" s="8" t="inlineStr">
        <is>
          <t>https://page.auctions.yahoo.co.jp/jp/auction/o1224806188</t>
        </is>
      </c>
    </row>
    <row r="386">
      <c r="A386" s="13" t="inlineStr">
        <is>
          <t>ノア</t>
        </is>
      </c>
      <c r="B386" s="13" t="n">
        <v>2020</v>
      </c>
      <c r="C386" s="13" t="inlineStr">
        <is>
          <t>80系</t>
        </is>
      </c>
      <c r="D386" s="15" t="n">
        <v>1447444</v>
      </c>
      <c r="E386" s="13" t="n">
        <v>78</v>
      </c>
      <c r="F386" s="15" t="n">
        <v>85000</v>
      </c>
      <c r="G386" s="13" t="inlineStr">
        <is>
          <t>REAL_MILEAGE</t>
        </is>
      </c>
      <c r="H386" s="13" t="inlineStr">
        <is>
          <t>NONE</t>
        </is>
      </c>
      <c r="I386" s="15" t="n">
        <v>0</v>
      </c>
      <c r="J386" s="13" t="inlineStr">
        <is>
          <t>2026-03-23T21:26:23+09:00</t>
        </is>
      </c>
      <c r="K386" s="14" t="inlineStr">
        <is>
          <t>ノア SI GR スポーツパッケージ。車検は2027年11月まで、フルセグTVナビ、ETC、ドライブレコーダー</t>
        </is>
      </c>
      <c r="L386" s="13" t="inlineStr">
        <is>
          <t>https://page.auctions.yahoo.co.jp/jp/auction/c1223644250</t>
        </is>
      </c>
    </row>
    <row r="387">
      <c r="A387" s="8" t="inlineStr">
        <is>
          <t>ノア</t>
        </is>
      </c>
      <c r="B387" s="8" t="n">
        <v>2018</v>
      </c>
      <c r="C387" s="8" t="inlineStr">
        <is>
          <t>80系</t>
        </is>
      </c>
      <c r="D387" s="11" t="n">
        <v>1330000</v>
      </c>
      <c r="E387" s="8" t="n">
        <v>1</v>
      </c>
      <c r="F387" s="11" t="n">
        <v>122000</v>
      </c>
      <c r="G387" s="8" t="inlineStr">
        <is>
          <t>REAL_MILEAGE</t>
        </is>
      </c>
      <c r="H387" s="8" t="inlineStr">
        <is>
          <t>NONE</t>
        </is>
      </c>
      <c r="I387" s="11" t="n">
        <v>0</v>
      </c>
      <c r="J387" s="8" t="inlineStr">
        <is>
          <t>2026-06-21T12:03:31+09:00</t>
        </is>
      </c>
      <c r="K387" s="14" t="inlineStr">
        <is>
          <t>平成30年 トヨタ ノア 2.0 X サイドリフトアップシート</t>
        </is>
      </c>
      <c r="L387" s="8" t="inlineStr">
        <is>
          <t>https://page.auctions.yahoo.co.jp/jp/auction/d1231978721</t>
        </is>
      </c>
    </row>
    <row r="388">
      <c r="A388" s="13" t="inlineStr">
        <is>
          <t>ノア</t>
        </is>
      </c>
      <c r="B388" s="13" t="n">
        <v>2017</v>
      </c>
      <c r="C388" s="13" t="inlineStr">
        <is>
          <t>80系</t>
        </is>
      </c>
      <c r="D388" s="15" t="n">
        <v>1668000</v>
      </c>
      <c r="E388" s="13" t="n">
        <v>1</v>
      </c>
      <c r="F388" s="15" t="n">
        <v>33000</v>
      </c>
      <c r="G388" s="13" t="inlineStr">
        <is>
          <t>REAL_MILEAGE</t>
        </is>
      </c>
      <c r="H388" s="13" t="inlineStr">
        <is>
          <t>NONE</t>
        </is>
      </c>
      <c r="I388" s="15" t="n">
        <v>0</v>
      </c>
      <c r="J388" s="13" t="inlineStr">
        <is>
          <t>2026-05-10T08:46:02+09:00</t>
        </is>
      </c>
      <c r="K388" s="14" t="inlineStr">
        <is>
          <t>ノア 2.0 G ブレーキサポート 左オートスライド</t>
        </is>
      </c>
      <c r="L388" s="13" t="inlineStr">
        <is>
          <t>https://page.auctions.yahoo.co.jp/jp/auction/o1227604500</t>
        </is>
      </c>
    </row>
    <row r="389">
      <c r="A389" s="8" t="inlineStr">
        <is>
          <t>ノア</t>
        </is>
      </c>
      <c r="B389" s="8" t="n">
        <v>2017</v>
      </c>
      <c r="C389" s="8" t="inlineStr">
        <is>
          <t>80系</t>
        </is>
      </c>
      <c r="D389" s="11" t="n">
        <v>1728001</v>
      </c>
      <c r="E389" s="8" t="n">
        <v>1</v>
      </c>
      <c r="F389" s="11" t="n">
        <v>77000</v>
      </c>
      <c r="G389" s="8" t="inlineStr">
        <is>
          <t>REAL_MILEAGE</t>
        </is>
      </c>
      <c r="H389" s="8" t="inlineStr">
        <is>
          <t>NONE</t>
        </is>
      </c>
      <c r="I389" s="11" t="n">
        <v>0</v>
      </c>
      <c r="J389" s="8" t="inlineStr">
        <is>
          <t>2026-05-10T08:42:18+09:00</t>
        </is>
      </c>
      <c r="K389" s="14" t="inlineStr">
        <is>
          <t>ノア 1.8 ハイブリッド Si WxB 両側オートスライド ブレーキサポート</t>
        </is>
      </c>
      <c r="L389" s="8" t="inlineStr">
        <is>
          <t>https://page.auctions.yahoo.co.jp/jp/auction/c1227626677</t>
        </is>
      </c>
    </row>
    <row r="390">
      <c r="A390" s="13" t="inlineStr">
        <is>
          <t>ノア</t>
        </is>
      </c>
      <c r="B390" s="13" t="n">
        <v>2016</v>
      </c>
      <c r="C390" s="13" t="inlineStr">
        <is>
          <t>80系</t>
        </is>
      </c>
      <c r="D390" s="15" t="n">
        <v>968000</v>
      </c>
      <c r="E390" s="13" t="n">
        <v>1</v>
      </c>
      <c r="F390" s="15" t="n">
        <v>141360</v>
      </c>
      <c r="G390" s="13" t="inlineStr">
        <is>
          <t>REAL_MILEAGE</t>
        </is>
      </c>
      <c r="H390" s="13" t="inlineStr">
        <is>
          <t>NONE</t>
        </is>
      </c>
      <c r="I390" s="15" t="n">
        <v>45030</v>
      </c>
      <c r="J390" s="13" t="inlineStr">
        <is>
          <t>2026-07-16T17:31:20+09:00</t>
        </is>
      </c>
      <c r="K390" s="14" t="inlineStr">
        <is>
          <t>ノア ハイブリッドSｉ トヨタセーフティセンス 衝突軽減ブレーキ ナビ TV Bluetooth フリップモニター バックモニター 両側Pスラ スマキー</t>
        </is>
      </c>
      <c r="L390" s="13" t="inlineStr">
        <is>
          <t>https://page.auctions.yahoo.co.jp/jp/auction/p1234254170</t>
        </is>
      </c>
    </row>
    <row r="391">
      <c r="A391" s="8" t="inlineStr">
        <is>
          <t>ノア</t>
        </is>
      </c>
      <c r="B391" s="8" t="n">
        <v>2016</v>
      </c>
      <c r="C391" s="8" t="inlineStr">
        <is>
          <t>80系</t>
        </is>
      </c>
      <c r="D391" s="11" t="n">
        <v>1598000</v>
      </c>
      <c r="E391" s="8" t="n">
        <v>1</v>
      </c>
      <c r="F391" s="11" t="n">
        <v>59000</v>
      </c>
      <c r="G391" s="8" t="inlineStr">
        <is>
          <t>REAL_MILEAGE</t>
        </is>
      </c>
      <c r="H391" s="8" t="inlineStr">
        <is>
          <t>NONE</t>
        </is>
      </c>
      <c r="I391" s="11" t="n">
        <v>0</v>
      </c>
      <c r="J391" s="8" t="inlineStr">
        <is>
          <t>2026-05-10T08:53:32+09:00</t>
        </is>
      </c>
      <c r="K391" s="14" t="inlineStr">
        <is>
          <t>ノア 1.8 ハイブリッド X 両側オートスライド ブレーキサポート</t>
        </is>
      </c>
      <c r="L391" s="8" t="inlineStr">
        <is>
          <t>https://page.auctions.yahoo.co.jp/jp/auction/w1225688521</t>
        </is>
      </c>
    </row>
    <row r="392">
      <c r="A392" s="13" t="inlineStr">
        <is>
          <t>ノア</t>
        </is>
      </c>
      <c r="B392" s="13" t="n">
        <v>2015</v>
      </c>
      <c r="C392" s="13" t="inlineStr">
        <is>
          <t>80系</t>
        </is>
      </c>
      <c r="D392" s="15" t="n">
        <v>880000</v>
      </c>
      <c r="E392" s="13" t="n">
        <v>1</v>
      </c>
      <c r="F392" s="15" t="n">
        <v>83402</v>
      </c>
      <c r="G392" s="13" t="inlineStr">
        <is>
          <t>REAL_MILEAGE</t>
        </is>
      </c>
      <c r="H392" s="13" t="inlineStr">
        <is>
          <t>EXISTS</t>
        </is>
      </c>
      <c r="I392" s="15" t="n">
        <v>0</v>
      </c>
      <c r="J392" s="13" t="inlineStr">
        <is>
          <t>2026-08-07T21:00:07+09:00</t>
        </is>
      </c>
      <c r="K392" s="14" t="inlineStr">
        <is>
          <t>【諸費用コミ】:平成27年 ノア 2.0 G 4WD</t>
        </is>
      </c>
      <c r="L392" s="13" t="inlineStr">
        <is>
          <t>https://page.auctions.yahoo.co.jp/jp/auction/k1238287619</t>
        </is>
      </c>
    </row>
    <row r="393">
      <c r="A393" s="8" t="inlineStr">
        <is>
          <t>ノア</t>
        </is>
      </c>
      <c r="B393" s="8" t="n">
        <v>2015</v>
      </c>
      <c r="C393" s="8" t="inlineStr">
        <is>
          <t>80系</t>
        </is>
      </c>
      <c r="D393" s="11" t="n">
        <v>850000</v>
      </c>
      <c r="E393" s="8" t="n">
        <v>3</v>
      </c>
      <c r="F393" s="11" t="n">
        <v>115566</v>
      </c>
      <c r="G393" s="8" t="inlineStr">
        <is>
          <t>REAL_MILEAGE</t>
        </is>
      </c>
      <c r="H393" s="8" t="inlineStr">
        <is>
          <t>NONE</t>
        </is>
      </c>
      <c r="I393" s="11" t="n">
        <v>12470</v>
      </c>
      <c r="J393" s="8" t="inlineStr">
        <is>
          <t>2026-08-02T21:19:50+09:00</t>
        </is>
      </c>
      <c r="K393" s="14" t="inlineStr">
        <is>
          <t xml:space="preserve">H 27 ノア ハイブリッド　希少グレー　極上車美車　</t>
        </is>
      </c>
      <c r="L393" s="8" t="inlineStr">
        <is>
          <t>https://page.auctions.yahoo.co.jp/jp/auction/v1232618398</t>
        </is>
      </c>
    </row>
    <row r="394">
      <c r="A394" s="13" t="inlineStr">
        <is>
          <t>ノア</t>
        </is>
      </c>
      <c r="B394" s="13" t="n">
        <v>2015</v>
      </c>
      <c r="C394" s="13" t="inlineStr">
        <is>
          <t>80系</t>
        </is>
      </c>
      <c r="D394" s="15" t="n">
        <v>583000</v>
      </c>
      <c r="E394" s="13" t="n">
        <v>104</v>
      </c>
      <c r="F394" s="15" t="n">
        <v>165000</v>
      </c>
      <c r="G394" s="13" t="inlineStr">
        <is>
          <t>REAL_MILEAGE</t>
        </is>
      </c>
      <c r="H394" s="13" t="inlineStr">
        <is>
          <t>NONE</t>
        </is>
      </c>
      <c r="I394" s="15" t="n">
        <v>12400</v>
      </c>
      <c r="J394" s="13" t="inlineStr">
        <is>
          <t>2026-07-19T22:08:59+09:00</t>
        </is>
      </c>
      <c r="K394" s="14" t="inlineStr">
        <is>
          <t xml:space="preserve">トヨタ ノア ハイブリッド G 平成27年 2015年 AT 両側パワースライドドア ナビ ETC 前後カメラ パールホワイト 美濃加茂市 </t>
        </is>
      </c>
      <c r="L394" s="13" t="inlineStr">
        <is>
          <t>https://page.auctions.yahoo.co.jp/jp/auction/f1237195399</t>
        </is>
      </c>
    </row>
    <row r="395">
      <c r="A395" s="8" t="inlineStr">
        <is>
          <t>ノア</t>
        </is>
      </c>
      <c r="B395" s="8" t="n">
        <v>2015</v>
      </c>
      <c r="C395" s="8" t="inlineStr">
        <is>
          <t>80系</t>
        </is>
      </c>
      <c r="D395" s="11" t="n">
        <v>698000</v>
      </c>
      <c r="E395" s="8" t="n">
        <v>1</v>
      </c>
      <c r="F395" s="11" t="n">
        <v>147500</v>
      </c>
      <c r="G395" s="8" t="inlineStr">
        <is>
          <t>REAL_MILEAGE</t>
        </is>
      </c>
      <c r="H395" s="8" t="inlineStr">
        <is>
          <t>NONE</t>
        </is>
      </c>
      <c r="I395" s="11" t="n">
        <v>60230</v>
      </c>
      <c r="J395" s="8" t="inlineStr">
        <is>
          <t>2026-07-19T10:21:17+09:00</t>
        </is>
      </c>
      <c r="K395" s="14" t="inlineStr">
        <is>
          <t>車検満タン ノア ハイブリッドXディライトプラス ナビ TV Bluetooth フリップダウンモニター バックカメラ 両側パワスラ スマキー LED ETC</t>
        </is>
      </c>
      <c r="L395" s="8" t="inlineStr">
        <is>
          <t>https://page.auctions.yahoo.co.jp/jp/auction/d1236118198</t>
        </is>
      </c>
    </row>
    <row r="396">
      <c r="A396" s="13" t="inlineStr">
        <is>
          <t>ノア</t>
        </is>
      </c>
      <c r="B396" s="13" t="n">
        <v>2015</v>
      </c>
      <c r="C396" s="13" t="inlineStr">
        <is>
          <t>80系</t>
        </is>
      </c>
      <c r="D396" s="15" t="n">
        <v>598000</v>
      </c>
      <c r="E396" s="13" t="n">
        <v>1</v>
      </c>
      <c r="F396" s="15" t="n">
        <v>99000</v>
      </c>
      <c r="G396" s="13" t="inlineStr">
        <is>
          <t>REAL_MILEAGE</t>
        </is>
      </c>
      <c r="H396" s="13" t="inlineStr">
        <is>
          <t>EXISTS</t>
        </is>
      </c>
      <c r="I396" s="15" t="n">
        <v>0</v>
      </c>
      <c r="J396" s="13" t="inlineStr">
        <is>
          <t>2026-07-07T22:36:05+09:00</t>
        </is>
      </c>
      <c r="K396" s="14" t="inlineStr">
        <is>
          <t>ノア 2.0 X サイドリフトアップシート装着車 純正ナビTVビデオBluetooth接続Bカメラ/両</t>
        </is>
      </c>
      <c r="L396" s="13" t="inlineStr">
        <is>
          <t>https://page.auctions.yahoo.co.jp/jp/auction/v1230078009</t>
        </is>
      </c>
    </row>
    <row r="397">
      <c r="A397" s="8" t="inlineStr">
        <is>
          <t>ノア</t>
        </is>
      </c>
      <c r="B397" s="8" t="n">
        <v>2015</v>
      </c>
      <c r="C397" s="8" t="inlineStr">
        <is>
          <t>80系</t>
        </is>
      </c>
      <c r="D397" s="11" t="n">
        <v>878000</v>
      </c>
      <c r="E397" s="8" t="n">
        <v>1</v>
      </c>
      <c r="F397" s="11" t="n">
        <v>127000</v>
      </c>
      <c r="G397" s="8" t="inlineStr">
        <is>
          <t>REAL_MILEAGE</t>
        </is>
      </c>
      <c r="H397" s="8" t="inlineStr">
        <is>
          <t>NONE</t>
        </is>
      </c>
      <c r="I397" s="11" t="n">
        <v>0</v>
      </c>
      <c r="J397" s="8" t="inlineStr">
        <is>
          <t>2026-05-10T08:16:48+09:00</t>
        </is>
      </c>
      <c r="K397" s="14" t="inlineStr">
        <is>
          <t>ノア 2.0 G 社外SDナビ&amp;フルセグTV/CD&amp;DVD再生・USB</t>
        </is>
      </c>
      <c r="L397" s="8" t="inlineStr">
        <is>
          <t>https://page.auctions.yahoo.co.jp/jp/auction/k1228016110</t>
        </is>
      </c>
    </row>
    <row r="398">
      <c r="A398" s="13" t="inlineStr">
        <is>
          <t>ノア</t>
        </is>
      </c>
      <c r="B398" s="13" t="n">
        <v>2015</v>
      </c>
      <c r="C398" s="13" t="inlineStr">
        <is>
          <t>80系</t>
        </is>
      </c>
      <c r="D398" s="15" t="n">
        <v>1060000</v>
      </c>
      <c r="E398" s="13" t="n">
        <v>1</v>
      </c>
      <c r="F398" s="15" t="n">
        <v>68000</v>
      </c>
      <c r="G398" s="13" t="inlineStr">
        <is>
          <t>REAL_MILEAGE</t>
        </is>
      </c>
      <c r="H398" s="13" t="inlineStr">
        <is>
          <t>EXISTS</t>
        </is>
      </c>
      <c r="I398" s="15" t="n">
        <v>0</v>
      </c>
      <c r="J398" s="13" t="inlineStr">
        <is>
          <t>2026-05-10T08:15:59+09:00</t>
        </is>
      </c>
      <c r="K398" s="14" t="inlineStr">
        <is>
          <t>ノア 2.0 X ディライト プラス ナビ　バックカメラ　Bluetooth</t>
        </is>
      </c>
      <c r="L398" s="13" t="inlineStr">
        <is>
          <t>https://page.auctions.yahoo.co.jp/jp/auction/o1228645371</t>
        </is>
      </c>
    </row>
    <row r="399">
      <c r="A399" s="8" t="inlineStr">
        <is>
          <t>ノア</t>
        </is>
      </c>
      <c r="B399" s="8" t="n">
        <v>2015</v>
      </c>
      <c r="C399" s="8" t="inlineStr">
        <is>
          <t>80系</t>
        </is>
      </c>
      <c r="D399" s="11" t="n">
        <v>906100</v>
      </c>
      <c r="E399" s="8" t="n">
        <v>153</v>
      </c>
      <c r="F399" s="11" t="n">
        <v>92221</v>
      </c>
      <c r="G399" s="8" t="inlineStr">
        <is>
          <t>REAL_MILEAGE</t>
        </is>
      </c>
      <c r="H399" s="8" t="n"/>
      <c r="I399" s="11" t="n">
        <v>0</v>
      </c>
      <c r="J399" s="8" t="inlineStr">
        <is>
          <t>2026-03-07T22:33:39+09:00</t>
        </is>
      </c>
      <c r="K399" s="14" t="inlineStr">
        <is>
          <t>美車!! TOYOTA トヨタ NOAH 80系 ノア ハイブリッド 両側電動スライドドア 車検:令和9年6月迄</t>
        </is>
      </c>
      <c r="L399" s="8" t="inlineStr">
        <is>
          <t>https://page.auctions.yahoo.co.jp/jp/auction/p1220856639</t>
        </is>
      </c>
    </row>
    <row r="400">
      <c r="A400" s="13" t="inlineStr">
        <is>
          <t>ノア</t>
        </is>
      </c>
      <c r="B400" s="13" t="n">
        <v>2015</v>
      </c>
      <c r="C400" s="13" t="inlineStr">
        <is>
          <t>80系</t>
        </is>
      </c>
      <c r="D400" s="15" t="n">
        <v>1450000</v>
      </c>
      <c r="E400" s="13" t="n">
        <v>148</v>
      </c>
      <c r="F400" s="15" t="n">
        <v>92221</v>
      </c>
      <c r="G400" s="13" t="inlineStr">
        <is>
          <t>REAL_MILEAGE</t>
        </is>
      </c>
      <c r="H400" s="13" t="n"/>
      <c r="I400" s="15" t="n">
        <v>0</v>
      </c>
      <c r="J400" s="13" t="inlineStr">
        <is>
          <t>2026-02-23T22:17:41+09:00</t>
        </is>
      </c>
      <c r="K400" s="14" t="inlineStr">
        <is>
          <t>美車!! TOYOTA トヨタ NOAH 80系 ノア ハイブリッド 両側電動スライドドア 車検:令和9年6月迄</t>
        </is>
      </c>
      <c r="L400" s="13" t="inlineStr">
        <is>
          <t>https://page.auctions.yahoo.co.jp/jp/auction/n1219033806</t>
        </is>
      </c>
    </row>
    <row r="401">
      <c r="A401" s="8" t="inlineStr">
        <is>
          <t>ノア</t>
        </is>
      </c>
      <c r="B401" s="8" t="n">
        <v>2014</v>
      </c>
      <c r="C401" s="8" t="inlineStr">
        <is>
          <t>80系</t>
        </is>
      </c>
      <c r="D401" s="11" t="n">
        <v>436000</v>
      </c>
      <c r="E401" s="8" t="n">
        <v>53</v>
      </c>
      <c r="F401" s="11" t="n">
        <v>175000</v>
      </c>
      <c r="G401" s="8" t="inlineStr">
        <is>
          <t>REAL_MILEAGE</t>
        </is>
      </c>
      <c r="H401" s="8" t="inlineStr">
        <is>
          <t>EXISTS</t>
        </is>
      </c>
      <c r="I401" s="11" t="n">
        <v>32470</v>
      </c>
      <c r="J401" s="8" t="inlineStr">
        <is>
          <t>2026-07-26T21:20:00+09:00</t>
        </is>
      </c>
      <c r="K401" s="14" t="inlineStr">
        <is>
          <t>★予備検付！★H26年式ノアHV X 人気色ブラック/社外AW/Fリップ/Rスポ/7人乗/パワスラ/9インチナビ/フリップダウン/Bカメラ/ETC</t>
        </is>
      </c>
      <c r="L401" s="8" t="inlineStr">
        <is>
          <t>https://page.auctions.yahoo.co.jp/jp/auction/x1237325927</t>
        </is>
      </c>
    </row>
    <row r="402">
      <c r="A402" s="13" t="inlineStr">
        <is>
          <t>ノア</t>
        </is>
      </c>
      <c r="B402" s="13" t="n">
        <v>2014</v>
      </c>
      <c r="C402" s="13" t="inlineStr">
        <is>
          <t>80系</t>
        </is>
      </c>
      <c r="D402" s="15" t="n">
        <v>452000</v>
      </c>
      <c r="E402" s="13" t="n">
        <v>93</v>
      </c>
      <c r="F402" s="15" t="n">
        <v>165900</v>
      </c>
      <c r="G402" s="13" t="inlineStr">
        <is>
          <t>REAL_MILEAGE</t>
        </is>
      </c>
      <c r="H402" s="13" t="inlineStr">
        <is>
          <t>EXISTS</t>
        </is>
      </c>
      <c r="I402" s="15" t="n">
        <v>12470</v>
      </c>
      <c r="J402" s="13" t="inlineStr">
        <is>
          <t>2026-07-06T21:31:45+09:00</t>
        </is>
      </c>
      <c r="K402" s="14" t="inlineStr">
        <is>
          <t>検2年付き/予備検込み★ハイブリッド車★ノア★両側パワースライドドア★フリップダウンモニター★LEDライト★9インチ大型ナビ/TV/Bカメラ</t>
        </is>
      </c>
      <c r="L402" s="13" t="inlineStr">
        <is>
          <t>https://page.auctions.yahoo.co.jp/jp/auction/s1235827386</t>
        </is>
      </c>
    </row>
    <row r="403">
      <c r="A403" s="8" t="inlineStr">
        <is>
          <t>ノア</t>
        </is>
      </c>
      <c r="B403" s="8" t="n">
        <v>2014</v>
      </c>
      <c r="C403" s="8" t="inlineStr">
        <is>
          <t>80系</t>
        </is>
      </c>
      <c r="D403" s="11" t="n">
        <v>527200</v>
      </c>
      <c r="E403" s="8" t="n">
        <v>124</v>
      </c>
      <c r="F403" s="11" t="n">
        <v>160000</v>
      </c>
      <c r="G403" s="8" t="inlineStr">
        <is>
          <t>REAL_MILEAGE</t>
        </is>
      </c>
      <c r="H403" s="8" t="inlineStr">
        <is>
          <t>NONE</t>
        </is>
      </c>
      <c r="I403" s="11" t="n">
        <v>0</v>
      </c>
      <c r="J403" s="8" t="inlineStr">
        <is>
          <t>2026-05-29T22:02:35+09:00</t>
        </is>
      </c>
      <c r="K403" s="14" t="inlineStr">
        <is>
          <t>トヨタ ノア ZWR80G ハイブリッドX 自走可能 車検付き</t>
        </is>
      </c>
      <c r="L403" s="8" t="inlineStr">
        <is>
          <t>https://page.auctions.yahoo.co.jp/jp/auction/e1231150966</t>
        </is>
      </c>
    </row>
    <row r="404">
      <c r="A404" s="13" t="inlineStr">
        <is>
          <t>ノア</t>
        </is>
      </c>
      <c r="B404" s="13" t="n">
        <v>2014</v>
      </c>
      <c r="C404" s="13" t="inlineStr">
        <is>
          <t>80系</t>
        </is>
      </c>
      <c r="D404" s="15" t="n">
        <v>1218000</v>
      </c>
      <c r="E404" s="13" t="n">
        <v>1</v>
      </c>
      <c r="F404" s="15" t="n">
        <v>84000</v>
      </c>
      <c r="G404" s="13" t="inlineStr">
        <is>
          <t>REAL_MILEAGE</t>
        </is>
      </c>
      <c r="H404" s="13" t="inlineStr">
        <is>
          <t>NONE</t>
        </is>
      </c>
      <c r="I404" s="15" t="n">
        <v>0</v>
      </c>
      <c r="J404" s="13" t="inlineStr">
        <is>
          <t>2026-05-03T21:31:50+09:00</t>
        </is>
      </c>
      <c r="K404" s="14" t="inlineStr">
        <is>
          <t>ノア 1.8 ハイブリッド G モデリスタフルエアロ WORK18インチアルミ</t>
        </is>
      </c>
      <c r="L404" s="13" t="inlineStr">
        <is>
          <t>https://page.auctions.yahoo.co.jp/jp/auction/t1225961968</t>
        </is>
      </c>
    </row>
    <row r="405">
      <c r="A405" s="8" t="inlineStr">
        <is>
          <t>ノア</t>
        </is>
      </c>
      <c r="B405" s="8" t="n">
        <v>2014</v>
      </c>
      <c r="C405" s="8" t="inlineStr">
        <is>
          <t>80系</t>
        </is>
      </c>
      <c r="D405" s="11" t="n">
        <v>598000</v>
      </c>
      <c r="E405" s="8" t="n">
        <v>140</v>
      </c>
      <c r="F405" s="11" t="n">
        <v>183911</v>
      </c>
      <c r="G405" s="8" t="inlineStr">
        <is>
          <t>REAL_MILEAGE</t>
        </is>
      </c>
      <c r="H405" s="8" t="inlineStr">
        <is>
          <t>NONE</t>
        </is>
      </c>
      <c r="I405" s="11" t="n">
        <v>0</v>
      </c>
      <c r="J405" s="8" t="inlineStr">
        <is>
          <t>2026-04-27T21:10:25+09:00</t>
        </is>
      </c>
      <c r="K405" s="14" t="inlineStr">
        <is>
          <t>トヨタ ノア ハイブリッド 80 ハイブリッドG　車検 R8年10月22日　乗って帰れる！ 修復歴なし！ モデリスタエアロ！ 平成26年式</t>
        </is>
      </c>
      <c r="L405" s="8" t="inlineStr">
        <is>
          <t>https://page.auctions.yahoo.co.jp/jp/auction/g1227437476</t>
        </is>
      </c>
    </row>
    <row r="406">
      <c r="A406" s="13" t="inlineStr">
        <is>
          <t>ノア</t>
        </is>
      </c>
      <c r="B406" s="13" t="n">
        <v>2014</v>
      </c>
      <c r="C406" s="13" t="inlineStr">
        <is>
          <t>80系</t>
        </is>
      </c>
      <c r="D406" s="15" t="n">
        <v>850000</v>
      </c>
      <c r="E406" s="13" t="n">
        <v>16</v>
      </c>
      <c r="F406" s="15" t="n">
        <v>159070</v>
      </c>
      <c r="G406" s="13" t="inlineStr">
        <is>
          <t>REAL_MILEAGE</t>
        </is>
      </c>
      <c r="H406" s="13" t="inlineStr">
        <is>
          <t>NONE</t>
        </is>
      </c>
      <c r="I406" s="15" t="n">
        <v>0</v>
      </c>
      <c r="J406" s="13" t="inlineStr">
        <is>
          <t>2026-03-31T18:39:13+09:00</t>
        </is>
      </c>
      <c r="K406" s="14" t="inlineStr">
        <is>
          <t>即決特典込々85万H26年トヨタ ノアハイブリッドＧ【検R10年3月】純正ナビ/地デジTV/Bカメラ/パワスラ/クルコン/ETC/FDモニター/好調/無事故</t>
        </is>
      </c>
      <c r="L406" s="13" t="inlineStr">
        <is>
          <t>https://page.auctions.yahoo.co.jp/jp/auction/c1222078542</t>
        </is>
      </c>
    </row>
    <row r="407">
      <c r="A407" s="8" t="inlineStr">
        <is>
          <t>ノア</t>
        </is>
      </c>
      <c r="B407" s="8" t="n">
        <v>2014</v>
      </c>
      <c r="C407" s="8" t="inlineStr">
        <is>
          <t>80系</t>
        </is>
      </c>
      <c r="D407" s="11" t="n">
        <v>1238000</v>
      </c>
      <c r="E407" s="8" t="n">
        <v>1</v>
      </c>
      <c r="F407" s="11" t="n">
        <v>84000</v>
      </c>
      <c r="G407" s="8" t="inlineStr">
        <is>
          <t>REAL_MILEAGE</t>
        </is>
      </c>
      <c r="H407" s="8" t="inlineStr">
        <is>
          <t>NONE</t>
        </is>
      </c>
      <c r="I407" s="11" t="n">
        <v>0</v>
      </c>
      <c r="J407" s="8" t="inlineStr">
        <is>
          <t>2026-03-18T00:19:06+09:00</t>
        </is>
      </c>
      <c r="K407" s="14" t="inlineStr">
        <is>
          <t>ノア 1.8 ハイブリッド G モデリスタフルエアロ WORK18インチアルミ</t>
        </is>
      </c>
      <c r="L407" s="8" t="inlineStr">
        <is>
          <t>https://page.auctions.yahoo.co.jp/jp/auction/f1215836978</t>
        </is>
      </c>
    </row>
    <row r="408">
      <c r="A408" s="13" t="inlineStr">
        <is>
          <t>ノア</t>
        </is>
      </c>
      <c r="B408" s="13" t="n">
        <v>2014</v>
      </c>
      <c r="C408" s="13" t="inlineStr">
        <is>
          <t>80系</t>
        </is>
      </c>
      <c r="D408" s="15" t="n">
        <v>500000</v>
      </c>
      <c r="E408" s="13" t="n">
        <v>3</v>
      </c>
      <c r="F408" s="15" t="n">
        <v>137313</v>
      </c>
      <c r="G408" s="13" t="inlineStr">
        <is>
          <t>REAL_MILEAGE</t>
        </is>
      </c>
      <c r="H408" s="13" t="n"/>
      <c r="I408" s="15" t="n">
        <v>0</v>
      </c>
      <c r="J408" s="13" t="inlineStr">
        <is>
          <t>2026-03-17T23:05:31+09:00</t>
        </is>
      </c>
      <c r="K408" s="14" t="inlineStr">
        <is>
          <t>ノア　ZRR80W 117656km AT H26年 8人乗 車検無 左右スライドドアパワースライド　SI　※訳有※　NO2513635</t>
        </is>
      </c>
      <c r="L408" s="13" t="inlineStr">
        <is>
          <t>https://page.auctions.yahoo.co.jp/jp/auction/t1222513347</t>
        </is>
      </c>
    </row>
    <row r="409">
      <c r="A409" s="8" t="inlineStr">
        <is>
          <t>ノア</t>
        </is>
      </c>
      <c r="B409" s="8" t="n">
        <v>2011</v>
      </c>
      <c r="C409" s="8" t="inlineStr">
        <is>
          <t>70系</t>
        </is>
      </c>
      <c r="D409" s="11" t="n">
        <v>250000</v>
      </c>
      <c r="E409" s="8" t="n">
        <v>1</v>
      </c>
      <c r="F409" s="11" t="n">
        <v>209000</v>
      </c>
      <c r="G409" s="8" t="inlineStr">
        <is>
          <t>REAL_MILEAGE</t>
        </is>
      </c>
      <c r="H409" s="8" t="inlineStr">
        <is>
          <t>NONE</t>
        </is>
      </c>
      <c r="I409" s="11" t="n">
        <v>13280</v>
      </c>
      <c r="J409" s="8" t="inlineStr">
        <is>
          <t>2026-07-26T22:47:22+09:00</t>
        </is>
      </c>
      <c r="K409" s="14" t="inlineStr">
        <is>
          <t>一時抹消済 H23 後期 トヨタ ノア ウェルキャブ 福祉車両 スロープタイプ 4WD 7人乗り 車いす 2脚仕様 部品取り 輸出</t>
        </is>
      </c>
      <c r="L409" s="8" t="inlineStr">
        <is>
          <t>https://page.auctions.yahoo.co.jp/jp/auction/u1231765016</t>
        </is>
      </c>
    </row>
    <row r="410">
      <c r="A410" s="13" t="inlineStr">
        <is>
          <t>ノア</t>
        </is>
      </c>
      <c r="B410" s="13" t="n">
        <v>2011</v>
      </c>
      <c r="C410" s="13" t="inlineStr">
        <is>
          <t>70系</t>
        </is>
      </c>
      <c r="D410" s="15" t="n">
        <v>859001</v>
      </c>
      <c r="E410" s="13" t="n">
        <v>1</v>
      </c>
      <c r="F410" s="15" t="n">
        <v>64000</v>
      </c>
      <c r="G410" s="13" t="inlineStr">
        <is>
          <t>REAL_MILEAGE</t>
        </is>
      </c>
      <c r="H410" s="13" t="inlineStr">
        <is>
          <t>NONE</t>
        </is>
      </c>
      <c r="I410" s="15" t="n">
        <v>0</v>
      </c>
      <c r="J410" s="13" t="inlineStr">
        <is>
          <t>2026-06-05T21:59:01+09:00</t>
        </is>
      </c>
      <c r="K410" s="14" t="inlineStr">
        <is>
          <t>【諸費用コミ】:★三郷市発★ 平成23年 ノア 2.0 X ナビ テレビ バックカメラ ETC</t>
        </is>
      </c>
      <c r="L410" s="13" t="inlineStr">
        <is>
          <t>https://page.auctions.yahoo.co.jp/jp/auction/b1229183640</t>
        </is>
      </c>
    </row>
    <row r="411">
      <c r="A411" s="8" t="inlineStr">
        <is>
          <t>ノア</t>
        </is>
      </c>
      <c r="B411" s="8" t="n">
        <v>2011</v>
      </c>
      <c r="C411" s="8" t="inlineStr">
        <is>
          <t>70系</t>
        </is>
      </c>
      <c r="D411" s="11" t="n">
        <v>320000</v>
      </c>
      <c r="E411" s="8" t="n">
        <v>1</v>
      </c>
      <c r="F411" s="11" t="n">
        <v>121614</v>
      </c>
      <c r="G411" s="8" t="inlineStr">
        <is>
          <t>REAL_MILEAGE</t>
        </is>
      </c>
      <c r="H411" s="8" t="inlineStr">
        <is>
          <t>NONE</t>
        </is>
      </c>
      <c r="I411" s="11" t="n">
        <v>0</v>
      </c>
      <c r="J411" s="8" t="inlineStr">
        <is>
          <t>2026-04-06T21:10:33+09:00</t>
        </is>
      </c>
      <c r="K411" s="14" t="inlineStr">
        <is>
          <t>個人出品☆ノア 2.0YY　70系無事故良好検付き車　冬用タイヤホイールもどうぞ☆大阪南部から</t>
        </is>
      </c>
      <c r="L411" s="8" t="inlineStr">
        <is>
          <t>https://page.auctions.yahoo.co.jp/jp/auction/s1225545219</t>
        </is>
      </c>
    </row>
    <row r="412">
      <c r="A412" s="13" t="inlineStr">
        <is>
          <t>ノア</t>
        </is>
      </c>
      <c r="B412" s="13" t="n">
        <v>2011</v>
      </c>
      <c r="C412" s="13" t="inlineStr">
        <is>
          <t>70系</t>
        </is>
      </c>
      <c r="D412" s="15" t="n">
        <v>450000</v>
      </c>
      <c r="E412" s="13" t="n">
        <v>24</v>
      </c>
      <c r="F412" s="15" t="n">
        <v>193500</v>
      </c>
      <c r="G412" s="13" t="inlineStr">
        <is>
          <t>REAL_MILEAGE</t>
        </is>
      </c>
      <c r="H412" s="13" t="inlineStr">
        <is>
          <t>NONE</t>
        </is>
      </c>
      <c r="I412" s="15" t="n">
        <v>0</v>
      </c>
      <c r="J412" s="13" t="inlineStr">
        <is>
          <t>2026-02-25T12:33:16+09:00</t>
        </is>
      </c>
      <c r="K412" s="14" t="inlineStr">
        <is>
          <t>トヨタ　ノア Sｉ valve matic 4WD ナビ　アルミ　バックカメラ　TV 7人乗リ　平成23年　(二日間オークション）売り切りナビTVETC付き</t>
        </is>
      </c>
      <c r="L412" s="13" t="inlineStr">
        <is>
          <t>https://page.auctions.yahoo.co.jp/jp/auction/w1220751987</t>
        </is>
      </c>
    </row>
    <row r="413">
      <c r="A413" s="8" t="inlineStr">
        <is>
          <t>ノア</t>
        </is>
      </c>
      <c r="B413" s="8" t="n">
        <v>2010</v>
      </c>
      <c r="C413" s="8" t="inlineStr">
        <is>
          <t>70系</t>
        </is>
      </c>
      <c r="D413" s="11" t="n">
        <v>375000</v>
      </c>
      <c r="E413" s="8" t="n">
        <v>1</v>
      </c>
      <c r="F413" s="11" t="n">
        <v>94800</v>
      </c>
      <c r="G413" s="8" t="inlineStr">
        <is>
          <t>REAL_MILEAGE</t>
        </is>
      </c>
      <c r="H413" s="8" t="inlineStr">
        <is>
          <t>EXISTS</t>
        </is>
      </c>
      <c r="I413" s="11" t="n">
        <v>64330</v>
      </c>
      <c r="J413" s="8" t="inlineStr">
        <is>
          <t>2026-07-13T16:50:53+09:00</t>
        </is>
      </c>
      <c r="K413" s="14" t="inlineStr">
        <is>
          <t>ノア*検長*HID*スマートキー*左パワスラ*ナビ*Bカメラ*DTV*DVD*CD*ETC*社外AW*110420</t>
        </is>
      </c>
      <c r="L413" s="8" t="inlineStr">
        <is>
          <t>https://page.auctions.yahoo.co.jp/jp/auction/1233885732</t>
        </is>
      </c>
    </row>
    <row r="414">
      <c r="A414" s="13" t="inlineStr">
        <is>
          <t>ノア</t>
        </is>
      </c>
      <c r="B414" s="13" t="n">
        <v>2010</v>
      </c>
      <c r="C414" s="13" t="inlineStr">
        <is>
          <t>70系</t>
        </is>
      </c>
      <c r="D414" s="15" t="n">
        <v>179888</v>
      </c>
      <c r="E414" s="13" t="n">
        <v>28</v>
      </c>
      <c r="F414" s="15" t="n">
        <v>243550</v>
      </c>
      <c r="G414" s="13" t="inlineStr">
        <is>
          <t>REAL_MILEAGE</t>
        </is>
      </c>
      <c r="H414" s="13" t="n"/>
      <c r="I414" s="15" t="n">
        <v>0</v>
      </c>
      <c r="J414" s="13" t="inlineStr">
        <is>
          <t>2026-06-07T19:49:29+09:00</t>
        </is>
      </c>
      <c r="K414" s="14" t="inlineStr">
        <is>
          <t>ノア　NOAH 4WD　貨物登録　4ナンバー　ZRR75 スマートキー　シートヒーター　電動スライドドア</t>
        </is>
      </c>
      <c r="L414" s="13" t="inlineStr">
        <is>
          <t>https://page.auctions.yahoo.co.jp/jp/auction/e1231742667</t>
        </is>
      </c>
    </row>
    <row r="415">
      <c r="A415" s="8" t="inlineStr">
        <is>
          <t>ノア</t>
        </is>
      </c>
      <c r="B415" s="8" t="n">
        <v>2009</v>
      </c>
      <c r="C415" s="8" t="inlineStr">
        <is>
          <t>70系</t>
        </is>
      </c>
      <c r="D415" s="11" t="n">
        <v>317000</v>
      </c>
      <c r="E415" s="8" t="n">
        <v>1</v>
      </c>
      <c r="F415" s="11" t="n">
        <v>112400</v>
      </c>
      <c r="G415" s="8" t="inlineStr">
        <is>
          <t>REAL_MILEAGE</t>
        </is>
      </c>
      <c r="H415" s="8" t="inlineStr">
        <is>
          <t>EXISTS</t>
        </is>
      </c>
      <c r="I415" s="11" t="n">
        <v>23500</v>
      </c>
      <c r="J415" s="8" t="inlineStr">
        <is>
          <t>2026-08-07T20:27:59+09:00</t>
        </is>
      </c>
      <c r="K415" s="14" t="inlineStr">
        <is>
          <t>貨物登録済4ナンバー　検9年7月　年間自税17600円　左右電動スライド　ノア　ナビTV</t>
        </is>
      </c>
      <c r="L415" s="8" t="inlineStr">
        <is>
          <t>https://page.auctions.yahoo.co.jp/jp/auction/w1238367782</t>
        </is>
      </c>
    </row>
    <row r="416">
      <c r="A416" s="13" t="inlineStr">
        <is>
          <t>ノア</t>
        </is>
      </c>
      <c r="B416" s="13" t="n">
        <v>2009</v>
      </c>
      <c r="C416" s="13" t="inlineStr">
        <is>
          <t>70系</t>
        </is>
      </c>
      <c r="D416" s="15" t="n">
        <v>250000</v>
      </c>
      <c r="E416" s="13" t="n">
        <v>1</v>
      </c>
      <c r="F416" s="15" t="n">
        <v>130603</v>
      </c>
      <c r="G416" s="13" t="inlineStr">
        <is>
          <t>REAL_MILEAGE</t>
        </is>
      </c>
      <c r="H416" s="13" t="inlineStr">
        <is>
          <t>NONE</t>
        </is>
      </c>
      <c r="I416" s="15" t="n">
        <v>0</v>
      </c>
      <c r="J416" s="13" t="inlineStr">
        <is>
          <t>2026-07-31T19:57:49+09:00</t>
        </is>
      </c>
      <c r="K416" s="14" t="inlineStr">
        <is>
          <t>埼玉所沢発　ノア　車検たっぷり令和10年4月　13.0万キロ　H21年　DBA-ZRR70G　ナビ　バックカメラ　ETC　パワスラ　売り切り！</t>
        </is>
      </c>
      <c r="L416" s="13" t="inlineStr">
        <is>
          <t>https://page.auctions.yahoo.co.jp/jp/auction/j1237466246</t>
        </is>
      </c>
    </row>
    <row r="417">
      <c r="A417" s="8" t="inlineStr">
        <is>
          <t>ノア</t>
        </is>
      </c>
      <c r="B417" s="8" t="n">
        <v>2008</v>
      </c>
      <c r="C417" s="8" t="inlineStr">
        <is>
          <t>70系</t>
        </is>
      </c>
      <c r="D417" s="11" t="n">
        <v>228000</v>
      </c>
      <c r="E417" s="8" t="n">
        <v>66</v>
      </c>
      <c r="F417" s="11" t="n">
        <v>196032</v>
      </c>
      <c r="G417" s="8" t="inlineStr">
        <is>
          <t>REAL_MILEAGE</t>
        </is>
      </c>
      <c r="H417" s="8" t="n"/>
      <c r="I417" s="11" t="n">
        <v>0</v>
      </c>
      <c r="J417" s="8" t="inlineStr">
        <is>
          <t>2026-03-15T22:52:59+09:00</t>
        </is>
      </c>
      <c r="K417" s="14" t="inlineStr">
        <is>
          <t>売切り！70系ノア X 車検長い(R7年7月) 両側パワスラ ナビ フリップダウン ETC</t>
        </is>
      </c>
      <c r="L417" s="8" t="inlineStr">
        <is>
          <t>https://page.auctions.yahoo.co.jp/jp/auction/p1222115157</t>
        </is>
      </c>
    </row>
    <row r="418">
      <c r="A418" s="13" t="inlineStr">
        <is>
          <t>ノア</t>
        </is>
      </c>
      <c r="B418" s="13" t="n">
        <v>2007</v>
      </c>
      <c r="C418" s="13" t="inlineStr">
        <is>
          <t>70系</t>
        </is>
      </c>
      <c r="D418" s="15" t="n">
        <v>121800</v>
      </c>
      <c r="E418" s="13" t="n">
        <v>38</v>
      </c>
      <c r="F418" s="15" t="n">
        <v>360000</v>
      </c>
      <c r="G418" s="13" t="inlineStr">
        <is>
          <t>REAL_MILEAGE</t>
        </is>
      </c>
      <c r="H418" s="13" t="inlineStr">
        <is>
          <t>NONE</t>
        </is>
      </c>
      <c r="I418" s="15" t="n">
        <v>69810</v>
      </c>
      <c r="J418" s="13" t="inlineStr">
        <is>
          <t>2026-08-15T22:49:21+09:00</t>
        </is>
      </c>
      <c r="K418" s="14" t="inlineStr">
        <is>
          <t xml:space="preserve">須賀川市～　即決あり　トヨタ　ノア　Ｓｉ　４ＷＤ　　車検8年11月29日　輸出　過走行　調子良い　平成19年式　パドルシフト　車中泊　</t>
        </is>
      </c>
      <c r="L418" s="13" t="inlineStr">
        <is>
          <t>https://page.auctions.yahoo.co.jp/jp/auction/x1239226988</t>
        </is>
      </c>
    </row>
    <row r="419">
      <c r="A419" s="8" t="inlineStr">
        <is>
          <t>ノア</t>
        </is>
      </c>
      <c r="B419" s="8" t="n">
        <v>2006</v>
      </c>
      <c r="C419" s="8" t="inlineStr"/>
      <c r="D419" s="11" t="n">
        <v>348000</v>
      </c>
      <c r="E419" s="8" t="n">
        <v>2</v>
      </c>
      <c r="F419" s="11" t="n">
        <v>148845</v>
      </c>
      <c r="G419" s="8" t="inlineStr">
        <is>
          <t>REAL_MILEAGE</t>
        </is>
      </c>
      <c r="H419" s="8" t="n"/>
      <c r="I419" s="11" t="n">
        <v>0</v>
      </c>
      <c r="J419" s="8" t="inlineStr">
        <is>
          <t>2026-03-11T22:20:42+09:00</t>
        </is>
      </c>
      <c r="K419" s="14" t="inlineStr">
        <is>
          <t>◆8ナンバー！福祉車両！スローパー！車検令和9年12月迄 ノア 2.0 X バイクトランポ使用可 ナビ 地デジ ドラレコ 左右パワースライド</t>
        </is>
      </c>
      <c r="L419" s="8" t="inlineStr">
        <is>
          <t>https://page.auctions.yahoo.co.jp/jp/auction/s1220203237</t>
        </is>
      </c>
    </row>
    <row r="420">
      <c r="A420" s="13" t="inlineStr">
        <is>
          <t>ノア</t>
        </is>
      </c>
      <c r="B420" s="13" t="n">
        <v>2005</v>
      </c>
      <c r="C420" s="13" t="inlineStr"/>
      <c r="D420" s="15" t="n">
        <v>110000</v>
      </c>
      <c r="E420" s="13" t="n">
        <v>8</v>
      </c>
      <c r="F420" s="15" t="n">
        <v>201500</v>
      </c>
      <c r="G420" s="13" t="inlineStr">
        <is>
          <t>REAL_MILEAGE</t>
        </is>
      </c>
      <c r="H420" s="13" t="n"/>
      <c r="I420" s="15" t="n">
        <v>0</v>
      </c>
      <c r="J420" s="13" t="inlineStr">
        <is>
          <t>2026-08-12T20:37:48+09:00</t>
        </is>
      </c>
      <c r="K420" s="14" t="inlineStr">
        <is>
          <t xml:space="preserve">トヨタ ノア AZR60 17年 </t>
        </is>
      </c>
      <c r="L420" s="13" t="inlineStr">
        <is>
          <t>https://page.auctions.yahoo.co.jp/jp/auction/e1238912284</t>
        </is>
      </c>
    </row>
    <row r="421">
      <c r="A421" s="8" t="inlineStr">
        <is>
          <t>ノア</t>
        </is>
      </c>
      <c r="B421" s="8" t="n">
        <v>2005</v>
      </c>
      <c r="C421" s="8" t="inlineStr"/>
      <c r="D421" s="11" t="n">
        <v>122000</v>
      </c>
      <c r="E421" s="8" t="n">
        <v>7</v>
      </c>
      <c r="F421" s="11" t="n">
        <v>141605</v>
      </c>
      <c r="G421" s="8" t="inlineStr">
        <is>
          <t>REAL_MILEAGE</t>
        </is>
      </c>
      <c r="H421" s="8" t="inlineStr">
        <is>
          <t>NONE</t>
        </is>
      </c>
      <c r="I421" s="11" t="n">
        <v>12730</v>
      </c>
      <c r="J421" s="8" t="inlineStr">
        <is>
          <t>2026-06-22T23:29:08+09:00</t>
        </is>
      </c>
      <c r="K421" s="14" t="inlineStr">
        <is>
          <t xml:space="preserve">H17年式　ノア　後席サイドリフトアップシート　両側電動スライドドア　福祉　一時抹消渡し　</t>
        </is>
      </c>
      <c r="L421" s="8" t="inlineStr">
        <is>
          <t>https://page.auctions.yahoo.co.jp/jp/auction/h1234189419</t>
        </is>
      </c>
    </row>
    <row r="422">
      <c r="A422" s="13" t="inlineStr">
        <is>
          <t>ノア</t>
        </is>
      </c>
      <c r="B422" s="13" t="n">
        <v>2002</v>
      </c>
      <c r="C422" s="13" t="inlineStr"/>
      <c r="D422" s="15" t="n">
        <v>165000</v>
      </c>
      <c r="E422" s="13" t="n">
        <v>41</v>
      </c>
      <c r="F422" s="15" t="n">
        <v>180100</v>
      </c>
      <c r="G422" s="13" t="inlineStr">
        <is>
          <t>REAL_MILEAGE</t>
        </is>
      </c>
      <c r="H422" s="13" t="inlineStr">
        <is>
          <t>NONE</t>
        </is>
      </c>
      <c r="I422" s="15" t="n">
        <v>0</v>
      </c>
      <c r="J422" s="13" t="inlineStr">
        <is>
          <t>2026-06-15T22:44:31+09:00</t>
        </is>
      </c>
      <c r="K422" s="14" t="inlineStr">
        <is>
          <t>ノア　リフトアップ　一時抹消</t>
        </is>
      </c>
      <c r="L422" s="13" t="inlineStr">
        <is>
          <t>https://page.auctions.yahoo.co.jp/jp/auction/t1233042014</t>
        </is>
      </c>
    </row>
    <row r="423">
      <c r="A423" s="8" t="inlineStr">
        <is>
          <t>ノア</t>
        </is>
      </c>
      <c r="B423" s="8" t="n"/>
      <c r="C423" s="8" t="inlineStr"/>
      <c r="D423" s="11" t="n">
        <v>501000</v>
      </c>
      <c r="E423" s="8" t="n">
        <v>26</v>
      </c>
      <c r="F423" s="11" t="n"/>
      <c r="G423" s="8" t="n"/>
      <c r="H423" s="8" t="n"/>
      <c r="I423" s="11" t="n"/>
      <c r="J423" s="8" t="inlineStr">
        <is>
          <t>2026-08-14T21:14:01+09:00</t>
        </is>
      </c>
      <c r="K423" s="14" t="inlineStr">
        <is>
          <t>ハイブリッドＸ　車検９年７月　修復なし　フリップダウンモニター　純正ナビ　Ｂカメラ　パワースライドドア　後席純正カーテン</t>
        </is>
      </c>
      <c r="L423" s="8" t="inlineStr">
        <is>
          <t>https://page.auctions.yahoo.co.jp/jp/auction/w1238406583</t>
        </is>
      </c>
    </row>
    <row r="424">
      <c r="A424" s="13" t="inlineStr">
        <is>
          <t>ノア</t>
        </is>
      </c>
      <c r="B424" s="13" t="n"/>
      <c r="C424" s="13" t="inlineStr"/>
      <c r="D424" s="15" t="n">
        <v>300000</v>
      </c>
      <c r="E424" s="13" t="n">
        <v>1</v>
      </c>
      <c r="F424" s="15" t="n"/>
      <c r="G424" s="13" t="n"/>
      <c r="H424" s="13" t="n"/>
      <c r="I424" s="15" t="n"/>
      <c r="J424" s="13" t="inlineStr">
        <is>
          <t>2026-08-10T14:02:04+09:00</t>
        </is>
      </c>
      <c r="K424" s="14" t="inlineStr">
        <is>
          <t>カスタム多数 寒冷地仕様 VSC カーテンエアバッグ付 オプション 70 ノア ヴォクシー トヨタ 70系 70型 NOAH VOXY ZRR70 ZRR75 3ZR ボクシー</t>
        </is>
      </c>
      <c r="L424" s="13" t="inlineStr">
        <is>
          <t>https://page.auctions.yahoo.co.jp/jp/auction/r1238680653</t>
        </is>
      </c>
    </row>
    <row r="425">
      <c r="A425" s="8" t="inlineStr">
        <is>
          <t>ノア</t>
        </is>
      </c>
      <c r="B425" s="8" t="n"/>
      <c r="C425" s="8" t="inlineStr"/>
      <c r="D425" s="11" t="n">
        <v>550000</v>
      </c>
      <c r="E425" s="8" t="n">
        <v>101</v>
      </c>
      <c r="F425" s="11" t="n"/>
      <c r="G425" s="8" t="n"/>
      <c r="H425" s="8" t="n"/>
      <c r="I425" s="11" t="n"/>
      <c r="J425" s="8" t="inlineStr">
        <is>
          <t>2026-07-29T21:10:12+09:00</t>
        </is>
      </c>
      <c r="K425" s="14" t="inlineStr">
        <is>
          <t>【訳アリ/外装】ハイブリッド★両側パワースライドドア★希少/寒冷地仕様★スマートキー★ナビ/TV/Bカメラ★25年製国産タイヤ4本溝深い</t>
        </is>
      </c>
      <c r="L425" s="8" t="inlineStr">
        <is>
          <t>https://page.auctions.yahoo.co.jp/jp/auction/r1238082583</t>
        </is>
      </c>
    </row>
    <row r="426">
      <c r="A426" s="13" t="inlineStr">
        <is>
          <t>ノア</t>
        </is>
      </c>
      <c r="B426" s="13" t="n"/>
      <c r="C426" s="13" t="inlineStr"/>
      <c r="D426" s="15" t="n">
        <v>521000</v>
      </c>
      <c r="E426" s="13" t="n">
        <v>178</v>
      </c>
      <c r="F426" s="15" t="n"/>
      <c r="G426" s="13" t="n"/>
      <c r="H426" s="13" t="n"/>
      <c r="I426" s="15" t="n"/>
      <c r="J426" s="13" t="inlineStr">
        <is>
          <t>2026-07-28T21:42:49+09:00</t>
        </is>
      </c>
      <c r="K426" s="14" t="inlineStr">
        <is>
          <t>ハイブリッド★フリップダウンモニター★両側パワースライドドア★シートヒーター★ナビ/TV/Bカメラ★内外美車★24年製国産タイヤ4本溝深い</t>
        </is>
      </c>
      <c r="L426" s="13" t="inlineStr">
        <is>
          <t>https://page.auctions.yahoo.co.jp/jp/auction/s1238081189</t>
        </is>
      </c>
    </row>
    <row r="427">
      <c r="A427" s="8" t="inlineStr">
        <is>
          <t>ノア</t>
        </is>
      </c>
      <c r="B427" s="8" t="n"/>
      <c r="C427" s="8" t="inlineStr"/>
      <c r="D427" s="11" t="n">
        <v>648000</v>
      </c>
      <c r="E427" s="8" t="n">
        <v>8</v>
      </c>
      <c r="F427" s="11" t="n"/>
      <c r="G427" s="8" t="n"/>
      <c r="H427" s="8" t="n"/>
      <c r="I427" s="11" t="n"/>
      <c r="J427" s="8" t="inlineStr">
        <is>
          <t>2026-07-24T12:53:24+09:00</t>
        </is>
      </c>
      <c r="K427" s="14" t="inlineStr">
        <is>
          <t xml:space="preserve">ハイブリッドＧ　車検１０年８月　１０インチナビ　Ｂカメラ　クルコン　両側パワスラ　シートヒーター　Ｗエアコン　リモコンスターター　</t>
        </is>
      </c>
      <c r="L427" s="8" t="inlineStr">
        <is>
          <t>https://page.auctions.yahoo.co.jp/jp/auction/j1238044575</t>
        </is>
      </c>
    </row>
    <row r="428">
      <c r="A428" s="13" t="inlineStr">
        <is>
          <t>ノア</t>
        </is>
      </c>
      <c r="B428" s="13" t="n"/>
      <c r="C428" s="13" t="inlineStr"/>
      <c r="D428" s="15" t="n">
        <v>648000</v>
      </c>
      <c r="E428" s="13" t="n">
        <v>1</v>
      </c>
      <c r="F428" s="15" t="n"/>
      <c r="G428" s="13" t="n"/>
      <c r="H428" s="13" t="n"/>
      <c r="I428" s="15" t="n"/>
      <c r="J428" s="13" t="inlineStr">
        <is>
          <t>2026-07-19T18:09:58+09:00</t>
        </is>
      </c>
      <c r="K428" s="14" t="inlineStr">
        <is>
          <t>ハイブリッドＧ　車検１０年８月　修復なし　両側パワスラ　ナビ　Ｂカメラ　ＥＴＣ　クルコン　シートヒーター　Ｗエアコン　ＬＥＤライト</t>
        </is>
      </c>
      <c r="L428" s="13" t="inlineStr">
        <is>
          <t>https://page.auctions.yahoo.co.jp/jp/auction/x1234900358</t>
        </is>
      </c>
    </row>
    <row r="429">
      <c r="A429" s="8" t="inlineStr">
        <is>
          <t>ノア</t>
        </is>
      </c>
      <c r="B429" s="8" t="n"/>
      <c r="C429" s="8" t="inlineStr"/>
      <c r="D429" s="11" t="n">
        <v>139000</v>
      </c>
      <c r="E429" s="8" t="n">
        <v>29</v>
      </c>
      <c r="F429" s="11" t="n"/>
      <c r="G429" s="8" t="n"/>
      <c r="H429" s="8" t="n"/>
      <c r="I429" s="11" t="n"/>
      <c r="J429" s="8" t="inlineStr">
        <is>
          <t>2026-07-11T22:03:02+09:00</t>
        </is>
      </c>
      <c r="K429" s="14" t="inlineStr">
        <is>
          <t>【個人】全込み！元気よく走ります！ジャンク？</t>
        </is>
      </c>
      <c r="L429" s="8" t="inlineStr">
        <is>
          <t>https://page.auctions.yahoo.co.jp/jp/auction/n1233439092</t>
        </is>
      </c>
    </row>
    <row r="430">
      <c r="A430" s="13" t="inlineStr">
        <is>
          <t>ノア</t>
        </is>
      </c>
      <c r="B430" s="13" t="n"/>
      <c r="C430" s="13" t="inlineStr"/>
      <c r="D430" s="15" t="n">
        <v>635000</v>
      </c>
      <c r="E430" s="13" t="n">
        <v>99</v>
      </c>
      <c r="F430" s="15" t="n"/>
      <c r="G430" s="13" t="n"/>
      <c r="H430" s="13" t="n"/>
      <c r="I430" s="15" t="n"/>
      <c r="J430" s="13" t="inlineStr">
        <is>
          <t>2026-07-07T20:45:08+09:00</t>
        </is>
      </c>
      <c r="K430" s="14" t="inlineStr">
        <is>
          <t>ハイブリッドＧ　車検１０年７月　修復なし　両側パワスラ　大画面ナビ　Ｂカメラ　ＥＴＣ　クルコン　シートヒーター　Ｗエアコン</t>
        </is>
      </c>
      <c r="L430" s="13" t="inlineStr">
        <is>
          <t>https://page.auctions.yahoo.co.jp/jp/auction/s1235438642</t>
        </is>
      </c>
    </row>
    <row r="431">
      <c r="A431" s="8" t="inlineStr">
        <is>
          <t>ノア</t>
        </is>
      </c>
      <c r="B431" s="8" t="n"/>
      <c r="C431" s="8" t="inlineStr"/>
      <c r="D431" s="11" t="n">
        <v>388000</v>
      </c>
      <c r="E431" s="8" t="n">
        <v>1</v>
      </c>
      <c r="F431" s="11" t="n"/>
      <c r="G431" s="8" t="n"/>
      <c r="H431" s="8" t="n"/>
      <c r="I431" s="11" t="n"/>
      <c r="J431" s="8" t="inlineStr">
        <is>
          <t>2026-07-07T20:43:03+09:00</t>
        </is>
      </c>
      <c r="K431" s="14" t="inlineStr">
        <is>
          <t>ノア スローパー 8ナンバー 車いす2基 2脚　福祉車両 ウェルキャブ 事業用　車いす仕様車　ZRR70　定員５名</t>
        </is>
      </c>
      <c r="L431" s="8" t="inlineStr">
        <is>
          <t>https://page.auctions.yahoo.co.jp/jp/auction/l1236078839</t>
        </is>
      </c>
    </row>
    <row r="432">
      <c r="A432" s="13" t="inlineStr">
        <is>
          <t>ノア</t>
        </is>
      </c>
      <c r="B432" s="13" t="n"/>
      <c r="C432" s="13" t="inlineStr"/>
      <c r="D432" s="15" t="n">
        <v>491000</v>
      </c>
      <c r="E432" s="13" t="n">
        <v>31</v>
      </c>
      <c r="F432" s="15" t="n"/>
      <c r="G432" s="13" t="n"/>
      <c r="H432" s="13" t="n"/>
      <c r="I432" s="15" t="n"/>
      <c r="J432" s="13" t="inlineStr">
        <is>
          <t>2026-06-28T22:40:48+09:00</t>
        </is>
      </c>
      <c r="K432" s="14" t="inlineStr">
        <is>
          <t>記録簿13枚あり★車検ロングR10年3月★H27年式人気の80ノア X★純正ナビ地デジ/左右パワスラ/Bカメラ/ETC★内外装掃除済み/機関快調/希少色</t>
        </is>
      </c>
      <c r="L432" s="13" t="inlineStr">
        <is>
          <t>https://page.auctions.yahoo.co.jp/jp/auction/h1234503402</t>
        </is>
      </c>
    </row>
    <row r="433">
      <c r="A433" s="8" t="inlineStr">
        <is>
          <t>ノア</t>
        </is>
      </c>
      <c r="B433" s="8" t="n"/>
      <c r="C433" s="8" t="inlineStr"/>
      <c r="D433" s="11" t="n">
        <v>599000</v>
      </c>
      <c r="E433" s="8" t="n">
        <v>40</v>
      </c>
      <c r="F433" s="11" t="n"/>
      <c r="G433" s="8" t="n"/>
      <c r="H433" s="8" t="n"/>
      <c r="I433" s="11" t="n"/>
      <c r="J433" s="8" t="inlineStr">
        <is>
          <t>2026-06-09T21:22:23+09:00</t>
        </is>
      </c>
      <c r="K433" s="14" t="inlineStr">
        <is>
          <t xml:space="preserve">ハイブリッドＧ　車検１０年６月　修復なし　両側パワスラ　Ｗエアコン　純正ナビ　Ｂカメラ　Bluetooth　シートヒーター　クルコン　</t>
        </is>
      </c>
      <c r="L433" s="8" t="inlineStr">
        <is>
          <t>https://page.auctions.yahoo.co.jp/jp/auction/h1232123490</t>
        </is>
      </c>
    </row>
    <row r="434">
      <c r="A434" s="13" t="inlineStr">
        <is>
          <t>ノア</t>
        </is>
      </c>
      <c r="B434" s="13" t="n"/>
      <c r="C434" s="13" t="inlineStr"/>
      <c r="D434" s="15" t="n">
        <v>653500</v>
      </c>
      <c r="E434" s="13" t="n">
        <v>184</v>
      </c>
      <c r="F434" s="15" t="n"/>
      <c r="G434" s="13" t="n"/>
      <c r="H434" s="13" t="n"/>
      <c r="I434" s="15" t="n"/>
      <c r="J434" s="13" t="inlineStr">
        <is>
          <t>2026-05-25T22:02:19+09:00</t>
        </is>
      </c>
      <c r="K434" s="14" t="inlineStr">
        <is>
          <t>モデリスタエアロ　ハイブリッドＸ　車検１０年６月　修復なし　両側パワースライド　純正ナビ　Ｂカメラ　ＥＴＣ　前後ドラレコ</t>
        </is>
      </c>
      <c r="L434" s="13" t="inlineStr">
        <is>
          <t>https://page.auctions.yahoo.co.jp/jp/auction/v1230476906</t>
        </is>
      </c>
    </row>
    <row r="435">
      <c r="A435" s="8" t="inlineStr">
        <is>
          <t>ノア</t>
        </is>
      </c>
      <c r="B435" s="8" t="n"/>
      <c r="C435" s="8" t="inlineStr"/>
      <c r="D435" s="11" t="n">
        <v>702000</v>
      </c>
      <c r="E435" s="8" t="n">
        <v>144</v>
      </c>
      <c r="F435" s="11" t="n"/>
      <c r="G435" s="8" t="n"/>
      <c r="H435" s="8" t="n"/>
      <c r="I435" s="11" t="n"/>
      <c r="J435" s="8" t="inlineStr">
        <is>
          <t>2026-05-21T22:19:19+09:00</t>
        </is>
      </c>
      <c r="K435" s="14" t="inlineStr">
        <is>
          <t>26年トヨタ　ノア　ハイブリッド　G 純正9ナビフルセグ地デジ　　モデリスタエアロ　左右パワースライド　車検2年満タン</t>
        </is>
      </c>
      <c r="L435" s="8" t="inlineStr">
        <is>
          <t>https://page.auctions.yahoo.co.jp/jp/auction/v1230140293</t>
        </is>
      </c>
    </row>
    <row r="436">
      <c r="A436" s="13" t="inlineStr">
        <is>
          <t>ノア</t>
        </is>
      </c>
      <c r="B436" s="13" t="n"/>
      <c r="C436" s="13" t="inlineStr"/>
      <c r="D436" s="15" t="n">
        <v>384000</v>
      </c>
      <c r="E436" s="13" t="n">
        <v>34</v>
      </c>
      <c r="F436" s="15" t="n"/>
      <c r="G436" s="13" t="n"/>
      <c r="H436" s="13" t="n"/>
      <c r="I436" s="15" t="n"/>
      <c r="J436" s="13" t="inlineStr">
        <is>
          <t>2026-05-07T18:23:31+09:00</t>
        </is>
      </c>
      <c r="K436" s="14" t="inlineStr">
        <is>
          <t>トヨタ ノア Xディライトプラス★ZRR80G★平成２８年★53800km★車検丸２年★自動パワースライドドア★修復歴なし★大型純正ナビ！</t>
        </is>
      </c>
      <c r="L436" s="13" t="inlineStr">
        <is>
          <t>https://page.auctions.yahoo.co.jp/jp/auction/r1228619074</t>
        </is>
      </c>
    </row>
    <row r="437">
      <c r="A437" s="8" t="inlineStr">
        <is>
          <t>ノア</t>
        </is>
      </c>
      <c r="B437" s="8" t="n"/>
      <c r="C437" s="8" t="inlineStr"/>
      <c r="D437" s="11" t="n">
        <v>612000</v>
      </c>
      <c r="E437" s="8" t="n">
        <v>83</v>
      </c>
      <c r="F437" s="11" t="n"/>
      <c r="G437" s="8" t="n"/>
      <c r="H437" s="8" t="n"/>
      <c r="I437" s="11" t="n"/>
      <c r="J437" s="8" t="inlineStr">
        <is>
          <t>2026-04-26T22:29:36+09:00</t>
        </is>
      </c>
      <c r="K437" s="14" t="inlineStr">
        <is>
          <t>ハイブリッドＧ　車検１０年４月　フリップダウンモニター　両側パワスラ　大画面ナビ　Ｂカメラ　シートヒーター　クルコン　Ｗエアコン</t>
        </is>
      </c>
      <c r="L437" s="8" t="inlineStr">
        <is>
          <t>https://page.auctions.yahoo.co.jp/jp/auction/o1225415674</t>
        </is>
      </c>
    </row>
    <row r="438">
      <c r="A438" s="13" t="inlineStr">
        <is>
          <t>ノア</t>
        </is>
      </c>
      <c r="B438" s="13" t="n"/>
      <c r="C438" s="13" t="inlineStr"/>
      <c r="D438" s="15" t="n">
        <v>2413001</v>
      </c>
      <c r="E438" s="13" t="n">
        <v>513</v>
      </c>
      <c r="F438" s="15" t="n"/>
      <c r="G438" s="13" t="n"/>
      <c r="H438" s="13" t="n"/>
      <c r="I438" s="15" t="n"/>
      <c r="J438" s="13" t="inlineStr">
        <is>
          <t>2026-04-24T09:30:01+09:00</t>
        </is>
      </c>
      <c r="K438" s="14" t="inlineStr">
        <is>
          <t>令和６年式　ノア　ハイブリッドX　低燃費　８人乗り　パールホワイト　車検たっぷり令和１０年３月まで</t>
        </is>
      </c>
      <c r="L438" s="13" t="inlineStr">
        <is>
          <t>https://page.auctions.yahoo.co.jp/jp/auction/k1225543786</t>
        </is>
      </c>
    </row>
    <row r="439">
      <c r="A439" s="8" t="inlineStr">
        <is>
          <t>ノア</t>
        </is>
      </c>
      <c r="B439" s="8" t="n"/>
      <c r="C439" s="8" t="inlineStr"/>
      <c r="D439" s="11" t="n">
        <v>2551000</v>
      </c>
      <c r="E439" s="8" t="n">
        <v>46</v>
      </c>
      <c r="F439" s="11" t="n"/>
      <c r="G439" s="8" t="n"/>
      <c r="H439" s="8" t="n"/>
      <c r="I439" s="11" t="n"/>
      <c r="J439" s="8" t="inlineStr">
        <is>
          <t>2026-04-12T20:44:45+09:00</t>
        </is>
      </c>
      <c r="K439" s="14" t="inlineStr">
        <is>
          <t>★プリウス 2025 PHEV Z 低走行距離、優れた燃費、大型ナビゲーションシステム、プッシュスタート、クルーズコントロール ETC ★</t>
        </is>
      </c>
      <c r="L439" s="8" t="inlineStr">
        <is>
          <t>https://page.auctions.yahoo.co.jp/jp/auction/s1226063056</t>
        </is>
      </c>
    </row>
    <row r="440">
      <c r="A440" s="13" t="inlineStr">
        <is>
          <t>ノア</t>
        </is>
      </c>
      <c r="B440" s="13" t="n"/>
      <c r="C440" s="13" t="inlineStr"/>
      <c r="D440" s="15" t="n">
        <v>652000</v>
      </c>
      <c r="E440" s="13" t="n">
        <v>95</v>
      </c>
      <c r="F440" s="15" t="n"/>
      <c r="G440" s="13" t="n"/>
      <c r="H440" s="13" t="n"/>
      <c r="I440" s="15" t="n"/>
      <c r="J440" s="13" t="inlineStr">
        <is>
          <t>2026-03-18T21:15:13+09:00</t>
        </is>
      </c>
      <c r="K440" s="14" t="inlineStr">
        <is>
          <t xml:space="preserve">ハイブリッドＧ　車検１０年３月　フリップダウンモニター　両側パワスラ　純正ナビ　Ｂカメラ　シートヒーター　クルコン　Ｗエアコン　</t>
        </is>
      </c>
      <c r="L440" s="13" t="inlineStr">
        <is>
          <t>https://page.auctions.yahoo.co.jp/jp/auction/l1222012062</t>
        </is>
      </c>
    </row>
    <row r="441">
      <c r="A441" s="8" t="inlineStr">
        <is>
          <t>プリウスα</t>
        </is>
      </c>
      <c r="B441" s="8" t="n">
        <v>2017</v>
      </c>
      <c r="C441" s="8" t="inlineStr">
        <is>
          <t>40系</t>
        </is>
      </c>
      <c r="D441" s="11" t="n">
        <v>978000</v>
      </c>
      <c r="E441" s="8" t="n">
        <v>1</v>
      </c>
      <c r="F441" s="11" t="n">
        <v>97000</v>
      </c>
      <c r="G441" s="8" t="inlineStr">
        <is>
          <t>REAL_MILEAGE</t>
        </is>
      </c>
      <c r="H441" s="8" t="inlineStr">
        <is>
          <t>NONE</t>
        </is>
      </c>
      <c r="I441" s="11" t="n">
        <v>0</v>
      </c>
      <c r="J441" s="8" t="inlineStr">
        <is>
          <t>2026-08-12T22:14:45+09:00</t>
        </is>
      </c>
      <c r="K441" s="14" t="inlineStr">
        <is>
          <t>プリウスα 1.8 S 純ナビフルセグバックカメラ禁煙車1年保証</t>
        </is>
      </c>
      <c r="L441" s="8" t="inlineStr">
        <is>
          <t>https://page.auctions.yahoo.co.jp/jp/auction/w1235684458</t>
        </is>
      </c>
    </row>
    <row r="442">
      <c r="A442" s="13" t="inlineStr">
        <is>
          <t>プリウスα</t>
        </is>
      </c>
      <c r="B442" s="13" t="n">
        <v>2017</v>
      </c>
      <c r="C442" s="13" t="inlineStr">
        <is>
          <t>40系</t>
        </is>
      </c>
      <c r="D442" s="15" t="n">
        <v>616111</v>
      </c>
      <c r="E442" s="13" t="n">
        <v>25</v>
      </c>
      <c r="F442" s="15" t="n">
        <v>63000</v>
      </c>
      <c r="G442" s="13" t="inlineStr">
        <is>
          <t>REAL_MILEAGE</t>
        </is>
      </c>
      <c r="H442" s="13" t="n"/>
      <c r="I442" s="15" t="n">
        <v>102030</v>
      </c>
      <c r="J442" s="13" t="inlineStr">
        <is>
          <t>2026-07-19T18:49:40+09:00</t>
        </is>
      </c>
      <c r="K442" s="14" t="inlineStr">
        <is>
          <t>H29 トヨタ プリウス α ハイブリッド 63000 Km 状態は非常に良く、ご家族での利用に最適です。</t>
        </is>
      </c>
      <c r="L442" s="13" t="inlineStr">
        <is>
          <t>https://page.auctions.yahoo.co.jp/jp/auction/l1237202334</t>
        </is>
      </c>
    </row>
    <row r="443">
      <c r="A443" s="8" t="inlineStr">
        <is>
          <t>プリウスα</t>
        </is>
      </c>
      <c r="B443" s="8" t="n">
        <v>2017</v>
      </c>
      <c r="C443" s="8" t="inlineStr">
        <is>
          <t>40系</t>
        </is>
      </c>
      <c r="D443" s="11" t="n">
        <v>891000</v>
      </c>
      <c r="E443" s="8" t="n">
        <v>1</v>
      </c>
      <c r="F443" s="11" t="n">
        <v>89000</v>
      </c>
      <c r="G443" s="8" t="inlineStr">
        <is>
          <t>REAL_MILEAGE</t>
        </is>
      </c>
      <c r="H443" s="8" t="inlineStr">
        <is>
          <t>NONE</t>
        </is>
      </c>
      <c r="I443" s="11" t="n">
        <v>0</v>
      </c>
      <c r="J443" s="8" t="inlineStr">
        <is>
          <t>2026-07-16T23:40:23+09:00</t>
        </is>
      </c>
      <c r="K443" s="14" t="inlineStr">
        <is>
          <t>プリウスα 1.8 S</t>
        </is>
      </c>
      <c r="L443" s="8" t="inlineStr">
        <is>
          <t>https://page.auctions.yahoo.co.jp/jp/auction/w1235560492</t>
        </is>
      </c>
    </row>
    <row r="444">
      <c r="A444" s="13" t="inlineStr">
        <is>
          <t>プリウスα</t>
        </is>
      </c>
      <c r="B444" s="13" t="n">
        <v>2017</v>
      </c>
      <c r="C444" s="13" t="inlineStr">
        <is>
          <t>40系</t>
        </is>
      </c>
      <c r="D444" s="15" t="n">
        <v>1800000</v>
      </c>
      <c r="E444" s="13" t="n">
        <v>1</v>
      </c>
      <c r="F444" s="15" t="n">
        <v>96000</v>
      </c>
      <c r="G444" s="13" t="inlineStr">
        <is>
          <t>REAL_MILEAGE</t>
        </is>
      </c>
      <c r="H444" s="13" t="inlineStr">
        <is>
          <t>NONE</t>
        </is>
      </c>
      <c r="I444" s="15" t="n">
        <v>0</v>
      </c>
      <c r="J444" s="13" t="inlineStr">
        <is>
          <t>2026-04-14T22:20:21+09:00</t>
        </is>
      </c>
      <c r="K444" s="14" t="inlineStr">
        <is>
          <t>H29年式　プリウスα G's 社外パーツ多数　車検長い　アルパイン</t>
        </is>
      </c>
      <c r="L444" s="13" t="inlineStr">
        <is>
          <t>https://page.auctions.yahoo.co.jp/jp/auction/r1222711781</t>
        </is>
      </c>
    </row>
    <row r="445">
      <c r="A445" s="8" t="inlineStr">
        <is>
          <t>プリウスα</t>
        </is>
      </c>
      <c r="B445" s="8" t="n">
        <v>2017</v>
      </c>
      <c r="C445" s="8" t="inlineStr">
        <is>
          <t>40系</t>
        </is>
      </c>
      <c r="D445" s="11" t="n">
        <v>1298000</v>
      </c>
      <c r="E445" s="8" t="n">
        <v>3</v>
      </c>
      <c r="F445" s="11" t="n">
        <v>43280</v>
      </c>
      <c r="G445" s="8" t="inlineStr">
        <is>
          <t>REAL_MILEAGE</t>
        </is>
      </c>
      <c r="H445" s="8" t="inlineStr">
        <is>
          <t>EXISTS</t>
        </is>
      </c>
      <c r="I445" s="11" t="n">
        <v>0</v>
      </c>
      <c r="J445" s="8" t="inlineStr">
        <is>
          <t>2026-04-07T08:01:26+09:00</t>
        </is>
      </c>
      <c r="K445" s="14" t="inlineStr">
        <is>
          <t>車検満タン 29年式 プリウスα 後期 セーフティセンス 衝突軽減ブレーキ レーダークルーズ ナビ TV Bluetooth バックモニター スマキー ETC</t>
        </is>
      </c>
      <c r="L445" s="8" t="inlineStr">
        <is>
          <t>https://page.auctions.yahoo.co.jp/jp/auction/p1224475802</t>
        </is>
      </c>
    </row>
    <row r="446">
      <c r="A446" s="13" t="inlineStr">
        <is>
          <t>プリウスα</t>
        </is>
      </c>
      <c r="B446" s="13" t="n">
        <v>2016</v>
      </c>
      <c r="C446" s="13" t="inlineStr">
        <is>
          <t>40系</t>
        </is>
      </c>
      <c r="D446" s="15" t="n">
        <v>650000</v>
      </c>
      <c r="E446" s="13" t="n">
        <v>1</v>
      </c>
      <c r="F446" s="15" t="n">
        <v>83000</v>
      </c>
      <c r="G446" s="13" t="inlineStr">
        <is>
          <t>REAL_MILEAGE</t>
        </is>
      </c>
      <c r="H446" s="13" t="inlineStr">
        <is>
          <t>NONE</t>
        </is>
      </c>
      <c r="I446" s="15" t="n">
        <v>0</v>
      </c>
      <c r="J446" s="13" t="inlineStr">
        <is>
          <t>2026-03-29T14:37:23+09:00</t>
        </is>
      </c>
      <c r="K446" s="14" t="inlineStr">
        <is>
          <t xml:space="preserve">プリウスα グレードS 5人乗り　ハイブリッド　H28年式　純正ナビ　8万キロ　ETC バックカメラ　社外アルミ　サマータイヤ付き　</t>
        </is>
      </c>
      <c r="L446" s="13" t="inlineStr">
        <is>
          <t>https://page.auctions.yahoo.co.jp/jp/auction/l1224601486</t>
        </is>
      </c>
    </row>
    <row r="447">
      <c r="A447" s="8" t="inlineStr">
        <is>
          <t>プリウスα</t>
        </is>
      </c>
      <c r="B447" s="8" t="n">
        <v>2015</v>
      </c>
      <c r="C447" s="8" t="inlineStr">
        <is>
          <t>40系</t>
        </is>
      </c>
      <c r="D447" s="11" t="n">
        <v>450000</v>
      </c>
      <c r="E447" s="8" t="n">
        <v>1</v>
      </c>
      <c r="F447" s="11" t="n">
        <v>147860</v>
      </c>
      <c r="G447" s="8" t="inlineStr">
        <is>
          <t>REAL_MILEAGE</t>
        </is>
      </c>
      <c r="H447" s="8" t="inlineStr">
        <is>
          <t>NONE</t>
        </is>
      </c>
      <c r="I447" s="11" t="n">
        <v>0</v>
      </c>
      <c r="J447" s="8" t="inlineStr">
        <is>
          <t>2026-08-10T19:47:47+09:00</t>
        </is>
      </c>
      <c r="K447" s="14" t="inlineStr">
        <is>
          <t>プリウスα　人気の白　フレモデリスタ　ハーフレザー</t>
        </is>
      </c>
      <c r="L447" s="8" t="inlineStr">
        <is>
          <t>https://page.auctions.yahoo.co.jp/jp/auction/1240315006</t>
        </is>
      </c>
    </row>
    <row r="448">
      <c r="A448" s="13" t="inlineStr">
        <is>
          <t>プリウスα</t>
        </is>
      </c>
      <c r="B448" s="13" t="n">
        <v>2015</v>
      </c>
      <c r="C448" s="13" t="inlineStr">
        <is>
          <t>40系</t>
        </is>
      </c>
      <c r="D448" s="15" t="n">
        <v>450999</v>
      </c>
      <c r="E448" s="13" t="n">
        <v>89</v>
      </c>
      <c r="F448" s="15" t="n">
        <v>228239</v>
      </c>
      <c r="G448" s="13" t="inlineStr">
        <is>
          <t>REAL_MILEAGE</t>
        </is>
      </c>
      <c r="H448" s="13" t="n"/>
      <c r="I448" s="15" t="n">
        <v>0</v>
      </c>
      <c r="J448" s="13" t="inlineStr">
        <is>
          <t>2026-06-12T19:46:45+09:00</t>
        </is>
      </c>
      <c r="K448" s="14" t="inlineStr">
        <is>
          <t>◎プリウスα　黒　１円スタート　個人出品　バッテリーメンテ、ＥＧＲ洗浄、プラグ、ウオーターポンプ交換済み◎</t>
        </is>
      </c>
      <c r="L448" s="13" t="inlineStr">
        <is>
          <t>https://page.auctions.yahoo.co.jp/jp/auction/r1231781529</t>
        </is>
      </c>
    </row>
    <row r="449">
      <c r="A449" s="8" t="inlineStr">
        <is>
          <t>プリウスα</t>
        </is>
      </c>
      <c r="B449" s="8" t="n">
        <v>2015</v>
      </c>
      <c r="C449" s="8" t="inlineStr">
        <is>
          <t>40系</t>
        </is>
      </c>
      <c r="D449" s="11" t="n">
        <v>1198000</v>
      </c>
      <c r="E449" s="8" t="n">
        <v>1</v>
      </c>
      <c r="F449" s="11" t="n">
        <v>23580</v>
      </c>
      <c r="G449" s="8" t="inlineStr">
        <is>
          <t>REAL_MILEAGE</t>
        </is>
      </c>
      <c r="H449" s="8" t="inlineStr">
        <is>
          <t>EXISTS</t>
        </is>
      </c>
      <c r="I449" s="11" t="n">
        <v>0</v>
      </c>
      <c r="J449" s="8" t="inlineStr">
        <is>
          <t>2026-06-02T16:30:43+09:00</t>
        </is>
      </c>
      <c r="K449" s="14" t="inlineStr">
        <is>
          <t>車検満タン 27年式 プリウスα 後期 セーフティセンス 衝突軽減ブレーキ レーダークルーズ ナビ TV Bluetooth バックモニター スマキー ETC</t>
        </is>
      </c>
      <c r="L449" s="8" t="inlineStr">
        <is>
          <t>https://page.auctions.yahoo.co.jp/jp/auction/e1229285694</t>
        </is>
      </c>
    </row>
    <row r="450">
      <c r="A450" s="13" t="inlineStr">
        <is>
          <t>プリウスα</t>
        </is>
      </c>
      <c r="B450" s="13" t="n">
        <v>2015</v>
      </c>
      <c r="C450" s="13" t="inlineStr">
        <is>
          <t>40系</t>
        </is>
      </c>
      <c r="D450" s="15" t="n">
        <v>1250000</v>
      </c>
      <c r="E450" s="13" t="n">
        <v>1</v>
      </c>
      <c r="F450" s="15" t="n">
        <v>55000</v>
      </c>
      <c r="G450" s="13" t="inlineStr">
        <is>
          <t>REAL_MILEAGE</t>
        </is>
      </c>
      <c r="H450" s="13" t="inlineStr">
        <is>
          <t>EXISTS</t>
        </is>
      </c>
      <c r="I450" s="15" t="n">
        <v>0</v>
      </c>
      <c r="J450" s="13" t="inlineStr">
        <is>
          <t>2026-04-17T17:03:24+09:00</t>
        </is>
      </c>
      <c r="K450" s="14" t="inlineStr">
        <is>
          <t>★後期モデル！H27年！上級！プリウスα【G】禁煙車！クルコン！パワーシート！フルセグＴＶ！革巻きハンドル！クルコン！LED！Bカメ！ETC</t>
        </is>
      </c>
      <c r="L450" s="13" t="inlineStr">
        <is>
          <t>https://page.auctions.yahoo.co.jp/jp/auction/h1221285202</t>
        </is>
      </c>
    </row>
    <row r="451">
      <c r="A451" s="8" t="inlineStr">
        <is>
          <t>プリウスα</t>
        </is>
      </c>
      <c r="B451" s="8" t="n">
        <v>2015</v>
      </c>
      <c r="C451" s="8" t="inlineStr">
        <is>
          <t>40系</t>
        </is>
      </c>
      <c r="D451" s="11" t="n">
        <v>1100100</v>
      </c>
      <c r="E451" s="8" t="n">
        <v>2</v>
      </c>
      <c r="F451" s="11" t="n">
        <v>78000</v>
      </c>
      <c r="G451" s="8" t="inlineStr">
        <is>
          <t>REAL_MILEAGE</t>
        </is>
      </c>
      <c r="H451" s="8" t="inlineStr">
        <is>
          <t>NONE</t>
        </is>
      </c>
      <c r="I451" s="11" t="n">
        <v>0</v>
      </c>
      <c r="J451" s="8" t="inlineStr">
        <is>
          <t>2026-03-27T23:34:52+09:00</t>
        </is>
      </c>
      <c r="K451" s="14" t="inlineStr">
        <is>
          <t>【諸費用コミ】:【在庫確認必須】 プリウスα</t>
        </is>
      </c>
      <c r="L451" s="8" t="inlineStr">
        <is>
          <t>https://page.auctions.yahoo.co.jp/jp/auction/l1222785941</t>
        </is>
      </c>
    </row>
    <row r="452">
      <c r="A452" s="13" t="inlineStr">
        <is>
          <t>プリウスα</t>
        </is>
      </c>
      <c r="B452" s="13" t="n">
        <v>2015</v>
      </c>
      <c r="C452" s="13" t="inlineStr">
        <is>
          <t>40系</t>
        </is>
      </c>
      <c r="D452" s="15" t="n">
        <v>700000</v>
      </c>
      <c r="E452" s="13" t="n">
        <v>1</v>
      </c>
      <c r="F452" s="15" t="n">
        <v>145383</v>
      </c>
      <c r="G452" s="13" t="inlineStr">
        <is>
          <t>REAL_MILEAGE</t>
        </is>
      </c>
      <c r="H452" s="13" t="inlineStr">
        <is>
          <t>NONE</t>
        </is>
      </c>
      <c r="I452" s="15" t="n">
        <v>0</v>
      </c>
      <c r="J452" s="13" t="inlineStr">
        <is>
          <t>2026-03-09T23:03:41+09:00</t>
        </is>
      </c>
      <c r="K452" s="14" t="inlineStr">
        <is>
          <t>値下げ! プリウスα 後期型 S 3列シート 7人乗り スタッドレスタイヤ付属　茨城県</t>
        </is>
      </c>
      <c r="L452" s="13" t="inlineStr">
        <is>
          <t>https://page.auctions.yahoo.co.jp/jp/auction/c1220492593</t>
        </is>
      </c>
    </row>
    <row r="453">
      <c r="A453" s="8" t="inlineStr">
        <is>
          <t>プリウスα</t>
        </is>
      </c>
      <c r="B453" s="8" t="n">
        <v>2014</v>
      </c>
      <c r="C453" s="8" t="inlineStr">
        <is>
          <t>40系</t>
        </is>
      </c>
      <c r="D453" s="11" t="n">
        <v>462000</v>
      </c>
      <c r="E453" s="8" t="n">
        <v>114</v>
      </c>
      <c r="F453" s="11" t="n">
        <v>132972</v>
      </c>
      <c r="G453" s="8" t="inlineStr">
        <is>
          <t>REAL_MILEAGE</t>
        </is>
      </c>
      <c r="H453" s="8" t="inlineStr">
        <is>
          <t>NONE</t>
        </is>
      </c>
      <c r="I453" s="11" t="n">
        <v>45630</v>
      </c>
      <c r="J453" s="8" t="inlineStr">
        <is>
          <t>2026-08-19T21:44:29+09:00</t>
        </is>
      </c>
      <c r="K453" s="14" t="inlineStr">
        <is>
          <t>『陸送30％off』車検R9年10月♪プリウスαSチューンブラック★【純正ナビ/TV&amp;DVD/バックモニタ-/ビルトインETC】LEDヘッドライト/AW</t>
        </is>
      </c>
      <c r="L453" s="8" t="inlineStr">
        <is>
          <t>https://page.auctions.yahoo.co.jp/jp/auction/k1240534882</t>
        </is>
      </c>
    </row>
    <row r="454">
      <c r="A454" s="13" t="inlineStr">
        <is>
          <t>プリウスα</t>
        </is>
      </c>
      <c r="B454" s="13" t="n">
        <v>2014</v>
      </c>
      <c r="C454" s="13" t="inlineStr">
        <is>
          <t>40系</t>
        </is>
      </c>
      <c r="D454" s="15" t="n">
        <v>337000</v>
      </c>
      <c r="E454" s="13" t="n">
        <v>83</v>
      </c>
      <c r="F454" s="15" t="n">
        <v>140000</v>
      </c>
      <c r="G454" s="13" t="inlineStr">
        <is>
          <t>REAL_MILEAGE</t>
        </is>
      </c>
      <c r="H454" s="13" t="n"/>
      <c r="I454" s="15" t="n">
        <v>38330</v>
      </c>
      <c r="J454" s="13" t="inlineStr">
        <is>
          <t>2026-07-25T21:41:51+09:00</t>
        </is>
      </c>
      <c r="K454" s="14" t="inlineStr">
        <is>
          <t>【愛知豊田発】平成２６年９月登録　プリウスα　車検令和９年９月迄　１４万キロ　禁煙車！！</t>
        </is>
      </c>
      <c r="L454" s="13" t="inlineStr">
        <is>
          <t>https://page.auctions.yahoo.co.jp/jp/auction/f1236811013</t>
        </is>
      </c>
    </row>
    <row r="455">
      <c r="A455" s="8" t="inlineStr">
        <is>
          <t>プリウスα</t>
        </is>
      </c>
      <c r="B455" s="8" t="n">
        <v>2014</v>
      </c>
      <c r="C455" s="8" t="inlineStr">
        <is>
          <t>40系</t>
        </is>
      </c>
      <c r="D455" s="11" t="n">
        <v>598000</v>
      </c>
      <c r="E455" s="8" t="n">
        <v>2</v>
      </c>
      <c r="F455" s="11" t="n">
        <v>86600</v>
      </c>
      <c r="G455" s="8" t="inlineStr">
        <is>
          <t>REAL_MILEAGE</t>
        </is>
      </c>
      <c r="H455" s="8" t="inlineStr">
        <is>
          <t>EXISTS</t>
        </is>
      </c>
      <c r="I455" s="11" t="n">
        <v>13120</v>
      </c>
      <c r="J455" s="8" t="inlineStr">
        <is>
          <t>2026-07-18T12:47:35+09:00</t>
        </is>
      </c>
      <c r="K455" s="14" t="inlineStr">
        <is>
          <t>☆26年プリウスα・S☆実走行8.6km☆乗り出し総額67.3万円☆寒冷地仕様☆スマートキー×2☆純正ナビ☆バックカメラ☆地デジTV☆Bluetooth☆</t>
        </is>
      </c>
      <c r="L455" s="8" t="inlineStr">
        <is>
          <t>https://page.auctions.yahoo.co.jp/jp/auction/l1235414639</t>
        </is>
      </c>
    </row>
    <row r="456">
      <c r="A456" s="13" t="inlineStr">
        <is>
          <t>プリウスα</t>
        </is>
      </c>
      <c r="B456" s="13" t="n">
        <v>2014</v>
      </c>
      <c r="C456" s="13" t="inlineStr">
        <is>
          <t>40系</t>
        </is>
      </c>
      <c r="D456" s="15" t="n">
        <v>450000</v>
      </c>
      <c r="E456" s="13" t="n">
        <v>1</v>
      </c>
      <c r="F456" s="15" t="n">
        <v>136000</v>
      </c>
      <c r="G456" s="13" t="inlineStr">
        <is>
          <t>REAL_MILEAGE</t>
        </is>
      </c>
      <c r="H456" s="13" t="n"/>
      <c r="I456" s="15" t="n">
        <v>0</v>
      </c>
      <c r="J456" s="13" t="inlineStr">
        <is>
          <t>2026-06-15T23:35:50+09:00</t>
        </is>
      </c>
      <c r="K456" s="14" t="inlineStr">
        <is>
          <t>個人 平成26年 プリウスα 車検付 人気のブラック色 希少フレーダーマウスフルエアロ 車高調 8インチナビ 自動車税込み 即決</t>
        </is>
      </c>
      <c r="L456" s="13" t="inlineStr">
        <is>
          <t>https://page.auctions.yahoo.co.jp/jp/auction/x1233644183</t>
        </is>
      </c>
    </row>
    <row r="457">
      <c r="A457" s="8" t="inlineStr">
        <is>
          <t>プリウスα</t>
        </is>
      </c>
      <c r="B457" s="8" t="n">
        <v>2014</v>
      </c>
      <c r="C457" s="8" t="inlineStr">
        <is>
          <t>40系</t>
        </is>
      </c>
      <c r="D457" s="11" t="n">
        <v>1000000</v>
      </c>
      <c r="E457" s="8" t="n">
        <v>1</v>
      </c>
      <c r="F457" s="11" t="n">
        <v>92272</v>
      </c>
      <c r="G457" s="8" t="inlineStr">
        <is>
          <t>REAL_MILEAGE</t>
        </is>
      </c>
      <c r="H457" s="8" t="inlineStr">
        <is>
          <t>NONE</t>
        </is>
      </c>
      <c r="I457" s="11" t="n">
        <v>0</v>
      </c>
      <c r="J457" s="8" t="inlineStr">
        <is>
          <t>2026-05-21T12:57:52+09:00</t>
        </is>
      </c>
      <c r="K457" s="14" t="inlineStr">
        <is>
          <t>トヨタ　プリウス　α　Gツーリングセレクション</t>
        </is>
      </c>
      <c r="L457" s="8" t="inlineStr">
        <is>
          <t>https://page.auctions.yahoo.co.jp/jp/auction/s1229933836</t>
        </is>
      </c>
    </row>
    <row r="458">
      <c r="A458" s="13" t="inlineStr">
        <is>
          <t>プリウスα</t>
        </is>
      </c>
      <c r="B458" s="13" t="n">
        <v>2014</v>
      </c>
      <c r="C458" s="13" t="inlineStr">
        <is>
          <t>40系</t>
        </is>
      </c>
      <c r="D458" s="15" t="n">
        <v>800000</v>
      </c>
      <c r="E458" s="13" t="n">
        <v>1</v>
      </c>
      <c r="F458" s="15" t="n">
        <v>106479</v>
      </c>
      <c r="G458" s="13" t="inlineStr">
        <is>
          <t>REAL_MILEAGE</t>
        </is>
      </c>
      <c r="H458" s="13" t="inlineStr">
        <is>
          <t>EXISTS</t>
        </is>
      </c>
      <c r="I458" s="15" t="n">
        <v>0</v>
      </c>
      <c r="J458" s="13" t="inlineStr">
        <is>
          <t>2026-03-23T21:31:15+09:00</t>
        </is>
      </c>
      <c r="K458" s="14" t="inlineStr">
        <is>
          <t>【諸費用コミ】:★広島発★広島市★中古車★ プリウスα 1.8 G</t>
        </is>
      </c>
      <c r="L458" s="13" t="inlineStr">
        <is>
          <t>https://page.auctions.yahoo.co.jp/jp/auction/s1222284203</t>
        </is>
      </c>
    </row>
    <row r="459">
      <c r="A459" s="8" t="inlineStr">
        <is>
          <t>プリウスα</t>
        </is>
      </c>
      <c r="B459" s="8" t="n">
        <v>2013</v>
      </c>
      <c r="C459" s="8" t="inlineStr">
        <is>
          <t>40系</t>
        </is>
      </c>
      <c r="D459" s="11" t="n">
        <v>590000</v>
      </c>
      <c r="E459" s="8" t="n">
        <v>1</v>
      </c>
      <c r="F459" s="11" t="n">
        <v>171320</v>
      </c>
      <c r="G459" s="8" t="inlineStr">
        <is>
          <t>REAL_MILEAGE</t>
        </is>
      </c>
      <c r="H459" s="8" t="inlineStr">
        <is>
          <t>EXISTS</t>
        </is>
      </c>
      <c r="I459" s="11" t="n">
        <v>38420</v>
      </c>
      <c r="J459" s="8" t="inlineStr">
        <is>
          <t>2026-08-17T06:36:27+09:00</t>
        </is>
      </c>
      <c r="K459" s="14" t="inlineStr">
        <is>
          <t>【ヤフオク限定特別価格】H25年 プリウスα Sチューンブラック《7人乗り》モデリスタエアロ/ダウンサス/17AW/ドラレコ 車検R8年11月まで</t>
        </is>
      </c>
      <c r="L459" s="8" t="inlineStr">
        <is>
          <t>https://page.auctions.yahoo.co.jp/jp/auction/x1236312124</t>
        </is>
      </c>
    </row>
    <row r="460">
      <c r="A460" s="13" t="inlineStr">
        <is>
          <t>プリウスα</t>
        </is>
      </c>
      <c r="B460" s="13" t="n">
        <v>2013</v>
      </c>
      <c r="C460" s="13" t="inlineStr">
        <is>
          <t>40系</t>
        </is>
      </c>
      <c r="D460" s="15" t="n">
        <v>568000</v>
      </c>
      <c r="E460" s="13" t="n">
        <v>1</v>
      </c>
      <c r="F460" s="15" t="n">
        <v>91500</v>
      </c>
      <c r="G460" s="13" t="inlineStr">
        <is>
          <t>REAL_MILEAGE</t>
        </is>
      </c>
      <c r="H460" s="13" t="inlineStr">
        <is>
          <t>EXISTS</t>
        </is>
      </c>
      <c r="I460" s="15" t="n">
        <v>13120</v>
      </c>
      <c r="J460" s="13" t="inlineStr">
        <is>
          <t>2026-07-31T15:02:35+09:00</t>
        </is>
      </c>
      <c r="K460" s="14" t="inlineStr">
        <is>
          <t>☆25年プリウスα・SLセレクション☆実走行9.1万km☆乗り出し総額64.3万円☆スマ-トキ-×2☆純正ナビ☆地デジTV☆Bluetooth☆バックカメラ</t>
        </is>
      </c>
      <c r="L460" s="13" t="inlineStr">
        <is>
          <t>https://page.auctions.yahoo.co.jp/jp/auction/q1238209424</t>
        </is>
      </c>
    </row>
    <row r="461">
      <c r="A461" s="8" t="inlineStr">
        <is>
          <t>プリウスα</t>
        </is>
      </c>
      <c r="B461" s="8" t="n">
        <v>2013</v>
      </c>
      <c r="C461" s="8" t="inlineStr">
        <is>
          <t>40系</t>
        </is>
      </c>
      <c r="D461" s="11" t="n">
        <v>358000</v>
      </c>
      <c r="E461" s="8" t="n">
        <v>1</v>
      </c>
      <c r="F461" s="11" t="n">
        <v>169000</v>
      </c>
      <c r="G461" s="8" t="inlineStr">
        <is>
          <t>REAL_MILEAGE</t>
        </is>
      </c>
      <c r="H461" s="8" t="inlineStr">
        <is>
          <t>NONE</t>
        </is>
      </c>
      <c r="I461" s="11" t="n">
        <v>0</v>
      </c>
      <c r="J461" s="8" t="inlineStr">
        <is>
          <t>2026-07-30T20:26:04+09:00</t>
        </is>
      </c>
      <c r="K461" s="14" t="inlineStr">
        <is>
          <t>プリウスα 1.8 S 8インチナビ バックカメラ ルーフモニター</t>
        </is>
      </c>
      <c r="L461" s="8" t="inlineStr">
        <is>
          <t>https://page.auctions.yahoo.co.jp/jp/auction/c1237717125</t>
        </is>
      </c>
    </row>
    <row r="462">
      <c r="A462" s="13" t="inlineStr">
        <is>
          <t>プリウスα</t>
        </is>
      </c>
      <c r="B462" s="13" t="n">
        <v>2013</v>
      </c>
      <c r="C462" s="13" t="inlineStr">
        <is>
          <t>40系</t>
        </is>
      </c>
      <c r="D462" s="15" t="n">
        <v>380000</v>
      </c>
      <c r="E462" s="13" t="n">
        <v>12</v>
      </c>
      <c r="F462" s="15" t="n">
        <v>216385</v>
      </c>
      <c r="G462" s="13" t="inlineStr">
        <is>
          <t>REAL_MILEAGE</t>
        </is>
      </c>
      <c r="H462" s="13" t="inlineStr">
        <is>
          <t>NONE</t>
        </is>
      </c>
      <c r="I462" s="15" t="n">
        <v>13120</v>
      </c>
      <c r="J462" s="13" t="inlineStr">
        <is>
          <t>2026-07-17T08:55:02+09:00</t>
        </is>
      </c>
      <c r="K462" s="14" t="inlineStr">
        <is>
          <t>トヨタ プリウスα 平成25年1月 ハイブリッドバッテリー交換済(2027年4月7日まで保証あり)</t>
        </is>
      </c>
      <c r="L462" s="13" t="inlineStr">
        <is>
          <t>https://page.auctions.yahoo.co.jp/jp/auction/1237004721</t>
        </is>
      </c>
    </row>
    <row r="463">
      <c r="A463" s="8" t="inlineStr">
        <is>
          <t>プリウスα</t>
        </is>
      </c>
      <c r="B463" s="8" t="n">
        <v>2013</v>
      </c>
      <c r="C463" s="8" t="inlineStr">
        <is>
          <t>40系</t>
        </is>
      </c>
      <c r="D463" s="11" t="n">
        <v>450000</v>
      </c>
      <c r="E463" s="8" t="n">
        <v>1</v>
      </c>
      <c r="F463" s="11" t="n">
        <v>153000</v>
      </c>
      <c r="G463" s="8" t="inlineStr">
        <is>
          <t>REAL_MILEAGE</t>
        </is>
      </c>
      <c r="H463" s="8" t="inlineStr">
        <is>
          <t>NONE</t>
        </is>
      </c>
      <c r="I463" s="11" t="n">
        <v>0</v>
      </c>
      <c r="J463" s="8" t="inlineStr">
        <is>
          <t>2026-06-24T15:42:03+09:00</t>
        </is>
      </c>
      <c r="K463" s="14" t="inlineStr">
        <is>
          <t>【個人出品】プリウスα グレードS 5人乗り 純正HDDナビ バックカメラ ナビ 地デジTV Bカメラ スマートキー ETC</t>
        </is>
      </c>
      <c r="L463" s="8" t="inlineStr">
        <is>
          <t>https://page.auctions.yahoo.co.jp/jp/auction/p1232698215</t>
        </is>
      </c>
    </row>
    <row r="464">
      <c r="A464" s="13" t="inlineStr">
        <is>
          <t>プリウスα</t>
        </is>
      </c>
      <c r="B464" s="13" t="n">
        <v>2013</v>
      </c>
      <c r="C464" s="13" t="inlineStr">
        <is>
          <t>40系</t>
        </is>
      </c>
      <c r="D464" s="15" t="n">
        <v>398000</v>
      </c>
      <c r="E464" s="13" t="n">
        <v>1</v>
      </c>
      <c r="F464" s="15" t="n">
        <v>169000</v>
      </c>
      <c r="G464" s="13" t="inlineStr">
        <is>
          <t>REAL_MILEAGE</t>
        </is>
      </c>
      <c r="H464" s="13" t="inlineStr">
        <is>
          <t>NONE</t>
        </is>
      </c>
      <c r="I464" s="15" t="n">
        <v>0</v>
      </c>
      <c r="J464" s="13" t="inlineStr">
        <is>
          <t>2026-06-16T03:25:06+09:00</t>
        </is>
      </c>
      <c r="K464" s="14" t="inlineStr">
        <is>
          <t>プリウスα 1.8 S 8インチナビ バックカメラ ルーフモニター</t>
        </is>
      </c>
      <c r="L464" s="13" t="inlineStr">
        <is>
          <t>https://page.auctions.yahoo.co.jp/jp/auction/o1233233370</t>
        </is>
      </c>
    </row>
    <row r="465">
      <c r="A465" s="8" t="inlineStr">
        <is>
          <t>プリウスα</t>
        </is>
      </c>
      <c r="B465" s="8" t="n">
        <v>2013</v>
      </c>
      <c r="C465" s="8" t="inlineStr">
        <is>
          <t>40系</t>
        </is>
      </c>
      <c r="D465" s="11" t="n">
        <v>498000</v>
      </c>
      <c r="E465" s="8" t="n">
        <v>1</v>
      </c>
      <c r="F465" s="11" t="n">
        <v>109300</v>
      </c>
      <c r="G465" s="8" t="inlineStr">
        <is>
          <t>REAL_MILEAGE</t>
        </is>
      </c>
      <c r="H465" s="8" t="inlineStr">
        <is>
          <t>EXISTS</t>
        </is>
      </c>
      <c r="I465" s="11" t="n">
        <v>0</v>
      </c>
      <c r="J465" s="8" t="inlineStr">
        <is>
          <t>2026-05-27T16:45:51+09:00</t>
        </is>
      </c>
      <c r="K465" s="14" t="inlineStr">
        <is>
          <t>☆25年プリウスα・S☆乗り出し総額58.5万円☆スマートキー×2☆ドラレコ☆LEDライト☆純正ナビ☆地デジTV☆バックカメラ☆Bluetooth☆ETC</t>
        </is>
      </c>
      <c r="L465" s="8" t="inlineStr">
        <is>
          <t>https://page.auctions.yahoo.co.jp/jp/auction/s1228594821</t>
        </is>
      </c>
    </row>
    <row r="466">
      <c r="A466" s="13" t="inlineStr">
        <is>
          <t>プリウスα</t>
        </is>
      </c>
      <c r="B466" s="13" t="n">
        <v>2013</v>
      </c>
      <c r="C466" s="13" t="inlineStr">
        <is>
          <t>40系</t>
        </is>
      </c>
      <c r="D466" s="15" t="n">
        <v>580000</v>
      </c>
      <c r="E466" s="13" t="n">
        <v>56</v>
      </c>
      <c r="F466" s="15" t="n">
        <v>102000</v>
      </c>
      <c r="G466" s="13" t="inlineStr">
        <is>
          <t>REAL_MILEAGE</t>
        </is>
      </c>
      <c r="H466" s="13" t="inlineStr">
        <is>
          <t>NONE</t>
        </is>
      </c>
      <c r="I466" s="15" t="n">
        <v>0</v>
      </c>
      <c r="J466" s="13" t="inlineStr">
        <is>
          <t>2026-03-03T20:53:09+09:00</t>
        </is>
      </c>
      <c r="K466" s="14" t="inlineStr">
        <is>
          <t>40　プリウス　α　7人　低燃費　ワゴン</t>
        </is>
      </c>
      <c r="L466" s="13" t="inlineStr">
        <is>
          <t>https://page.auctions.yahoo.co.jp/jp/auction/k1219964176</t>
        </is>
      </c>
    </row>
    <row r="467">
      <c r="A467" s="8" t="inlineStr">
        <is>
          <t>プリウスα</t>
        </is>
      </c>
      <c r="B467" s="8" t="n">
        <v>2013</v>
      </c>
      <c r="C467" s="8" t="inlineStr">
        <is>
          <t>40系</t>
        </is>
      </c>
      <c r="D467" s="11" t="n">
        <v>550000</v>
      </c>
      <c r="E467" s="8" t="n">
        <v>16</v>
      </c>
      <c r="F467" s="11" t="n">
        <v>164323</v>
      </c>
      <c r="G467" s="8" t="inlineStr">
        <is>
          <t>REAL_MILEAGE</t>
        </is>
      </c>
      <c r="H467" s="8" t="n"/>
      <c r="I467" s="11" t="n">
        <v>0</v>
      </c>
      <c r="J467" s="8" t="inlineStr">
        <is>
          <t>2026-03-03T20:23:34+09:00</t>
        </is>
      </c>
      <c r="K467" s="14" t="inlineStr">
        <is>
          <t>トヨタプリウスα Gツーリングセレクション 7人乗り 純正ナビ バックカメラ ETC ドラレコ 純正アルミホイール クルコン パノラマルーフ付</t>
        </is>
      </c>
      <c r="L467" s="8" t="inlineStr">
        <is>
          <t>https://page.auctions.yahoo.co.jp/jp/auction/n1220419236</t>
        </is>
      </c>
    </row>
    <row r="468">
      <c r="A468" s="13" t="inlineStr">
        <is>
          <t>プリウスα</t>
        </is>
      </c>
      <c r="B468" s="13" t="n">
        <v>2012</v>
      </c>
      <c r="C468" s="13" t="inlineStr">
        <is>
          <t>40系</t>
        </is>
      </c>
      <c r="D468" s="15" t="n">
        <v>492000</v>
      </c>
      <c r="E468" s="13" t="n">
        <v>72</v>
      </c>
      <c r="F468" s="15" t="n">
        <v>103099</v>
      </c>
      <c r="G468" s="13" t="inlineStr">
        <is>
          <t>REAL_MILEAGE</t>
        </is>
      </c>
      <c r="H468" s="13" t="inlineStr">
        <is>
          <t>NONE</t>
        </is>
      </c>
      <c r="I468" s="15" t="n">
        <v>0</v>
      </c>
      <c r="J468" s="13" t="inlineStr">
        <is>
          <t>2026-07-05T21:37:27+09:00</t>
        </is>
      </c>
      <c r="K468" s="14" t="inlineStr">
        <is>
          <t>トヨタ プリウスα Gツーリングセレクション</t>
        </is>
      </c>
      <c r="L468" s="13" t="inlineStr">
        <is>
          <t>https://page.auctions.yahoo.co.jp/jp/auction/q1235185954</t>
        </is>
      </c>
    </row>
    <row r="469">
      <c r="A469" s="8" t="inlineStr">
        <is>
          <t>プリウスα</t>
        </is>
      </c>
      <c r="B469" s="8" t="n">
        <v>2012</v>
      </c>
      <c r="C469" s="8" t="inlineStr">
        <is>
          <t>40系</t>
        </is>
      </c>
      <c r="D469" s="11" t="n">
        <v>352000</v>
      </c>
      <c r="E469" s="8" t="n">
        <v>129</v>
      </c>
      <c r="F469" s="11" t="n">
        <v>155020</v>
      </c>
      <c r="G469" s="8" t="inlineStr">
        <is>
          <t>REAL_MILEAGE</t>
        </is>
      </c>
      <c r="H469" s="8" t="inlineStr">
        <is>
          <t>NONE</t>
        </is>
      </c>
      <c r="I469" s="11" t="n">
        <v>13220</v>
      </c>
      <c r="J469" s="8" t="inlineStr">
        <is>
          <t>2026-07-04T21:36:10+09:00</t>
        </is>
      </c>
      <c r="K469" s="14" t="inlineStr">
        <is>
          <t>トヨタ プリウスα、グレード: Sツーリングセレクション、平成24年3月、走行距離:155020KM、自走可能</t>
        </is>
      </c>
      <c r="L469" s="8" t="inlineStr">
        <is>
          <t>https://page.auctions.yahoo.co.jp/jp/auction/d1235445504</t>
        </is>
      </c>
    </row>
    <row r="470">
      <c r="A470" s="13" t="inlineStr">
        <is>
          <t>プリウスα</t>
        </is>
      </c>
      <c r="B470" s="13" t="n">
        <v>2012</v>
      </c>
      <c r="C470" s="13" t="inlineStr">
        <is>
          <t>40系</t>
        </is>
      </c>
      <c r="D470" s="15" t="n">
        <v>599000</v>
      </c>
      <c r="E470" s="13" t="n">
        <v>1</v>
      </c>
      <c r="F470" s="15" t="n">
        <v>41486</v>
      </c>
      <c r="G470" s="13" t="inlineStr">
        <is>
          <t>REAL_MILEAGE</t>
        </is>
      </c>
      <c r="H470" s="13" t="inlineStr">
        <is>
          <t>EXISTS</t>
        </is>
      </c>
      <c r="I470" s="15" t="n">
        <v>13220</v>
      </c>
      <c r="J470" s="13" t="inlineStr">
        <is>
          <t>2026-06-27T12:34:33+09:00</t>
        </is>
      </c>
      <c r="K470" s="14" t="inlineStr">
        <is>
          <t>陸送50%OFF■カーズ大阪●車検2年付●プリウスα銀G●4万キロ●プッシュスタート●ナビ●3F4644</t>
        </is>
      </c>
      <c r="L470" s="13" t="inlineStr">
        <is>
          <t>https://page.auctions.yahoo.co.jp/jp/auction/f1234866254</t>
        </is>
      </c>
    </row>
    <row r="471">
      <c r="A471" s="8" t="inlineStr">
        <is>
          <t>プリウスα</t>
        </is>
      </c>
      <c r="B471" s="8" t="n">
        <v>2012</v>
      </c>
      <c r="C471" s="8" t="inlineStr">
        <is>
          <t>40系</t>
        </is>
      </c>
      <c r="D471" s="11" t="n">
        <v>568000</v>
      </c>
      <c r="E471" s="8" t="n">
        <v>2</v>
      </c>
      <c r="F471" s="11" t="n">
        <v>90700</v>
      </c>
      <c r="G471" s="8" t="inlineStr">
        <is>
          <t>REAL_MILEAGE</t>
        </is>
      </c>
      <c r="H471" s="8" t="inlineStr">
        <is>
          <t>EXISTS</t>
        </is>
      </c>
      <c r="I471" s="11" t="n">
        <v>47120</v>
      </c>
      <c r="J471" s="8" t="inlineStr">
        <is>
          <t>2026-06-24T10:31:58+09:00</t>
        </is>
      </c>
      <c r="K471" s="14" t="inlineStr">
        <is>
          <t>☆24年プリウスα・S☆車検9年8月☆乗り出し総額61.8万円☆実走行9万km☆スマートキー☆ドラレコ☆純正ナビ☆TV☆Bluetooth☆バックカメラ</t>
        </is>
      </c>
      <c r="L471" s="8" t="inlineStr">
        <is>
          <t>https://page.auctions.yahoo.co.jp/jp/auction/w1234424532</t>
        </is>
      </c>
    </row>
    <row r="472">
      <c r="A472" s="13" t="inlineStr">
        <is>
          <t>プリウスα</t>
        </is>
      </c>
      <c r="B472" s="13" t="n">
        <v>2012</v>
      </c>
      <c r="C472" s="13" t="inlineStr">
        <is>
          <t>40系</t>
        </is>
      </c>
      <c r="D472" s="15" t="n">
        <v>536000</v>
      </c>
      <c r="E472" s="13" t="n">
        <v>2</v>
      </c>
      <c r="F472" s="15" t="n">
        <v>96200</v>
      </c>
      <c r="G472" s="13" t="inlineStr">
        <is>
          <t>REAL_MILEAGE</t>
        </is>
      </c>
      <c r="H472" s="13" t="n"/>
      <c r="I472" s="15" t="n">
        <v>13120</v>
      </c>
      <c r="J472" s="13" t="inlineStr">
        <is>
          <t>2026-06-14T22:50:07+09:00</t>
        </is>
      </c>
      <c r="K472" s="14" t="inlineStr">
        <is>
          <t>プリウスα パノラマルーフ車検２年別途月割自動車税</t>
        </is>
      </c>
      <c r="L472" s="13" t="inlineStr">
        <is>
          <t>https://page.auctions.yahoo.co.jp/jp/auction/o1233068953</t>
        </is>
      </c>
    </row>
    <row r="473">
      <c r="A473" s="8" t="inlineStr">
        <is>
          <t>プリウスα</t>
        </is>
      </c>
      <c r="B473" s="8" t="n">
        <v>2012</v>
      </c>
      <c r="C473" s="8" t="inlineStr">
        <is>
          <t>40系</t>
        </is>
      </c>
      <c r="D473" s="11" t="n">
        <v>563000</v>
      </c>
      <c r="E473" s="8" t="n">
        <v>6</v>
      </c>
      <c r="F473" s="11" t="n">
        <v>119000</v>
      </c>
      <c r="G473" s="8" t="inlineStr">
        <is>
          <t>REAL_MILEAGE</t>
        </is>
      </c>
      <c r="H473" s="8" t="inlineStr">
        <is>
          <t>NONE</t>
        </is>
      </c>
      <c r="I473" s="11" t="n">
        <v>0</v>
      </c>
      <c r="J473" s="8" t="inlineStr">
        <is>
          <t>2026-06-11T20:45:51+09:00</t>
        </is>
      </c>
      <c r="K473" s="14" t="inlineStr">
        <is>
          <t>検9年11月　ZVW41W プリウスα Sツーリング　モデリスタ　全国陸送　8インチナビ　クルコン　ブラック　202 大阪　豊中　高槻　現車確認</t>
        </is>
      </c>
      <c r="L473" s="8" t="inlineStr">
        <is>
          <t>https://page.auctions.yahoo.co.jp/jp/auction/r1231560054</t>
        </is>
      </c>
    </row>
    <row r="474">
      <c r="A474" s="13" t="inlineStr">
        <is>
          <t>プリウスα</t>
        </is>
      </c>
      <c r="B474" s="13" t="n">
        <v>2012</v>
      </c>
      <c r="C474" s="13" t="inlineStr">
        <is>
          <t>40系</t>
        </is>
      </c>
      <c r="D474" s="15" t="n">
        <v>251000</v>
      </c>
      <c r="E474" s="13" t="n">
        <v>13</v>
      </c>
      <c r="F474" s="15" t="n">
        <v>95000</v>
      </c>
      <c r="G474" s="13" t="inlineStr">
        <is>
          <t>REAL_MILEAGE</t>
        </is>
      </c>
      <c r="H474" s="13" t="inlineStr">
        <is>
          <t>EXISTS</t>
        </is>
      </c>
      <c r="I474" s="15" t="n">
        <v>0</v>
      </c>
      <c r="J474" s="13" t="inlineStr">
        <is>
          <t>2026-06-11T12:19:36+09:00</t>
        </is>
      </c>
      <c r="K474" s="14" t="inlineStr">
        <is>
          <t>トヨタ プリウスα Sツーリングセレクション 9万km 現状車 ハイブリッド ZVW41W</t>
        </is>
      </c>
      <c r="L474" s="13" t="inlineStr">
        <is>
          <t>https://page.auctions.yahoo.co.jp/jp/auction/m1232771252</t>
        </is>
      </c>
    </row>
    <row r="475">
      <c r="A475" s="8" t="inlineStr">
        <is>
          <t>プリウスα</t>
        </is>
      </c>
      <c r="B475" s="8" t="n">
        <v>2012</v>
      </c>
      <c r="C475" s="8" t="inlineStr">
        <is>
          <t>40系</t>
        </is>
      </c>
      <c r="D475" s="11" t="n">
        <v>341000</v>
      </c>
      <c r="E475" s="8" t="n">
        <v>85</v>
      </c>
      <c r="F475" s="11" t="n">
        <v>211538</v>
      </c>
      <c r="G475" s="8" t="inlineStr">
        <is>
          <t>REAL_MILEAGE</t>
        </is>
      </c>
      <c r="H475" s="8" t="n"/>
      <c r="I475" s="11" t="n">
        <v>0</v>
      </c>
      <c r="J475" s="8" t="inlineStr">
        <is>
          <t>2026-06-04T21:25:25+09:00</t>
        </is>
      </c>
      <c r="K475" s="14" t="inlineStr">
        <is>
          <t>大人気のプリウスα！24年式距離の割には状態も良く調子良いです！取消し無しの完全売切りです！車検も長く本年度の自動車税込みです！</t>
        </is>
      </c>
      <c r="L475" s="8" t="inlineStr">
        <is>
          <t>https://page.auctions.yahoo.co.jp/jp/auction/p1231884408</t>
        </is>
      </c>
    </row>
    <row r="476">
      <c r="A476" s="13" t="inlineStr">
        <is>
          <t>プリウスα</t>
        </is>
      </c>
      <c r="B476" s="13" t="n">
        <v>2012</v>
      </c>
      <c r="C476" s="13" t="inlineStr">
        <is>
          <t>40系</t>
        </is>
      </c>
      <c r="D476" s="15" t="n">
        <v>558000</v>
      </c>
      <c r="E476" s="13" t="n">
        <v>1</v>
      </c>
      <c r="F476" s="15" t="n">
        <v>109200</v>
      </c>
      <c r="G476" s="13" t="inlineStr">
        <is>
          <t>REAL_MILEAGE</t>
        </is>
      </c>
      <c r="H476" s="13" t="inlineStr">
        <is>
          <t>EXISTS</t>
        </is>
      </c>
      <c r="I476" s="15" t="n">
        <v>0</v>
      </c>
      <c r="J476" s="13" t="inlineStr">
        <is>
          <t>2026-05-17T20:00:33+09:00</t>
        </is>
      </c>
      <c r="K476" s="14" t="inlineStr">
        <is>
          <t>☆24年プリウスα・S☆車検10年2月☆乗り出し総額61.2万円☆純正ナビ☆地デジTV☆バックカメラ☆Bluetooth☆LEDライト☆スマートキー×2☆</t>
        </is>
      </c>
      <c r="L476" s="13" t="inlineStr">
        <is>
          <t>https://page.auctions.yahoo.co.jp/jp/auction/t1224518213</t>
        </is>
      </c>
    </row>
    <row r="477">
      <c r="A477" s="8" t="inlineStr">
        <is>
          <t>プリウスα</t>
        </is>
      </c>
      <c r="B477" s="8" t="n">
        <v>2012</v>
      </c>
      <c r="C477" s="8" t="inlineStr">
        <is>
          <t>40系</t>
        </is>
      </c>
      <c r="D477" s="11" t="n">
        <v>598000</v>
      </c>
      <c r="E477" s="8" t="n">
        <v>56</v>
      </c>
      <c r="F477" s="11" t="n">
        <v>10000</v>
      </c>
      <c r="G477" s="8" t="inlineStr">
        <is>
          <t>REAL_MILEAGE</t>
        </is>
      </c>
      <c r="H477" s="8" t="inlineStr">
        <is>
          <t>NONE</t>
        </is>
      </c>
      <c r="I477" s="11" t="n">
        <v>0</v>
      </c>
      <c r="J477" s="8" t="inlineStr">
        <is>
          <t>2026-05-10T20:19:13+09:00</t>
        </is>
      </c>
      <c r="K477" s="14" t="inlineStr">
        <is>
          <t>プリウスα ZVW40W 平成24年 Gグレード パールホワイト 車検2年付 美車 走行14.4万km</t>
        </is>
      </c>
      <c r="L477" s="8" t="inlineStr">
        <is>
          <t>https://page.auctions.yahoo.co.jp/jp/auction/b1228787827</t>
        </is>
      </c>
    </row>
    <row r="478">
      <c r="A478" s="13" t="inlineStr">
        <is>
          <t>プリウスα</t>
        </is>
      </c>
      <c r="B478" s="13" t="n">
        <v>2012</v>
      </c>
      <c r="C478" s="13" t="inlineStr">
        <is>
          <t>40系</t>
        </is>
      </c>
      <c r="D478" s="15" t="n">
        <v>598000</v>
      </c>
      <c r="E478" s="13" t="n">
        <v>1</v>
      </c>
      <c r="F478" s="15" t="n">
        <v>94000</v>
      </c>
      <c r="G478" s="13" t="inlineStr">
        <is>
          <t>REAL_MILEAGE</t>
        </is>
      </c>
      <c r="H478" s="13" t="inlineStr">
        <is>
          <t>NONE</t>
        </is>
      </c>
      <c r="I478" s="15" t="n">
        <v>0</v>
      </c>
      <c r="J478" s="13" t="inlineStr">
        <is>
          <t>2026-04-12T15:55:45+09:00</t>
        </is>
      </c>
      <c r="K478" s="14" t="inlineStr">
        <is>
          <t>☆24年プリウスα・S Lセレクション☆AA評価4点☆乗り出し総額68.8万円☆実走行9.4万km☆純正ナビ☆TV☆バックカメラ☆Bluetooth☆ETC☆</t>
        </is>
      </c>
      <c r="L478" s="13" t="inlineStr">
        <is>
          <t>https://page.auctions.yahoo.co.jp/jp/auction/c1225103793</t>
        </is>
      </c>
    </row>
    <row r="479">
      <c r="A479" s="8" t="inlineStr">
        <is>
          <t>プリウスα</t>
        </is>
      </c>
      <c r="B479" s="8" t="n">
        <v>2012</v>
      </c>
      <c r="C479" s="8" t="inlineStr">
        <is>
          <t>40系</t>
        </is>
      </c>
      <c r="D479" s="11" t="n">
        <v>578000</v>
      </c>
      <c r="E479" s="8" t="n">
        <v>1</v>
      </c>
      <c r="F479" s="11" t="n">
        <v>101000</v>
      </c>
      <c r="G479" s="8" t="inlineStr">
        <is>
          <t>REAL_MILEAGE</t>
        </is>
      </c>
      <c r="H479" s="8" t="inlineStr">
        <is>
          <t>NONE</t>
        </is>
      </c>
      <c r="I479" s="11" t="n">
        <v>0</v>
      </c>
      <c r="J479" s="8" t="inlineStr">
        <is>
          <t>2026-03-30T13:11:16+09:00</t>
        </is>
      </c>
      <c r="K479" s="14" t="inlineStr">
        <is>
          <t>☆24年プリウスα・S☆無事故☆乗り出し総額66.8万円☆純正ナビ☆TV☆Bluetooth☆ドラレコ☆純正アルミ☆ステアリングスイッチ☆ETC☆</t>
        </is>
      </c>
      <c r="L479" s="8" t="inlineStr">
        <is>
          <t>https://page.auctions.yahoo.co.jp/jp/auction/p1223689621</t>
        </is>
      </c>
    </row>
    <row r="480">
      <c r="A480" s="13" t="inlineStr">
        <is>
          <t>プリウスα</t>
        </is>
      </c>
      <c r="B480" s="13" t="n">
        <v>2011</v>
      </c>
      <c r="C480" s="13" t="inlineStr">
        <is>
          <t>40系</t>
        </is>
      </c>
      <c r="D480" s="15" t="n">
        <v>398000</v>
      </c>
      <c r="E480" s="13" t="n">
        <v>1</v>
      </c>
      <c r="F480" s="15" t="n">
        <v>95000</v>
      </c>
      <c r="G480" s="13" t="inlineStr">
        <is>
          <t>REAL_MILEAGE</t>
        </is>
      </c>
      <c r="H480" s="13" t="inlineStr">
        <is>
          <t>NONE</t>
        </is>
      </c>
      <c r="I480" s="15" t="n">
        <v>0</v>
      </c>
      <c r="J480" s="13" t="inlineStr">
        <is>
          <t>2026-07-30T20:23:18+09:00</t>
        </is>
      </c>
      <c r="K480" s="14" t="inlineStr">
        <is>
          <t>プリウスα 1.8 S メモリーナビ バックカメラ ETC</t>
        </is>
      </c>
      <c r="L480" s="13" t="inlineStr">
        <is>
          <t>https://page.auctions.yahoo.co.jp/jp/auction/s1238309499</t>
        </is>
      </c>
    </row>
    <row r="481">
      <c r="A481" s="8" t="inlineStr">
        <is>
          <t>プリウスα</t>
        </is>
      </c>
      <c r="B481" s="8" t="n">
        <v>2011</v>
      </c>
      <c r="C481" s="8" t="inlineStr">
        <is>
          <t>40系</t>
        </is>
      </c>
      <c r="D481" s="11" t="n">
        <v>231000</v>
      </c>
      <c r="E481" s="8" t="n">
        <v>15</v>
      </c>
      <c r="F481" s="11" t="n">
        <v>223594</v>
      </c>
      <c r="G481" s="8" t="inlineStr">
        <is>
          <t>REAL_MILEAGE</t>
        </is>
      </c>
      <c r="H481" s="8" t="inlineStr">
        <is>
          <t>EXISTS</t>
        </is>
      </c>
      <c r="I481" s="11" t="n">
        <v>72020</v>
      </c>
      <c r="J481" s="8" t="inlineStr">
        <is>
          <t>2026-07-12T02:31:18+09:00</t>
        </is>
      </c>
      <c r="K481" s="14" t="inlineStr">
        <is>
          <t>プリウスα　前期型・シルバー</t>
        </is>
      </c>
      <c r="L481" s="8" t="inlineStr">
        <is>
          <t>https://page.auctions.yahoo.co.jp/jp/auction/l1236005212</t>
        </is>
      </c>
    </row>
    <row r="482">
      <c r="A482" s="13" t="inlineStr">
        <is>
          <t>プリウスα</t>
        </is>
      </c>
      <c r="B482" s="13" t="n">
        <v>2011</v>
      </c>
      <c r="C482" s="13" t="inlineStr">
        <is>
          <t>40系</t>
        </is>
      </c>
      <c r="D482" s="15" t="n">
        <v>318000</v>
      </c>
      <c r="E482" s="13" t="n">
        <v>1</v>
      </c>
      <c r="F482" s="15" t="n">
        <v>130784</v>
      </c>
      <c r="G482" s="13" t="inlineStr">
        <is>
          <t>REAL_MILEAGE</t>
        </is>
      </c>
      <c r="H482" s="13" t="inlineStr">
        <is>
          <t>NONE</t>
        </is>
      </c>
      <c r="I482" s="15" t="n">
        <v>13220</v>
      </c>
      <c r="J482" s="13" t="inlineStr">
        <is>
          <t>2026-06-28T22:37:15+09:00</t>
        </is>
      </c>
      <c r="K482" s="14" t="inlineStr">
        <is>
          <t>陸送50%OFF■カーズ大阪●車検2年付●23年プリウスα 1.8 S ● プッシュスタート●3F4454</t>
        </is>
      </c>
      <c r="L482" s="13" t="inlineStr">
        <is>
          <t>https://page.auctions.yahoo.co.jp/jp/auction/l1235184759</t>
        </is>
      </c>
    </row>
    <row r="483">
      <c r="A483" s="8" t="inlineStr">
        <is>
          <t>プリウスα</t>
        </is>
      </c>
      <c r="B483" s="8" t="n">
        <v>2011</v>
      </c>
      <c r="C483" s="8" t="inlineStr">
        <is>
          <t>40系</t>
        </is>
      </c>
      <c r="D483" s="11" t="n">
        <v>600000</v>
      </c>
      <c r="E483" s="8" t="n">
        <v>94</v>
      </c>
      <c r="F483" s="11" t="n">
        <v>105721</v>
      </c>
      <c r="G483" s="8" t="inlineStr">
        <is>
          <t>REAL_MILEAGE</t>
        </is>
      </c>
      <c r="H483" s="8" t="inlineStr">
        <is>
          <t>NONE</t>
        </is>
      </c>
      <c r="I483" s="11" t="n">
        <v>0</v>
      </c>
      <c r="J483" s="8" t="inlineStr">
        <is>
          <t>2026-06-14T22:29:54+09:00</t>
        </is>
      </c>
      <c r="K483" s="14" t="inlineStr">
        <is>
          <t>★プリウスα★極美車★希少★出品なし★フルモデリスタ★ホイールモデリスタ★タイヤ新品交換済み★カーコーティング6/2施工★10万km★</t>
        </is>
      </c>
      <c r="L483" s="8" t="inlineStr">
        <is>
          <t>https://page.auctions.yahoo.co.jp/jp/auction/l1232127594</t>
        </is>
      </c>
    </row>
    <row r="484">
      <c r="A484" s="13" t="inlineStr">
        <is>
          <t>プリウスα</t>
        </is>
      </c>
      <c r="B484" s="13" t="n">
        <v>2011</v>
      </c>
      <c r="C484" s="13" t="inlineStr">
        <is>
          <t>40系</t>
        </is>
      </c>
      <c r="D484" s="15" t="n">
        <v>280000</v>
      </c>
      <c r="E484" s="13" t="n">
        <v>7</v>
      </c>
      <c r="F484" s="15" t="n">
        <v>196700</v>
      </c>
      <c r="G484" s="13" t="inlineStr">
        <is>
          <t>REAL_MILEAGE</t>
        </is>
      </c>
      <c r="H484" s="13" t="n"/>
      <c r="I484" s="15" t="n">
        <v>0</v>
      </c>
      <c r="J484" s="13" t="inlineStr">
        <is>
          <t>2026-06-08T12:53:30+09:00</t>
        </is>
      </c>
      <c r="K484" s="14" t="inlineStr">
        <is>
          <t xml:space="preserve">10,000〜売り切り　★車検令和8年9月迄★トヨタ　プリウスα H23年式　上級グレードSツーリング </t>
        </is>
      </c>
      <c r="L484" s="13" t="inlineStr">
        <is>
          <t>https://page.auctions.yahoo.co.jp/jp/auction/x1232659427</t>
        </is>
      </c>
    </row>
    <row r="485">
      <c r="A485" s="8" t="inlineStr">
        <is>
          <t>プリウスα</t>
        </is>
      </c>
      <c r="B485" s="8" t="n">
        <v>2011</v>
      </c>
      <c r="C485" s="8" t="inlineStr">
        <is>
          <t>40系</t>
        </is>
      </c>
      <c r="D485" s="11" t="n">
        <v>531000</v>
      </c>
      <c r="E485" s="8" t="n">
        <v>117</v>
      </c>
      <c r="F485" s="11" t="n">
        <v>76300</v>
      </c>
      <c r="G485" s="8" t="inlineStr">
        <is>
          <t>REAL_MILEAGE</t>
        </is>
      </c>
      <c r="H485" s="8" t="inlineStr">
        <is>
          <t>NONE</t>
        </is>
      </c>
      <c r="I485" s="11" t="n">
        <v>0</v>
      </c>
      <c r="J485" s="8" t="inlineStr">
        <is>
          <t>2026-06-07T22:49:26+09:00</t>
        </is>
      </c>
      <c r="K485" s="14" t="inlineStr">
        <is>
          <t>個人出品【埼玉県川口市から】プリウスα　走行距離76,300キロ</t>
        </is>
      </c>
      <c r="L485" s="8" t="inlineStr">
        <is>
          <t>https://page.auctions.yahoo.co.jp/jp/auction/r1231516847</t>
        </is>
      </c>
    </row>
    <row r="486">
      <c r="A486" s="13" t="inlineStr">
        <is>
          <t>プリウスα</t>
        </is>
      </c>
      <c r="B486" s="13" t="n">
        <v>2011</v>
      </c>
      <c r="C486" s="13" t="inlineStr">
        <is>
          <t>40系</t>
        </is>
      </c>
      <c r="D486" s="15" t="n">
        <v>800000</v>
      </c>
      <c r="E486" s="13" t="n">
        <v>1</v>
      </c>
      <c r="F486" s="15" t="n">
        <v>68000</v>
      </c>
      <c r="G486" s="13" t="inlineStr">
        <is>
          <t>REAL_MILEAGE</t>
        </is>
      </c>
      <c r="H486" s="13" t="inlineStr">
        <is>
          <t>NONE</t>
        </is>
      </c>
      <c r="I486" s="15" t="n">
        <v>0</v>
      </c>
      <c r="J486" s="13" t="inlineStr">
        <is>
          <t>2026-05-29T04:39:21+09:00</t>
        </is>
      </c>
      <c r="K486" s="14" t="inlineStr">
        <is>
          <t>★修復無！人気ブラック！H23年！プリウスα 上級【G】LEDライト！クルコン！Pスタート！ドラレコ！社外SDナビ！Bluetooth接続！ETC！★</t>
        </is>
      </c>
      <c r="L486" s="13" t="inlineStr">
        <is>
          <t>https://page.auctions.yahoo.co.jp/jp/auction/v1226285399</t>
        </is>
      </c>
    </row>
    <row r="487">
      <c r="A487" s="8" t="inlineStr">
        <is>
          <t>プリウスα</t>
        </is>
      </c>
      <c r="B487" s="8" t="n">
        <v>2011</v>
      </c>
      <c r="C487" s="8" t="inlineStr">
        <is>
          <t>40系</t>
        </is>
      </c>
      <c r="D487" s="11" t="n">
        <v>291000</v>
      </c>
      <c r="E487" s="8" t="n">
        <v>45</v>
      </c>
      <c r="F487" s="11" t="n">
        <v>159780</v>
      </c>
      <c r="G487" s="8" t="inlineStr">
        <is>
          <t>REAL_MILEAGE</t>
        </is>
      </c>
      <c r="H487" s="8" t="inlineStr">
        <is>
          <t>EXISTS</t>
        </is>
      </c>
      <c r="I487" s="11" t="n">
        <v>0</v>
      </c>
      <c r="J487" s="8" t="inlineStr">
        <is>
          <t>2026-05-21T00:06:11+09:00</t>
        </is>
      </c>
      <c r="K487" s="14" t="inlineStr">
        <is>
          <t>プリウスα S 個人出品 ディーラーメンテナンス車 2オーナー 屋根付車庫で保管 禁煙車 補機BT新品 機関良好</t>
        </is>
      </c>
      <c r="L487" s="8" t="inlineStr">
        <is>
          <t>https://page.auctions.yahoo.co.jp/jp/auction/m1229685915</t>
        </is>
      </c>
    </row>
    <row r="488">
      <c r="A488" s="13" t="inlineStr">
        <is>
          <t>プリウスα</t>
        </is>
      </c>
      <c r="B488" s="13" t="n">
        <v>2011</v>
      </c>
      <c r="C488" s="13" t="inlineStr">
        <is>
          <t>40系</t>
        </is>
      </c>
      <c r="D488" s="15" t="n">
        <v>551000</v>
      </c>
      <c r="E488" s="13" t="n">
        <v>53</v>
      </c>
      <c r="F488" s="15" t="n">
        <v>89600</v>
      </c>
      <c r="G488" s="13" t="inlineStr">
        <is>
          <t>REAL_MILEAGE</t>
        </is>
      </c>
      <c r="H488" s="13" t="inlineStr">
        <is>
          <t>NONE</t>
        </is>
      </c>
      <c r="I488" s="15" t="n">
        <v>0</v>
      </c>
      <c r="J488" s="13" t="inlineStr">
        <is>
          <t>2026-03-30T20:59:48+09:00</t>
        </is>
      </c>
      <c r="K488" s="14" t="inlineStr">
        <is>
          <t>綺麗 距離浅 プリウスα S 8万キロ代 車検付</t>
        </is>
      </c>
      <c r="L488" s="13" t="inlineStr">
        <is>
          <t>https://page.auctions.yahoo.co.jp/jp/auction/q1224048479</t>
        </is>
      </c>
    </row>
    <row r="489">
      <c r="A489" s="8" t="inlineStr">
        <is>
          <t>プリウスα</t>
        </is>
      </c>
      <c r="B489" s="8" t="n">
        <v>2011</v>
      </c>
      <c r="C489" s="8" t="inlineStr">
        <is>
          <t>40系</t>
        </is>
      </c>
      <c r="D489" s="11" t="n">
        <v>530000</v>
      </c>
      <c r="E489" s="8" t="n">
        <v>2</v>
      </c>
      <c r="F489" s="11" t="n">
        <v>148423</v>
      </c>
      <c r="G489" s="8" t="inlineStr">
        <is>
          <t>REAL_MILEAGE</t>
        </is>
      </c>
      <c r="H489" s="8" t="inlineStr">
        <is>
          <t>NONE</t>
        </is>
      </c>
      <c r="I489" s="11" t="n">
        <v>0</v>
      </c>
      <c r="J489" s="8" t="inlineStr">
        <is>
          <t>2026-03-14T18:16:41+09:00</t>
        </is>
      </c>
      <c r="K489" s="14" t="inlineStr">
        <is>
          <t>★プリウスα アルファ 最上級 Gツーリングセレクション パノラマルーフ付 禁煙車 車検残有 現車確認可 ETC 純正HDDナビ ドラレコ パール白</t>
        </is>
      </c>
      <c r="L489" s="8" t="inlineStr">
        <is>
          <t>https://page.auctions.yahoo.co.jp/jp/auction/b1222553680</t>
        </is>
      </c>
    </row>
    <row r="490">
      <c r="A490" s="13" t="inlineStr">
        <is>
          <t>プリウスα</t>
        </is>
      </c>
      <c r="B490" s="13" t="n">
        <v>2011</v>
      </c>
      <c r="C490" s="13" t="inlineStr">
        <is>
          <t>40系</t>
        </is>
      </c>
      <c r="D490" s="15" t="n">
        <v>600000</v>
      </c>
      <c r="E490" s="13" t="n">
        <v>1</v>
      </c>
      <c r="F490" s="15" t="n">
        <v>101300</v>
      </c>
      <c r="G490" s="13" t="inlineStr">
        <is>
          <t>REAL_MILEAGE</t>
        </is>
      </c>
      <c r="H490" s="13" t="n"/>
      <c r="I490" s="15" t="n">
        <v>0</v>
      </c>
      <c r="J490" s="13" t="inlineStr">
        <is>
          <t>2026-03-08T20:16:48+09:00</t>
        </is>
      </c>
      <c r="K490" s="14" t="inlineStr">
        <is>
          <t>トヨタ プリウスα　後期仕様　Sグレード</t>
        </is>
      </c>
      <c r="L490" s="13" t="inlineStr">
        <is>
          <t>https://page.auctions.yahoo.co.jp/jp/auction/k1220523047</t>
        </is>
      </c>
    </row>
    <row r="491">
      <c r="A491" s="8" t="inlineStr">
        <is>
          <t>プリウスα</t>
        </is>
      </c>
      <c r="B491" s="8" t="n"/>
      <c r="C491" s="8" t="inlineStr"/>
      <c r="D491" s="11" t="n">
        <v>457000</v>
      </c>
      <c r="E491" s="8" t="n">
        <v>1</v>
      </c>
      <c r="F491" s="11" t="n"/>
      <c r="G491" s="8" t="n"/>
      <c r="H491" s="8" t="n"/>
      <c r="I491" s="11" t="n"/>
      <c r="J491" s="8" t="inlineStr">
        <is>
          <t>2026-08-05T20:44:40+09:00</t>
        </is>
      </c>
      <c r="K491" s="14" t="inlineStr">
        <is>
          <t>H26年式*プリウスアルファ*検10/8迄*HID*スマートキー*純正ナビ*Bカメラ*BTオーディオ*DTV*DVD*CD*ETC*社外AW*110727</t>
        </is>
      </c>
      <c r="L491" s="8" t="inlineStr">
        <is>
          <t>https://page.auctions.yahoo.co.jp/jp/auction/w1239251027</t>
        </is>
      </c>
    </row>
    <row r="492">
      <c r="A492" s="13" t="inlineStr">
        <is>
          <t>プリウスα</t>
        </is>
      </c>
      <c r="B492" s="13" t="n"/>
      <c r="C492" s="13" t="inlineStr"/>
      <c r="D492" s="15" t="n">
        <v>498000</v>
      </c>
      <c r="E492" s="13" t="n">
        <v>2</v>
      </c>
      <c r="F492" s="15" t="n"/>
      <c r="G492" s="13" t="n"/>
      <c r="H492" s="13" t="n"/>
      <c r="I492" s="15" t="n"/>
      <c r="J492" s="13" t="inlineStr">
        <is>
          <t>2026-08-04T22:13:16+09:00</t>
        </is>
      </c>
      <c r="K492" s="14" t="inlineStr">
        <is>
          <t>程度良好★車検R9年8月★プリウスアルファS★17inアルミ/アルパイン8インチナビ地デジ/走行中TV視聴OK/ETC★機関快調/内外装そうじ済み綺麗</t>
        </is>
      </c>
      <c r="L492" s="13" t="inlineStr">
        <is>
          <t>https://page.auctions.yahoo.co.jp/jp/auction/w1238898490</t>
        </is>
      </c>
    </row>
    <row r="493">
      <c r="A493" s="8" t="inlineStr">
        <is>
          <t>プリウスα</t>
        </is>
      </c>
      <c r="B493" s="8" t="n"/>
      <c r="C493" s="8" t="inlineStr"/>
      <c r="D493" s="11" t="n">
        <v>501000</v>
      </c>
      <c r="E493" s="8" t="n">
        <v>4</v>
      </c>
      <c r="F493" s="11" t="n"/>
      <c r="G493" s="8" t="n"/>
      <c r="H493" s="8" t="n"/>
      <c r="I493" s="11" t="n"/>
      <c r="J493" s="8" t="inlineStr">
        <is>
          <t>2026-07-22T22:14:55+09:00</t>
        </is>
      </c>
      <c r="K493" s="14" t="inlineStr">
        <is>
          <t>程度良好★車検R9年8月★プリウスアルファS★17inアルミ/アルパイン8インチナビ地デジ/走行中TV視聴OK/ETC★機関快調/内外装そうじ済み綺麗</t>
        </is>
      </c>
      <c r="L493" s="8" t="inlineStr">
        <is>
          <t>https://page.auctions.yahoo.co.jp/jp/auction/w1235801200</t>
        </is>
      </c>
    </row>
    <row r="494">
      <c r="A494" s="13" t="inlineStr">
        <is>
          <t>プリウスα</t>
        </is>
      </c>
      <c r="B494" s="13" t="n"/>
      <c r="C494" s="13" t="inlineStr"/>
      <c r="D494" s="15" t="n">
        <v>650000</v>
      </c>
      <c r="E494" s="13" t="n">
        <v>1</v>
      </c>
      <c r="F494" s="15" t="n"/>
      <c r="G494" s="13" t="n"/>
      <c r="H494" s="13" t="n"/>
      <c r="I494" s="15" t="n"/>
      <c r="J494" s="13" t="inlineStr">
        <is>
          <t>2026-07-18T04:05:43+09:00</t>
        </is>
      </c>
      <c r="K494" s="14" t="inlineStr">
        <is>
          <t>プリウスアルファ　αハイブリッド　Sツーリング　車検令10/4 車高調　修復歴無板金補修無　予備ハイブリッドバッテリー付き</t>
        </is>
      </c>
      <c r="L494" s="13" t="inlineStr">
        <is>
          <t>https://page.auctions.yahoo.co.jp/jp/auction/d1235824536</t>
        </is>
      </c>
    </row>
    <row r="495">
      <c r="A495" s="8" t="inlineStr">
        <is>
          <t>プリウスα</t>
        </is>
      </c>
      <c r="B495" s="8" t="n"/>
      <c r="C495" s="8" t="inlineStr"/>
      <c r="D495" s="11" t="n">
        <v>580000</v>
      </c>
      <c r="E495" s="8" t="n">
        <v>28</v>
      </c>
      <c r="F495" s="11" t="n"/>
      <c r="G495" s="8" t="n"/>
      <c r="H495" s="8" t="n"/>
      <c r="I495" s="11" t="n"/>
      <c r="J495" s="8" t="inlineStr">
        <is>
          <t>2026-07-03T16:25:36+09:00</t>
        </is>
      </c>
      <c r="K495" s="14" t="inlineStr">
        <is>
          <t>H26 プリウスアルファ　Sチューンブラック　モデリスタフルエアロ　検R8/11 135000km 実走行、修復歴無し　18インチアルミホイール</t>
        </is>
      </c>
      <c r="L495" s="8" t="inlineStr">
        <is>
          <t>https://page.auctions.yahoo.co.jp/jp/auction/r1235552557</t>
        </is>
      </c>
    </row>
    <row r="496">
      <c r="A496" s="13" t="inlineStr">
        <is>
          <t>プリウスα</t>
        </is>
      </c>
      <c r="B496" s="13" t="n"/>
      <c r="C496" s="13" t="inlineStr"/>
      <c r="D496" s="15" t="n">
        <v>409000</v>
      </c>
      <c r="E496" s="13" t="n">
        <v>84</v>
      </c>
      <c r="F496" s="15" t="n"/>
      <c r="G496" s="13" t="n"/>
      <c r="H496" s="13" t="n"/>
      <c r="I496" s="15" t="n"/>
      <c r="J496" s="13" t="inlineStr">
        <is>
          <t>2026-06-29T21:35:16+09:00</t>
        </is>
      </c>
      <c r="K496" s="14" t="inlineStr">
        <is>
          <t>★プリウスアルファ★純正ナビ★バックカメラ★地デジTV★ビルトインETC★DVDビデオ★純正アルミ★</t>
        </is>
      </c>
      <c r="L496" s="13" t="inlineStr">
        <is>
          <t>https://page.auctions.yahoo.co.jp/jp/auction/m1234611519</t>
        </is>
      </c>
    </row>
    <row r="497">
      <c r="A497" s="8" t="inlineStr">
        <is>
          <t>プリウスα</t>
        </is>
      </c>
      <c r="B497" s="8" t="n"/>
      <c r="C497" s="8" t="inlineStr"/>
      <c r="D497" s="11" t="n">
        <v>609000</v>
      </c>
      <c r="E497" s="8" t="n">
        <v>87</v>
      </c>
      <c r="F497" s="11" t="n"/>
      <c r="G497" s="8" t="n"/>
      <c r="H497" s="8" t="n"/>
      <c r="I497" s="11" t="n"/>
      <c r="J497" s="8" t="inlineStr">
        <is>
          <t>2026-05-29T21:10:18+09:00</t>
        </is>
      </c>
      <c r="K497" s="14" t="inlineStr">
        <is>
          <t>★7人乗りプリウスアルファ★車検令10年05月19日★クルーズコントロール★ナビ★バックカメラ★地デジTV★ETC★DVDビデオ★純正アルミ★</t>
        </is>
      </c>
      <c r="L497" s="8" t="inlineStr">
        <is>
          <t>https://page.auctions.yahoo.co.jp/jp/auction/o1230923728</t>
        </is>
      </c>
    </row>
    <row r="498">
      <c r="A498" s="13" t="inlineStr">
        <is>
          <t>プリウスα</t>
        </is>
      </c>
      <c r="B498" s="13" t="n"/>
      <c r="C498" s="13" t="inlineStr"/>
      <c r="D498" s="15" t="n">
        <v>567000</v>
      </c>
      <c r="E498" s="13" t="n">
        <v>21</v>
      </c>
      <c r="F498" s="15" t="n"/>
      <c r="G498" s="13" t="n"/>
      <c r="H498" s="13" t="n"/>
      <c r="I498" s="15" t="n"/>
      <c r="J498" s="13" t="inlineStr">
        <is>
          <t>2026-05-24T20:06:43+09:00</t>
        </is>
      </c>
      <c r="K498" s="14" t="inlineStr">
        <is>
          <t xml:space="preserve">プリウスアルファ　燃費。機関良好　内外綺麗　禁煙　超断熱ガラス　アルパイン大型ナビ　始動バッテリー新品　リフトアップ　</t>
        </is>
      </c>
      <c r="L498" s="13" t="inlineStr">
        <is>
          <t>https://page.auctions.yahoo.co.jp/jp/auction/b1229679785</t>
        </is>
      </c>
    </row>
    <row r="499">
      <c r="A499" s="8" t="inlineStr">
        <is>
          <t>プリウスα</t>
        </is>
      </c>
      <c r="B499" s="8" t="n"/>
      <c r="C499" s="8" t="inlineStr"/>
      <c r="D499" s="11" t="n">
        <v>550000</v>
      </c>
      <c r="E499" s="8" t="n">
        <v>1</v>
      </c>
      <c r="F499" s="11" t="n"/>
      <c r="G499" s="8" t="n"/>
      <c r="H499" s="8" t="n"/>
      <c r="I499" s="11" t="n"/>
      <c r="J499" s="8" t="inlineStr">
        <is>
          <t>2026-05-12T09:13:13+09:00</t>
        </is>
      </c>
      <c r="K499" s="14" t="inlineStr">
        <is>
          <t>売切★車検R9年3月★世の中ガソリン高騰（涙）そこでプリウスアルファ★ストラーダHDDナビ地デジ（走行中TV視聴OK）/Bカメラ★快調/掃除済</t>
        </is>
      </c>
      <c r="L499" s="8" t="inlineStr">
        <is>
          <t>https://page.auctions.yahoo.co.jp/jp/auction/m1228595150</t>
        </is>
      </c>
    </row>
    <row r="500">
      <c r="A500" s="13" t="inlineStr">
        <is>
          <t>プリウスα</t>
        </is>
      </c>
      <c r="B500" s="13" t="n"/>
      <c r="C500" s="13" t="inlineStr"/>
      <c r="D500" s="15" t="n">
        <v>461000</v>
      </c>
      <c r="E500" s="13" t="n">
        <v>116</v>
      </c>
      <c r="F500" s="15" t="n"/>
      <c r="G500" s="13" t="n"/>
      <c r="H500" s="13" t="n"/>
      <c r="I500" s="15" t="n"/>
      <c r="J500" s="13" t="inlineStr">
        <is>
          <t>2026-04-29T21:05:06+09:00</t>
        </is>
      </c>
      <c r="K500" s="14" t="inlineStr">
        <is>
          <t>★プリウスアルファ★車検令10年4月22日まで付いています★LEDヘッドライト★ナビ★Ｂカメラ★TV★ビルトインETC★DVDビデオ★社外アルミ★</t>
        </is>
      </c>
      <c r="L500" s="13" t="inlineStr">
        <is>
          <t>https://page.auctions.yahoo.co.jp/jp/auction/p1227569974</t>
        </is>
      </c>
    </row>
    <row r="501">
      <c r="A501" s="8" t="inlineStr">
        <is>
          <t>プリウスα</t>
        </is>
      </c>
      <c r="B501" s="8" t="n"/>
      <c r="C501" s="8" t="inlineStr"/>
      <c r="D501" s="11" t="n">
        <v>393000</v>
      </c>
      <c r="E501" s="8" t="n">
        <v>35</v>
      </c>
      <c r="F501" s="11" t="n"/>
      <c r="G501" s="8" t="n"/>
      <c r="H501" s="8" t="n"/>
      <c r="I501" s="11" t="n"/>
      <c r="J501" s="8" t="inlineStr">
        <is>
          <t>2026-04-29T20:36:48+09:00</t>
        </is>
      </c>
      <c r="K501" s="14" t="inlineStr">
        <is>
          <t>プリウスα　S Lセレクション　法人ワンオーナー　愛知　車検令和9年3月　売り切り！</t>
        </is>
      </c>
      <c r="L501" s="8" t="inlineStr">
        <is>
          <t>https://page.auctions.yahoo.co.jp/jp/auction/d1227091307</t>
        </is>
      </c>
    </row>
    <row r="502">
      <c r="A502" s="13" t="inlineStr">
        <is>
          <t>プリウスα</t>
        </is>
      </c>
      <c r="B502" s="13" t="n"/>
      <c r="C502" s="13" t="inlineStr"/>
      <c r="D502" s="15" t="n">
        <v>1004000</v>
      </c>
      <c r="E502" s="13" t="n">
        <v>28</v>
      </c>
      <c r="F502" s="15" t="n"/>
      <c r="G502" s="13" t="n"/>
      <c r="H502" s="13" t="n"/>
      <c r="I502" s="15" t="n"/>
      <c r="J502" s="13" t="inlineStr">
        <is>
          <t>2026-04-25T19:42:56+09:00</t>
        </is>
      </c>
      <c r="K502" s="14" t="inlineStr">
        <is>
          <t>愛知県発 プリウスa後期上級グレードG zvw41w平成27年車950登録済み</t>
        </is>
      </c>
      <c r="L502" s="13" t="inlineStr">
        <is>
          <t>https://page.auctions.yahoo.co.jp/jp/auction/q1227344678</t>
        </is>
      </c>
    </row>
    <row r="503">
      <c r="A503" s="8" t="inlineStr">
        <is>
          <t>プリウスα</t>
        </is>
      </c>
      <c r="B503" s="8" t="n"/>
      <c r="C503" s="8" t="inlineStr"/>
      <c r="D503" s="11" t="n">
        <v>399000</v>
      </c>
      <c r="E503" s="8" t="n">
        <v>1</v>
      </c>
      <c r="F503" s="11" t="n"/>
      <c r="G503" s="8" t="n"/>
      <c r="H503" s="8" t="n"/>
      <c r="I503" s="11" t="n"/>
      <c r="J503" s="8" t="inlineStr">
        <is>
          <t>2026-04-18T17:48:31+09:00</t>
        </is>
      </c>
      <c r="K503" s="14" t="inlineStr">
        <is>
          <t>★プリウスアルファ★車検令10年04月09日まで付いています★純正ナビ★バックカメラ★地デジTV★ETC★ドライブレコーダー★社外アルミ★</t>
        </is>
      </c>
      <c r="L503" s="8" t="inlineStr">
        <is>
          <t>https://page.auctions.yahoo.co.jp/jp/auction/p1226924718</t>
        </is>
      </c>
    </row>
    <row r="504">
      <c r="A504" s="13" t="inlineStr">
        <is>
          <t>プリウスα</t>
        </is>
      </c>
      <c r="B504" s="13" t="n"/>
      <c r="C504" s="13" t="inlineStr"/>
      <c r="D504" s="15" t="n">
        <v>451000</v>
      </c>
      <c r="E504" s="13" t="n">
        <v>34</v>
      </c>
      <c r="F504" s="15" t="n"/>
      <c r="G504" s="13" t="n"/>
      <c r="H504" s="13" t="n"/>
      <c r="I504" s="15" t="n"/>
      <c r="J504" s="13" t="inlineStr">
        <is>
          <t>2026-04-10T21:42:26+09:00</t>
        </is>
      </c>
      <c r="K504" s="14" t="inlineStr">
        <is>
          <t xml:space="preserve">トヨタプリウス@ Ｓ　ツーリングセレクション 年式25年　車検満タン　走行距離11万キロ　ナビ、バックカメラ、ETC </t>
        </is>
      </c>
      <c r="L504" s="13" t="inlineStr">
        <is>
          <t>https://page.auctions.yahoo.co.jp/jp/auction/f1225418000</t>
        </is>
      </c>
    </row>
    <row r="505">
      <c r="A505" s="8" t="inlineStr">
        <is>
          <t>プリウスα</t>
        </is>
      </c>
      <c r="B505" s="8" t="n"/>
      <c r="C505" s="8" t="inlineStr"/>
      <c r="D505" s="11" t="n">
        <v>557000</v>
      </c>
      <c r="E505" s="8" t="n">
        <v>162</v>
      </c>
      <c r="F505" s="11" t="n"/>
      <c r="G505" s="8" t="n"/>
      <c r="H505" s="8" t="n"/>
      <c r="I505" s="11" t="n"/>
      <c r="J505" s="8" t="inlineStr">
        <is>
          <t>2026-03-25T21:05:08+09:00</t>
        </is>
      </c>
      <c r="K505" s="14" t="inlineStr">
        <is>
          <t>★25年式プリウスアルファ★車検令10年3月17日まで付いています★純正ナビ★B/カメラ★地デジTV★ETC★ドライブレコーダー★純正アルミ★</t>
        </is>
      </c>
      <c r="L505" s="8" t="inlineStr">
        <is>
          <t>https://page.auctions.yahoo.co.jp/jp/auction/n1223537904</t>
        </is>
      </c>
    </row>
    <row r="506">
      <c r="A506" s="13" t="inlineStr">
        <is>
          <t>プリウスα</t>
        </is>
      </c>
      <c r="B506" s="13" t="n"/>
      <c r="C506" s="13" t="inlineStr"/>
      <c r="D506" s="15" t="n">
        <v>798000</v>
      </c>
      <c r="E506" s="13" t="n">
        <v>165</v>
      </c>
      <c r="F506" s="15" t="n"/>
      <c r="G506" s="13" t="n"/>
      <c r="H506" s="13" t="n"/>
      <c r="I506" s="15" t="n"/>
      <c r="J506" s="13" t="inlineStr">
        <is>
          <t>2026-03-08T21:41:35+09:00</t>
        </is>
      </c>
      <c r="K506" s="14" t="inlineStr">
        <is>
          <t>平成２７年８月　プリウスα 後期モデル　ガンメタ　S ナビ　ETC バックカメラ　美車　車検R８年９月　ナンバー付き　即乗り</t>
        </is>
      </c>
      <c r="L506" s="13" t="inlineStr">
        <is>
          <t>https://page.auctions.yahoo.co.jp/jp/auction/g1221370453</t>
        </is>
      </c>
    </row>
    <row r="507">
      <c r="A507" s="8" t="inlineStr">
        <is>
          <t>ヴェルファイア</t>
        </is>
      </c>
      <c r="B507" s="8" t="n">
        <v>2023</v>
      </c>
      <c r="C507" s="8" t="inlineStr">
        <is>
          <t>40系</t>
        </is>
      </c>
      <c r="D507" s="11" t="n">
        <v>5990000</v>
      </c>
      <c r="E507" s="8" t="n">
        <v>1</v>
      </c>
      <c r="F507" s="11" t="n">
        <v>27000</v>
      </c>
      <c r="G507" s="8" t="inlineStr">
        <is>
          <t>REAL_MILEAGE</t>
        </is>
      </c>
      <c r="H507" s="8" t="inlineStr">
        <is>
          <t>NONE</t>
        </is>
      </c>
      <c r="I507" s="11" t="n">
        <v>0</v>
      </c>
      <c r="J507" s="8" t="inlineStr">
        <is>
          <t>2026-04-09T21:57:57+09:00</t>
        </is>
      </c>
      <c r="K507" s="14" t="inlineStr">
        <is>
          <t>ヴェルファイア ハイブリッド 2.5 Zプレミア トヨタセーフティセンス　サンルーフ</t>
        </is>
      </c>
      <c r="L507" s="8" t="inlineStr">
        <is>
          <t>https://page.auctions.yahoo.co.jp/jp/auction/1224877622</t>
        </is>
      </c>
    </row>
    <row r="508">
      <c r="A508" s="13" t="inlineStr">
        <is>
          <t>ヴェルファイア</t>
        </is>
      </c>
      <c r="B508" s="13" t="n">
        <v>2022</v>
      </c>
      <c r="C508" s="13" t="inlineStr">
        <is>
          <t>30系後期</t>
        </is>
      </c>
      <c r="D508" s="15" t="n">
        <v>2653000</v>
      </c>
      <c r="E508" s="13" t="n">
        <v>201</v>
      </c>
      <c r="F508" s="15" t="n">
        <v>78908</v>
      </c>
      <c r="G508" s="13" t="inlineStr">
        <is>
          <t>REAL_MILEAGE</t>
        </is>
      </c>
      <c r="H508" s="13" t="n"/>
      <c r="I508" s="15" t="n">
        <v>18470</v>
      </c>
      <c r="J508" s="13" t="inlineStr">
        <is>
          <t>2026-07-20T21:28:22+09:00</t>
        </is>
      </c>
      <c r="K508" s="14" t="inlineStr">
        <is>
          <t>個人出品 令和4年12月 トヨタ ヴェルファイア ゴールデンアイズ3 フルモデリスタエアロ 両側パワースライドドア ETC カープレイ ドラレコ</t>
        </is>
      </c>
      <c r="L508" s="13" t="inlineStr">
        <is>
          <t>https://page.auctions.yahoo.co.jp/jp/auction/b1237490900</t>
        </is>
      </c>
    </row>
    <row r="509">
      <c r="A509" s="8" t="inlineStr">
        <is>
          <t>ヴェルファイア</t>
        </is>
      </c>
      <c r="B509" s="8" t="n">
        <v>2019</v>
      </c>
      <c r="C509" s="8" t="inlineStr">
        <is>
          <t>30系後期</t>
        </is>
      </c>
      <c r="D509" s="11" t="n">
        <v>2383000</v>
      </c>
      <c r="E509" s="8" t="n">
        <v>6</v>
      </c>
      <c r="F509" s="11" t="n">
        <v>103000</v>
      </c>
      <c r="G509" s="8" t="inlineStr">
        <is>
          <t>REAL_MILEAGE</t>
        </is>
      </c>
      <c r="H509" s="8" t="inlineStr">
        <is>
          <t>NONE</t>
        </is>
      </c>
      <c r="I509" s="11" t="n">
        <v>0</v>
      </c>
      <c r="J509" s="8" t="inlineStr">
        <is>
          <t>2026-07-11T20:52:22+09:00</t>
        </is>
      </c>
      <c r="K509" s="14" t="inlineStr">
        <is>
          <t xml:space="preserve">トヨタ　ヴェルファイア　2.5Z Gエディション　ワンオーナー　</t>
        </is>
      </c>
      <c r="L509" s="8" t="inlineStr">
        <is>
          <t>https://page.auctions.yahoo.co.jp/jp/auction/h1235202790</t>
        </is>
      </c>
    </row>
    <row r="510">
      <c r="A510" s="13" t="inlineStr">
        <is>
          <t>ヴェルファイア</t>
        </is>
      </c>
      <c r="B510" s="13" t="n">
        <v>2018</v>
      </c>
      <c r="C510" s="13" t="inlineStr">
        <is>
          <t>30系後期</t>
        </is>
      </c>
      <c r="D510" s="15" t="n">
        <v>4480000</v>
      </c>
      <c r="E510" s="13" t="n">
        <v>1</v>
      </c>
      <c r="F510" s="15" t="n">
        <v>43000</v>
      </c>
      <c r="G510" s="13" t="inlineStr">
        <is>
          <t>REAL_MILEAGE</t>
        </is>
      </c>
      <c r="H510" s="13" t="inlineStr">
        <is>
          <t>NONE</t>
        </is>
      </c>
      <c r="I510" s="15" t="n">
        <v>0</v>
      </c>
      <c r="J510" s="13" t="inlineStr">
        <is>
          <t>2026-08-09T21:21:38+09:00</t>
        </is>
      </c>
      <c r="K510" s="14" t="inlineStr">
        <is>
          <t>ヴェルファイア 3.5 エグゼクティブラウンジ Z モデリスタフルエアロ　マフラー</t>
        </is>
      </c>
      <c r="L510" s="13" t="inlineStr">
        <is>
          <t>https://page.auctions.yahoo.co.jp/jp/auction/j1239966931</t>
        </is>
      </c>
    </row>
    <row r="511">
      <c r="A511" s="8" t="inlineStr">
        <is>
          <t>ヴェルファイア</t>
        </is>
      </c>
      <c r="B511" s="8" t="n">
        <v>2018</v>
      </c>
      <c r="C511" s="8" t="inlineStr">
        <is>
          <t>30系後期</t>
        </is>
      </c>
      <c r="D511" s="11" t="n">
        <v>1530000</v>
      </c>
      <c r="E511" s="8" t="n">
        <v>27</v>
      </c>
      <c r="F511" s="11" t="n">
        <v>89200</v>
      </c>
      <c r="G511" s="8" t="inlineStr">
        <is>
          <t>REAL_MILEAGE</t>
        </is>
      </c>
      <c r="H511" s="8" t="inlineStr">
        <is>
          <t>NONE</t>
        </is>
      </c>
      <c r="I511" s="11" t="n">
        <v>49550</v>
      </c>
      <c r="J511" s="8" t="inlineStr">
        <is>
          <t>2026-08-05T19:55:49+09:00</t>
        </is>
      </c>
      <c r="K511" s="14" t="inlineStr">
        <is>
          <t>トヨタヴェルファイア 2.5Z A エディション 車検令和9年6月 走行距離89,200km 修復歴なし</t>
        </is>
      </c>
      <c r="L511" s="8" t="inlineStr">
        <is>
          <t>https://page.auctions.yahoo.co.jp/jp/auction/m1237973932</t>
        </is>
      </c>
    </row>
    <row r="512">
      <c r="A512" s="13" t="inlineStr">
        <is>
          <t>ヴェルファイア</t>
        </is>
      </c>
      <c r="B512" s="13" t="n">
        <v>2017</v>
      </c>
      <c r="C512" s="13" t="inlineStr">
        <is>
          <t>30系前期</t>
        </is>
      </c>
      <c r="D512" s="15" t="n">
        <v>1996000</v>
      </c>
      <c r="E512" s="13" t="n">
        <v>1</v>
      </c>
      <c r="F512" s="15" t="n">
        <v>106863</v>
      </c>
      <c r="G512" s="13" t="inlineStr">
        <is>
          <t>REAL_MILEAGE</t>
        </is>
      </c>
      <c r="H512" s="13" t="inlineStr">
        <is>
          <t>NONE</t>
        </is>
      </c>
      <c r="I512" s="15" t="n">
        <v>0</v>
      </c>
      <c r="J512" s="13" t="inlineStr">
        <is>
          <t>2026-06-08T23:37:43+09:00</t>
        </is>
      </c>
      <c r="K512" s="14" t="inlineStr">
        <is>
          <t>【諸費用コミ】:平成29年 ヴェルファイア 2.5Z-G エグゼクティブシート リアモニ 禁煙</t>
        </is>
      </c>
      <c r="L512" s="13" t="inlineStr">
        <is>
          <t>https://page.auctions.yahoo.co.jp/jp/auction/c1231992550</t>
        </is>
      </c>
    </row>
    <row r="513">
      <c r="A513" s="8" t="inlineStr">
        <is>
          <t>ヴェルファイア</t>
        </is>
      </c>
      <c r="B513" s="8" t="n">
        <v>2016</v>
      </c>
      <c r="C513" s="8" t="inlineStr">
        <is>
          <t>30系前期</t>
        </is>
      </c>
      <c r="D513" s="11" t="n">
        <v>1450000</v>
      </c>
      <c r="E513" s="8" t="n">
        <v>1</v>
      </c>
      <c r="F513" s="11" t="n">
        <v>189000</v>
      </c>
      <c r="G513" s="8" t="inlineStr">
        <is>
          <t>REAL_MILEAGE</t>
        </is>
      </c>
      <c r="H513" s="8" t="inlineStr">
        <is>
          <t>NONE</t>
        </is>
      </c>
      <c r="I513" s="11" t="n">
        <v>53620</v>
      </c>
      <c r="J513" s="8" t="inlineStr">
        <is>
          <t>2026-08-03T05:41:48+09:00</t>
        </is>
      </c>
      <c r="K513" s="14" t="inlineStr">
        <is>
          <t>綺麗 ヴェルファイア Z モデリスタ 車検付</t>
        </is>
      </c>
      <c r="L513" s="8" t="inlineStr">
        <is>
          <t>https://page.auctions.yahoo.co.jp/jp/auction/x1238895406</t>
        </is>
      </c>
    </row>
    <row r="514">
      <c r="A514" s="13" t="inlineStr">
        <is>
          <t>ヴェルファイア</t>
        </is>
      </c>
      <c r="B514" s="13" t="n">
        <v>2016</v>
      </c>
      <c r="C514" s="13" t="inlineStr">
        <is>
          <t>30系前期</t>
        </is>
      </c>
      <c r="D514" s="15" t="n">
        <v>1351000</v>
      </c>
      <c r="E514" s="13" t="n">
        <v>149</v>
      </c>
      <c r="F514" s="15" t="n">
        <v>139000</v>
      </c>
      <c r="G514" s="13" t="inlineStr">
        <is>
          <t>REAL_MILEAGE</t>
        </is>
      </c>
      <c r="H514" s="13" t="inlineStr">
        <is>
          <t>NONE</t>
        </is>
      </c>
      <c r="I514" s="15" t="n">
        <v>16550</v>
      </c>
      <c r="J514" s="13" t="inlineStr">
        <is>
          <t>2026-07-17T20:20:22+09:00</t>
        </is>
      </c>
      <c r="K514" s="14" t="inlineStr">
        <is>
          <t xml:space="preserve">トヨタ　ヴェルファイア　内外装キレイ　4WD 両側パワースライドドア　アルパインナビ　フリップダウンモニター　社外ホイール　ETC2.0 </t>
        </is>
      </c>
      <c r="L514" s="13" t="inlineStr">
        <is>
          <t>https://page.auctions.yahoo.co.jp/jp/auction/e1236219615</t>
        </is>
      </c>
    </row>
    <row r="515">
      <c r="A515" s="8" t="inlineStr">
        <is>
          <t>ヴェルファイア</t>
        </is>
      </c>
      <c r="B515" s="8" t="n">
        <v>2016</v>
      </c>
      <c r="C515" s="8" t="inlineStr">
        <is>
          <t>30系前期</t>
        </is>
      </c>
      <c r="D515" s="11" t="n">
        <v>1001000</v>
      </c>
      <c r="E515" s="8" t="n">
        <v>100</v>
      </c>
      <c r="F515" s="11" t="n">
        <v>150000</v>
      </c>
      <c r="G515" s="8" t="inlineStr">
        <is>
          <t>REAL_MILEAGE</t>
        </is>
      </c>
      <c r="H515" s="8" t="n"/>
      <c r="I515" s="11" t="n">
        <v>0</v>
      </c>
      <c r="J515" s="8" t="inlineStr">
        <is>
          <t>2026-06-30T22:02:53+09:00</t>
        </is>
      </c>
      <c r="K515" s="14" t="inlineStr">
        <is>
          <t>トヨタ ヴェルファイア 2.5Z 自走可能 書類あり AGH30W</t>
        </is>
      </c>
      <c r="L515" s="8" t="inlineStr">
        <is>
          <t>https://page.auctions.yahoo.co.jp/jp/auction/o1234981005</t>
        </is>
      </c>
    </row>
    <row r="516">
      <c r="A516" s="13" t="inlineStr">
        <is>
          <t>ヴェルファイア</t>
        </is>
      </c>
      <c r="B516" s="13" t="n">
        <v>2016</v>
      </c>
      <c r="C516" s="13" t="inlineStr">
        <is>
          <t>30系前期</t>
        </is>
      </c>
      <c r="D516" s="15" t="n">
        <v>999000</v>
      </c>
      <c r="E516" s="13" t="n">
        <v>84</v>
      </c>
      <c r="F516" s="15" t="n">
        <v>150000</v>
      </c>
      <c r="G516" s="13" t="inlineStr">
        <is>
          <t>REAL_MILEAGE</t>
        </is>
      </c>
      <c r="H516" s="13" t="inlineStr">
        <is>
          <t>NONE</t>
        </is>
      </c>
      <c r="I516" s="15" t="n">
        <v>0</v>
      </c>
      <c r="J516" s="13" t="inlineStr">
        <is>
          <t>2026-06-17T22:17:09+09:00</t>
        </is>
      </c>
      <c r="K516" s="14" t="inlineStr">
        <is>
          <t>トヨタ ヴェルファイア 2.5Z 自走可能 書類あり AGH30W</t>
        </is>
      </c>
      <c r="L516" s="13" t="inlineStr">
        <is>
          <t>https://page.auctions.yahoo.co.jp/jp/auction/u1233448173</t>
        </is>
      </c>
    </row>
    <row r="517">
      <c r="A517" s="8" t="inlineStr">
        <is>
          <t>ヴェルファイア</t>
        </is>
      </c>
      <c r="B517" s="8" t="n">
        <v>2016</v>
      </c>
      <c r="C517" s="8" t="inlineStr">
        <is>
          <t>30系前期</t>
        </is>
      </c>
      <c r="D517" s="11" t="n">
        <v>1950000</v>
      </c>
      <c r="E517" s="8" t="n">
        <v>2</v>
      </c>
      <c r="F517" s="11" t="n">
        <v>112060</v>
      </c>
      <c r="G517" s="8" t="inlineStr">
        <is>
          <t>REAL_MILEAGE</t>
        </is>
      </c>
      <c r="H517" s="8" t="inlineStr">
        <is>
          <t>NONE</t>
        </is>
      </c>
      <c r="I517" s="11" t="n">
        <v>0</v>
      </c>
      <c r="J517" s="8" t="inlineStr">
        <is>
          <t>2026-06-06T14:01:21+09:00</t>
        </is>
      </c>
      <c r="K517" s="14" t="inlineStr">
        <is>
          <t>返金保証付:【愛知県弥富市】厳選中古車 平成28年 トヨタ ヴェルファイア 2.5 Z Gエディション BT/TV/バ</t>
        </is>
      </c>
      <c r="L517" s="8" t="inlineStr">
        <is>
          <t>https://page.auctions.yahoo.co.jp/jp/auction/r1232358464</t>
        </is>
      </c>
    </row>
    <row r="518">
      <c r="A518" s="13" t="inlineStr">
        <is>
          <t>ヴェルファイア</t>
        </is>
      </c>
      <c r="B518" s="13" t="n">
        <v>2016</v>
      </c>
      <c r="C518" s="13" t="inlineStr">
        <is>
          <t>30系前期</t>
        </is>
      </c>
      <c r="D518" s="15" t="n">
        <v>1522000</v>
      </c>
      <c r="E518" s="13" t="n">
        <v>1</v>
      </c>
      <c r="F518" s="15" t="n">
        <v>113000</v>
      </c>
      <c r="G518" s="13" t="inlineStr">
        <is>
          <t>REAL_MILEAGE</t>
        </is>
      </c>
      <c r="H518" s="13" t="inlineStr">
        <is>
          <t>EXISTS</t>
        </is>
      </c>
      <c r="I518" s="15" t="n">
        <v>0</v>
      </c>
      <c r="J518" s="13" t="inlineStr">
        <is>
          <t>2026-05-01T17:51:14+09:00</t>
        </is>
      </c>
      <c r="K518" s="14" t="inlineStr">
        <is>
          <t>ヴェルファイア 2.5 Z Gエディション 純正9インチナビ　フルセグTV</t>
        </is>
      </c>
      <c r="L518" s="13" t="inlineStr">
        <is>
          <t>https://page.auctions.yahoo.co.jp/jp/auction/x1227485105</t>
        </is>
      </c>
    </row>
    <row r="519">
      <c r="A519" s="8" t="inlineStr">
        <is>
          <t>ヴェルファイア</t>
        </is>
      </c>
      <c r="B519" s="8" t="n">
        <v>2016</v>
      </c>
      <c r="C519" s="8" t="inlineStr">
        <is>
          <t>30系前期</t>
        </is>
      </c>
      <c r="D519" s="11" t="n">
        <v>1503000</v>
      </c>
      <c r="E519" s="8" t="n">
        <v>226</v>
      </c>
      <c r="F519" s="11" t="n">
        <v>292000</v>
      </c>
      <c r="G519" s="8" t="inlineStr">
        <is>
          <t>REAL_MILEAGE</t>
        </is>
      </c>
      <c r="H519" s="8" t="inlineStr">
        <is>
          <t>NONE</t>
        </is>
      </c>
      <c r="I519" s="11" t="n">
        <v>0</v>
      </c>
      <c r="J519" s="8" t="inlineStr">
        <is>
          <t>2026-04-13T20:51:02+09:00</t>
        </is>
      </c>
      <c r="K519" s="14" t="inlineStr">
        <is>
          <t>車検長！トヨタヴェルファイアハイブリッド ZR 4WD</t>
        </is>
      </c>
      <c r="L519" s="8" t="inlineStr">
        <is>
          <t>https://page.auctions.yahoo.co.jp/jp/auction/n1226090787</t>
        </is>
      </c>
    </row>
    <row r="520">
      <c r="A520" s="13" t="inlineStr">
        <is>
          <t>ヴェルファイア</t>
        </is>
      </c>
      <c r="B520" s="13" t="n">
        <v>2016</v>
      </c>
      <c r="C520" s="13" t="inlineStr">
        <is>
          <t>30系前期</t>
        </is>
      </c>
      <c r="D520" s="15" t="n">
        <v>1580000</v>
      </c>
      <c r="E520" s="13" t="n">
        <v>1</v>
      </c>
      <c r="F520" s="15" t="n">
        <v>113000</v>
      </c>
      <c r="G520" s="13" t="inlineStr">
        <is>
          <t>REAL_MILEAGE</t>
        </is>
      </c>
      <c r="H520" s="13" t="inlineStr">
        <is>
          <t>EXISTS</t>
        </is>
      </c>
      <c r="I520" s="15" t="n">
        <v>0</v>
      </c>
      <c r="J520" s="13" t="inlineStr">
        <is>
          <t>2026-03-23T13:34:14+09:00</t>
        </is>
      </c>
      <c r="K520" s="14" t="inlineStr">
        <is>
          <t>ヴェルファイア 2.5 Z Gエディション 純正9インチナビ　フルセグTV</t>
        </is>
      </c>
      <c r="L520" s="13" t="inlineStr">
        <is>
          <t>https://page.auctions.yahoo.co.jp/jp/auction/r1223635228</t>
        </is>
      </c>
    </row>
    <row r="521">
      <c r="A521" s="8" t="inlineStr">
        <is>
          <t>ヴェルファイア</t>
        </is>
      </c>
      <c r="B521" s="8" t="n">
        <v>2016</v>
      </c>
      <c r="C521" s="8" t="inlineStr">
        <is>
          <t>30系前期</t>
        </is>
      </c>
      <c r="D521" s="11" t="n">
        <v>1450000</v>
      </c>
      <c r="E521" s="8" t="n">
        <v>1</v>
      </c>
      <c r="F521" s="11" t="n">
        <v>35000</v>
      </c>
      <c r="G521" s="8" t="inlineStr">
        <is>
          <t>REAL_MILEAGE</t>
        </is>
      </c>
      <c r="H521" s="8" t="inlineStr">
        <is>
          <t>EXISTS</t>
        </is>
      </c>
      <c r="I521" s="11" t="n">
        <v>0</v>
      </c>
      <c r="J521" s="8" t="inlineStr">
        <is>
          <t>2026-03-01T20:52:56+09:00</t>
        </is>
      </c>
      <c r="K521" s="14" t="inlineStr">
        <is>
          <t>ヴェルファイア 2.5 V 純正ナビ　フルセグTV</t>
        </is>
      </c>
      <c r="L521" s="8" t="inlineStr">
        <is>
          <t>https://page.auctions.yahoo.co.jp/jp/auction/s1221276927</t>
        </is>
      </c>
    </row>
    <row r="522">
      <c r="A522" s="13" t="inlineStr">
        <is>
          <t>ヴェルファイア</t>
        </is>
      </c>
      <c r="B522" s="13" t="n">
        <v>2015</v>
      </c>
      <c r="C522" s="13" t="inlineStr">
        <is>
          <t>30系前期</t>
        </is>
      </c>
      <c r="D522" s="15" t="n">
        <v>861000</v>
      </c>
      <c r="E522" s="13" t="n">
        <v>45</v>
      </c>
      <c r="F522" s="15" t="n">
        <v>177500</v>
      </c>
      <c r="G522" s="13" t="inlineStr">
        <is>
          <t>REAL_MILEAGE</t>
        </is>
      </c>
      <c r="H522" s="13" t="n"/>
      <c r="I522" s="15" t="n">
        <v>18120</v>
      </c>
      <c r="J522" s="13" t="inlineStr">
        <is>
          <t>2026-08-05T21:37:35+09:00</t>
        </is>
      </c>
      <c r="K522" s="14" t="inlineStr">
        <is>
          <t>トヨタ ヴェルファイア 2.5Z AGH30W 自走可能・書類付き</t>
        </is>
      </c>
      <c r="L522" s="13" t="inlineStr">
        <is>
          <t>https://page.auctions.yahoo.co.jp/jp/auction/j1239249627</t>
        </is>
      </c>
    </row>
    <row r="523">
      <c r="A523" s="8" t="inlineStr">
        <is>
          <t>ヴェルファイア</t>
        </is>
      </c>
      <c r="B523" s="8" t="n">
        <v>2015</v>
      </c>
      <c r="C523" s="8" t="inlineStr">
        <is>
          <t>30系前期</t>
        </is>
      </c>
      <c r="D523" s="11" t="n">
        <v>1750000</v>
      </c>
      <c r="E523" s="8" t="n">
        <v>1</v>
      </c>
      <c r="F523" s="11" t="n">
        <v>203000</v>
      </c>
      <c r="G523" s="8" t="inlineStr">
        <is>
          <t>REAL_MILEAGE</t>
        </is>
      </c>
      <c r="H523" s="8" t="inlineStr">
        <is>
          <t>NONE</t>
        </is>
      </c>
      <c r="I523" s="11" t="n">
        <v>0</v>
      </c>
      <c r="J523" s="8" t="inlineStr">
        <is>
          <t>2026-08-05T07:05:09+09:00</t>
        </is>
      </c>
      <c r="K523" s="14" t="inlineStr">
        <is>
          <t>トヨタ ヴェルファイア ハイブリッド　ZR Gエディション　車検令和１０年５月まで</t>
        </is>
      </c>
      <c r="L523" s="8" t="inlineStr">
        <is>
          <t>https://page.auctions.yahoo.co.jp/jp/auction/m1235850404</t>
        </is>
      </c>
    </row>
    <row r="524">
      <c r="A524" s="13" t="inlineStr">
        <is>
          <t>ヴェルファイア</t>
        </is>
      </c>
      <c r="B524" s="13" t="n">
        <v>2015</v>
      </c>
      <c r="C524" s="13" t="inlineStr">
        <is>
          <t>30系前期</t>
        </is>
      </c>
      <c r="D524" s="15" t="n">
        <v>1480000</v>
      </c>
      <c r="E524" s="13" t="n">
        <v>1</v>
      </c>
      <c r="F524" s="15" t="n">
        <v>170838</v>
      </c>
      <c r="G524" s="13" t="inlineStr">
        <is>
          <t>REAL_MILEAGE</t>
        </is>
      </c>
      <c r="H524" s="13" t="inlineStr">
        <is>
          <t>NONE</t>
        </is>
      </c>
      <c r="I524" s="15" t="n">
        <v>0</v>
      </c>
      <c r="J524" s="13" t="inlineStr">
        <is>
          <t>2026-07-30T09:16:42+09:00</t>
        </is>
      </c>
      <c r="K524" s="14" t="inlineStr">
        <is>
          <t>人気の平成27年式、4WDヴェルファイア、7人乗りリクライニングシート！JBL、360度カメラ、後部座席モニター、車検付きで全部コミコミ料金！</t>
        </is>
      </c>
      <c r="L524" s="13" t="inlineStr">
        <is>
          <t>https://page.auctions.yahoo.co.jp/jp/auction/k1236201835</t>
        </is>
      </c>
    </row>
    <row r="525">
      <c r="A525" s="8" t="inlineStr">
        <is>
          <t>ヴェルファイア</t>
        </is>
      </c>
      <c r="B525" s="8" t="n">
        <v>2015</v>
      </c>
      <c r="C525" s="8" t="inlineStr">
        <is>
          <t>30系前期</t>
        </is>
      </c>
      <c r="D525" s="11" t="n">
        <v>1478000</v>
      </c>
      <c r="E525" s="8" t="n">
        <v>1</v>
      </c>
      <c r="F525" s="11" t="n">
        <v>150000</v>
      </c>
      <c r="G525" s="8" t="inlineStr">
        <is>
          <t>REAL_MILEAGE</t>
        </is>
      </c>
      <c r="H525" s="8" t="inlineStr">
        <is>
          <t>NONE</t>
        </is>
      </c>
      <c r="I525" s="11" t="n">
        <v>0</v>
      </c>
      <c r="J525" s="8" t="inlineStr">
        <is>
          <t>2026-07-30T08:02:26+09:00</t>
        </is>
      </c>
      <c r="K525" s="14" t="inlineStr">
        <is>
          <t>ヴェルファイア 3.5 ZA 4WD</t>
        </is>
      </c>
      <c r="L525" s="8" t="inlineStr">
        <is>
          <t>https://page.auctions.yahoo.co.jp/jp/auction/1231252393</t>
        </is>
      </c>
    </row>
    <row r="526">
      <c r="A526" s="13" t="inlineStr">
        <is>
          <t>ヴェルファイア</t>
        </is>
      </c>
      <c r="B526" s="13" t="n">
        <v>2015</v>
      </c>
      <c r="C526" s="13" t="inlineStr">
        <is>
          <t>30系前期</t>
        </is>
      </c>
      <c r="D526" s="15" t="n">
        <v>1248000</v>
      </c>
      <c r="E526" s="13" t="n">
        <v>2</v>
      </c>
      <c r="F526" s="15" t="n">
        <v>166225</v>
      </c>
      <c r="G526" s="13" t="inlineStr">
        <is>
          <t>REAL_MILEAGE</t>
        </is>
      </c>
      <c r="H526" s="13" t="inlineStr">
        <is>
          <t>NONE</t>
        </is>
      </c>
      <c r="I526" s="15" t="n">
        <v>16550</v>
      </c>
      <c r="J526" s="13" t="inlineStr">
        <is>
          <t>2026-07-24T22:02:47+09:00</t>
        </is>
      </c>
      <c r="K526" s="14" t="inlineStr">
        <is>
          <t>☆予備検付H27ヴェルファイアVモデリスタエアロアルパイン10インチナビフリップダウンTEIN車高調レーダークルコンシートヒータードラレコ☆</t>
        </is>
      </c>
      <c r="L526" s="13" t="inlineStr">
        <is>
          <t>https://page.auctions.yahoo.co.jp/jp/auction/d1236803528</t>
        </is>
      </c>
    </row>
    <row r="527">
      <c r="A527" s="8" t="inlineStr">
        <is>
          <t>ヴェルファイア</t>
        </is>
      </c>
      <c r="B527" s="8" t="n">
        <v>2015</v>
      </c>
      <c r="C527" s="8" t="inlineStr">
        <is>
          <t>30系前期</t>
        </is>
      </c>
      <c r="D527" s="11" t="n">
        <v>2580000</v>
      </c>
      <c r="E527" s="8" t="n">
        <v>1</v>
      </c>
      <c r="F527" s="11" t="n">
        <v>74000</v>
      </c>
      <c r="G527" s="8" t="inlineStr">
        <is>
          <t>REAL_MILEAGE</t>
        </is>
      </c>
      <c r="H527" s="8" t="inlineStr">
        <is>
          <t>NONE</t>
        </is>
      </c>
      <c r="I527" s="11" t="n">
        <v>0</v>
      </c>
      <c r="J527" s="8" t="inlineStr">
        <is>
          <t>2026-07-17T18:49:41+09:00</t>
        </is>
      </c>
      <c r="K527" s="14" t="inlineStr">
        <is>
          <t>ヴェルファイア 3.5 VL LM仕様 LM350仕様 LEDヘッドライト シーケ</t>
        </is>
      </c>
      <c r="L527" s="8" t="inlineStr">
        <is>
          <t>https://page.auctions.yahoo.co.jp/jp/auction/k1235537426</t>
        </is>
      </c>
    </row>
    <row r="528">
      <c r="A528" s="13" t="inlineStr">
        <is>
          <t>ヴェルファイア</t>
        </is>
      </c>
      <c r="B528" s="13" t="n">
        <v>2015</v>
      </c>
      <c r="C528" s="13" t="inlineStr">
        <is>
          <t>30系前期</t>
        </is>
      </c>
      <c r="D528" s="15" t="n">
        <v>953000</v>
      </c>
      <c r="E528" s="13" t="n">
        <v>109</v>
      </c>
      <c r="F528" s="15" t="n">
        <v>66000</v>
      </c>
      <c r="G528" s="13" t="inlineStr">
        <is>
          <t>REAL_MILEAGE</t>
        </is>
      </c>
      <c r="H528" s="13" t="inlineStr">
        <is>
          <t>NONE</t>
        </is>
      </c>
      <c r="I528" s="15" t="n">
        <v>92930</v>
      </c>
      <c r="J528" s="13" t="inlineStr">
        <is>
          <t>2026-07-05T21:41:32+09:00</t>
        </is>
      </c>
      <c r="K528" s="14" t="inlineStr">
        <is>
          <t>H27年2月＊トヨタヴェルファイア＊ゴールドアイスii＊車検10年4月＊66000km＊ANH20W＊カードお支払いok＊</t>
        </is>
      </c>
      <c r="L528" s="13" t="inlineStr">
        <is>
          <t>https://page.auctions.yahoo.co.jp/jp/auction/p1235113400</t>
        </is>
      </c>
    </row>
    <row r="529">
      <c r="A529" s="8" t="inlineStr">
        <is>
          <t>ヴェルファイア</t>
        </is>
      </c>
      <c r="B529" s="8" t="n">
        <v>2015</v>
      </c>
      <c r="C529" s="8" t="inlineStr">
        <is>
          <t>30系前期</t>
        </is>
      </c>
      <c r="D529" s="11" t="n">
        <v>1980000</v>
      </c>
      <c r="E529" s="8" t="n">
        <v>1</v>
      </c>
      <c r="F529" s="11" t="n">
        <v>80000</v>
      </c>
      <c r="G529" s="8" t="inlineStr">
        <is>
          <t>REAL_MILEAGE</t>
        </is>
      </c>
      <c r="H529" s="8" t="inlineStr">
        <is>
          <t>EXISTS</t>
        </is>
      </c>
      <c r="I529" s="11" t="n">
        <v>0</v>
      </c>
      <c r="J529" s="8" t="inlineStr">
        <is>
          <t>2026-06-30T08:53:47+09:00</t>
        </is>
      </c>
      <c r="K529" s="14" t="inlineStr">
        <is>
          <t>ヴェルファイア 3.5 エグゼクティブラウンジ 4WD ツインムーンルーフ　本革シート</t>
        </is>
      </c>
      <c r="L529" s="8" t="inlineStr">
        <is>
          <t>https://page.auctions.yahoo.co.jp/jp/auction/x1232665310</t>
        </is>
      </c>
    </row>
    <row r="530">
      <c r="A530" s="13" t="inlineStr">
        <is>
          <t>ヴェルファイア</t>
        </is>
      </c>
      <c r="B530" s="13" t="n">
        <v>2015</v>
      </c>
      <c r="C530" s="13" t="inlineStr">
        <is>
          <t>30系前期</t>
        </is>
      </c>
      <c r="D530" s="15" t="n">
        <v>1695000</v>
      </c>
      <c r="E530" s="13" t="n">
        <v>133</v>
      </c>
      <c r="F530" s="15" t="n">
        <v>115837</v>
      </c>
      <c r="G530" s="13" t="inlineStr">
        <is>
          <t>REAL_MILEAGE</t>
        </is>
      </c>
      <c r="H530" s="13" t="n"/>
      <c r="I530" s="15" t="n">
        <v>0</v>
      </c>
      <c r="J530" s="13" t="inlineStr">
        <is>
          <t>2026-04-26T22:55:55+09:00</t>
        </is>
      </c>
      <c r="K530" s="14" t="inlineStr">
        <is>
          <t>【売り切り】ヴェルファイア　平成２７年式　車検令和８年７月７日まで　走行116,000km</t>
        </is>
      </c>
      <c r="L530" s="13" t="inlineStr">
        <is>
          <t>https://page.auctions.yahoo.co.jp/jp/auction/v1226709158</t>
        </is>
      </c>
    </row>
    <row r="531">
      <c r="A531" s="8" t="inlineStr">
        <is>
          <t>ヴェルファイア</t>
        </is>
      </c>
      <c r="B531" s="8" t="n">
        <v>2014</v>
      </c>
      <c r="C531" s="8" t="inlineStr">
        <is>
          <t>20系</t>
        </is>
      </c>
      <c r="D531" s="11" t="n">
        <v>641000</v>
      </c>
      <c r="E531" s="8" t="n">
        <v>4</v>
      </c>
      <c r="F531" s="11" t="n">
        <v>159600</v>
      </c>
      <c r="G531" s="8" t="inlineStr">
        <is>
          <t>REAL_MILEAGE</t>
        </is>
      </c>
      <c r="H531" s="8" t="inlineStr">
        <is>
          <t>NONE</t>
        </is>
      </c>
      <c r="I531" s="11" t="n">
        <v>0</v>
      </c>
      <c r="J531" s="8" t="inlineStr">
        <is>
          <t>2026-06-13T20:43:12+09:00</t>
        </is>
      </c>
      <c r="K531" s="14" t="inlineStr">
        <is>
          <t>最終型 H26 ヴェルファイア ゴールデンアイズⅡ 車検長い　エアロ　車高調　20インチアルミ　ALPINEナビ&amp;リアモニター</t>
        </is>
      </c>
      <c r="L531" s="8" t="inlineStr">
        <is>
          <t>https://page.auctions.yahoo.co.jp/jp/auction/v1231773677</t>
        </is>
      </c>
    </row>
    <row r="532">
      <c r="A532" s="13" t="inlineStr">
        <is>
          <t>ヴェルファイア</t>
        </is>
      </c>
      <c r="B532" s="13" t="n">
        <v>2014</v>
      </c>
      <c r="C532" s="13" t="inlineStr">
        <is>
          <t>20系</t>
        </is>
      </c>
      <c r="D532" s="15" t="n">
        <v>420000</v>
      </c>
      <c r="E532" s="13" t="n">
        <v>1</v>
      </c>
      <c r="F532" s="15" t="n">
        <v>161000</v>
      </c>
      <c r="G532" s="13" t="inlineStr">
        <is>
          <t>REAL_MILEAGE</t>
        </is>
      </c>
      <c r="H532" s="13" t="inlineStr">
        <is>
          <t>EXISTS</t>
        </is>
      </c>
      <c r="I532" s="15" t="n">
        <v>0</v>
      </c>
      <c r="J532" s="13" t="inlineStr">
        <is>
          <t>2026-05-23T18:54:59+09:00</t>
        </is>
      </c>
      <c r="K532" s="14" t="inlineStr">
        <is>
          <t>返金保証付:平成26年 ヴェルファイア 2.4 Z ナビ&amp;TV&amp;ETC付き</t>
        </is>
      </c>
      <c r="L532" s="13" t="inlineStr">
        <is>
          <t>https://page.auctions.yahoo.co.jp/jp/auction/k1230933463</t>
        </is>
      </c>
    </row>
    <row r="533">
      <c r="A533" s="8" t="inlineStr">
        <is>
          <t>ヴェルファイア</t>
        </is>
      </c>
      <c r="B533" s="8" t="n">
        <v>2014</v>
      </c>
      <c r="C533" s="8" t="inlineStr">
        <is>
          <t>20系</t>
        </is>
      </c>
      <c r="D533" s="11" t="n">
        <v>778000</v>
      </c>
      <c r="E533" s="8" t="n">
        <v>1</v>
      </c>
      <c r="F533" s="11" t="n">
        <v>113050</v>
      </c>
      <c r="G533" s="8" t="inlineStr">
        <is>
          <t>REAL_MILEAGE</t>
        </is>
      </c>
      <c r="H533" s="8" t="inlineStr">
        <is>
          <t>EXISTS</t>
        </is>
      </c>
      <c r="I533" s="11" t="n">
        <v>0</v>
      </c>
      <c r="J533" s="8" t="inlineStr">
        <is>
          <t>2026-04-10T22:31:53+09:00</t>
        </is>
      </c>
      <c r="K533" s="14" t="inlineStr">
        <is>
          <t>ヴェルファイア 後期 3.5ZGエディション ナビ TV Bluetooth フリップモニタ Bカメラ 両側Pスラ Pバックドア サンルーフ スマキー クルコン</t>
        </is>
      </c>
      <c r="L533" s="8" t="inlineStr">
        <is>
          <t>https://page.auctions.yahoo.co.jp/jp/auction/n1225292668</t>
        </is>
      </c>
    </row>
    <row r="534">
      <c r="A534" s="13" t="inlineStr">
        <is>
          <t>ヴェルファイア</t>
        </is>
      </c>
      <c r="B534" s="13" t="n">
        <v>2014</v>
      </c>
      <c r="C534" s="13" t="inlineStr">
        <is>
          <t>20系</t>
        </is>
      </c>
      <c r="D534" s="15" t="n">
        <v>800000</v>
      </c>
      <c r="E534" s="13" t="n">
        <v>1</v>
      </c>
      <c r="F534" s="15" t="n">
        <v>73879</v>
      </c>
      <c r="G534" s="13" t="inlineStr">
        <is>
          <t>REAL_MILEAGE</t>
        </is>
      </c>
      <c r="H534" s="13" t="inlineStr">
        <is>
          <t>NONE</t>
        </is>
      </c>
      <c r="I534" s="15" t="n">
        <v>0</v>
      </c>
      <c r="J534" s="13" t="inlineStr">
        <is>
          <t>2026-02-26T21:19:16+09:00</t>
        </is>
      </c>
      <c r="K534" s="14" t="inlineStr">
        <is>
          <t>【諸費用コミ】:★広島発★広島市★中古車★ ヴェルファイア 2.4 Z ゴールデンアイズII 73879km電動バックドア</t>
        </is>
      </c>
      <c r="L534" s="13" t="inlineStr">
        <is>
          <t>https://page.auctions.yahoo.co.jp/jp/auction/h1219308325</t>
        </is>
      </c>
    </row>
    <row r="535">
      <c r="A535" s="8" t="inlineStr">
        <is>
          <t>ヴェルファイア</t>
        </is>
      </c>
      <c r="B535" s="8" t="n">
        <v>2013</v>
      </c>
      <c r="C535" s="8" t="inlineStr">
        <is>
          <t>20系</t>
        </is>
      </c>
      <c r="D535" s="11" t="n">
        <v>429000</v>
      </c>
      <c r="E535" s="8" t="n">
        <v>1</v>
      </c>
      <c r="F535" s="11" t="n">
        <v>191800</v>
      </c>
      <c r="G535" s="8" t="inlineStr">
        <is>
          <t>REAL_MILEAGE</t>
        </is>
      </c>
      <c r="H535" s="8" t="inlineStr">
        <is>
          <t>NONE</t>
        </is>
      </c>
      <c r="I535" s="11" t="n">
        <v>65820</v>
      </c>
      <c r="J535" s="8" t="inlineStr">
        <is>
          <t>2026-08-16T22:29:44+09:00</t>
        </is>
      </c>
      <c r="K535" s="14" t="inlineStr">
        <is>
          <t xml:space="preserve">車検8年12月 25年 ヴェルファイア 4WD 3.5Z ゴールデンアイズ Ⅱ V6 「Golden Eyes」のバージョンアップ　ワンオーナー（名義変更のみ） </t>
        </is>
      </c>
      <c r="L535" s="8" t="inlineStr">
        <is>
          <t>https://page.auctions.yahoo.co.jp/jp/auction/e1239180534</t>
        </is>
      </c>
    </row>
    <row r="536">
      <c r="A536" s="13" t="inlineStr">
        <is>
          <t>ヴェルファイア</t>
        </is>
      </c>
      <c r="B536" s="13" t="n">
        <v>2013</v>
      </c>
      <c r="C536" s="13" t="inlineStr">
        <is>
          <t>20系</t>
        </is>
      </c>
      <c r="D536" s="15" t="n">
        <v>452000</v>
      </c>
      <c r="E536" s="13" t="n">
        <v>109</v>
      </c>
      <c r="F536" s="15" t="n">
        <v>160368</v>
      </c>
      <c r="G536" s="13" t="inlineStr">
        <is>
          <t>REAL_MILEAGE</t>
        </is>
      </c>
      <c r="H536" s="13" t="inlineStr">
        <is>
          <t>NONE</t>
        </is>
      </c>
      <c r="I536" s="15" t="n">
        <v>16260</v>
      </c>
      <c r="J536" s="13" t="inlineStr">
        <is>
          <t>2026-07-26T20:38:01+09:00</t>
        </is>
      </c>
      <c r="K536" s="14" t="inlineStr">
        <is>
          <t>0015【1円売り切り】ヴェルファイア　2.4Z　ゴールデンアイズ　DBA-ANH20W</t>
        </is>
      </c>
      <c r="L536" s="13" t="inlineStr">
        <is>
          <t>https://page.auctions.yahoo.co.jp/jp/auction/j1237847142</t>
        </is>
      </c>
    </row>
    <row r="537">
      <c r="A537" s="8" t="inlineStr">
        <is>
          <t>ヴェルファイア</t>
        </is>
      </c>
      <c r="B537" s="8" t="n">
        <v>2013</v>
      </c>
      <c r="C537" s="8" t="inlineStr">
        <is>
          <t>20系</t>
        </is>
      </c>
      <c r="D537" s="11" t="n">
        <v>573000</v>
      </c>
      <c r="E537" s="8" t="n">
        <v>116</v>
      </c>
      <c r="F537" s="11" t="n">
        <v>105800</v>
      </c>
      <c r="G537" s="8" t="inlineStr">
        <is>
          <t>REAL_MILEAGE</t>
        </is>
      </c>
      <c r="H537" s="8" t="inlineStr">
        <is>
          <t>NONE</t>
        </is>
      </c>
      <c r="I537" s="11" t="n">
        <v>16260</v>
      </c>
      <c r="J537" s="8" t="inlineStr">
        <is>
          <t>2026-07-21T18:38:44+09:00</t>
        </is>
      </c>
      <c r="K537" s="14" t="inlineStr">
        <is>
          <t xml:space="preserve">[上級]ヴェルファイア 2.4Z Gエディション 後期型 H25年 高グレード 新車保証書パワーシートパワートランク大型コンソール 実走行10.5万km </t>
        </is>
      </c>
      <c r="L537" s="8" t="inlineStr">
        <is>
          <t>https://page.auctions.yahoo.co.jp/jp/auction/x1235896257</t>
        </is>
      </c>
    </row>
    <row r="538">
      <c r="A538" s="13" t="inlineStr">
        <is>
          <t>ヴェルファイア</t>
        </is>
      </c>
      <c r="B538" s="13" t="n">
        <v>2013</v>
      </c>
      <c r="C538" s="13" t="inlineStr">
        <is>
          <t>20系</t>
        </is>
      </c>
      <c r="D538" s="15" t="n">
        <v>430000</v>
      </c>
      <c r="E538" s="13" t="n">
        <v>48</v>
      </c>
      <c r="F538" s="15" t="n">
        <v>117300</v>
      </c>
      <c r="G538" s="13" t="inlineStr">
        <is>
          <t>REAL_MILEAGE</t>
        </is>
      </c>
      <c r="H538" s="13" t="inlineStr">
        <is>
          <t>NONE</t>
        </is>
      </c>
      <c r="I538" s="15" t="n">
        <v>16260</v>
      </c>
      <c r="J538" s="13" t="inlineStr">
        <is>
          <t>2026-07-18T21:25:03+09:00</t>
        </is>
      </c>
      <c r="K538" s="14" t="inlineStr">
        <is>
          <t>1000円スタート　売り切り　トヨタ　ヴェルファイア20系後期 年式25年　検10年3月 19インチホイール、フルエアロ</t>
        </is>
      </c>
      <c r="L538" s="13" t="inlineStr">
        <is>
          <t>https://page.auctions.yahoo.co.jp/jp/auction/e1231877749</t>
        </is>
      </c>
    </row>
    <row r="539">
      <c r="A539" s="8" t="inlineStr">
        <is>
          <t>ヴェルファイア</t>
        </is>
      </c>
      <c r="B539" s="8" t="n">
        <v>2013</v>
      </c>
      <c r="C539" s="8" t="inlineStr">
        <is>
          <t>20系</t>
        </is>
      </c>
      <c r="D539" s="11" t="n">
        <v>321000</v>
      </c>
      <c r="E539" s="8" t="n">
        <v>68</v>
      </c>
      <c r="F539" s="11" t="n">
        <v>193400</v>
      </c>
      <c r="G539" s="8" t="inlineStr">
        <is>
          <t>REAL_MILEAGE</t>
        </is>
      </c>
      <c r="H539" s="8" t="inlineStr">
        <is>
          <t>NONE</t>
        </is>
      </c>
      <c r="I539" s="11" t="n">
        <v>25150</v>
      </c>
      <c r="J539" s="8" t="inlineStr">
        <is>
          <t>2026-07-11T21:11:29+09:00</t>
        </is>
      </c>
      <c r="K539" s="14" t="inlineStr">
        <is>
          <t>トヨタ ヴェルファイア 2.4Z ANH20W 7人乗り 自走可 車検付き</t>
        </is>
      </c>
      <c r="L539" s="8" t="inlineStr">
        <is>
          <t>https://page.auctions.yahoo.co.jp/jp/auction/p1236219750</t>
        </is>
      </c>
    </row>
    <row r="540">
      <c r="A540" s="13" t="inlineStr">
        <is>
          <t>ヴェルファイア</t>
        </is>
      </c>
      <c r="B540" s="13" t="n">
        <v>2013</v>
      </c>
      <c r="C540" s="13" t="inlineStr">
        <is>
          <t>20系</t>
        </is>
      </c>
      <c r="D540" s="15" t="n">
        <v>460000</v>
      </c>
      <c r="E540" s="13" t="n">
        <v>118</v>
      </c>
      <c r="F540" s="15" t="n">
        <v>185773</v>
      </c>
      <c r="G540" s="13" t="inlineStr">
        <is>
          <t>REAL_MILEAGE</t>
        </is>
      </c>
      <c r="H540" s="13" t="n"/>
      <c r="I540" s="15" t="n">
        <v>5870</v>
      </c>
      <c r="J540" s="13" t="inlineStr">
        <is>
          <t>2026-07-03T20:02:50+09:00</t>
        </is>
      </c>
      <c r="K540" s="14" t="inlineStr">
        <is>
          <t>トヨタ　ヴェルファイア　キャンピングカー 2</t>
        </is>
      </c>
      <c r="L540" s="13" t="inlineStr">
        <is>
          <t>https://page.auctions.yahoo.co.jp/jp/auction/d1234267893</t>
        </is>
      </c>
    </row>
    <row r="541">
      <c r="A541" s="8" t="inlineStr">
        <is>
          <t>ヴェルファイア</t>
        </is>
      </c>
      <c r="B541" s="8" t="n">
        <v>2013</v>
      </c>
      <c r="C541" s="8" t="inlineStr">
        <is>
          <t>20系</t>
        </is>
      </c>
      <c r="D541" s="11" t="n">
        <v>798000</v>
      </c>
      <c r="E541" s="8" t="n">
        <v>1</v>
      </c>
      <c r="F541" s="11" t="n">
        <v>152400</v>
      </c>
      <c r="G541" s="8" t="inlineStr">
        <is>
          <t>REAL_MILEAGE</t>
        </is>
      </c>
      <c r="H541" s="8" t="inlineStr">
        <is>
          <t>NONE</t>
        </is>
      </c>
      <c r="I541" s="11" t="n">
        <v>0</v>
      </c>
      <c r="J541" s="8" t="inlineStr">
        <is>
          <t>2026-06-11T18:31:00+09:00</t>
        </is>
      </c>
      <c r="K541" s="14" t="inlineStr">
        <is>
          <t>ヴェルファイアハイブリッド*検10/5迄*4WD*HID*両パワスラ*フリップダウン*純正ナビ*Bカメラ*DTV*BTオーディオ*ETC*30用アルミ*310311</t>
        </is>
      </c>
      <c r="L541" s="8" t="inlineStr">
        <is>
          <t>https://page.auctions.yahoo.co.jp/jp/auction/h1223339638</t>
        </is>
      </c>
    </row>
    <row r="542">
      <c r="A542" s="13" t="inlineStr">
        <is>
          <t>ヴェルファイア</t>
        </is>
      </c>
      <c r="B542" s="13" t="n">
        <v>2013</v>
      </c>
      <c r="C542" s="13" t="inlineStr">
        <is>
          <t>20系</t>
        </is>
      </c>
      <c r="D542" s="15" t="n">
        <v>490000</v>
      </c>
      <c r="E542" s="13" t="n">
        <v>2</v>
      </c>
      <c r="F542" s="15" t="n">
        <v>154000</v>
      </c>
      <c r="G542" s="13" t="inlineStr">
        <is>
          <t>REAL_MILEAGE</t>
        </is>
      </c>
      <c r="H542" s="13" t="inlineStr">
        <is>
          <t>NONE</t>
        </is>
      </c>
      <c r="I542" s="15" t="n">
        <v>0</v>
      </c>
      <c r="J542" s="13" t="inlineStr">
        <is>
          <t>2026-06-05T17:36:35+09:00</t>
        </is>
      </c>
      <c r="K542" s="14" t="inlineStr">
        <is>
          <t>返金保証付:平成25年 ヴェルファイア 2.4 Z ゴールデンアイズ 4WD 8インチモニター</t>
        </is>
      </c>
      <c r="L542" s="13" t="inlineStr">
        <is>
          <t>https://page.auctions.yahoo.co.jp/jp/auction/q1231944584</t>
        </is>
      </c>
    </row>
    <row r="543">
      <c r="A543" s="8" t="inlineStr">
        <is>
          <t>ヴェルファイア</t>
        </is>
      </c>
      <c r="B543" s="8" t="n">
        <v>2013</v>
      </c>
      <c r="C543" s="8" t="inlineStr">
        <is>
          <t>20系</t>
        </is>
      </c>
      <c r="D543" s="11" t="n">
        <v>648000</v>
      </c>
      <c r="E543" s="8" t="n">
        <v>1</v>
      </c>
      <c r="F543" s="11" t="n">
        <v>146750</v>
      </c>
      <c r="G543" s="8" t="inlineStr">
        <is>
          <t>REAL_MILEAGE</t>
        </is>
      </c>
      <c r="H543" s="8" t="inlineStr">
        <is>
          <t>EXISTS</t>
        </is>
      </c>
      <c r="I543" s="11" t="n">
        <v>0</v>
      </c>
      <c r="J543" s="8" t="inlineStr">
        <is>
          <t>2026-05-27T22:40:05+09:00</t>
        </is>
      </c>
      <c r="K543" s="14" t="inlineStr">
        <is>
          <t>ヴェルファイア 後期 2.4Zゴールデンアイズ ナビ TV Bluetooth フリップモニタ バックカメラ 両側Pスラ Pバックドア スマキー クルコン ETC</t>
        </is>
      </c>
      <c r="L543" s="8" t="inlineStr">
        <is>
          <t>https://page.auctions.yahoo.co.jp/jp/auction/v1223690614</t>
        </is>
      </c>
    </row>
    <row r="544">
      <c r="A544" s="13" t="inlineStr">
        <is>
          <t>ヴェルファイア</t>
        </is>
      </c>
      <c r="B544" s="13" t="n">
        <v>2013</v>
      </c>
      <c r="C544" s="13" t="inlineStr">
        <is>
          <t>20系</t>
        </is>
      </c>
      <c r="D544" s="15" t="n">
        <v>562001</v>
      </c>
      <c r="E544" s="13" t="n">
        <v>64</v>
      </c>
      <c r="F544" s="15" t="n">
        <v>105000</v>
      </c>
      <c r="G544" s="13" t="inlineStr">
        <is>
          <t>REAL_MILEAGE</t>
        </is>
      </c>
      <c r="H544" s="13" t="inlineStr">
        <is>
          <t>NONE</t>
        </is>
      </c>
      <c r="I544" s="15" t="n">
        <v>0</v>
      </c>
      <c r="J544" s="13" t="inlineStr">
        <is>
          <t>2026-05-12T22:34:09+09:00</t>
        </is>
      </c>
      <c r="K544" s="14" t="inlineStr">
        <is>
          <t>機関快調/綺麗★車検R9年3月/105000km★ヴェルファイア2.4Z★19inアルミ/モデリスタFバンパー/エクリプスビッグナビ地デジ/リアモニター</t>
        </is>
      </c>
      <c r="L544" s="13" t="inlineStr">
        <is>
          <t>https://page.auctions.yahoo.co.jp/jp/auction/k1228978717</t>
        </is>
      </c>
    </row>
    <row r="545">
      <c r="A545" s="8" t="inlineStr">
        <is>
          <t>ヴェルファイア</t>
        </is>
      </c>
      <c r="B545" s="8" t="n">
        <v>2013</v>
      </c>
      <c r="C545" s="8" t="inlineStr">
        <is>
          <t>20系</t>
        </is>
      </c>
      <c r="D545" s="11" t="n">
        <v>556555</v>
      </c>
      <c r="E545" s="8" t="n">
        <v>2</v>
      </c>
      <c r="F545" s="11" t="n">
        <v>132700</v>
      </c>
      <c r="G545" s="8" t="inlineStr">
        <is>
          <t>REAL_MILEAGE</t>
        </is>
      </c>
      <c r="H545" s="8" t="inlineStr">
        <is>
          <t>NONE</t>
        </is>
      </c>
      <c r="I545" s="11" t="n">
        <v>0</v>
      </c>
      <c r="J545" s="8" t="inlineStr">
        <is>
          <t>2026-05-10T20:51:55+09:00</t>
        </is>
      </c>
      <c r="K545" s="14" t="inlineStr">
        <is>
          <t>【人気上級グレード】ヴェルファイア20 ゴールデンアイズ</t>
        </is>
      </c>
      <c r="L545" s="8" t="inlineStr">
        <is>
          <t>https://page.auctions.yahoo.co.jp/jp/auction/b1228787302</t>
        </is>
      </c>
    </row>
    <row r="546">
      <c r="A546" s="13" t="inlineStr">
        <is>
          <t>ヴェルファイア</t>
        </is>
      </c>
      <c r="B546" s="13" t="n">
        <v>2012</v>
      </c>
      <c r="C546" s="13" t="inlineStr">
        <is>
          <t>20系</t>
        </is>
      </c>
      <c r="D546" s="15" t="n">
        <v>500000</v>
      </c>
      <c r="E546" s="13" t="n">
        <v>1</v>
      </c>
      <c r="F546" s="15" t="n">
        <v>140400</v>
      </c>
      <c r="G546" s="13" t="inlineStr">
        <is>
          <t>REAL_MILEAGE</t>
        </is>
      </c>
      <c r="H546" s="13" t="n"/>
      <c r="I546" s="15" t="n">
        <v>0</v>
      </c>
      <c r="J546" s="13" t="inlineStr">
        <is>
          <t>2026-08-13T17:28:25+09:00</t>
        </is>
      </c>
      <c r="K546" s="14" t="inlineStr">
        <is>
          <t>トヨタ　ヴェルファイア20系　平成24年　１４０４００ｋｍ</t>
        </is>
      </c>
      <c r="L546" s="13" t="inlineStr">
        <is>
          <t>https://page.auctions.yahoo.co.jp/jp/auction/n1240303683</t>
        </is>
      </c>
    </row>
    <row r="547">
      <c r="A547" s="8" t="inlineStr">
        <is>
          <t>ヴェルファイア</t>
        </is>
      </c>
      <c r="B547" s="8" t="n">
        <v>2012</v>
      </c>
      <c r="C547" s="8" t="inlineStr">
        <is>
          <t>20系</t>
        </is>
      </c>
      <c r="D547" s="11" t="n">
        <v>457000</v>
      </c>
      <c r="E547" s="8" t="n">
        <v>1</v>
      </c>
      <c r="F547" s="11" t="n">
        <v>180200</v>
      </c>
      <c r="G547" s="8" t="inlineStr">
        <is>
          <t>REAL_MILEAGE</t>
        </is>
      </c>
      <c r="H547" s="8" t="inlineStr">
        <is>
          <t>NONE</t>
        </is>
      </c>
      <c r="I547" s="11" t="n">
        <v>70190</v>
      </c>
      <c r="J547" s="8" t="inlineStr">
        <is>
          <t>2026-07-24T13:25:20+09:00</t>
        </is>
      </c>
      <c r="K547" s="14" t="inlineStr">
        <is>
          <t>※九州・福岡発※ヴェルファイア*車検10年7月迄*Bluetoothオーディオ*クルーズコントロール*両側パワースライドドアPWバックドア*211206</t>
        </is>
      </c>
      <c r="L547" s="8" t="inlineStr">
        <is>
          <t>https://page.auctions.yahoo.co.jp/jp/auction/w1212502499</t>
        </is>
      </c>
    </row>
    <row r="548">
      <c r="A548" s="13" t="inlineStr">
        <is>
          <t>ヴェルファイア</t>
        </is>
      </c>
      <c r="B548" s="13" t="n">
        <v>2012</v>
      </c>
      <c r="C548" s="13" t="inlineStr">
        <is>
          <t>20系</t>
        </is>
      </c>
      <c r="D548" s="15" t="n">
        <v>624000</v>
      </c>
      <c r="E548" s="13" t="n">
        <v>240</v>
      </c>
      <c r="F548" s="15" t="n">
        <v>215849</v>
      </c>
      <c r="G548" s="13" t="inlineStr">
        <is>
          <t>REAL_MILEAGE</t>
        </is>
      </c>
      <c r="H548" s="13" t="inlineStr">
        <is>
          <t>NONE</t>
        </is>
      </c>
      <c r="I548" s="15" t="n">
        <v>62060</v>
      </c>
      <c r="J548" s="13" t="inlineStr">
        <is>
          <t>2026-07-14T20:39:05+09:00</t>
        </is>
      </c>
      <c r="K548" s="14" t="inlineStr">
        <is>
          <t>20ヴェルファイア ハイブリッド後期 ZR フリップダウン/両側パワスラ/カスタム多数</t>
        </is>
      </c>
      <c r="L548" s="13" t="inlineStr">
        <is>
          <t>https://page.auctions.yahoo.co.jp/jp/auction/s1228259564</t>
        </is>
      </c>
    </row>
    <row r="549">
      <c r="A549" s="8" t="inlineStr">
        <is>
          <t>ヴェルファイア</t>
        </is>
      </c>
      <c r="B549" s="8" t="n">
        <v>2012</v>
      </c>
      <c r="C549" s="8" t="inlineStr">
        <is>
          <t>20系</t>
        </is>
      </c>
      <c r="D549" s="11" t="n">
        <v>398000</v>
      </c>
      <c r="E549" s="8" t="n">
        <v>7</v>
      </c>
      <c r="F549" s="11" t="n">
        <v>180000</v>
      </c>
      <c r="G549" s="8" t="inlineStr">
        <is>
          <t>REAL_MILEAGE</t>
        </is>
      </c>
      <c r="H549" s="8" t="inlineStr">
        <is>
          <t>NONE</t>
        </is>
      </c>
      <c r="I549" s="11" t="n">
        <v>0</v>
      </c>
      <c r="J549" s="8" t="inlineStr">
        <is>
          <t>2026-07-12T16:25:36+09:00</t>
        </is>
      </c>
      <c r="K549" s="14" t="inlineStr">
        <is>
          <t>★★H24 トヨタ■ヴェルファイアANH20W■ナビ■バックモニター■後席フリップダウンモニター■走行180,000km■車検R9年6月28日まで★★</t>
        </is>
      </c>
      <c r="L549" s="8" t="inlineStr">
        <is>
          <t>https://page.auctions.yahoo.co.jp/jp/auction/n1235279264</t>
        </is>
      </c>
    </row>
    <row r="550">
      <c r="A550" s="13" t="inlineStr">
        <is>
          <t>ヴェルファイア</t>
        </is>
      </c>
      <c r="B550" s="13" t="n">
        <v>2012</v>
      </c>
      <c r="C550" s="13" t="inlineStr">
        <is>
          <t>20系</t>
        </is>
      </c>
      <c r="D550" s="15" t="n">
        <v>628000</v>
      </c>
      <c r="E550" s="13" t="n">
        <v>1</v>
      </c>
      <c r="F550" s="15" t="n">
        <v>139550</v>
      </c>
      <c r="G550" s="13" t="inlineStr">
        <is>
          <t>REAL_MILEAGE</t>
        </is>
      </c>
      <c r="H550" s="13" t="inlineStr">
        <is>
          <t>NONE</t>
        </is>
      </c>
      <c r="I550" s="15" t="n">
        <v>58930</v>
      </c>
      <c r="J550" s="13" t="inlineStr">
        <is>
          <t>2026-07-11T11:42:26+09:00</t>
        </is>
      </c>
      <c r="K550" s="14" t="inlineStr">
        <is>
          <t>ヴェルファイア 後期 2.4ZGエディション ナビ TV Bluetooth 後席モニター バックカメラ 両側Pスラ Pバックドア スマキー クルコン HID ETC</t>
        </is>
      </c>
      <c r="L550" s="13" t="inlineStr">
        <is>
          <t>https://page.auctions.yahoo.co.jp/jp/auction/v1235867332</t>
        </is>
      </c>
    </row>
    <row r="551">
      <c r="A551" s="8" t="inlineStr">
        <is>
          <t>ヴェルファイア</t>
        </is>
      </c>
      <c r="B551" s="8" t="n">
        <v>2012</v>
      </c>
      <c r="C551" s="8" t="inlineStr">
        <is>
          <t>20系</t>
        </is>
      </c>
      <c r="D551" s="11" t="n">
        <v>800000</v>
      </c>
      <c r="E551" s="8" t="n">
        <v>1</v>
      </c>
      <c r="F551" s="11" t="n">
        <v>183000</v>
      </c>
      <c r="G551" s="8" t="inlineStr">
        <is>
          <t>REAL_MILEAGE</t>
        </is>
      </c>
      <c r="H551" s="8" t="inlineStr">
        <is>
          <t>NONE</t>
        </is>
      </c>
      <c r="I551" s="11" t="n">
        <v>0</v>
      </c>
      <c r="J551" s="8" t="inlineStr">
        <is>
          <t>2026-07-09T11:10:31+09:00</t>
        </is>
      </c>
      <c r="K551" s="14" t="inlineStr">
        <is>
          <t>ヴェルファイア ハイブリッドZR Gエディション</t>
        </is>
      </c>
      <c r="L551" s="8" t="inlineStr">
        <is>
          <t>https://page.auctions.yahoo.co.jp/jp/auction/p1234830330</t>
        </is>
      </c>
    </row>
    <row r="552">
      <c r="A552" s="13" t="inlineStr">
        <is>
          <t>ヴェルファイア</t>
        </is>
      </c>
      <c r="B552" s="13" t="n">
        <v>2012</v>
      </c>
      <c r="C552" s="13" t="inlineStr">
        <is>
          <t>20系</t>
        </is>
      </c>
      <c r="D552" s="15" t="n">
        <v>500000</v>
      </c>
      <c r="E552" s="13" t="n">
        <v>86</v>
      </c>
      <c r="F552" s="15" t="n">
        <v>114000</v>
      </c>
      <c r="G552" s="13" t="inlineStr">
        <is>
          <t>REAL_MILEAGE</t>
        </is>
      </c>
      <c r="H552" s="13" t="inlineStr">
        <is>
          <t>NONE</t>
        </is>
      </c>
      <c r="I552" s="15" t="n">
        <v>0</v>
      </c>
      <c r="J552" s="13" t="inlineStr">
        <is>
          <t>2026-07-08T22:23:36+09:00</t>
        </is>
      </c>
      <c r="K552" s="14" t="inlineStr">
        <is>
          <t>平成24年 トヨタ ヴェルファイア20 後期 グレード2.4Z 2400cc 純正ナビ,バックカメラ</t>
        </is>
      </c>
      <c r="L552" s="13" t="inlineStr">
        <is>
          <t>https://page.auctions.yahoo.co.jp/jp/auction/c1235924097</t>
        </is>
      </c>
    </row>
    <row r="553">
      <c r="A553" s="8" t="inlineStr">
        <is>
          <t>ヴェルファイア</t>
        </is>
      </c>
      <c r="B553" s="8" t="n">
        <v>2012</v>
      </c>
      <c r="C553" s="8" t="inlineStr">
        <is>
          <t>20系</t>
        </is>
      </c>
      <c r="D553" s="11" t="n">
        <v>302000</v>
      </c>
      <c r="E553" s="8" t="n">
        <v>29</v>
      </c>
      <c r="F553" s="11" t="n">
        <v>99800</v>
      </c>
      <c r="G553" s="8" t="inlineStr">
        <is>
          <t>REAL_MILEAGE</t>
        </is>
      </c>
      <c r="H553" s="8" t="inlineStr">
        <is>
          <t>EXISTS</t>
        </is>
      </c>
      <c r="I553" s="11" t="n">
        <v>0</v>
      </c>
      <c r="J553" s="8" t="inlineStr">
        <is>
          <t>2026-06-14T20:39:41+09:00</t>
        </is>
      </c>
      <c r="K553" s="14" t="inlineStr">
        <is>
          <t>20ヴェルファイア 後期　車検受け渡し可能　7人乗り　両側パワスラ　バックカメラ　フリップダウン　ナビ下取り35000補償　即決交渉有</t>
        </is>
      </c>
      <c r="L553" s="8" t="inlineStr">
        <is>
          <t>https://page.auctions.yahoo.co.jp/jp/auction/c1232221801</t>
        </is>
      </c>
    </row>
    <row r="554">
      <c r="A554" s="13" t="inlineStr">
        <is>
          <t>ヴェルファイア</t>
        </is>
      </c>
      <c r="B554" s="13" t="n">
        <v>2012</v>
      </c>
      <c r="C554" s="13" t="inlineStr">
        <is>
          <t>20系</t>
        </is>
      </c>
      <c r="D554" s="15" t="n">
        <v>678000</v>
      </c>
      <c r="E554" s="13" t="n">
        <v>1</v>
      </c>
      <c r="F554" s="15" t="n">
        <v>120480</v>
      </c>
      <c r="G554" s="13" t="inlineStr">
        <is>
          <t>REAL_MILEAGE</t>
        </is>
      </c>
      <c r="H554" s="13" t="inlineStr">
        <is>
          <t>NONE</t>
        </is>
      </c>
      <c r="I554" s="15" t="n">
        <v>0</v>
      </c>
      <c r="J554" s="13" t="inlineStr">
        <is>
          <t>2026-06-05T22:50:33+09:00</t>
        </is>
      </c>
      <c r="K554" s="14" t="inlineStr">
        <is>
          <t>ヴェルファイア 後期 2.4ZGエディション ナビ TV Bluetooth バックモニター 両側Pスラ Pバックドア スマキー サンルーフ クルコン HID ETC</t>
        </is>
      </c>
      <c r="L554" s="13" t="inlineStr">
        <is>
          <t>https://page.auctions.yahoo.co.jp/jp/auction/g1231682894</t>
        </is>
      </c>
    </row>
    <row r="555">
      <c r="A555" s="8" t="inlineStr">
        <is>
          <t>ヴェルファイア</t>
        </is>
      </c>
      <c r="B555" s="8" t="n">
        <v>2012</v>
      </c>
      <c r="C555" s="8" t="inlineStr">
        <is>
          <t>20系</t>
        </is>
      </c>
      <c r="D555" s="11" t="n">
        <v>701001</v>
      </c>
      <c r="E555" s="8" t="n">
        <v>11</v>
      </c>
      <c r="F555" s="11" t="n">
        <v>146000</v>
      </c>
      <c r="G555" s="8" t="inlineStr">
        <is>
          <t>REAL_MILEAGE</t>
        </is>
      </c>
      <c r="H555" s="8" t="inlineStr">
        <is>
          <t>NONE</t>
        </is>
      </c>
      <c r="I555" s="11" t="n">
        <v>0</v>
      </c>
      <c r="J555" s="8" t="inlineStr">
        <is>
          <t>2026-05-20T20:43:27+09:00</t>
        </is>
      </c>
      <c r="K555" s="14" t="inlineStr">
        <is>
          <t>個人出品　トヨタ　20系ヴェルファイアハイブリッドX　走行距離１４６０００㎞</t>
        </is>
      </c>
      <c r="L555" s="8" t="inlineStr">
        <is>
          <t>https://page.auctions.yahoo.co.jp/jp/auction/q1229423549</t>
        </is>
      </c>
    </row>
    <row r="556">
      <c r="A556" s="13" t="inlineStr">
        <is>
          <t>ヴェルファイア</t>
        </is>
      </c>
      <c r="B556" s="13" t="n">
        <v>2012</v>
      </c>
      <c r="C556" s="13" t="inlineStr">
        <is>
          <t>20系</t>
        </is>
      </c>
      <c r="D556" s="15" t="n">
        <v>181000</v>
      </c>
      <c r="E556" s="13" t="n">
        <v>2</v>
      </c>
      <c r="F556" s="15" t="n">
        <v>169464</v>
      </c>
      <c r="G556" s="13" t="inlineStr">
        <is>
          <t>REAL_MILEAGE</t>
        </is>
      </c>
      <c r="H556" s="13" t="n"/>
      <c r="I556" s="15" t="n">
        <v>0</v>
      </c>
      <c r="J556" s="13" t="inlineStr">
        <is>
          <t>2026-04-20T19:48:10+09:00</t>
        </is>
      </c>
      <c r="K556" s="14" t="inlineStr">
        <is>
          <t>岩手発!! H24 トヨタ ヴェルファイア 2.4Z ANH20W 2WD AT 走行16.9万km 抹消渡し 売切!!</t>
        </is>
      </c>
      <c r="L556" s="13" t="inlineStr">
        <is>
          <t>https://page.auctions.yahoo.co.jp/jp/auction/n1226897574</t>
        </is>
      </c>
    </row>
    <row r="557">
      <c r="A557" s="8" t="inlineStr">
        <is>
          <t>ヴェルファイア</t>
        </is>
      </c>
      <c r="B557" s="8" t="n">
        <v>2012</v>
      </c>
      <c r="C557" s="8" t="inlineStr">
        <is>
          <t>20系</t>
        </is>
      </c>
      <c r="D557" s="11" t="n">
        <v>648000</v>
      </c>
      <c r="E557" s="8" t="n">
        <v>2</v>
      </c>
      <c r="F557" s="11" t="n">
        <v>138380</v>
      </c>
      <c r="G557" s="8" t="inlineStr">
        <is>
          <t>REAL_MILEAGE</t>
        </is>
      </c>
      <c r="H557" s="8" t="inlineStr">
        <is>
          <t>NONE</t>
        </is>
      </c>
      <c r="I557" s="11" t="n">
        <v>0</v>
      </c>
      <c r="J557" s="8" t="inlineStr">
        <is>
          <t>2026-04-17T07:36:10+09:00</t>
        </is>
      </c>
      <c r="K557" s="14" t="inlineStr">
        <is>
          <t>車検9年11月 ヴェルファイア 後期 2.4ZGエディション ナビ TV Bluetooth バックモニター 両側Pスラ Pバックドア スマキー クルコン HID ETC</t>
        </is>
      </c>
      <c r="L557" s="8" t="inlineStr">
        <is>
          <t>https://page.auctions.yahoo.co.jp/jp/auction/n1226185686</t>
        </is>
      </c>
    </row>
    <row r="558">
      <c r="A558" s="13" t="inlineStr">
        <is>
          <t>ヴェルファイア</t>
        </is>
      </c>
      <c r="B558" s="13" t="n">
        <v>2012</v>
      </c>
      <c r="C558" s="13" t="inlineStr">
        <is>
          <t>20系</t>
        </is>
      </c>
      <c r="D558" s="15" t="n">
        <v>798000</v>
      </c>
      <c r="E558" s="13" t="n">
        <v>1</v>
      </c>
      <c r="F558" s="15" t="n">
        <v>188200</v>
      </c>
      <c r="G558" s="13" t="inlineStr">
        <is>
          <t>REAL_MILEAGE</t>
        </is>
      </c>
      <c r="H558" s="13" t="inlineStr">
        <is>
          <t>NONE</t>
        </is>
      </c>
      <c r="I558" s="15" t="n">
        <v>0</v>
      </c>
      <c r="J558" s="13" t="inlineStr">
        <is>
          <t>2026-04-15T17:43:35+09:00</t>
        </is>
      </c>
      <c r="K558" s="14" t="inlineStr">
        <is>
          <t>ヴェルファイアハイブリッド*検10/4迄*福祉車両*サイドリフトアップシート*4WD*HID*フリップダウン*純正ナビ*純正AW*ローダウン*310311S2</t>
        </is>
      </c>
      <c r="L558" s="13" t="inlineStr">
        <is>
          <t>https://page.auctions.yahoo.co.jp/jp/auction/e1222923689</t>
        </is>
      </c>
    </row>
    <row r="559">
      <c r="A559" s="8" t="inlineStr">
        <is>
          <t>ヴェルファイア</t>
        </is>
      </c>
      <c r="B559" s="8" t="n">
        <v>2012</v>
      </c>
      <c r="C559" s="8" t="inlineStr">
        <is>
          <t>20系</t>
        </is>
      </c>
      <c r="D559" s="11" t="n">
        <v>630000</v>
      </c>
      <c r="E559" s="8" t="n">
        <v>1</v>
      </c>
      <c r="F559" s="11" t="n">
        <v>155000</v>
      </c>
      <c r="G559" s="8" t="inlineStr">
        <is>
          <t>REAL_MILEAGE</t>
        </is>
      </c>
      <c r="H559" s="8" t="inlineStr">
        <is>
          <t>NONE</t>
        </is>
      </c>
      <c r="I559" s="11" t="n">
        <v>0</v>
      </c>
      <c r="J559" s="8" t="inlineStr">
        <is>
          <t>2026-04-13T22:47:57+09:00</t>
        </is>
      </c>
      <c r="K559" s="14" t="inlineStr">
        <is>
          <t>ヴェルファイア　年式　H24 距離　１５５０００キロ</t>
        </is>
      </c>
      <c r="L559" s="8" t="inlineStr">
        <is>
          <t>https://page.auctions.yahoo.co.jp/jp/auction/v1222945302</t>
        </is>
      </c>
    </row>
    <row r="560">
      <c r="A560" s="13" t="inlineStr">
        <is>
          <t>ヴェルファイア</t>
        </is>
      </c>
      <c r="B560" s="13" t="n">
        <v>2012</v>
      </c>
      <c r="C560" s="13" t="inlineStr">
        <is>
          <t>20系</t>
        </is>
      </c>
      <c r="D560" s="15" t="n">
        <v>321000</v>
      </c>
      <c r="E560" s="13" t="n">
        <v>22</v>
      </c>
      <c r="F560" s="15" t="n">
        <v>186880</v>
      </c>
      <c r="G560" s="13" t="inlineStr">
        <is>
          <t>REAL_MILEAGE</t>
        </is>
      </c>
      <c r="H560" s="13" t="n"/>
      <c r="I560" s="15" t="n">
        <v>0</v>
      </c>
      <c r="J560" s="13" t="inlineStr">
        <is>
          <t>2026-04-07T21:54:13+09:00</t>
        </is>
      </c>
      <c r="K560" s="14" t="inlineStr">
        <is>
          <t>ヴェルファイアANH20W シフト(CVT)オートマー 2.4Z アルパインナビTV,フリップダウンモニター,両側パワースライドドア右/車検9年8月3日まで</t>
        </is>
      </c>
      <c r="L560" s="13" t="inlineStr">
        <is>
          <t>https://page.auctions.yahoo.co.jp/jp/auction/o1224883646</t>
        </is>
      </c>
    </row>
    <row r="561">
      <c r="A561" s="8" t="inlineStr">
        <is>
          <t>ヴェルファイア</t>
        </is>
      </c>
      <c r="B561" s="8" t="n">
        <v>2012</v>
      </c>
      <c r="C561" s="8" t="inlineStr">
        <is>
          <t>20系</t>
        </is>
      </c>
      <c r="D561" s="11" t="n">
        <v>750000</v>
      </c>
      <c r="E561" s="8" t="n">
        <v>1</v>
      </c>
      <c r="F561" s="11" t="n">
        <v>166000</v>
      </c>
      <c r="G561" s="8" t="inlineStr">
        <is>
          <t>REAL_MILEAGE</t>
        </is>
      </c>
      <c r="H561" s="8" t="inlineStr">
        <is>
          <t>NONE</t>
        </is>
      </c>
      <c r="I561" s="11" t="n">
        <v>0</v>
      </c>
      <c r="J561" s="8" t="inlineStr">
        <is>
          <t>2026-03-29T21:59:14+09:00</t>
        </is>
      </c>
      <c r="K561" s="14" t="inlineStr">
        <is>
          <t>ヴェルファイア 2.4 Z Gエディション 4WD メーカーナビ　バックカメラ</t>
        </is>
      </c>
      <c r="L561" s="8" t="inlineStr">
        <is>
          <t>https://page.auctions.yahoo.co.jp/jp/auction/p1222196189</t>
        </is>
      </c>
    </row>
    <row r="562">
      <c r="A562" s="13" t="inlineStr">
        <is>
          <t>ヴェルファイア</t>
        </is>
      </c>
      <c r="B562" s="13" t="n">
        <v>2012</v>
      </c>
      <c r="C562" s="13" t="inlineStr">
        <is>
          <t>20系</t>
        </is>
      </c>
      <c r="D562" s="15" t="n">
        <v>602000</v>
      </c>
      <c r="E562" s="13" t="n">
        <v>138</v>
      </c>
      <c r="F562" s="15" t="n">
        <v>163000</v>
      </c>
      <c r="G562" s="13" t="inlineStr">
        <is>
          <t>REAL_MILEAGE</t>
        </is>
      </c>
      <c r="H562" s="13" t="inlineStr">
        <is>
          <t>NONE</t>
        </is>
      </c>
      <c r="I562" s="15" t="n">
        <v>0</v>
      </c>
      <c r="J562" s="13" t="inlineStr">
        <is>
          <t>2026-03-04T21:15:13+09:00</t>
        </is>
      </c>
      <c r="K562" s="14" t="inlineStr">
        <is>
          <t>電装カスタム多数！H24ヴェルファイア240Z・ゴールデンアイズ・車検長い！R9.12月迄・修復無し・禁煙車・16.3万km・大垣市から</t>
        </is>
      </c>
      <c r="L562" s="13" t="inlineStr">
        <is>
          <t>https://page.auctions.yahoo.co.jp/jp/auction/1217120660</t>
        </is>
      </c>
    </row>
    <row r="563">
      <c r="A563" s="8" t="inlineStr">
        <is>
          <t>ヴェルファイア</t>
        </is>
      </c>
      <c r="B563" s="8" t="n">
        <v>2012</v>
      </c>
      <c r="C563" s="8" t="inlineStr">
        <is>
          <t>20系</t>
        </is>
      </c>
      <c r="D563" s="11" t="n">
        <v>309000</v>
      </c>
      <c r="E563" s="8" t="n">
        <v>70</v>
      </c>
      <c r="F563" s="11" t="n">
        <v>246000</v>
      </c>
      <c r="G563" s="8" t="inlineStr">
        <is>
          <t>REAL_MILEAGE</t>
        </is>
      </c>
      <c r="H563" s="8" t="inlineStr">
        <is>
          <t>NONE</t>
        </is>
      </c>
      <c r="I563" s="11" t="n">
        <v>0</v>
      </c>
      <c r="J563" s="8" t="inlineStr">
        <is>
          <t>2026-02-26T21:13:15+09:00</t>
        </is>
      </c>
      <c r="K563" s="14" t="inlineStr">
        <is>
          <t>ヴェルファイア H24年 検付 低燃費2.4G-Z エディション 純正オプションナビ バックモニター 両側パワースライドドア 希少4WD 整備済 法人車</t>
        </is>
      </c>
      <c r="L563" s="8" t="inlineStr">
        <is>
          <t>https://page.auctions.yahoo.co.jp/jp/auction/s1220422502</t>
        </is>
      </c>
    </row>
    <row r="564">
      <c r="A564" s="13" t="inlineStr">
        <is>
          <t>ヴェルファイア</t>
        </is>
      </c>
      <c r="B564" s="13" t="n">
        <v>2011</v>
      </c>
      <c r="C564" s="13" t="inlineStr">
        <is>
          <t>20系</t>
        </is>
      </c>
      <c r="D564" s="15" t="n">
        <v>448000</v>
      </c>
      <c r="E564" s="13" t="n">
        <v>1</v>
      </c>
      <c r="F564" s="15" t="n">
        <v>181000</v>
      </c>
      <c r="G564" s="13" t="inlineStr">
        <is>
          <t>REAL_MILEAGE</t>
        </is>
      </c>
      <c r="H564" s="13" t="inlineStr">
        <is>
          <t>NONE</t>
        </is>
      </c>
      <c r="I564" s="15" t="n">
        <v>57060</v>
      </c>
      <c r="J564" s="13" t="inlineStr">
        <is>
          <t>2026-08-21T19:05:54+09:00</t>
        </is>
      </c>
      <c r="K564" s="14" t="inlineStr">
        <is>
          <t>２３年式 ヴェルファイア 2.4Z GED車検８年１２月２１日まで！極上車両！</t>
        </is>
      </c>
      <c r="L564" s="13" t="inlineStr">
        <is>
          <t>https://page.auctions.yahoo.co.jp/jp/auction/u1240374388</t>
        </is>
      </c>
    </row>
    <row r="565">
      <c r="A565" s="8" t="inlineStr">
        <is>
          <t>ヴェルファイア</t>
        </is>
      </c>
      <c r="B565" s="8" t="n">
        <v>2011</v>
      </c>
      <c r="C565" s="8" t="inlineStr">
        <is>
          <t>20系</t>
        </is>
      </c>
      <c r="D565" s="11" t="n">
        <v>475000</v>
      </c>
      <c r="E565" s="8" t="n">
        <v>1</v>
      </c>
      <c r="F565" s="11" t="n">
        <v>141900</v>
      </c>
      <c r="G565" s="8" t="inlineStr">
        <is>
          <t>REAL_MILEAGE</t>
        </is>
      </c>
      <c r="H565" s="8" t="inlineStr">
        <is>
          <t>EXISTS</t>
        </is>
      </c>
      <c r="I565" s="11" t="n">
        <v>70590</v>
      </c>
      <c r="J565" s="8" t="inlineStr">
        <is>
          <t>2026-07-10T14:49:49+09:00</t>
        </is>
      </c>
      <c r="K565" s="14" t="inlineStr">
        <is>
          <t>ヴェルファイア*検長*社外20インチAW/マフラー*ローダウン*HID*両パワスラ*PWバックドア*フリップダウン*アルパイン8インチナビ*310527</t>
        </is>
      </c>
      <c r="L565" s="8" t="inlineStr">
        <is>
          <t>https://page.auctions.yahoo.co.jp/jp/auction/p1232195957</t>
        </is>
      </c>
    </row>
    <row r="566">
      <c r="A566" s="13" t="inlineStr">
        <is>
          <t>ヴェルファイア</t>
        </is>
      </c>
      <c r="B566" s="13" t="n">
        <v>2011</v>
      </c>
      <c r="C566" s="13" t="inlineStr">
        <is>
          <t>20系</t>
        </is>
      </c>
      <c r="D566" s="15" t="n">
        <v>500000</v>
      </c>
      <c r="E566" s="13" t="n">
        <v>1</v>
      </c>
      <c r="F566" s="15" t="n">
        <v>129000</v>
      </c>
      <c r="G566" s="13" t="inlineStr">
        <is>
          <t>REAL_MILEAGE</t>
        </is>
      </c>
      <c r="H566" s="13" t="inlineStr">
        <is>
          <t>NONE</t>
        </is>
      </c>
      <c r="I566" s="15" t="n">
        <v>0</v>
      </c>
      <c r="J566" s="13" t="inlineStr">
        <is>
          <t>2026-05-27T23:56:14+09:00</t>
        </is>
      </c>
      <c r="K566" s="14" t="inlineStr">
        <is>
          <t>車検R9年5月まて！Toyotaヴェルファイア</t>
        </is>
      </c>
      <c r="L566" s="13" t="inlineStr">
        <is>
          <t>https://page.auctions.yahoo.co.jp/jp/auction/t1231173422</t>
        </is>
      </c>
    </row>
    <row r="567">
      <c r="A567" s="8" t="inlineStr">
        <is>
          <t>ヴェルファイア</t>
        </is>
      </c>
      <c r="B567" s="8" t="n">
        <v>2011</v>
      </c>
      <c r="C567" s="8" t="inlineStr">
        <is>
          <t>20系</t>
        </is>
      </c>
      <c r="D567" s="11" t="n">
        <v>698000</v>
      </c>
      <c r="E567" s="8" t="n">
        <v>1</v>
      </c>
      <c r="F567" s="11" t="n">
        <v>166000</v>
      </c>
      <c r="G567" s="8" t="inlineStr">
        <is>
          <t>REAL_MILEAGE</t>
        </is>
      </c>
      <c r="H567" s="8" t="inlineStr">
        <is>
          <t>NONE</t>
        </is>
      </c>
      <c r="I567" s="11" t="n">
        <v>0</v>
      </c>
      <c r="J567" s="8" t="inlineStr">
        <is>
          <t>2026-05-26T16:24:28+09:00</t>
        </is>
      </c>
      <c r="K567" s="14" t="inlineStr">
        <is>
          <t>トヨタ　ヴェルファイア　Z_Gエディション　希少サンルーフ　プレミアムサウンド　白　ディーラー整備　車検あり　2400cc　20後期</t>
        </is>
      </c>
      <c r="L567" s="8" t="inlineStr">
        <is>
          <t>https://page.auctions.yahoo.co.jp/jp/auction/m1230441521</t>
        </is>
      </c>
    </row>
    <row r="568">
      <c r="A568" s="13" t="inlineStr">
        <is>
          <t>ヴェルファイア</t>
        </is>
      </c>
      <c r="B568" s="13" t="n">
        <v>2011</v>
      </c>
      <c r="C568" s="13" t="inlineStr">
        <is>
          <t>20系</t>
        </is>
      </c>
      <c r="D568" s="15" t="n">
        <v>402000</v>
      </c>
      <c r="E568" s="13" t="n">
        <v>126</v>
      </c>
      <c r="F568" s="15" t="n">
        <v>170000</v>
      </c>
      <c r="G568" s="13" t="inlineStr">
        <is>
          <t>REAL_MILEAGE</t>
        </is>
      </c>
      <c r="H568" s="13" t="inlineStr">
        <is>
          <t>NONE</t>
        </is>
      </c>
      <c r="I568" s="15" t="n">
        <v>0</v>
      </c>
      <c r="J568" s="13" t="inlineStr">
        <is>
          <t>2026-05-04T20:53:38+09:00</t>
        </is>
      </c>
      <c r="K568" s="14" t="inlineStr">
        <is>
          <t>ヴェルファイア】H23★車検2年付★埼玉発★装備充実／走行中TV／大画面モニター／美車！</t>
        </is>
      </c>
      <c r="L568" s="13" t="inlineStr">
        <is>
          <t>https://page.auctions.yahoo.co.jp/jp/auction/c1228021376</t>
        </is>
      </c>
    </row>
    <row r="569">
      <c r="A569" s="8" t="inlineStr">
        <is>
          <t>ヴェルファイア</t>
        </is>
      </c>
      <c r="B569" s="8" t="n">
        <v>2011</v>
      </c>
      <c r="C569" s="8" t="inlineStr">
        <is>
          <t>20系</t>
        </is>
      </c>
      <c r="D569" s="11" t="n">
        <v>304000</v>
      </c>
      <c r="E569" s="8" t="n">
        <v>5</v>
      </c>
      <c r="F569" s="11" t="n">
        <v>117000</v>
      </c>
      <c r="G569" s="8" t="inlineStr">
        <is>
          <t>REAL_MILEAGE</t>
        </is>
      </c>
      <c r="H569" s="8" t="inlineStr">
        <is>
          <t>NONE</t>
        </is>
      </c>
      <c r="I569" s="11" t="n">
        <v>0</v>
      </c>
      <c r="J569" s="8" t="inlineStr">
        <is>
          <t>2026-05-04T06:45:56+09:00</t>
        </is>
      </c>
      <c r="K569" s="14" t="inlineStr">
        <is>
          <t>★車検R9/12まで★ 23年式 ヴェルファイア 2.4Z 禁煙車 11.5万km 整備明細有 状態良好 20系 松山市</t>
        </is>
      </c>
      <c r="L569" s="8" t="inlineStr">
        <is>
          <t>https://page.auctions.yahoo.co.jp/jp/auction/l1228052151</t>
        </is>
      </c>
    </row>
    <row r="570">
      <c r="A570" s="13" t="inlineStr">
        <is>
          <t>ヴェルファイア</t>
        </is>
      </c>
      <c r="B570" s="13" t="n">
        <v>2011</v>
      </c>
      <c r="C570" s="13" t="inlineStr">
        <is>
          <t>20系</t>
        </is>
      </c>
      <c r="D570" s="15" t="n">
        <v>454000</v>
      </c>
      <c r="E570" s="13" t="n">
        <v>242</v>
      </c>
      <c r="F570" s="15" t="n">
        <v>128900</v>
      </c>
      <c r="G570" s="13" t="inlineStr">
        <is>
          <t>REAL_MILEAGE</t>
        </is>
      </c>
      <c r="H570" s="13" t="n"/>
      <c r="I570" s="15" t="n">
        <v>0</v>
      </c>
      <c r="J570" s="13" t="inlineStr">
        <is>
          <t>2026-04-26T21:32:12+09:00</t>
        </is>
      </c>
      <c r="K570" s="14" t="inlineStr">
        <is>
          <t>【H23年式 トヨタ ヴェルファイア 2.4Z プラチナセレクションⅡ タイプゴールド】走行距離:128,900km 車検付き(R10年4月)</t>
        </is>
      </c>
      <c r="L570" s="13" t="inlineStr">
        <is>
          <t>https://page.auctions.yahoo.co.jp/jp/auction/x1227183271</t>
        </is>
      </c>
    </row>
    <row r="571">
      <c r="A571" s="8" t="inlineStr">
        <is>
          <t>ヴェルファイア</t>
        </is>
      </c>
      <c r="B571" s="8" t="n">
        <v>2011</v>
      </c>
      <c r="C571" s="8" t="inlineStr">
        <is>
          <t>20系</t>
        </is>
      </c>
      <c r="D571" s="11" t="n">
        <v>350000</v>
      </c>
      <c r="E571" s="8" t="n">
        <v>59</v>
      </c>
      <c r="F571" s="11" t="n">
        <v>170000</v>
      </c>
      <c r="G571" s="8" t="inlineStr">
        <is>
          <t>REAL_MILEAGE</t>
        </is>
      </c>
      <c r="H571" s="8" t="inlineStr">
        <is>
          <t>NONE</t>
        </is>
      </c>
      <c r="I571" s="11" t="n">
        <v>0</v>
      </c>
      <c r="J571" s="8" t="inlineStr">
        <is>
          <t>2026-04-25T20:11:38+09:00</t>
        </is>
      </c>
      <c r="K571" s="14" t="inlineStr">
        <is>
          <t>売切り★ヴェルファイア2011★極上美車★フル装備★アルカンターラシート★車検2年可！</t>
        </is>
      </c>
      <c r="L571" s="8" t="inlineStr">
        <is>
          <t>https://page.auctions.yahoo.co.jp/jp/auction/l1226769602</t>
        </is>
      </c>
    </row>
    <row r="572">
      <c r="A572" s="13" t="inlineStr">
        <is>
          <t>ヴェルファイア</t>
        </is>
      </c>
      <c r="B572" s="13" t="n">
        <v>2011</v>
      </c>
      <c r="C572" s="13" t="inlineStr">
        <is>
          <t>20系</t>
        </is>
      </c>
      <c r="D572" s="15" t="n">
        <v>400000</v>
      </c>
      <c r="E572" s="13" t="n">
        <v>66</v>
      </c>
      <c r="F572" s="15" t="n">
        <v>170000</v>
      </c>
      <c r="G572" s="13" t="inlineStr">
        <is>
          <t>REAL_MILEAGE</t>
        </is>
      </c>
      <c r="H572" s="13" t="inlineStr">
        <is>
          <t>NONE</t>
        </is>
      </c>
      <c r="I572" s="15" t="n">
        <v>0</v>
      </c>
      <c r="J572" s="13" t="inlineStr">
        <is>
          <t>2026-04-13T20:12:21+09:00</t>
        </is>
      </c>
      <c r="K572" s="14" t="inlineStr">
        <is>
          <t>売切り★ヴェルファイア2011★極上美車★フル装備★アルカンターラシート★車検2年可！</t>
        </is>
      </c>
      <c r="L572" s="13" t="inlineStr">
        <is>
          <t>https://page.auctions.yahoo.co.jp/jp/auction/e1225672164</t>
        </is>
      </c>
    </row>
    <row r="573">
      <c r="A573" s="8" t="inlineStr">
        <is>
          <t>ヴェルファイア</t>
        </is>
      </c>
      <c r="B573" s="8" t="n">
        <v>2011</v>
      </c>
      <c r="C573" s="8" t="inlineStr">
        <is>
          <t>20系</t>
        </is>
      </c>
      <c r="D573" s="11" t="n">
        <v>600000</v>
      </c>
      <c r="E573" s="8" t="n">
        <v>91</v>
      </c>
      <c r="F573" s="11" t="n">
        <v>166000</v>
      </c>
      <c r="G573" s="8" t="inlineStr">
        <is>
          <t>REAL_MILEAGE</t>
        </is>
      </c>
      <c r="H573" s="8" t="inlineStr">
        <is>
          <t>NONE</t>
        </is>
      </c>
      <c r="I573" s="11" t="n">
        <v>0</v>
      </c>
      <c r="J573" s="8" t="inlineStr">
        <is>
          <t>2026-04-06T22:28:23+09:00</t>
        </is>
      </c>
      <c r="K573" s="14" t="inlineStr">
        <is>
          <t>H23 ヴェルファイア 2.4Z-G ED 後期型 アルパインBIG-X 10インチナビ/両側PS/パワーバックドア/エグゼクティブシート/ETC 車検R8年12月迄</t>
        </is>
      </c>
      <c r="L573" s="8" t="inlineStr">
        <is>
          <t>https://page.auctions.yahoo.co.jp/jp/auction/f1222927179</t>
        </is>
      </c>
    </row>
    <row r="574">
      <c r="A574" s="13" t="inlineStr">
        <is>
          <t>ヴェルファイア</t>
        </is>
      </c>
      <c r="B574" s="13" t="n">
        <v>2011</v>
      </c>
      <c r="C574" s="13" t="inlineStr">
        <is>
          <t>20系</t>
        </is>
      </c>
      <c r="D574" s="15" t="n">
        <v>353000</v>
      </c>
      <c r="E574" s="13" t="n">
        <v>102</v>
      </c>
      <c r="F574" s="15" t="n">
        <v>201000</v>
      </c>
      <c r="G574" s="13" t="inlineStr">
        <is>
          <t>REAL_MILEAGE</t>
        </is>
      </c>
      <c r="H574" s="13" t="n"/>
      <c r="I574" s="15" t="n">
        <v>0</v>
      </c>
      <c r="J574" s="13" t="inlineStr">
        <is>
          <t>2026-03-30T21:07:26+09:00</t>
        </is>
      </c>
      <c r="K574" s="14" t="inlineStr">
        <is>
          <t>車検付トヨタヴェルファイア 2.4Z 4WD後期</t>
        </is>
      </c>
      <c r="L574" s="13" t="inlineStr">
        <is>
          <t>https://page.auctions.yahoo.co.jp/jp/auction/g1224501815</t>
        </is>
      </c>
    </row>
    <row r="575">
      <c r="A575" s="8" t="inlineStr">
        <is>
          <t>ヴェルファイア</t>
        </is>
      </c>
      <c r="B575" s="8" t="n">
        <v>2011</v>
      </c>
      <c r="C575" s="8" t="inlineStr">
        <is>
          <t>20系</t>
        </is>
      </c>
      <c r="D575" s="11" t="n">
        <v>480000</v>
      </c>
      <c r="E575" s="8" t="n">
        <v>1</v>
      </c>
      <c r="F575" s="11" t="n">
        <v>67826</v>
      </c>
      <c r="G575" s="8" t="inlineStr">
        <is>
          <t>REAL_MILEAGE</t>
        </is>
      </c>
      <c r="H575" s="8" t="n"/>
      <c r="I575" s="11" t="n">
        <v>0</v>
      </c>
      <c r="J575" s="8" t="inlineStr">
        <is>
          <t>2026-03-30T20:19:40+09:00</t>
        </is>
      </c>
      <c r="K575" s="14" t="inlineStr">
        <is>
          <t>ヴェルファイア　走行68,000キロ　個人出品</t>
        </is>
      </c>
      <c r="L575" s="8" t="inlineStr">
        <is>
          <t>https://page.auctions.yahoo.co.jp/jp/auction/q1223618543</t>
        </is>
      </c>
    </row>
    <row r="576">
      <c r="A576" s="13" t="inlineStr">
        <is>
          <t>ヴェルファイア</t>
        </is>
      </c>
      <c r="B576" s="13" t="n">
        <v>2011</v>
      </c>
      <c r="C576" s="13" t="inlineStr">
        <is>
          <t>20系</t>
        </is>
      </c>
      <c r="D576" s="15" t="n">
        <v>303000</v>
      </c>
      <c r="E576" s="13" t="n">
        <v>41</v>
      </c>
      <c r="F576" s="15" t="n">
        <v>169900</v>
      </c>
      <c r="G576" s="13" t="inlineStr">
        <is>
          <t>REAL_MILEAGE</t>
        </is>
      </c>
      <c r="H576" s="13" t="inlineStr">
        <is>
          <t>NONE</t>
        </is>
      </c>
      <c r="I576" s="15" t="n">
        <v>0</v>
      </c>
      <c r="J576" s="13" t="inlineStr">
        <is>
          <t>2026-03-27T21:53:49+09:00</t>
        </is>
      </c>
      <c r="K576" s="14" t="inlineStr">
        <is>
          <t>20ヴェルファイア2.4 23年タイプゴールド　車検付　売り切り</t>
        </is>
      </c>
      <c r="L576" s="13" t="inlineStr">
        <is>
          <t>https://page.auctions.yahoo.co.jp/jp/auction/v1223777226</t>
        </is>
      </c>
    </row>
    <row r="577">
      <c r="A577" s="8" t="inlineStr">
        <is>
          <t>ヴェルファイア</t>
        </is>
      </c>
      <c r="B577" s="8" t="n">
        <v>2011</v>
      </c>
      <c r="C577" s="8" t="inlineStr">
        <is>
          <t>20系</t>
        </is>
      </c>
      <c r="D577" s="11" t="n">
        <v>316000</v>
      </c>
      <c r="E577" s="8" t="n">
        <v>66</v>
      </c>
      <c r="F577" s="11" t="n">
        <v>169000</v>
      </c>
      <c r="G577" s="8" t="inlineStr">
        <is>
          <t>REAL_MILEAGE</t>
        </is>
      </c>
      <c r="H577" s="8" t="inlineStr">
        <is>
          <t>NONE</t>
        </is>
      </c>
      <c r="I577" s="11" t="n">
        <v>0</v>
      </c>
      <c r="J577" s="8" t="inlineStr">
        <is>
          <t>2026-03-22T10:16:16+09:00</t>
        </is>
      </c>
      <c r="K577" s="14" t="inlineStr">
        <is>
          <t>20ヴェルファイア2.4 23年タイプゴールド　車検付　売り切り</t>
        </is>
      </c>
      <c r="L577" s="8" t="inlineStr">
        <is>
          <t>https://page.auctions.yahoo.co.jp/jp/auction/l1222435953</t>
        </is>
      </c>
    </row>
    <row r="578">
      <c r="A578" s="13" t="inlineStr">
        <is>
          <t>ヴェルファイア</t>
        </is>
      </c>
      <c r="B578" s="13" t="n">
        <v>2010</v>
      </c>
      <c r="C578" s="13" t="inlineStr">
        <is>
          <t>20系</t>
        </is>
      </c>
      <c r="D578" s="15" t="n">
        <v>307000</v>
      </c>
      <c r="E578" s="13" t="n">
        <v>10</v>
      </c>
      <c r="F578" s="15" t="n">
        <v>161000</v>
      </c>
      <c r="G578" s="13" t="inlineStr">
        <is>
          <t>REAL_MILEAGE</t>
        </is>
      </c>
      <c r="H578" s="13" t="inlineStr">
        <is>
          <t>NONE</t>
        </is>
      </c>
      <c r="I578" s="15" t="n">
        <v>66860</v>
      </c>
      <c r="J578" s="13" t="inlineStr">
        <is>
          <t>2026-07-23T22:43:46+09:00</t>
        </is>
      </c>
      <c r="K578" s="14" t="inlineStr">
        <is>
          <t>車検9年8月 22年 ヴェルファイア 4WD 2.4Z ８人乗り（７ １人のゆとり）両側パワースライドドア 　エンジンオイル消費対策済みエンジン</t>
        </is>
      </c>
      <c r="L578" s="13" t="inlineStr">
        <is>
          <t>https://page.auctions.yahoo.co.jp/jp/auction/h1236447378</t>
        </is>
      </c>
    </row>
    <row r="579">
      <c r="A579" s="8" t="inlineStr">
        <is>
          <t>ヴェルファイア</t>
        </is>
      </c>
      <c r="B579" s="8" t="n">
        <v>2010</v>
      </c>
      <c r="C579" s="8" t="inlineStr">
        <is>
          <t>20系</t>
        </is>
      </c>
      <c r="D579" s="11" t="n">
        <v>333000</v>
      </c>
      <c r="E579" s="8" t="n">
        <v>46</v>
      </c>
      <c r="F579" s="11" t="n">
        <v>168000</v>
      </c>
      <c r="G579" s="8" t="inlineStr">
        <is>
          <t>REAL_MILEAGE</t>
        </is>
      </c>
      <c r="H579" s="8" t="inlineStr">
        <is>
          <t>NONE</t>
        </is>
      </c>
      <c r="I579" s="11" t="n">
        <v>0</v>
      </c>
      <c r="J579" s="8" t="inlineStr">
        <is>
          <t>2026-07-13T19:35:25+09:00</t>
        </is>
      </c>
      <c r="K579" s="14" t="inlineStr">
        <is>
          <t>埼玉県発 H22年式 トヨタ ヴェルファイア 2.4Z プラチナセレクションⅡ 車検付き</t>
        </is>
      </c>
      <c r="L579" s="8" t="inlineStr">
        <is>
          <t>https://page.auctions.yahoo.co.jp/jp/auction/p1236245103</t>
        </is>
      </c>
    </row>
    <row r="580">
      <c r="A580" s="13" t="inlineStr">
        <is>
          <t>ヴェルファイア</t>
        </is>
      </c>
      <c r="B580" s="13" t="n">
        <v>2010</v>
      </c>
      <c r="C580" s="13" t="inlineStr">
        <is>
          <t>20系</t>
        </is>
      </c>
      <c r="D580" s="15" t="n">
        <v>252000</v>
      </c>
      <c r="E580" s="13" t="n">
        <v>27</v>
      </c>
      <c r="F580" s="15" t="n">
        <v>238000</v>
      </c>
      <c r="G580" s="13" t="inlineStr">
        <is>
          <t>REAL_MILEAGE</t>
        </is>
      </c>
      <c r="H580" s="13" t="n"/>
      <c r="I580" s="15" t="n">
        <v>0</v>
      </c>
      <c r="J580" s="13" t="inlineStr">
        <is>
          <t>2026-07-12T22:40:21+09:00</t>
        </is>
      </c>
      <c r="K580" s="14" t="inlineStr">
        <is>
          <t>トヨタ　ヴェルファイア　プラチナセレクション　整備多数　安心して乗れます</t>
        </is>
      </c>
      <c r="L580" s="13" t="inlineStr">
        <is>
          <t>https://page.auctions.yahoo.co.jp/jp/auction/w1236086965</t>
        </is>
      </c>
    </row>
    <row r="581">
      <c r="A581" s="8" t="inlineStr">
        <is>
          <t>ヴェルファイア</t>
        </is>
      </c>
      <c r="B581" s="8" t="n">
        <v>2010</v>
      </c>
      <c r="C581" s="8" t="inlineStr">
        <is>
          <t>20系</t>
        </is>
      </c>
      <c r="D581" s="11" t="n">
        <v>551000</v>
      </c>
      <c r="E581" s="8" t="n">
        <v>63</v>
      </c>
      <c r="F581" s="11" t="n">
        <v>149520</v>
      </c>
      <c r="G581" s="8" t="inlineStr">
        <is>
          <t>REAL_MILEAGE</t>
        </is>
      </c>
      <c r="H581" s="8" t="inlineStr">
        <is>
          <t>NONE</t>
        </is>
      </c>
      <c r="I581" s="11" t="n">
        <v>48290</v>
      </c>
      <c r="J581" s="8" t="inlineStr">
        <is>
          <t>2026-07-02T21:47:27+09:00</t>
        </is>
      </c>
      <c r="K581" s="14" t="inlineStr">
        <is>
          <t>すぐ乗り・大人気・ヴェルファイア・2.4Zプラチナセレクション・ワンオーナー・ナビ・ＴＶ・両側パワスラ・サンルーフ・車検令和9年3月</t>
        </is>
      </c>
      <c r="L581" s="8" t="inlineStr">
        <is>
          <t>https://page.auctions.yahoo.co.jp/jp/auction/q1234536307</t>
        </is>
      </c>
    </row>
    <row r="582">
      <c r="A582" s="13" t="inlineStr">
        <is>
          <t>ヴェルファイア</t>
        </is>
      </c>
      <c r="B582" s="13" t="n">
        <v>2010</v>
      </c>
      <c r="C582" s="13" t="inlineStr">
        <is>
          <t>20系</t>
        </is>
      </c>
      <c r="D582" s="15" t="n">
        <v>330000</v>
      </c>
      <c r="E582" s="13" t="n">
        <v>55</v>
      </c>
      <c r="F582" s="15" t="n">
        <v>131750</v>
      </c>
      <c r="G582" s="13" t="inlineStr">
        <is>
          <t>REAL_MILEAGE</t>
        </is>
      </c>
      <c r="H582" s="13" t="n"/>
      <c r="I582" s="15" t="n">
        <v>20000</v>
      </c>
      <c r="J582" s="13" t="inlineStr">
        <is>
          <t>2026-06-30T22:54:21+09:00</t>
        </is>
      </c>
      <c r="K582" s="14" t="inlineStr">
        <is>
          <t>★☆ 1円売り切り！平成22年 ヴェルファイア 131,750km 車検令和8年10月まで！即戦力ミニバン！☆★</t>
        </is>
      </c>
      <c r="L582" s="13" t="inlineStr">
        <is>
          <t>https://page.auctions.yahoo.co.jp/jp/auction/w1234878249</t>
        </is>
      </c>
    </row>
    <row r="583">
      <c r="A583" s="8" t="inlineStr">
        <is>
          <t>ヴェルファイア</t>
        </is>
      </c>
      <c r="B583" s="8" t="n">
        <v>2010</v>
      </c>
      <c r="C583" s="8" t="inlineStr">
        <is>
          <t>20系</t>
        </is>
      </c>
      <c r="D583" s="11" t="n">
        <v>358000</v>
      </c>
      <c r="E583" s="8" t="n">
        <v>1</v>
      </c>
      <c r="F583" s="11" t="n">
        <v>196000</v>
      </c>
      <c r="G583" s="8" t="inlineStr">
        <is>
          <t>REAL_MILEAGE</t>
        </is>
      </c>
      <c r="H583" s="8" t="inlineStr">
        <is>
          <t>NONE</t>
        </is>
      </c>
      <c r="I583" s="11" t="n">
        <v>0</v>
      </c>
      <c r="J583" s="8" t="inlineStr">
        <is>
          <t>2026-06-08T05:05:44+09:00</t>
        </is>
      </c>
      <c r="K583" s="14" t="inlineStr">
        <is>
          <t>ヴェルファイア 2.4 Z プラチナセレクションII 社外ナビフルセグバックカメラ両側電動スラ</t>
        </is>
      </c>
      <c r="L583" s="8" t="inlineStr">
        <is>
          <t>https://page.auctions.yahoo.co.jp/jp/auction/n1231334750</t>
        </is>
      </c>
    </row>
    <row r="584">
      <c r="A584" s="13" t="inlineStr">
        <is>
          <t>ヴェルファイア</t>
        </is>
      </c>
      <c r="B584" s="13" t="n">
        <v>2010</v>
      </c>
      <c r="C584" s="13" t="inlineStr">
        <is>
          <t>20系</t>
        </is>
      </c>
      <c r="D584" s="15" t="n">
        <v>325777</v>
      </c>
      <c r="E584" s="13" t="n">
        <v>1</v>
      </c>
      <c r="F584" s="15" t="n">
        <v>111850</v>
      </c>
      <c r="G584" s="13" t="inlineStr">
        <is>
          <t>REAL_MILEAGE</t>
        </is>
      </c>
      <c r="H584" s="13" t="n"/>
      <c r="I584" s="15" t="n">
        <v>0</v>
      </c>
      <c r="J584" s="13" t="inlineStr">
        <is>
          <t>2026-06-06T21:15:17+09:00</t>
        </is>
      </c>
      <c r="K584" s="14" t="inlineStr">
        <is>
          <t>トヨタ　ヴェルファイア　2.4Z　プラチナセレクション</t>
        </is>
      </c>
      <c r="L584" s="13" t="inlineStr">
        <is>
          <t>https://page.auctions.yahoo.co.jp/jp/auction/w1213414125</t>
        </is>
      </c>
    </row>
    <row r="585">
      <c r="A585" s="8" t="inlineStr">
        <is>
          <t>ヴェルファイア</t>
        </is>
      </c>
      <c r="B585" s="8" t="n">
        <v>2010</v>
      </c>
      <c r="C585" s="8" t="inlineStr">
        <is>
          <t>20系</t>
        </is>
      </c>
      <c r="D585" s="11" t="n">
        <v>428000</v>
      </c>
      <c r="E585" s="8" t="n">
        <v>1</v>
      </c>
      <c r="F585" s="11" t="n">
        <v>106789</v>
      </c>
      <c r="G585" s="8" t="inlineStr">
        <is>
          <t>REAL_MILEAGE</t>
        </is>
      </c>
      <c r="H585" s="8" t="inlineStr">
        <is>
          <t>EXISTS</t>
        </is>
      </c>
      <c r="I585" s="11" t="n">
        <v>0</v>
      </c>
      <c r="J585" s="8" t="inlineStr">
        <is>
          <t>2026-05-29T12:27:13+09:00</t>
        </is>
      </c>
      <c r="K585" s="14" t="inlineStr">
        <is>
          <t>◇22年ヴェルファイア・2.4Zプラチナセレ・乗り出し総額55.6万円◇実走行１０万キロ/フリップダウン/フルセグTV/両側＋バック電動ドア/ETC</t>
        </is>
      </c>
      <c r="L585" s="8" t="inlineStr">
        <is>
          <t>https://page.auctions.yahoo.co.jp/jp/auction/c1230395513</t>
        </is>
      </c>
    </row>
    <row r="586">
      <c r="A586" s="13" t="inlineStr">
        <is>
          <t>ヴェルファイア</t>
        </is>
      </c>
      <c r="B586" s="13" t="n">
        <v>2010</v>
      </c>
      <c r="C586" s="13" t="inlineStr">
        <is>
          <t>20系</t>
        </is>
      </c>
      <c r="D586" s="15" t="n">
        <v>380000</v>
      </c>
      <c r="E586" s="13" t="n">
        <v>1</v>
      </c>
      <c r="F586" s="15" t="n">
        <v>191000</v>
      </c>
      <c r="G586" s="13" t="inlineStr">
        <is>
          <t>REAL_MILEAGE</t>
        </is>
      </c>
      <c r="H586" s="13" t="inlineStr">
        <is>
          <t>NONE</t>
        </is>
      </c>
      <c r="I586" s="15" t="n">
        <v>0</v>
      </c>
      <c r="J586" s="13" t="inlineStr">
        <is>
          <t>2026-05-27T20:50:08+09:00</t>
        </is>
      </c>
      <c r="K586" s="14" t="inlineStr">
        <is>
          <t>ヴェルファイア 2.4 Z プラチナセレクションII ETC 両側電動スライドドア　電動リヤゲート</t>
        </is>
      </c>
      <c r="L586" s="13" t="inlineStr">
        <is>
          <t>https://page.auctions.yahoo.co.jp/jp/auction/k1225714626</t>
        </is>
      </c>
    </row>
    <row r="587">
      <c r="A587" s="8" t="inlineStr">
        <is>
          <t>ヴェルファイア</t>
        </is>
      </c>
      <c r="B587" s="8" t="n">
        <v>2010</v>
      </c>
      <c r="C587" s="8" t="inlineStr">
        <is>
          <t>20系</t>
        </is>
      </c>
      <c r="D587" s="11" t="n">
        <v>358000</v>
      </c>
      <c r="E587" s="8" t="n">
        <v>1</v>
      </c>
      <c r="F587" s="11" t="n">
        <v>196000</v>
      </c>
      <c r="G587" s="8" t="inlineStr">
        <is>
          <t>REAL_MILEAGE</t>
        </is>
      </c>
      <c r="H587" s="8" t="inlineStr">
        <is>
          <t>NONE</t>
        </is>
      </c>
      <c r="I587" s="11" t="n">
        <v>0</v>
      </c>
      <c r="J587" s="8" t="inlineStr">
        <is>
          <t>2026-05-21T11:21:00+09:00</t>
        </is>
      </c>
      <c r="K587" s="14" t="inlineStr">
        <is>
          <t>ヴェルファイア 2.4 Z プラチナセレクションII 社外ナビフルセグバックカメラ両側電動スラ</t>
        </is>
      </c>
      <c r="L587" s="8" t="inlineStr">
        <is>
          <t>https://page.auctions.yahoo.co.jp/jp/auction/j1222986845</t>
        </is>
      </c>
    </row>
    <row r="588">
      <c r="A588" s="13" t="inlineStr">
        <is>
          <t>ヴェルファイア</t>
        </is>
      </c>
      <c r="B588" s="13" t="n">
        <v>2010</v>
      </c>
      <c r="C588" s="13" t="inlineStr">
        <is>
          <t>20系</t>
        </is>
      </c>
      <c r="D588" s="15" t="n">
        <v>404000</v>
      </c>
      <c r="E588" s="13" t="n">
        <v>17</v>
      </c>
      <c r="F588" s="15" t="n">
        <v>129000</v>
      </c>
      <c r="G588" s="13" t="inlineStr">
        <is>
          <t>REAL_MILEAGE</t>
        </is>
      </c>
      <c r="H588" s="13" t="inlineStr">
        <is>
          <t>NONE</t>
        </is>
      </c>
      <c r="I588" s="15" t="n">
        <v>0</v>
      </c>
      <c r="J588" s="13" t="inlineStr">
        <is>
          <t>2026-05-13T19:12:46+09:00</t>
        </is>
      </c>
      <c r="K588" s="14" t="inlineStr">
        <is>
          <t>トヨタ　ヴェルファイア 2.4 高級車　綺麗車　高グレード　サンルーフ付き　ETC. バックカメラ　両方パワードア　パワートランク キー2つ</t>
        </is>
      </c>
      <c r="L588" s="13" t="inlineStr">
        <is>
          <t>https://page.auctions.yahoo.co.jp/jp/auction/d1229327603</t>
        </is>
      </c>
    </row>
    <row r="589">
      <c r="A589" s="8" t="inlineStr">
        <is>
          <t>ヴェルファイア</t>
        </is>
      </c>
      <c r="B589" s="8" t="n">
        <v>2010</v>
      </c>
      <c r="C589" s="8" t="inlineStr">
        <is>
          <t>20系</t>
        </is>
      </c>
      <c r="D589" s="11" t="n">
        <v>404000</v>
      </c>
      <c r="E589" s="8" t="n">
        <v>243</v>
      </c>
      <c r="F589" s="11" t="n">
        <v>220400</v>
      </c>
      <c r="G589" s="8" t="inlineStr">
        <is>
          <t>REAL_MILEAGE</t>
        </is>
      </c>
      <c r="H589" s="8" t="inlineStr">
        <is>
          <t>NONE</t>
        </is>
      </c>
      <c r="I589" s="11" t="n">
        <v>0</v>
      </c>
      <c r="J589" s="8" t="inlineStr">
        <is>
          <t>2026-05-07T21:18:06+09:00</t>
        </is>
      </c>
      <c r="K589" s="14" t="inlineStr">
        <is>
          <t>トヨタ　ヴェルファイア　プラチナセレクションⅡ　切り替え4WD 車検9年10月まで　ナビ　ETC バックカメラドライブレコーダー付き　7人乗り</t>
        </is>
      </c>
      <c r="L589" s="8" t="inlineStr">
        <is>
          <t>https://page.auctions.yahoo.co.jp/jp/auction/x1228755242</t>
        </is>
      </c>
    </row>
    <row r="590">
      <c r="A590" s="13" t="inlineStr">
        <is>
          <t>ヴェルファイア</t>
        </is>
      </c>
      <c r="B590" s="13" t="n">
        <v>2010</v>
      </c>
      <c r="C590" s="13" t="inlineStr">
        <is>
          <t>20系</t>
        </is>
      </c>
      <c r="D590" s="15" t="n">
        <v>428000</v>
      </c>
      <c r="E590" s="13" t="n">
        <v>50</v>
      </c>
      <c r="F590" s="15" t="n">
        <v>119591</v>
      </c>
      <c r="G590" s="13" t="inlineStr">
        <is>
          <t>REAL_MILEAGE</t>
        </is>
      </c>
      <c r="H590" s="13" t="n"/>
      <c r="I590" s="15" t="n">
        <v>0</v>
      </c>
      <c r="J590" s="13" t="inlineStr">
        <is>
          <t>2026-05-06T21:23:45+09:00</t>
        </is>
      </c>
      <c r="K590" s="14" t="inlineStr">
        <is>
          <t>TOYOTA　ヴェルファイア　グレード　2.4X 車検あり！</t>
        </is>
      </c>
      <c r="L590" s="13" t="inlineStr">
        <is>
          <t>https://page.auctions.yahoo.co.jp/jp/auction/e1228606448</t>
        </is>
      </c>
    </row>
    <row r="591">
      <c r="A591" s="8" t="inlineStr">
        <is>
          <t>ヴェルファイア</t>
        </is>
      </c>
      <c r="B591" s="8" t="n">
        <v>2010</v>
      </c>
      <c r="C591" s="8" t="inlineStr">
        <is>
          <t>20系</t>
        </is>
      </c>
      <c r="D591" s="11" t="n">
        <v>500000</v>
      </c>
      <c r="E591" s="8" t="n">
        <v>1</v>
      </c>
      <c r="F591" s="11" t="n">
        <v>137000</v>
      </c>
      <c r="G591" s="8" t="inlineStr">
        <is>
          <t>REAL_MILEAGE</t>
        </is>
      </c>
      <c r="H591" s="8" t="inlineStr">
        <is>
          <t>NONE</t>
        </is>
      </c>
      <c r="I591" s="11" t="n">
        <v>0</v>
      </c>
      <c r="J591" s="8" t="inlineStr">
        <is>
          <t>2026-04-20T11:44:32+09:00</t>
        </is>
      </c>
      <c r="K591" s="14" t="inlineStr">
        <is>
          <t>トヨタ　20 ヴェルファイアV L 3.5L 7人乗り　4WD</t>
        </is>
      </c>
      <c r="L591" s="8" t="inlineStr">
        <is>
          <t>https://page.auctions.yahoo.co.jp/jp/auction/x1224904670</t>
        </is>
      </c>
    </row>
    <row r="592">
      <c r="A592" s="13" t="inlineStr">
        <is>
          <t>ヴェルファイア</t>
        </is>
      </c>
      <c r="B592" s="13" t="n">
        <v>2010</v>
      </c>
      <c r="C592" s="13" t="inlineStr">
        <is>
          <t>20系</t>
        </is>
      </c>
      <c r="D592" s="15" t="n">
        <v>380000</v>
      </c>
      <c r="E592" s="13" t="n">
        <v>102</v>
      </c>
      <c r="F592" s="15" t="n">
        <v>124000</v>
      </c>
      <c r="G592" s="13" t="inlineStr">
        <is>
          <t>REAL_MILEAGE</t>
        </is>
      </c>
      <c r="H592" s="13" t="inlineStr">
        <is>
          <t>NONE</t>
        </is>
      </c>
      <c r="I592" s="15" t="n">
        <v>0</v>
      </c>
      <c r="J592" s="13" t="inlineStr">
        <is>
          <t>2026-03-30T22:01:55+09:00</t>
        </is>
      </c>
      <c r="K592" s="14" t="inlineStr">
        <is>
          <t>トヨタ ヴェルファイア ANH20W 2.4Z 8人乗り 車検長い 美車</t>
        </is>
      </c>
      <c r="L592" s="13" t="inlineStr">
        <is>
          <t>https://page.auctions.yahoo.co.jp/jp/auction/n1224280594</t>
        </is>
      </c>
    </row>
    <row r="593">
      <c r="A593" s="8" t="inlineStr">
        <is>
          <t>ヴェルファイア</t>
        </is>
      </c>
      <c r="B593" s="8" t="n">
        <v>2010</v>
      </c>
      <c r="C593" s="8" t="inlineStr">
        <is>
          <t>20系</t>
        </is>
      </c>
      <c r="D593" s="11" t="n">
        <v>400000</v>
      </c>
      <c r="E593" s="8" t="n">
        <v>1</v>
      </c>
      <c r="F593" s="11" t="n">
        <v>178784</v>
      </c>
      <c r="G593" s="8" t="inlineStr">
        <is>
          <t>REAL_MILEAGE</t>
        </is>
      </c>
      <c r="H593" s="8" t="inlineStr">
        <is>
          <t>NONE</t>
        </is>
      </c>
      <c r="I593" s="11" t="n">
        <v>0</v>
      </c>
      <c r="J593" s="8" t="inlineStr">
        <is>
          <t>2026-03-29T22:21:32+09:00</t>
        </is>
      </c>
      <c r="K593" s="14" t="inlineStr">
        <is>
          <t>☆H22/ヴェルファイアANH20Wの特別仕様車プラチナセレクションⅡ牽引車/車検長い・法定費用込みです。</t>
        </is>
      </c>
      <c r="L593" s="8" t="inlineStr">
        <is>
          <t>https://page.auctions.yahoo.co.jp/jp/auction/p1222998849</t>
        </is>
      </c>
    </row>
    <row r="594">
      <c r="A594" s="13" t="inlineStr">
        <is>
          <t>ヴェルファイア</t>
        </is>
      </c>
      <c r="B594" s="13" t="n">
        <v>2010</v>
      </c>
      <c r="C594" s="13" t="inlineStr">
        <is>
          <t>20系</t>
        </is>
      </c>
      <c r="D594" s="15" t="n">
        <v>500000</v>
      </c>
      <c r="E594" s="13" t="n">
        <v>1</v>
      </c>
      <c r="F594" s="15" t="n">
        <v>115000</v>
      </c>
      <c r="G594" s="13" t="inlineStr">
        <is>
          <t>REAL_MILEAGE</t>
        </is>
      </c>
      <c r="H594" s="13" t="inlineStr">
        <is>
          <t>NONE</t>
        </is>
      </c>
      <c r="I594" s="15" t="n">
        <v>0</v>
      </c>
      <c r="J594" s="13" t="inlineStr">
        <is>
          <t>2026-03-13T22:01:04+09:00</t>
        </is>
      </c>
      <c r="K594" s="14" t="inlineStr">
        <is>
          <t>最終出品！トヨタ ヴェルファイア ワンオーナー 個人 諸費用無 社外バンパー マフラー 純正パーツ有　無事故 実走行11.5万 7人乗り</t>
        </is>
      </c>
      <c r="L594" s="13" t="inlineStr">
        <is>
          <t>https://page.auctions.yahoo.co.jp/jp/auction/r1220796660</t>
        </is>
      </c>
    </row>
    <row r="595">
      <c r="A595" s="8" t="inlineStr">
        <is>
          <t>ヴェルファイア</t>
        </is>
      </c>
      <c r="B595" s="8" t="n">
        <v>2010</v>
      </c>
      <c r="C595" s="8" t="inlineStr">
        <is>
          <t>20系</t>
        </is>
      </c>
      <c r="D595" s="11" t="n">
        <v>459000</v>
      </c>
      <c r="E595" s="8" t="n">
        <v>1</v>
      </c>
      <c r="F595" s="11" t="n">
        <v>108965</v>
      </c>
      <c r="G595" s="8" t="inlineStr">
        <is>
          <t>REAL_MILEAGE</t>
        </is>
      </c>
      <c r="H595" s="8" t="inlineStr">
        <is>
          <t>NONE</t>
        </is>
      </c>
      <c r="I595" s="11" t="n">
        <v>0</v>
      </c>
      <c r="J595" s="8" t="inlineStr">
        <is>
          <t>2026-03-05T17:49:12+09:00</t>
        </is>
      </c>
      <c r="K595" s="14" t="inlineStr">
        <is>
          <t>陸送50%OFF●カーズ大阪●車検2年付●22年ヴェルファイア白2.4Zプラチナセレクション●プッシュスタート●3B1635</t>
        </is>
      </c>
      <c r="L595" s="8" t="inlineStr">
        <is>
          <t>https://page.auctions.yahoo.co.jp/jp/auction/r1221758866</t>
        </is>
      </c>
    </row>
    <row r="596">
      <c r="A596" s="13" t="inlineStr">
        <is>
          <t>ヴェルファイア</t>
        </is>
      </c>
      <c r="B596" s="13" t="n">
        <v>2009</v>
      </c>
      <c r="C596" s="13" t="inlineStr">
        <is>
          <t>20系</t>
        </is>
      </c>
      <c r="D596" s="15" t="n">
        <v>254000</v>
      </c>
      <c r="E596" s="13" t="n">
        <v>106</v>
      </c>
      <c r="F596" s="15" t="n">
        <v>149900</v>
      </c>
      <c r="G596" s="13" t="inlineStr">
        <is>
          <t>REAL_MILEAGE</t>
        </is>
      </c>
      <c r="H596" s="13" t="inlineStr">
        <is>
          <t>NONE</t>
        </is>
      </c>
      <c r="I596" s="15" t="n">
        <v>18290</v>
      </c>
      <c r="J596" s="13" t="inlineStr">
        <is>
          <t>2026-08-17T22:04:49+09:00</t>
        </is>
      </c>
      <c r="K596" s="14" t="inlineStr">
        <is>
          <t>売切 仙台発 H21 ヴェルファイア 2.4Z 4WD 7人乗り ナビTV Bカメラ パワスラ スマートキー ETC 社外グリル 黒</t>
        </is>
      </c>
      <c r="L596" s="13" t="inlineStr">
        <is>
          <t>https://page.auctions.yahoo.co.jp/jp/auction/d1240574564</t>
        </is>
      </c>
    </row>
    <row r="597">
      <c r="A597" s="8" t="inlineStr">
        <is>
          <t>ヴェルファイア</t>
        </is>
      </c>
      <c r="B597" s="8" t="n">
        <v>2009</v>
      </c>
      <c r="C597" s="8" t="inlineStr">
        <is>
          <t>20系</t>
        </is>
      </c>
      <c r="D597" s="11" t="n">
        <v>266000</v>
      </c>
      <c r="E597" s="8" t="n">
        <v>22</v>
      </c>
      <c r="F597" s="11" t="n">
        <v>148690</v>
      </c>
      <c r="G597" s="8" t="inlineStr">
        <is>
          <t>REAL_MILEAGE</t>
        </is>
      </c>
      <c r="H597" s="8" t="inlineStr">
        <is>
          <t>NONE</t>
        </is>
      </c>
      <c r="I597" s="11" t="n">
        <v>48290</v>
      </c>
      <c r="J597" s="8" t="inlineStr">
        <is>
          <t>2026-08-03T20:08:46+09:00</t>
        </is>
      </c>
      <c r="K597" s="14" t="inlineStr">
        <is>
          <t>★長野県★平成21年 トヨタ ヴェルファイア ANH20 車検Ｒ10年3月まで ※ルーフ塗装剥がれ有り 個人出品</t>
        </is>
      </c>
      <c r="L597" s="8" t="inlineStr">
        <is>
          <t>https://page.auctions.yahoo.co.jp/jp/auction/g1237766864</t>
        </is>
      </c>
    </row>
    <row r="598">
      <c r="A598" s="13" t="inlineStr">
        <is>
          <t>ヴェルファイア</t>
        </is>
      </c>
      <c r="B598" s="13" t="n">
        <v>2009</v>
      </c>
      <c r="C598" s="13" t="inlineStr">
        <is>
          <t>20系</t>
        </is>
      </c>
      <c r="D598" s="15" t="n">
        <v>226000</v>
      </c>
      <c r="E598" s="13" t="n">
        <v>69</v>
      </c>
      <c r="F598" s="15" t="n">
        <v>130260</v>
      </c>
      <c r="G598" s="13" t="inlineStr">
        <is>
          <t>REAL_MILEAGE</t>
        </is>
      </c>
      <c r="H598" s="13" t="inlineStr">
        <is>
          <t>NONE</t>
        </is>
      </c>
      <c r="I598" s="15" t="n">
        <v>28290</v>
      </c>
      <c r="J598" s="13" t="inlineStr">
        <is>
          <t>2026-07-26T21:34:51+09:00</t>
        </is>
      </c>
      <c r="K598" s="14" t="inlineStr">
        <is>
          <t>予備検査付！ヴェルファイア 3.5Z プラチナセレクション★豪華カスタムパープルインテリア 柿本マフラー KRANZE 20AW システムコンソール★</t>
        </is>
      </c>
      <c r="L598" s="13" t="inlineStr">
        <is>
          <t>https://page.auctions.yahoo.co.jp/jp/auction/e1236957873</t>
        </is>
      </c>
    </row>
    <row r="599">
      <c r="A599" s="8" t="inlineStr">
        <is>
          <t>ヴェルファイア</t>
        </is>
      </c>
      <c r="B599" s="8" t="n">
        <v>2009</v>
      </c>
      <c r="C599" s="8" t="inlineStr">
        <is>
          <t>20系</t>
        </is>
      </c>
      <c r="D599" s="11" t="n">
        <v>281000</v>
      </c>
      <c r="E599" s="8" t="n">
        <v>23</v>
      </c>
      <c r="F599" s="11" t="n">
        <v>220000</v>
      </c>
      <c r="G599" s="8" t="inlineStr">
        <is>
          <t>REAL_MILEAGE</t>
        </is>
      </c>
      <c r="H599" s="8" t="inlineStr">
        <is>
          <t>NONE</t>
        </is>
      </c>
      <c r="I599" s="11" t="n">
        <v>18290</v>
      </c>
      <c r="J599" s="8" t="inlineStr">
        <is>
          <t>2026-07-26T21:08:43+09:00</t>
        </is>
      </c>
      <c r="K599" s="14" t="inlineStr">
        <is>
          <t>ヴェルファイア　車検付き</t>
        </is>
      </c>
      <c r="L599" s="8" t="inlineStr">
        <is>
          <t>https://page.auctions.yahoo.co.jp/jp/auction/h1237049316</t>
        </is>
      </c>
    </row>
    <row r="600">
      <c r="A600" s="13" t="inlineStr">
        <is>
          <t>ヴェルファイア</t>
        </is>
      </c>
      <c r="B600" s="13" t="n">
        <v>2009</v>
      </c>
      <c r="C600" s="13" t="inlineStr">
        <is>
          <t>20系</t>
        </is>
      </c>
      <c r="D600" s="15" t="n">
        <v>340000</v>
      </c>
      <c r="E600" s="13" t="n">
        <v>1</v>
      </c>
      <c r="F600" s="15" t="n">
        <v>127100</v>
      </c>
      <c r="G600" s="13" t="inlineStr">
        <is>
          <t>REAL_MILEAGE</t>
        </is>
      </c>
      <c r="H600" s="13" t="inlineStr">
        <is>
          <t>NONE</t>
        </is>
      </c>
      <c r="I600" s="15" t="n">
        <v>128290</v>
      </c>
      <c r="J600" s="13" t="inlineStr">
        <is>
          <t>2026-07-20T20:14:27+09:00</t>
        </is>
      </c>
      <c r="K600" s="14" t="inlineStr">
        <is>
          <t>トヨタ ヴェルファイア 2.4Z プラチナセレクション 車検2年付き</t>
        </is>
      </c>
      <c r="L600" s="13" t="inlineStr">
        <is>
          <t>https://page.auctions.yahoo.co.jp/jp/auction/j1237045384</t>
        </is>
      </c>
    </row>
    <row r="601">
      <c r="A601" s="8" t="inlineStr">
        <is>
          <t>ヴェルファイア</t>
        </is>
      </c>
      <c r="B601" s="8" t="n">
        <v>2009</v>
      </c>
      <c r="C601" s="8" t="inlineStr">
        <is>
          <t>20系</t>
        </is>
      </c>
      <c r="D601" s="11" t="n">
        <v>262000</v>
      </c>
      <c r="E601" s="8" t="n">
        <v>58</v>
      </c>
      <c r="F601" s="11" t="n">
        <v>110625</v>
      </c>
      <c r="G601" s="8" t="inlineStr">
        <is>
          <t>REAL_MILEAGE</t>
        </is>
      </c>
      <c r="H601" s="8" t="inlineStr">
        <is>
          <t>NONE</t>
        </is>
      </c>
      <c r="I601" s="11" t="n">
        <v>18290</v>
      </c>
      <c r="J601" s="8" t="inlineStr">
        <is>
          <t>2026-07-19T21:38:32+09:00</t>
        </is>
      </c>
      <c r="K601" s="14" t="inlineStr">
        <is>
          <t>【1円スタート】H21年 ヴェルファイア 2.4 Z★希少8人乗り★走行11.1万km★ナビ/TV/フリップダウンM/ETC/Bカメラ/2キー/コーナーセンサー★</t>
        </is>
      </c>
      <c r="L601" s="8" t="inlineStr">
        <is>
          <t>https://page.auctions.yahoo.co.jp/jp/auction/e1236743159</t>
        </is>
      </c>
    </row>
    <row r="602">
      <c r="A602" s="13" t="inlineStr">
        <is>
          <t>ヴェルファイア</t>
        </is>
      </c>
      <c r="B602" s="13" t="n">
        <v>2009</v>
      </c>
      <c r="C602" s="13" t="inlineStr">
        <is>
          <t>20系</t>
        </is>
      </c>
      <c r="D602" s="15" t="n">
        <v>362000</v>
      </c>
      <c r="E602" s="13" t="n">
        <v>68</v>
      </c>
      <c r="F602" s="15" t="n">
        <v>80695</v>
      </c>
      <c r="G602" s="13" t="inlineStr">
        <is>
          <t>REAL_MILEAGE</t>
        </is>
      </c>
      <c r="H602" s="13" t="inlineStr">
        <is>
          <t>NONE</t>
        </is>
      </c>
      <c r="I602" s="15" t="n">
        <v>18290</v>
      </c>
      <c r="J602" s="13" t="inlineStr">
        <is>
          <t>2026-07-19T21:36:36+09:00</t>
        </is>
      </c>
      <c r="K602" s="14" t="inlineStr">
        <is>
          <t>【低走行】H21年 ヴェルファイア 2.4 Z★低走行8万km★両側パワスラ★純正ナビ/TV/後席M/Bカメラ/前後センサー/2キー/高級メッキ深リム付</t>
        </is>
      </c>
      <c r="L602" s="13" t="inlineStr">
        <is>
          <t>https://page.auctions.yahoo.co.jp/jp/auction/q1236726382</t>
        </is>
      </c>
    </row>
    <row r="603">
      <c r="A603" s="8" t="inlineStr">
        <is>
          <t>ヴェルファイア</t>
        </is>
      </c>
      <c r="B603" s="8" t="n">
        <v>2009</v>
      </c>
      <c r="C603" s="8" t="inlineStr">
        <is>
          <t>20系</t>
        </is>
      </c>
      <c r="D603" s="11" t="n">
        <v>418000</v>
      </c>
      <c r="E603" s="8" t="n">
        <v>1</v>
      </c>
      <c r="F603" s="11" t="n">
        <v>94144</v>
      </c>
      <c r="G603" s="8" t="inlineStr">
        <is>
          <t>REAL_MILEAGE</t>
        </is>
      </c>
      <c r="H603" s="8" t="inlineStr">
        <is>
          <t>EXISTS</t>
        </is>
      </c>
      <c r="I603" s="11" t="n">
        <v>18290</v>
      </c>
      <c r="J603" s="8" t="inlineStr">
        <is>
          <t>2026-07-14T21:54:50+09:00</t>
        </is>
      </c>
      <c r="K603" s="14" t="inlineStr">
        <is>
          <t>◇21年ヴェルファイア・2.4Zプラチナセレ・乗り出し総額54万円◇実走行9万キロ/ツインムーンルーフ/フリップダウン/フルセグTV/両電動ドア</t>
        </is>
      </c>
      <c r="L603" s="8" t="inlineStr">
        <is>
          <t>https://page.auctions.yahoo.co.jp/jp/auction/x1235883241</t>
        </is>
      </c>
    </row>
    <row r="604">
      <c r="A604" s="13" t="inlineStr">
        <is>
          <t>ヴェルファイア</t>
        </is>
      </c>
      <c r="B604" s="13" t="n">
        <v>2009</v>
      </c>
      <c r="C604" s="13" t="inlineStr">
        <is>
          <t>20系</t>
        </is>
      </c>
      <c r="D604" s="15" t="n">
        <v>360000</v>
      </c>
      <c r="E604" s="13" t="n">
        <v>27</v>
      </c>
      <c r="F604" s="15" t="n">
        <v>112805</v>
      </c>
      <c r="G604" s="13" t="inlineStr">
        <is>
          <t>REAL_MILEAGE</t>
        </is>
      </c>
      <c r="H604" s="13" t="inlineStr">
        <is>
          <t>NONE</t>
        </is>
      </c>
      <c r="I604" s="15" t="n">
        <v>91160</v>
      </c>
      <c r="J604" s="13" t="inlineStr">
        <is>
          <t>2026-07-09T20:46:59+09:00</t>
        </is>
      </c>
      <c r="K604" s="14" t="inlineStr">
        <is>
          <t>【売切】積雪地方必須の４WDモデル！ヴェルファイア3.5Z プラチナSE 車検有（R8/10月迄）</t>
        </is>
      </c>
      <c r="L604" s="13" t="inlineStr">
        <is>
          <t>https://page.auctions.yahoo.co.jp/jp/auction/v1235084324</t>
        </is>
      </c>
    </row>
    <row r="605">
      <c r="A605" s="8" t="inlineStr">
        <is>
          <t>ヴェルファイア</t>
        </is>
      </c>
      <c r="B605" s="8" t="n">
        <v>2009</v>
      </c>
      <c r="C605" s="8" t="inlineStr">
        <is>
          <t>20系</t>
        </is>
      </c>
      <c r="D605" s="11" t="n">
        <v>200000</v>
      </c>
      <c r="E605" s="8" t="n">
        <v>2</v>
      </c>
      <c r="F605" s="11" t="n">
        <v>130300</v>
      </c>
      <c r="G605" s="8" t="inlineStr">
        <is>
          <t>REAL_MILEAGE</t>
        </is>
      </c>
      <c r="H605" s="8" t="inlineStr">
        <is>
          <t>NONE</t>
        </is>
      </c>
      <c r="I605" s="11" t="n">
        <v>0</v>
      </c>
      <c r="J605" s="8" t="inlineStr">
        <is>
          <t>2026-07-07T22:24:37+09:00</t>
        </is>
      </c>
      <c r="K605" s="14" t="inlineStr">
        <is>
          <t>売切！好調！H21年式トヨタヴェルファイア・フリップダウンモニター・両側オートスライド・走行13万km・車検R8年11月末迄・ANH20系2.4L.DVD</t>
        </is>
      </c>
      <c r="L605" s="8" t="inlineStr">
        <is>
          <t>https://page.auctions.yahoo.co.jp/jp/auction/m1236034520</t>
        </is>
      </c>
    </row>
    <row r="606">
      <c r="A606" s="13" t="inlineStr">
        <is>
          <t>ヴェルファイア</t>
        </is>
      </c>
      <c r="B606" s="13" t="n">
        <v>2009</v>
      </c>
      <c r="C606" s="13" t="inlineStr">
        <is>
          <t>20系</t>
        </is>
      </c>
      <c r="D606" s="15" t="n">
        <v>470000</v>
      </c>
      <c r="E606" s="13" t="n">
        <v>42</v>
      </c>
      <c r="F606" s="15" t="n">
        <v>75726</v>
      </c>
      <c r="G606" s="13" t="inlineStr">
        <is>
          <t>REAL_MILEAGE</t>
        </is>
      </c>
      <c r="H606" s="13" t="inlineStr">
        <is>
          <t>NONE</t>
        </is>
      </c>
      <c r="I606" s="15" t="n">
        <v>0</v>
      </c>
      <c r="J606" s="13" t="inlineStr">
        <is>
          <t>2026-07-07T22:24:24+09:00</t>
        </is>
      </c>
      <c r="K606" s="14" t="inlineStr">
        <is>
          <t>トヨタ　ヴェルファイア　ハイパワーの3.5V Lエディション 両側電動ドア、電動リアゲート</t>
        </is>
      </c>
      <c r="L606" s="13" t="inlineStr">
        <is>
          <t>https://page.auctions.yahoo.co.jp/jp/auction/u1235452983</t>
        </is>
      </c>
    </row>
    <row r="607">
      <c r="A607" s="8" t="inlineStr">
        <is>
          <t>ヴェルファイア</t>
        </is>
      </c>
      <c r="B607" s="8" t="n">
        <v>2009</v>
      </c>
      <c r="C607" s="8" t="inlineStr">
        <is>
          <t>20系</t>
        </is>
      </c>
      <c r="D607" s="11" t="n">
        <v>240000</v>
      </c>
      <c r="E607" s="8" t="n">
        <v>1</v>
      </c>
      <c r="F607" s="11" t="n">
        <v>101265</v>
      </c>
      <c r="G607" s="8" t="inlineStr">
        <is>
          <t>REAL_MILEAGE</t>
        </is>
      </c>
      <c r="H607" s="8" t="n"/>
      <c r="I607" s="11" t="n">
        <v>18290</v>
      </c>
      <c r="J607" s="8" t="inlineStr">
        <is>
          <t>2026-06-26T21:39:00+09:00</t>
        </is>
      </c>
      <c r="K607" s="14" t="inlineStr">
        <is>
          <t>★H21年 トヨタ ヴェルファイア 2.4Z 走行距離101,265キロ バックカメラ 後席モニター 8人乗り ETC☆売切☆大阪★</t>
        </is>
      </c>
      <c r="L607" s="8" t="inlineStr">
        <is>
          <t>https://page.auctions.yahoo.co.jp/jp/auction/n1234045138</t>
        </is>
      </c>
    </row>
    <row r="608">
      <c r="A608" s="13" t="inlineStr">
        <is>
          <t>ヴェルファイア</t>
        </is>
      </c>
      <c r="B608" s="13" t="n">
        <v>2009</v>
      </c>
      <c r="C608" s="13" t="inlineStr">
        <is>
          <t>20系</t>
        </is>
      </c>
      <c r="D608" s="15" t="n">
        <v>333333</v>
      </c>
      <c r="E608" s="13" t="n">
        <v>1</v>
      </c>
      <c r="F608" s="15" t="n">
        <v>112900</v>
      </c>
      <c r="G608" s="13" t="inlineStr">
        <is>
          <t>REAL_MILEAGE</t>
        </is>
      </c>
      <c r="H608" s="13" t="inlineStr">
        <is>
          <t>NONE</t>
        </is>
      </c>
      <c r="I608" s="15" t="n">
        <v>65800</v>
      </c>
      <c r="J608" s="13" t="inlineStr">
        <is>
          <t>2026-06-21T22:05:43+09:00</t>
        </is>
      </c>
      <c r="K608" s="14" t="inlineStr">
        <is>
          <t>機関快調★車検R8年11月★ヴェルファイア2.4Zプラチナムセレクション★左右パワスラ/パワーBドア/アルミ/純正ナビ地デジ/走行中TV視聴OK</t>
        </is>
      </c>
      <c r="L608" s="13" t="inlineStr">
        <is>
          <t>https://page.auctions.yahoo.co.jp/jp/auction/v1231989967</t>
        </is>
      </c>
    </row>
    <row r="609">
      <c r="A609" s="8" t="inlineStr">
        <is>
          <t>ヴェルファイア</t>
        </is>
      </c>
      <c r="B609" s="8" t="n">
        <v>2009</v>
      </c>
      <c r="C609" s="8" t="inlineStr">
        <is>
          <t>20系</t>
        </is>
      </c>
      <c r="D609" s="11" t="n">
        <v>245000</v>
      </c>
      <c r="E609" s="8" t="n">
        <v>1</v>
      </c>
      <c r="F609" s="11" t="n">
        <v>191000</v>
      </c>
      <c r="G609" s="8" t="inlineStr">
        <is>
          <t>REAL_MILEAGE</t>
        </is>
      </c>
      <c r="H609" s="8" t="inlineStr">
        <is>
          <t>EXISTS</t>
        </is>
      </c>
      <c r="I609" s="11" t="n">
        <v>0</v>
      </c>
      <c r="J609" s="8" t="inlineStr">
        <is>
          <t>2026-06-17T11:39:12+09:00</t>
        </is>
      </c>
      <c r="K609" s="14" t="inlineStr">
        <is>
          <t>ヴェルファイア 2.4 Z プラチナセレクション</t>
        </is>
      </c>
      <c r="L609" s="8" t="inlineStr">
        <is>
          <t>https://page.auctions.yahoo.co.jp/jp/auction/u1233689241</t>
        </is>
      </c>
    </row>
    <row r="610">
      <c r="A610" s="13" t="inlineStr">
        <is>
          <t>ヴェルファイア</t>
        </is>
      </c>
      <c r="B610" s="13" t="n">
        <v>2009</v>
      </c>
      <c r="C610" s="13" t="inlineStr">
        <is>
          <t>20系</t>
        </is>
      </c>
      <c r="D610" s="15" t="n">
        <v>215000</v>
      </c>
      <c r="E610" s="13" t="n">
        <v>23</v>
      </c>
      <c r="F610" s="15" t="n">
        <v>187000</v>
      </c>
      <c r="G610" s="13" t="inlineStr">
        <is>
          <t>REAL_MILEAGE</t>
        </is>
      </c>
      <c r="H610" s="13" t="inlineStr">
        <is>
          <t>NONE</t>
        </is>
      </c>
      <c r="I610" s="15" t="n">
        <v>0</v>
      </c>
      <c r="J610" s="13" t="inlineStr">
        <is>
          <t>2026-05-06T20:56:09+09:00</t>
        </is>
      </c>
      <c r="K610" s="14" t="inlineStr">
        <is>
          <t>売り切りTOYOTA20ヴェルファイア</t>
        </is>
      </c>
      <c r="L610" s="13" t="inlineStr">
        <is>
          <t>https://page.auctions.yahoo.co.jp/jp/auction/d1228371365</t>
        </is>
      </c>
    </row>
    <row r="611">
      <c r="A611" s="8" t="inlineStr">
        <is>
          <t>ヴェルファイア</t>
        </is>
      </c>
      <c r="B611" s="8" t="n">
        <v>2009</v>
      </c>
      <c r="C611" s="8" t="inlineStr">
        <is>
          <t>20系</t>
        </is>
      </c>
      <c r="D611" s="11" t="n">
        <v>328000</v>
      </c>
      <c r="E611" s="8" t="n">
        <v>1</v>
      </c>
      <c r="F611" s="11" t="n">
        <v>191000</v>
      </c>
      <c r="G611" s="8" t="inlineStr">
        <is>
          <t>REAL_MILEAGE</t>
        </is>
      </c>
      <c r="H611" s="8" t="inlineStr">
        <is>
          <t>EXISTS</t>
        </is>
      </c>
      <c r="I611" s="11" t="n">
        <v>0</v>
      </c>
      <c r="J611" s="8" t="inlineStr">
        <is>
          <t>2026-05-04T21:08:56+09:00</t>
        </is>
      </c>
      <c r="K611" s="14" t="inlineStr">
        <is>
          <t>21年式　ヴェルファイア 2.4Zプラチナセレクション！車検8年8月20日まで！</t>
        </is>
      </c>
      <c r="L611" s="8" t="inlineStr">
        <is>
          <t>https://page.auctions.yahoo.co.jp/jp/auction/o1226153305</t>
        </is>
      </c>
    </row>
    <row r="612">
      <c r="A612" s="13" t="inlineStr">
        <is>
          <t>ヴェルファイア</t>
        </is>
      </c>
      <c r="B612" s="13" t="n">
        <v>2009</v>
      </c>
      <c r="C612" s="13" t="inlineStr">
        <is>
          <t>20系</t>
        </is>
      </c>
      <c r="D612" s="15" t="n">
        <v>482000</v>
      </c>
      <c r="E612" s="13" t="n">
        <v>1</v>
      </c>
      <c r="F612" s="15" t="n">
        <v>139700</v>
      </c>
      <c r="G612" s="13" t="inlineStr">
        <is>
          <t>REAL_MILEAGE</t>
        </is>
      </c>
      <c r="H612" s="13" t="inlineStr">
        <is>
          <t>NONE</t>
        </is>
      </c>
      <c r="I612" s="15" t="n">
        <v>0</v>
      </c>
      <c r="J612" s="13" t="inlineStr">
        <is>
          <t>2026-04-23T21:14:39+09:00</t>
        </is>
      </c>
      <c r="K612" s="14" t="inlineStr">
        <is>
          <t>ANH20W ヴェルファイア　２，４Z　４人乗り貨物登録　１ナンバー予備検付き　パワスラ/ETC/オットマン/ナビ/TV/ドラレコ　売り切り</t>
        </is>
      </c>
      <c r="L612" s="13" t="inlineStr">
        <is>
          <t>https://page.auctions.yahoo.co.jp/jp/auction/w1225975315</t>
        </is>
      </c>
    </row>
    <row r="613">
      <c r="A613" s="8" t="inlineStr">
        <is>
          <t>ヴェルファイア</t>
        </is>
      </c>
      <c r="B613" s="8" t="n">
        <v>2009</v>
      </c>
      <c r="C613" s="8" t="inlineStr">
        <is>
          <t>20系</t>
        </is>
      </c>
      <c r="D613" s="11" t="n">
        <v>478000</v>
      </c>
      <c r="E613" s="8" t="n">
        <v>1</v>
      </c>
      <c r="F613" s="11" t="n">
        <v>100959</v>
      </c>
      <c r="G613" s="8" t="inlineStr">
        <is>
          <t>REAL_MILEAGE</t>
        </is>
      </c>
      <c r="H613" s="8" t="inlineStr">
        <is>
          <t>NONE</t>
        </is>
      </c>
      <c r="I613" s="11" t="n">
        <v>0</v>
      </c>
      <c r="J613" s="8" t="inlineStr">
        <is>
          <t>2026-04-17T18:40:57+09:00</t>
        </is>
      </c>
      <c r="K613" s="14" t="inlineStr">
        <is>
          <t>◇21年ヴェルファイア・2.4Zプラチナセレ・乗り出し総額61万円◇実走行１０万キロ/フリップダウン/フルセグ/両側＋後電動ドア/修復歴無し</t>
        </is>
      </c>
      <c r="L613" s="8" t="inlineStr">
        <is>
          <t>https://page.auctions.yahoo.co.jp/jp/auction/k1226704312</t>
        </is>
      </c>
    </row>
    <row r="614">
      <c r="A614" s="13" t="inlineStr">
        <is>
          <t>ヴェルファイア</t>
        </is>
      </c>
      <c r="B614" s="13" t="n">
        <v>2009</v>
      </c>
      <c r="C614" s="13" t="inlineStr">
        <is>
          <t>20系</t>
        </is>
      </c>
      <c r="D614" s="15" t="n">
        <v>376003</v>
      </c>
      <c r="E614" s="13" t="n">
        <v>156</v>
      </c>
      <c r="F614" s="15" t="n">
        <v>182700</v>
      </c>
      <c r="G614" s="13" t="inlineStr">
        <is>
          <t>REAL_MILEAGE</t>
        </is>
      </c>
      <c r="H614" s="13" t="n"/>
      <c r="I614" s="15" t="n">
        <v>0</v>
      </c>
      <c r="J614" s="13" t="inlineStr">
        <is>
          <t>2026-04-14T20:38:04+09:00</t>
        </is>
      </c>
      <c r="K614" s="14" t="inlineStr">
        <is>
          <t>1万円スタートトヨタヴェルファイアZ 4WD</t>
        </is>
      </c>
      <c r="L614" s="13" t="inlineStr">
        <is>
          <t>https://page.auctions.yahoo.co.jp/jp/auction/o1226094895</t>
        </is>
      </c>
    </row>
    <row r="615">
      <c r="A615" s="8" t="inlineStr">
        <is>
          <t>ヴェルファイア</t>
        </is>
      </c>
      <c r="B615" s="8" t="n">
        <v>2009</v>
      </c>
      <c r="C615" s="8" t="inlineStr">
        <is>
          <t>20系</t>
        </is>
      </c>
      <c r="D615" s="11" t="n">
        <v>430000</v>
      </c>
      <c r="E615" s="8" t="n">
        <v>51</v>
      </c>
      <c r="F615" s="11" t="n">
        <v>93500</v>
      </c>
      <c r="G615" s="8" t="inlineStr">
        <is>
          <t>REAL_MILEAGE</t>
        </is>
      </c>
      <c r="H615" s="8" t="inlineStr">
        <is>
          <t>NONE</t>
        </is>
      </c>
      <c r="I615" s="11" t="n">
        <v>0</v>
      </c>
      <c r="J615" s="8" t="inlineStr">
        <is>
          <t>2026-04-11T22:11:48+09:00</t>
        </is>
      </c>
      <c r="K615" s="14" t="inlineStr">
        <is>
          <t>ヴェルファイア 20 プラチナセレクション 9万キロ代 車検付き【セルモーター・バッテリー・ハブベアリング・ベルト交換済み】</t>
        </is>
      </c>
      <c r="L615" s="8" t="inlineStr">
        <is>
          <t>https://page.auctions.yahoo.co.jp/jp/auction/d1225232295</t>
        </is>
      </c>
    </row>
    <row r="616">
      <c r="A616" s="13" t="inlineStr">
        <is>
          <t>ヴェルファイア</t>
        </is>
      </c>
      <c r="B616" s="13" t="n">
        <v>2009</v>
      </c>
      <c r="C616" s="13" t="inlineStr">
        <is>
          <t>20系</t>
        </is>
      </c>
      <c r="D616" s="15" t="n">
        <v>187000</v>
      </c>
      <c r="E616" s="13" t="n">
        <v>12</v>
      </c>
      <c r="F616" s="15" t="n">
        <v>176200</v>
      </c>
      <c r="G616" s="13" t="inlineStr">
        <is>
          <t>REAL_MILEAGE</t>
        </is>
      </c>
      <c r="H616" s="13" t="n"/>
      <c r="I616" s="15" t="n">
        <v>0</v>
      </c>
      <c r="J616" s="13" t="inlineStr">
        <is>
          <t>2026-03-29T20:47:10+09:00</t>
        </is>
      </c>
      <c r="K616" s="14" t="inlineStr">
        <is>
          <t>平成21年 ヴェルファイア 2.4V ８人乗り 車検11月まで 純正８インチ トヨタプレミアムサウンド パワーシート デイトナ ナスカー 輸出</t>
        </is>
      </c>
      <c r="L616" s="13" t="inlineStr">
        <is>
          <t>https://page.auctions.yahoo.co.jp/jp/auction/w1223732900</t>
        </is>
      </c>
    </row>
    <row r="617">
      <c r="A617" s="8" t="inlineStr">
        <is>
          <t>ヴェルファイア</t>
        </is>
      </c>
      <c r="B617" s="8" t="n">
        <v>2009</v>
      </c>
      <c r="C617" s="8" t="inlineStr">
        <is>
          <t>20系</t>
        </is>
      </c>
      <c r="D617" s="11" t="n">
        <v>880000</v>
      </c>
      <c r="E617" s="8" t="n">
        <v>1</v>
      </c>
      <c r="F617" s="11" t="n">
        <v>55000</v>
      </c>
      <c r="G617" s="8" t="inlineStr">
        <is>
          <t>REAL_MILEAGE</t>
        </is>
      </c>
      <c r="H617" s="8" t="inlineStr">
        <is>
          <t>NONE</t>
        </is>
      </c>
      <c r="I617" s="11" t="n">
        <v>0</v>
      </c>
      <c r="J617" s="8" t="inlineStr">
        <is>
          <t>2026-03-29T01:20:08+09:00</t>
        </is>
      </c>
      <c r="K617" s="14" t="inlineStr">
        <is>
          <t>ヴェルファイア 2.4 Z プラチナセレクション 両側電動スライドドア/ETC/前後ドラレコ/バ</t>
        </is>
      </c>
      <c r="L617" s="8" t="inlineStr">
        <is>
          <t>https://page.auctions.yahoo.co.jp/jp/auction/j1195063850</t>
        </is>
      </c>
    </row>
    <row r="618">
      <c r="A618" s="13" t="inlineStr">
        <is>
          <t>ヴェルファイア</t>
        </is>
      </c>
      <c r="B618" s="13" t="n">
        <v>2009</v>
      </c>
      <c r="C618" s="13" t="inlineStr">
        <is>
          <t>20系</t>
        </is>
      </c>
      <c r="D618" s="15" t="n">
        <v>400000</v>
      </c>
      <c r="E618" s="13" t="n">
        <v>1</v>
      </c>
      <c r="F618" s="15" t="n">
        <v>131796</v>
      </c>
      <c r="G618" s="13" t="inlineStr">
        <is>
          <t>REAL_MILEAGE</t>
        </is>
      </c>
      <c r="H618" s="13" t="inlineStr">
        <is>
          <t>NONE</t>
        </is>
      </c>
      <c r="I618" s="15" t="n">
        <v>0</v>
      </c>
      <c r="J618" s="13" t="inlineStr">
        <is>
          <t>2026-02-27T21:21:14+09:00</t>
        </is>
      </c>
      <c r="K618" s="14" t="inlineStr">
        <is>
          <t>【諸費用コミ】返金保証付:長野県 伊那市 中古車 平成21年 トヨタ ヴェルファイア 2.4 Z プラチナセレクション 電動スラ</t>
        </is>
      </c>
      <c r="L618" s="13" t="inlineStr">
        <is>
          <t>https://page.auctions.yahoo.co.jp/jp/auction/w1220277565</t>
        </is>
      </c>
    </row>
    <row r="619">
      <c r="A619" s="8" t="inlineStr">
        <is>
          <t>ヴェルファイア</t>
        </is>
      </c>
      <c r="B619" s="8" t="n">
        <v>2009</v>
      </c>
      <c r="C619" s="8" t="inlineStr">
        <is>
          <t>20系</t>
        </is>
      </c>
      <c r="D619" s="11" t="n">
        <v>468000</v>
      </c>
      <c r="E619" s="8" t="n">
        <v>1</v>
      </c>
      <c r="F619" s="11" t="n">
        <v>148000</v>
      </c>
      <c r="G619" s="8" t="inlineStr">
        <is>
          <t>REAL_MILEAGE</t>
        </is>
      </c>
      <c r="H619" s="8" t="inlineStr">
        <is>
          <t>NONE</t>
        </is>
      </c>
      <c r="I619" s="11" t="n">
        <v>0</v>
      </c>
      <c r="J619" s="8" t="inlineStr">
        <is>
          <t>2026-02-25T17:11:11+09:00</t>
        </is>
      </c>
      <c r="K619" s="14" t="inlineStr">
        <is>
          <t>【コミコミ総額５２.５万円】京都★車検R8年10月★ヴェルファイア2.4Z★特別仕様車★ANH20★プラチナセレクション★機関良好★修復歴無！</t>
        </is>
      </c>
      <c r="L619" s="8" t="inlineStr">
        <is>
          <t>https://page.auctions.yahoo.co.jp/jp/auction/f1216303114</t>
        </is>
      </c>
    </row>
    <row r="620">
      <c r="A620" s="13" t="inlineStr">
        <is>
          <t>ヴェルファイア</t>
        </is>
      </c>
      <c r="B620" s="13" t="n">
        <v>2009</v>
      </c>
      <c r="C620" s="13" t="inlineStr">
        <is>
          <t>20系</t>
        </is>
      </c>
      <c r="D620" s="15" t="n">
        <v>380000</v>
      </c>
      <c r="E620" s="13" t="n">
        <v>1</v>
      </c>
      <c r="F620" s="15" t="n">
        <v>110000</v>
      </c>
      <c r="G620" s="13" t="inlineStr">
        <is>
          <t>REAL_MILEAGE</t>
        </is>
      </c>
      <c r="H620" s="13" t="inlineStr">
        <is>
          <t>NONE</t>
        </is>
      </c>
      <c r="I620" s="15" t="n">
        <v>0</v>
      </c>
      <c r="J620" s="13" t="inlineStr">
        <is>
          <t>2026-02-24T18:54:08+09:00</t>
        </is>
      </c>
      <c r="K620" s="14" t="inlineStr">
        <is>
          <t>ヴェルファイア20</t>
        </is>
      </c>
      <c r="L620" s="13" t="inlineStr">
        <is>
          <t>https://page.auctions.yahoo.co.jp/jp/auction/t1220767092</t>
        </is>
      </c>
    </row>
    <row r="621">
      <c r="A621" s="8" t="inlineStr">
        <is>
          <t>ヴェルファイア</t>
        </is>
      </c>
      <c r="B621" s="8" t="n">
        <v>2009</v>
      </c>
      <c r="C621" s="8" t="inlineStr">
        <is>
          <t>20系</t>
        </is>
      </c>
      <c r="D621" s="11" t="n">
        <v>330000</v>
      </c>
      <c r="E621" s="8" t="n">
        <v>140</v>
      </c>
      <c r="F621" s="11" t="n">
        <v>179050</v>
      </c>
      <c r="G621" s="8" t="inlineStr">
        <is>
          <t>REAL_MILEAGE</t>
        </is>
      </c>
      <c r="H621" s="8" t="inlineStr">
        <is>
          <t>NONE</t>
        </is>
      </c>
      <c r="I621" s="11" t="n">
        <v>0</v>
      </c>
      <c r="J621" s="8" t="inlineStr">
        <is>
          <t>2026-02-23T22:48:35+09:00</t>
        </is>
      </c>
      <c r="K621" s="14" t="inlineStr">
        <is>
          <t>H21ヴェルファイア2.4Zプラチナセレクション　アルパイン車種別ナビリアモニター！両側パワスラ、パワーバックドア　極上車　予備検査付</t>
        </is>
      </c>
      <c r="L621" s="8" t="inlineStr">
        <is>
          <t>https://page.auctions.yahoo.co.jp/jp/auction/e1220077046</t>
        </is>
      </c>
    </row>
    <row r="622">
      <c r="A622" s="13" t="inlineStr">
        <is>
          <t>ヴェルファイア</t>
        </is>
      </c>
      <c r="B622" s="13" t="n">
        <v>2008</v>
      </c>
      <c r="C622" s="13" t="inlineStr">
        <is>
          <t>20系</t>
        </is>
      </c>
      <c r="D622" s="15" t="n">
        <v>330000</v>
      </c>
      <c r="E622" s="13" t="n">
        <v>90</v>
      </c>
      <c r="F622" s="15" t="n">
        <v>135000</v>
      </c>
      <c r="G622" s="13" t="inlineStr">
        <is>
          <t>REAL_MILEAGE</t>
        </is>
      </c>
      <c r="H622" s="13" t="inlineStr">
        <is>
          <t>NONE</t>
        </is>
      </c>
      <c r="I622" s="15" t="n">
        <v>52490</v>
      </c>
      <c r="J622" s="13" t="inlineStr">
        <is>
          <t>2026-08-21T21:02:07+09:00</t>
        </is>
      </c>
      <c r="K622" s="14" t="inlineStr">
        <is>
          <t>【即決45万/車検R10年1月】ヴェルファイア2.4★7人乗り/両側パワスラ/Bluetooth/オットマン★乗って帰れます！一宮発</t>
        </is>
      </c>
      <c r="L622" s="13" t="inlineStr">
        <is>
          <t>https://page.auctions.yahoo.co.jp/jp/auction/t1241113105</t>
        </is>
      </c>
    </row>
    <row r="623">
      <c r="A623" s="8" t="inlineStr">
        <is>
          <t>ヴェルファイア</t>
        </is>
      </c>
      <c r="B623" s="8" t="n">
        <v>2008</v>
      </c>
      <c r="C623" s="8" t="inlineStr">
        <is>
          <t>20系</t>
        </is>
      </c>
      <c r="D623" s="11" t="n">
        <v>276000</v>
      </c>
      <c r="E623" s="8" t="n">
        <v>16</v>
      </c>
      <c r="F623" s="11" t="n">
        <v>217000</v>
      </c>
      <c r="G623" s="8" t="inlineStr">
        <is>
          <t>REAL_MILEAGE</t>
        </is>
      </c>
      <c r="H623" s="8" t="n"/>
      <c r="I623" s="11" t="n">
        <v>0</v>
      </c>
      <c r="J623" s="8" t="inlineStr">
        <is>
          <t>2026-07-05T23:09:19+09:00</t>
        </is>
      </c>
      <c r="K623" s="14" t="inlineStr">
        <is>
          <t>トヨタ ヴェルファイア 2.4Z</t>
        </is>
      </c>
      <c r="L623" s="8" t="inlineStr">
        <is>
          <t>https://page.auctions.yahoo.co.jp/jp/auction/u1234598579</t>
        </is>
      </c>
    </row>
    <row r="624">
      <c r="A624" s="13" t="inlineStr">
        <is>
          <t>ヴェルファイア</t>
        </is>
      </c>
      <c r="B624" s="13" t="n">
        <v>2008</v>
      </c>
      <c r="C624" s="13" t="inlineStr">
        <is>
          <t>20系</t>
        </is>
      </c>
      <c r="D624" s="15" t="n">
        <v>489000</v>
      </c>
      <c r="E624" s="13" t="n">
        <v>5</v>
      </c>
      <c r="F624" s="15" t="n">
        <v>125200</v>
      </c>
      <c r="G624" s="13" t="inlineStr">
        <is>
          <t>REAL_MILEAGE</t>
        </is>
      </c>
      <c r="H624" s="13" t="inlineStr">
        <is>
          <t>NONE</t>
        </is>
      </c>
      <c r="I624" s="15" t="n">
        <v>71590</v>
      </c>
      <c r="J624" s="13" t="inlineStr">
        <is>
          <t>2026-06-18T20:21:55+09:00</t>
        </is>
      </c>
      <c r="K624" s="14" t="inlineStr">
        <is>
          <t xml:space="preserve">車検9年10月 ヴェルファイア 4WD 2.4Z ワンオーナー トヨタプレミアムサウンドS 18スピーカー(5.1ch) /16ch リアエンターテインメント </t>
        </is>
      </c>
      <c r="L624" s="13" t="inlineStr">
        <is>
          <t>https://page.auctions.yahoo.co.jp/jp/auction/u1233246920</t>
        </is>
      </c>
    </row>
    <row r="625">
      <c r="A625" s="8" t="inlineStr">
        <is>
          <t>ヴェルファイア</t>
        </is>
      </c>
      <c r="B625" s="8" t="n">
        <v>2008</v>
      </c>
      <c r="C625" s="8" t="inlineStr">
        <is>
          <t>20系</t>
        </is>
      </c>
      <c r="D625" s="11" t="n">
        <v>350000</v>
      </c>
      <c r="E625" s="8" t="n">
        <v>86</v>
      </c>
      <c r="F625" s="11" t="n">
        <v>111600</v>
      </c>
      <c r="G625" s="8" t="inlineStr">
        <is>
          <t>REAL_MILEAGE</t>
        </is>
      </c>
      <c r="H625" s="8" t="inlineStr">
        <is>
          <t>NONE</t>
        </is>
      </c>
      <c r="I625" s="11" t="n">
        <v>0</v>
      </c>
      <c r="J625" s="8" t="inlineStr">
        <is>
          <t>2026-04-26T17:43:54+09:00</t>
        </is>
      </c>
      <c r="K625" s="14" t="inlineStr">
        <is>
          <t>★GWのお出かけにいかがですか？★乗って帰れます★車検：令和8年12月まで★ヴェルファイア★アルパインナビ★フィリップダウンモニター★</t>
        </is>
      </c>
      <c r="L625" s="8" t="inlineStr">
        <is>
          <t>https://page.auctions.yahoo.co.jp/jp/auction/1220820265</t>
        </is>
      </c>
    </row>
    <row r="626">
      <c r="A626" s="13" t="inlineStr">
        <is>
          <t>ヴェルファイア</t>
        </is>
      </c>
      <c r="B626" s="13" t="n">
        <v>2008</v>
      </c>
      <c r="C626" s="13" t="inlineStr">
        <is>
          <t>20系</t>
        </is>
      </c>
      <c r="D626" s="15" t="n">
        <v>260000</v>
      </c>
      <c r="E626" s="13" t="n">
        <v>20</v>
      </c>
      <c r="F626" s="15" t="n">
        <v>195202</v>
      </c>
      <c r="G626" s="13" t="inlineStr">
        <is>
          <t>REAL_MILEAGE</t>
        </is>
      </c>
      <c r="H626" s="13" t="inlineStr">
        <is>
          <t>NONE</t>
        </is>
      </c>
      <c r="I626" s="15" t="n">
        <v>0</v>
      </c>
      <c r="J626" s="13" t="inlineStr">
        <is>
          <t>2026-04-25T21:47:10+09:00</t>
        </is>
      </c>
      <c r="K626" s="14" t="inlineStr">
        <is>
          <t>ヴェルファイア 20系前期 4WD 車いす移動車 現状車 車検なし エアコン故障</t>
        </is>
      </c>
      <c r="L626" s="13" t="inlineStr">
        <is>
          <t>https://page.auctions.yahoo.co.jp/jp/auction/w1227569712</t>
        </is>
      </c>
    </row>
    <row r="627">
      <c r="A627" s="8" t="inlineStr">
        <is>
          <t>ヴェルファイア</t>
        </is>
      </c>
      <c r="B627" s="8" t="n">
        <v>2008</v>
      </c>
      <c r="C627" s="8" t="inlineStr">
        <is>
          <t>20系</t>
        </is>
      </c>
      <c r="D627" s="11" t="n">
        <v>286000</v>
      </c>
      <c r="E627" s="8" t="n">
        <v>64</v>
      </c>
      <c r="F627" s="11" t="n">
        <v>112567</v>
      </c>
      <c r="G627" s="8" t="inlineStr">
        <is>
          <t>REAL_MILEAGE</t>
        </is>
      </c>
      <c r="H627" s="8" t="inlineStr">
        <is>
          <t>NONE</t>
        </is>
      </c>
      <c r="I627" s="11" t="n">
        <v>0</v>
      </c>
      <c r="J627" s="8" t="inlineStr">
        <is>
          <t>2026-03-22T22:13:08+09:00</t>
        </is>
      </c>
      <c r="K627" s="14" t="inlineStr">
        <is>
          <t xml:space="preserve">20ヴェルファイア　2.4　ワンオーナー　車検令和9年11月30日まで付き　ナビ　ETC バックモニター　</t>
        </is>
      </c>
      <c r="L627" s="8" t="inlineStr">
        <is>
          <t>https://page.auctions.yahoo.co.jp/jp/auction/g1222708158</t>
        </is>
      </c>
    </row>
    <row r="628">
      <c r="A628" s="13" t="inlineStr">
        <is>
          <t>ヴェルファイア</t>
        </is>
      </c>
      <c r="B628" s="13" t="n">
        <v>2008</v>
      </c>
      <c r="C628" s="13" t="inlineStr">
        <is>
          <t>20系</t>
        </is>
      </c>
      <c r="D628" s="15" t="n">
        <v>465000</v>
      </c>
      <c r="E628" s="13" t="n">
        <v>1</v>
      </c>
      <c r="F628" s="15" t="n">
        <v>158700</v>
      </c>
      <c r="G628" s="13" t="inlineStr">
        <is>
          <t>REAL_MILEAGE</t>
        </is>
      </c>
      <c r="H628" s="13" t="inlineStr">
        <is>
          <t>NONE</t>
        </is>
      </c>
      <c r="I628" s="15" t="n">
        <v>0</v>
      </c>
      <c r="J628" s="13" t="inlineStr">
        <is>
          <t>2026-03-19T19:18:55+09:00</t>
        </is>
      </c>
      <c r="K628" s="14" t="inlineStr">
        <is>
          <t>ヴェルファイア*検10/3迄*HID*スマートキー*両パワスラ*フリップダウン*純正ナビ*Bカメラ*DVD*CD*ETC*純正AW*340311S2</t>
        </is>
      </c>
      <c r="L628" s="13" t="inlineStr">
        <is>
          <t>https://page.auctions.yahoo.co.jp/jp/auction/o1222925616</t>
        </is>
      </c>
    </row>
    <row r="629">
      <c r="A629" s="8" t="inlineStr">
        <is>
          <t>ヴェルファイア</t>
        </is>
      </c>
      <c r="B629" s="8" t="n">
        <v>2008</v>
      </c>
      <c r="C629" s="8" t="inlineStr">
        <is>
          <t>20系</t>
        </is>
      </c>
      <c r="D629" s="11" t="n">
        <v>345000</v>
      </c>
      <c r="E629" s="8" t="n">
        <v>27</v>
      </c>
      <c r="F629" s="11" t="n">
        <v>127085</v>
      </c>
      <c r="G629" s="8" t="inlineStr">
        <is>
          <t>REAL_MILEAGE</t>
        </is>
      </c>
      <c r="H629" s="8" t="inlineStr">
        <is>
          <t>NONE</t>
        </is>
      </c>
      <c r="I629" s="11" t="n">
        <v>0</v>
      </c>
      <c r="J629" s="8" t="inlineStr">
        <is>
          <t>2026-03-14T21:30:21+09:00</t>
        </is>
      </c>
      <c r="K629" s="14" t="inlineStr">
        <is>
          <t>【現状渡し】トヨタ　ヴェルファイア　2.4Z　平成20年　12万キロ　車検令和9年8月まで　福岡県</t>
        </is>
      </c>
      <c r="L629" s="8" t="inlineStr">
        <is>
          <t>https://page.auctions.yahoo.co.jp/jp/auction/e1222291910</t>
        </is>
      </c>
    </row>
    <row r="630">
      <c r="A630" s="13" t="inlineStr">
        <is>
          <t>ヴェルファイア</t>
        </is>
      </c>
      <c r="B630" s="13" t="n">
        <v>2008</v>
      </c>
      <c r="C630" s="13" t="inlineStr">
        <is>
          <t>20系</t>
        </is>
      </c>
      <c r="D630" s="15" t="n">
        <v>390000</v>
      </c>
      <c r="E630" s="13" t="n">
        <v>1</v>
      </c>
      <c r="F630" s="15" t="n">
        <v>158000</v>
      </c>
      <c r="G630" s="13" t="inlineStr">
        <is>
          <t>REAL_MILEAGE</t>
        </is>
      </c>
      <c r="H630" s="13" t="inlineStr">
        <is>
          <t>NONE</t>
        </is>
      </c>
      <c r="I630" s="15" t="n">
        <v>0</v>
      </c>
      <c r="J630" s="13" t="inlineStr">
        <is>
          <t>2026-02-27T12:01:16+09:00</t>
        </is>
      </c>
      <c r="K630" s="14" t="inlineStr">
        <is>
          <t>返金保証付:平成20年 ヴェルファイア 2.4 Z ナビ&amp;TV&amp;後席モニター付</t>
        </is>
      </c>
      <c r="L630" s="13" t="inlineStr">
        <is>
          <t>https://page.auctions.yahoo.co.jp/jp/auction/u1218807200</t>
        </is>
      </c>
    </row>
    <row r="631">
      <c r="A631" s="8" t="inlineStr">
        <is>
          <t>ヴェルファイア</t>
        </is>
      </c>
      <c r="B631" s="8" t="n">
        <v>2008</v>
      </c>
      <c r="C631" s="8" t="inlineStr">
        <is>
          <t>20系</t>
        </is>
      </c>
      <c r="D631" s="11" t="n">
        <v>331000</v>
      </c>
      <c r="E631" s="8" t="n">
        <v>53</v>
      </c>
      <c r="F631" s="11" t="n">
        <v>110500</v>
      </c>
      <c r="G631" s="8" t="inlineStr">
        <is>
          <t>REAL_MILEAGE</t>
        </is>
      </c>
      <c r="H631" s="8" t="inlineStr">
        <is>
          <t>NONE</t>
        </is>
      </c>
      <c r="I631" s="11" t="n">
        <v>0</v>
      </c>
      <c r="J631" s="8" t="inlineStr">
        <is>
          <t>2026-02-23T21:34:31+09:00</t>
        </is>
      </c>
      <c r="K631" s="14" t="inlineStr">
        <is>
          <t>100円売切り　平成20年　ヴェルファイア　2.4Z　走行110500キロ　車検令和9年6月　両側パワースライドドア　ツインサンルーフ　修復歴無し</t>
        </is>
      </c>
      <c r="L631" s="8" t="inlineStr">
        <is>
          <t>https://page.auctions.yahoo.co.jp/jp/auction/j1219744420</t>
        </is>
      </c>
    </row>
    <row r="632">
      <c r="A632" s="13" t="inlineStr">
        <is>
          <t>ヴェルファイア</t>
        </is>
      </c>
      <c r="B632" s="13" t="n"/>
      <c r="C632" s="13" t="inlineStr"/>
      <c r="D632" s="15" t="n">
        <v>272000</v>
      </c>
      <c r="E632" s="13" t="n">
        <v>70</v>
      </c>
      <c r="F632" s="15" t="n"/>
      <c r="G632" s="13" t="n"/>
      <c r="H632" s="13" t="n"/>
      <c r="I632" s="15" t="n"/>
      <c r="J632" s="13" t="inlineStr">
        <is>
          <t>2026-08-21T00:07:04+09:00</t>
        </is>
      </c>
      <c r="K632" s="14" t="inlineStr">
        <is>
          <t>ベルファイヤ 3.5 4wd 車検付き　乗って帰れます。宮城県より　個人出品　GGH25W v6エンジン280馬力　8人乗り　アルファード　中古</t>
        </is>
      </c>
      <c r="L632" s="13" t="inlineStr">
        <is>
          <t>https://page.auctions.yahoo.co.jp/jp/auction/s1239899409</t>
        </is>
      </c>
    </row>
    <row r="633">
      <c r="A633" s="8" t="inlineStr">
        <is>
          <t>ヴェルファイア</t>
        </is>
      </c>
      <c r="B633" s="8" t="n"/>
      <c r="C633" s="8" t="inlineStr"/>
      <c r="D633" s="11" t="n">
        <v>498000</v>
      </c>
      <c r="E633" s="8" t="n">
        <v>1</v>
      </c>
      <c r="F633" s="11" t="n"/>
      <c r="G633" s="8" t="n"/>
      <c r="H633" s="8" t="n"/>
      <c r="I633" s="11" t="n"/>
      <c r="J633" s="8" t="inlineStr">
        <is>
          <t>2026-07-30T14:35:47+09:00</t>
        </is>
      </c>
      <c r="K633" s="14" t="inlineStr">
        <is>
          <t>返金保証付:4WD/クルーズコントロール/エンジンスターター/フルセグ走行中TV/DVDビデオ/両側電動ドア/スマートキー2個</t>
        </is>
      </c>
      <c r="L633" s="8" t="inlineStr">
        <is>
          <t>https://page.auctions.yahoo.co.jp/jp/auction/c1237682744</t>
        </is>
      </c>
    </row>
    <row r="634">
      <c r="A634" s="13" t="inlineStr">
        <is>
          <t>ヴェルファイア</t>
        </is>
      </c>
      <c r="B634" s="13" t="n"/>
      <c r="C634" s="13" t="inlineStr"/>
      <c r="D634" s="15" t="n">
        <v>531000</v>
      </c>
      <c r="E634" s="13" t="n">
        <v>118</v>
      </c>
      <c r="F634" s="15" t="n"/>
      <c r="G634" s="13" t="n"/>
      <c r="H634" s="13" t="n"/>
      <c r="I634" s="15" t="n"/>
      <c r="J634" s="13" t="inlineStr">
        <is>
          <t>2026-07-10T21:34:43+09:00</t>
        </is>
      </c>
      <c r="K634" s="14" t="inlineStr">
        <is>
          <t>平成22年12月登録！後期仕様！サンルーフ付き！パワーバックドア！８型メーカーナビ！車検令和9年2月！！</t>
        </is>
      </c>
      <c r="L634" s="13" t="inlineStr">
        <is>
          <t>https://page.auctions.yahoo.co.jp/jp/auction/c1235654013</t>
        </is>
      </c>
    </row>
    <row r="635">
      <c r="A635" s="8" t="inlineStr">
        <is>
          <t>ヴェルファイア</t>
        </is>
      </c>
      <c r="B635" s="8" t="n"/>
      <c r="C635" s="8" t="inlineStr"/>
      <c r="D635" s="11" t="n">
        <v>461000</v>
      </c>
      <c r="E635" s="8" t="n">
        <v>54</v>
      </c>
      <c r="F635" s="11" t="n"/>
      <c r="G635" s="8" t="n"/>
      <c r="H635" s="8" t="n"/>
      <c r="I635" s="11" t="n"/>
      <c r="J635" s="8" t="inlineStr">
        <is>
          <t>2026-06-13T21:00:39+09:00</t>
        </is>
      </c>
      <c r="K635" s="14" t="inlineStr">
        <is>
          <t>V6！H26登録！Golden Eyes 2！即決全込み！</t>
        </is>
      </c>
      <c r="L635" s="8" t="inlineStr">
        <is>
          <t>https://page.auctions.yahoo.co.jp/jp/auction/l1232043127</t>
        </is>
      </c>
    </row>
    <row r="636">
      <c r="A636" s="13" t="inlineStr">
        <is>
          <t>ヴェルファイア</t>
        </is>
      </c>
      <c r="B636" s="13" t="n"/>
      <c r="C636" s="13" t="inlineStr"/>
      <c r="D636" s="15" t="n">
        <v>498000</v>
      </c>
      <c r="E636" s="13" t="n">
        <v>1</v>
      </c>
      <c r="F636" s="15" t="n"/>
      <c r="G636" s="13" t="n"/>
      <c r="H636" s="13" t="n"/>
      <c r="I636" s="15" t="n"/>
      <c r="J636" s="13" t="inlineStr">
        <is>
          <t>2026-06-13T12:26:06+09:00</t>
        </is>
      </c>
      <c r="K636" s="14" t="inlineStr">
        <is>
          <t>返金保証付:パワーバックドア/両側電動ドア/スマートキー2個/フルセグTV/Bluetoothオーディオ/バックカメラ/ドラレコ</t>
        </is>
      </c>
      <c r="L636" s="13" t="inlineStr">
        <is>
          <t>https://page.auctions.yahoo.co.jp/jp/auction/d1231034783</t>
        </is>
      </c>
    </row>
    <row r="637">
      <c r="A637" s="8" t="inlineStr">
        <is>
          <t>ヴェルファイア</t>
        </is>
      </c>
      <c r="B637" s="8" t="n"/>
      <c r="C637" s="8" t="inlineStr"/>
      <c r="D637" s="11" t="n">
        <v>391000</v>
      </c>
      <c r="E637" s="8" t="n">
        <v>65</v>
      </c>
      <c r="F637" s="11" t="n"/>
      <c r="G637" s="8" t="n"/>
      <c r="H637" s="8" t="n"/>
      <c r="I637" s="11" t="n"/>
      <c r="J637" s="8" t="inlineStr">
        <is>
          <t>2026-06-07T21:03:02+09:00</t>
        </is>
      </c>
      <c r="K637" s="14" t="inlineStr">
        <is>
          <t>H24年後期型！車検R9年3月！リアモニター！ナビ・ETC！乗って帰れます！</t>
        </is>
      </c>
      <c r="L637" s="8" t="inlineStr">
        <is>
          <t>https://page.auctions.yahoo.co.jp/jp/auction/v1230587756</t>
        </is>
      </c>
    </row>
    <row r="638">
      <c r="A638" s="13" t="inlineStr">
        <is>
          <t>ヴェルファイア</t>
        </is>
      </c>
      <c r="B638" s="13" t="n"/>
      <c r="C638" s="13" t="inlineStr"/>
      <c r="D638" s="15" t="n">
        <v>362000</v>
      </c>
      <c r="E638" s="13" t="n">
        <v>77</v>
      </c>
      <c r="F638" s="15" t="n"/>
      <c r="G638" s="13" t="n"/>
      <c r="H638" s="13" t="n"/>
      <c r="I638" s="15" t="n"/>
      <c r="J638" s="13" t="inlineStr">
        <is>
          <t>2026-06-07T20:46:05+09:00</t>
        </is>
      </c>
      <c r="K638" s="14" t="inlineStr">
        <is>
          <t>1円～ ☆ 美車　アドミレーションフルエアロ　上級グレード　プラチナセレクション　人気の黒　修復歴無　R9年2月迄　豪華装備!! ☆ 売切♪</t>
        </is>
      </c>
      <c r="L638" s="13" t="inlineStr">
        <is>
          <t>https://page.auctions.yahoo.co.jp/jp/auction/l1231856178</t>
        </is>
      </c>
    </row>
    <row r="639">
      <c r="A639" s="8" t="inlineStr">
        <is>
          <t>ヴェルファイア</t>
        </is>
      </c>
      <c r="B639" s="8" t="n"/>
      <c r="C639" s="8" t="inlineStr"/>
      <c r="D639" s="11" t="n">
        <v>650000</v>
      </c>
      <c r="E639" s="8" t="n">
        <v>17</v>
      </c>
      <c r="F639" s="11" t="n"/>
      <c r="G639" s="8" t="n"/>
      <c r="H639" s="8" t="n"/>
      <c r="I639" s="11" t="n"/>
      <c r="J639" s="8" t="inlineStr">
        <is>
          <t>2026-06-01T15:20:02+09:00</t>
        </is>
      </c>
      <c r="K639" s="14" t="inlineStr">
        <is>
          <t>2012年式、一番上のグレードウェルファイア、両側パーワスライドドア、ナビ、テレビ、バックカメラ、サンルーフ、クリップダウンモニター</t>
        </is>
      </c>
      <c r="L639" s="8" t="inlineStr">
        <is>
          <t>https://page.auctions.yahoo.co.jp/jp/auction/1231696327</t>
        </is>
      </c>
    </row>
    <row r="640">
      <c r="A640" s="13" t="inlineStr">
        <is>
          <t>ヴェルファイア</t>
        </is>
      </c>
      <c r="B640" s="13" t="n"/>
      <c r="C640" s="13" t="inlineStr"/>
      <c r="D640" s="15" t="n">
        <v>500000</v>
      </c>
      <c r="E640" s="13" t="n">
        <v>1</v>
      </c>
      <c r="F640" s="15" t="n"/>
      <c r="G640" s="13" t="n"/>
      <c r="H640" s="13" t="n"/>
      <c r="I640" s="15" t="n"/>
      <c r="J640" s="13" t="inlineStr">
        <is>
          <t>2026-05-30T18:23:28+09:00</t>
        </is>
      </c>
      <c r="K640" s="14" t="inlineStr">
        <is>
          <t>返金保証付:タイプゴールド/電動リアゲート/フリップダウンモニター/フルセグTV走行中OK/Bluetothオーディオ/ローダウン</t>
        </is>
      </c>
      <c r="L640" s="13" t="inlineStr">
        <is>
          <t>https://page.auctions.yahoo.co.jp/jp/auction/c1229530202</t>
        </is>
      </c>
    </row>
    <row r="641">
      <c r="A641" s="8" t="inlineStr">
        <is>
          <t>ヴェルファイア</t>
        </is>
      </c>
      <c r="B641" s="8" t="n"/>
      <c r="C641" s="8" t="inlineStr"/>
      <c r="D641" s="11" t="n">
        <v>1597000</v>
      </c>
      <c r="E641" s="8" t="n">
        <v>128</v>
      </c>
      <c r="F641" s="11" t="n"/>
      <c r="G641" s="8" t="n"/>
      <c r="H641" s="8" t="n"/>
      <c r="I641" s="11" t="n"/>
      <c r="J641" s="8" t="inlineStr">
        <is>
          <t>2026-05-26T12:42:02+09:00</t>
        </is>
      </c>
      <c r="K641" s="14" t="inlineStr">
        <is>
          <t>ヴェルファイア30！V6！ダブルサンルーフ！7人乗り</t>
        </is>
      </c>
      <c r="L641" s="8" t="inlineStr">
        <is>
          <t>https://page.auctions.yahoo.co.jp/jp/auction/s1231037125</t>
        </is>
      </c>
    </row>
    <row r="642">
      <c r="A642" s="13" t="inlineStr">
        <is>
          <t>ヴェルファイア</t>
        </is>
      </c>
      <c r="B642" s="13" t="n"/>
      <c r="C642" s="13" t="inlineStr"/>
      <c r="D642" s="15" t="n">
        <v>436000</v>
      </c>
      <c r="E642" s="13" t="n">
        <v>126</v>
      </c>
      <c r="F642" s="15" t="n"/>
      <c r="G642" s="13" t="n"/>
      <c r="H642" s="13" t="n"/>
      <c r="I642" s="15" t="n"/>
      <c r="J642" s="13" t="inlineStr">
        <is>
          <t>2026-05-20T23:56:31+09:00</t>
        </is>
      </c>
      <c r="K642" s="14" t="inlineStr">
        <is>
          <t>栃木発★車検R9年4月/152000km★ヴェルファイア2.4Z4WD7人乗り★ヒッチメンバー/20inアルミ/TEIN車高調EDFC付/アルパインナビ/リアモニター</t>
        </is>
      </c>
      <c r="L642" s="13" t="inlineStr">
        <is>
          <t>https://page.auctions.yahoo.co.jp/jp/auction/l1229667651</t>
        </is>
      </c>
    </row>
    <row r="643">
      <c r="A643" s="8" t="inlineStr">
        <is>
          <t>ヴェルファイア</t>
        </is>
      </c>
      <c r="B643" s="8" t="n"/>
      <c r="C643" s="8" t="inlineStr"/>
      <c r="D643" s="11" t="n">
        <v>480000</v>
      </c>
      <c r="E643" s="8" t="n">
        <v>1</v>
      </c>
      <c r="F643" s="11" t="n"/>
      <c r="G643" s="8" t="n"/>
      <c r="H643" s="8" t="n"/>
      <c r="I643" s="11" t="n"/>
      <c r="J643" s="8" t="inlineStr">
        <is>
          <t>2026-05-18T22:59:55+09:00</t>
        </is>
      </c>
      <c r="K643" s="14" t="inlineStr">
        <is>
          <t>返金保証付:対策済みエンジン/フリップダウンモニター/フルセグTV/冷温庫付システムコンソール/Bカメラ/電動バックドア</t>
        </is>
      </c>
      <c r="L643" s="8" t="inlineStr">
        <is>
          <t>https://page.auctions.yahoo.co.jp/jp/auction/t1228865882</t>
        </is>
      </c>
    </row>
    <row r="644">
      <c r="A644" s="13" t="inlineStr">
        <is>
          <t>ヴェルファイア</t>
        </is>
      </c>
      <c r="B644" s="13" t="n"/>
      <c r="C644" s="13" t="inlineStr"/>
      <c r="D644" s="15" t="n">
        <v>501000</v>
      </c>
      <c r="E644" s="13" t="n">
        <v>91</v>
      </c>
      <c r="F644" s="15" t="n"/>
      <c r="G644" s="13" t="n"/>
      <c r="H644" s="13" t="n"/>
      <c r="I644" s="15" t="n"/>
      <c r="J644" s="13" t="inlineStr">
        <is>
          <t>2026-05-10T22:40:48+09:00</t>
        </is>
      </c>
      <c r="K644" s="14" t="inlineStr">
        <is>
          <t>H26年最終型！車検R9年5月！ワンオーナー車！ディーラー記録簿多数有！リアモニター！ナビ・ETC！乗って帰れます！</t>
        </is>
      </c>
      <c r="L644" s="13" t="inlineStr">
        <is>
          <t>https://page.auctions.yahoo.co.jp/jp/auction/v1228372537</t>
        </is>
      </c>
    </row>
    <row r="645">
      <c r="A645" s="8" t="inlineStr">
        <is>
          <t>ヴェルファイア</t>
        </is>
      </c>
      <c r="B645" s="8" t="n"/>
      <c r="C645" s="8" t="inlineStr"/>
      <c r="D645" s="11" t="n">
        <v>251001</v>
      </c>
      <c r="E645" s="8" t="n">
        <v>77</v>
      </c>
      <c r="F645" s="11" t="n"/>
      <c r="G645" s="8" t="n"/>
      <c r="H645" s="8" t="n"/>
      <c r="I645" s="11" t="n"/>
      <c r="J645" s="8" t="inlineStr">
        <is>
          <t>2026-05-10T21:48:36+09:00</t>
        </is>
      </c>
      <c r="K645" s="14" t="inlineStr">
        <is>
          <t>車検R9年4月！希少4WD！！H22年！ナビ・ETC！乗って帰れます！</t>
        </is>
      </c>
      <c r="L645" s="8" t="inlineStr">
        <is>
          <t>https://page.auctions.yahoo.co.jp/jp/auction/c1228276322</t>
        </is>
      </c>
    </row>
    <row r="646">
      <c r="A646" s="13" t="inlineStr">
        <is>
          <t>ヴェルファイア</t>
        </is>
      </c>
      <c r="B646" s="13" t="n"/>
      <c r="C646" s="13" t="inlineStr"/>
      <c r="D646" s="15" t="n">
        <v>403000</v>
      </c>
      <c r="E646" s="13" t="n">
        <v>124</v>
      </c>
      <c r="F646" s="15" t="n"/>
      <c r="G646" s="13" t="n"/>
      <c r="H646" s="13" t="n"/>
      <c r="I646" s="15" t="n"/>
      <c r="J646" s="13" t="inlineStr">
        <is>
          <t>2026-05-05T21:52:45+09:00</t>
        </is>
      </c>
      <c r="K646" s="14" t="inlineStr">
        <is>
          <t>350Z/フル装備　Wサンルーフ　フルタップ式車高調　外品フルエアロ＆ステンレス製4本出しマフラー　エンジン機関絶好調　修復歴無しの美車</t>
        </is>
      </c>
      <c r="L646" s="13" t="inlineStr">
        <is>
          <t>https://page.auctions.yahoo.co.jp/jp/auction/p1227006608</t>
        </is>
      </c>
    </row>
    <row r="647">
      <c r="A647" s="8" t="inlineStr">
        <is>
          <t>ヴェルファイア</t>
        </is>
      </c>
      <c r="B647" s="8" t="n"/>
      <c r="C647" s="8" t="inlineStr"/>
      <c r="D647" s="11" t="n">
        <v>380000</v>
      </c>
      <c r="E647" s="8" t="n">
        <v>1</v>
      </c>
      <c r="F647" s="11" t="n"/>
      <c r="G647" s="8" t="n"/>
      <c r="H647" s="8" t="n"/>
      <c r="I647" s="11" t="n"/>
      <c r="J647" s="8" t="inlineStr">
        <is>
          <t>2026-04-26T22:37:32+09:00</t>
        </is>
      </c>
      <c r="K647" s="14" t="inlineStr">
        <is>
          <t>トヨタ　☆ゥェルファイア☆　2.4 平成20年7月登録　☆車検令和9年7月まで☆　走行距離　約15万km</t>
        </is>
      </c>
      <c r="L647" s="8" t="inlineStr">
        <is>
          <t>https://page.auctions.yahoo.co.jp/jp/auction/1227108225</t>
        </is>
      </c>
    </row>
    <row r="648">
      <c r="A648" s="13" t="inlineStr">
        <is>
          <t>ヴェルファイア</t>
        </is>
      </c>
      <c r="B648" s="13" t="n"/>
      <c r="C648" s="13" t="inlineStr"/>
      <c r="D648" s="15" t="n">
        <v>380000</v>
      </c>
      <c r="E648" s="13" t="n">
        <v>1</v>
      </c>
      <c r="F648" s="15" t="n"/>
      <c r="G648" s="13" t="n"/>
      <c r="H648" s="13" t="n"/>
      <c r="I648" s="15" t="n"/>
      <c r="J648" s="13" t="inlineStr">
        <is>
          <t>2026-04-25T05:59:36+09:00</t>
        </is>
      </c>
      <c r="K648" s="14" t="inlineStr">
        <is>
          <t>個人出品！ヴェルファイヤＺプラチナセレクションⅡタイプゴールド走行１３９，０００ｋｍ 車検R８年６月 ナビ フルセグTV ETCバックカメラ</t>
        </is>
      </c>
      <c r="L648" s="13" t="inlineStr">
        <is>
          <t>https://page.auctions.yahoo.co.jp/jp/auction/v1227607951</t>
        </is>
      </c>
    </row>
    <row r="649">
      <c r="A649" s="8" t="inlineStr">
        <is>
          <t>ヴェルファイア</t>
        </is>
      </c>
      <c r="B649" s="8" t="n"/>
      <c r="C649" s="8" t="inlineStr"/>
      <c r="D649" s="11" t="n">
        <v>481000</v>
      </c>
      <c r="E649" s="8" t="n">
        <v>5</v>
      </c>
      <c r="F649" s="11" t="n"/>
      <c r="G649" s="8" t="n"/>
      <c r="H649" s="8" t="n"/>
      <c r="I649" s="11" t="n"/>
      <c r="J649" s="8" t="inlineStr">
        <is>
          <t>2026-04-19T22:16:56+09:00</t>
        </is>
      </c>
      <c r="K649" s="14" t="inlineStr">
        <is>
          <t>ヴェルファイアー　GGH20　3.5　HKSスーパーチャージャー！</t>
        </is>
      </c>
      <c r="L649" s="8" t="inlineStr">
        <is>
          <t>https://page.auctions.yahoo.co.jp/jp/auction/v1225549619</t>
        </is>
      </c>
    </row>
    <row r="650">
      <c r="A650" s="13" t="inlineStr">
        <is>
          <t>ヴェルファイア</t>
        </is>
      </c>
      <c r="B650" s="13" t="n"/>
      <c r="C650" s="13" t="inlineStr"/>
      <c r="D650" s="15" t="n">
        <v>385000</v>
      </c>
      <c r="E650" s="13" t="n">
        <v>121</v>
      </c>
      <c r="F650" s="15" t="n"/>
      <c r="G650" s="13" t="n"/>
      <c r="H650" s="13" t="n"/>
      <c r="I650" s="15" t="n"/>
      <c r="J650" s="13" t="inlineStr">
        <is>
          <t>2026-04-15T22:50:06+09:00</t>
        </is>
      </c>
      <c r="K650" s="14" t="inlineStr">
        <is>
          <t>美車☆ベルファイア2.4Z☆4WD☆輝くパール白★８人乗り☆両側パワスラ☆ナビ＋地デジTV★豪華装備★検満タン☆禁煙車☆格安販売☆陸送無料</t>
        </is>
      </c>
      <c r="L650" s="13" t="inlineStr">
        <is>
          <t>https://page.auctions.yahoo.co.jp/jp/auction/d1224967621</t>
        </is>
      </c>
    </row>
    <row r="651">
      <c r="A651" s="8" t="inlineStr">
        <is>
          <t>ヴェルファイア</t>
        </is>
      </c>
      <c r="B651" s="8" t="n"/>
      <c r="C651" s="8" t="inlineStr"/>
      <c r="D651" s="11" t="n">
        <v>470000</v>
      </c>
      <c r="E651" s="8" t="n">
        <v>1</v>
      </c>
      <c r="F651" s="11" t="n"/>
      <c r="G651" s="8" t="n"/>
      <c r="H651" s="8" t="n"/>
      <c r="I651" s="11" t="n"/>
      <c r="J651" s="8" t="inlineStr">
        <is>
          <t>2026-04-08T19:45:49+09:00</t>
        </is>
      </c>
      <c r="K651" s="14" t="inlineStr">
        <is>
          <t>返金保証付:プラチナ7人乗り/フリップダウン/フルセグTV/電動リアゲート/スマートキー2個/Bluetoothオーディオ/クルコン</t>
        </is>
      </c>
      <c r="L651" s="8" t="inlineStr">
        <is>
          <t>https://page.auctions.yahoo.co.jp/jp/auction/d1225428438</t>
        </is>
      </c>
    </row>
    <row r="652">
      <c r="A652" s="13" t="inlineStr">
        <is>
          <t>ヴェルファイア</t>
        </is>
      </c>
      <c r="B652" s="13" t="n"/>
      <c r="C652" s="13" t="inlineStr"/>
      <c r="D652" s="15" t="n">
        <v>650001</v>
      </c>
      <c r="E652" s="13" t="n">
        <v>123</v>
      </c>
      <c r="F652" s="15" t="n"/>
      <c r="G652" s="13" t="n"/>
      <c r="H652" s="13" t="n"/>
      <c r="I652" s="15" t="n"/>
      <c r="J652" s="13" t="inlineStr">
        <is>
          <t>2026-04-05T22:27:58+09:00</t>
        </is>
      </c>
      <c r="K652" s="14" t="inlineStr">
        <is>
          <t>Gエディション！H25後期型！豪華リアシートなど充実装備！車検R8年12月まで！希少車！乗って帰れます！</t>
        </is>
      </c>
      <c r="L652" s="13" t="inlineStr">
        <is>
          <t>https://page.auctions.yahoo.co.jp/jp/auction/r1222115325</t>
        </is>
      </c>
    </row>
    <row r="653">
      <c r="A653" s="8" t="inlineStr">
        <is>
          <t>ヴェルファイア</t>
        </is>
      </c>
      <c r="B653" s="8" t="n"/>
      <c r="C653" s="8" t="inlineStr"/>
      <c r="D653" s="11" t="n">
        <v>440000</v>
      </c>
      <c r="E653" s="8" t="n">
        <v>39</v>
      </c>
      <c r="F653" s="11" t="n"/>
      <c r="G653" s="8" t="n"/>
      <c r="H653" s="8" t="n"/>
      <c r="I653" s="11" t="n"/>
      <c r="J653" s="8" t="inlineStr">
        <is>
          <t>2026-03-29T21:01:03+09:00</t>
        </is>
      </c>
      <c r="K653" s="14" t="inlineStr">
        <is>
          <t>◎トヨタ・ベルファイア・X◎寝台車・患者輸送車◎民間救急車◎霊柩車◎葬儀業◎美車・修復歴無し◎ナビ・バックカメラ◎予備車検/陸送無料</t>
        </is>
      </c>
      <c r="L653" s="8" t="inlineStr">
        <is>
          <t>https://page.auctions.yahoo.co.jp/jp/auction/j1216451956</t>
        </is>
      </c>
    </row>
    <row r="654">
      <c r="A654" s="13" t="inlineStr">
        <is>
          <t>ヴェルファイア</t>
        </is>
      </c>
      <c r="B654" s="13" t="n"/>
      <c r="C654" s="13" t="inlineStr"/>
      <c r="D654" s="15" t="n">
        <v>295000</v>
      </c>
      <c r="E654" s="13" t="n">
        <v>28</v>
      </c>
      <c r="F654" s="15" t="n"/>
      <c r="G654" s="13" t="n"/>
      <c r="H654" s="13" t="n"/>
      <c r="I654" s="15" t="n"/>
      <c r="J654" s="13" t="inlineStr">
        <is>
          <t>2026-03-22T23:05:36+09:00</t>
        </is>
      </c>
      <c r="K654" s="14" t="inlineStr">
        <is>
          <t>ヴェルファイア　H21.10　車検1年以上残　2.4Z</t>
        </is>
      </c>
      <c r="L654" s="13" t="inlineStr">
        <is>
          <t>https://page.auctions.yahoo.co.jp/jp/auction/b1222737439</t>
        </is>
      </c>
    </row>
    <row r="655">
      <c r="A655" s="8" t="inlineStr">
        <is>
          <t>ヴェルファイア</t>
        </is>
      </c>
      <c r="B655" s="8" t="n"/>
      <c r="C655" s="8" t="inlineStr"/>
      <c r="D655" s="11" t="n">
        <v>321000</v>
      </c>
      <c r="E655" s="8" t="n">
        <v>8</v>
      </c>
      <c r="F655" s="11" t="n"/>
      <c r="G655" s="8" t="n"/>
      <c r="H655" s="8" t="n"/>
      <c r="I655" s="11" t="n"/>
      <c r="J655" s="8" t="inlineStr">
        <is>
          <t>2026-03-15T22:03:32+09:00</t>
        </is>
      </c>
      <c r="K655" s="14" t="inlineStr">
        <is>
          <t>【CVT・エンジン対策済】車検R8/7 H23 ヴェルファイア 2.4プラチナⅡ 7人乗り</t>
        </is>
      </c>
      <c r="L655" s="8" t="inlineStr">
        <is>
          <t>https://page.auctions.yahoo.co.jp/jp/auction/x1222288730</t>
        </is>
      </c>
    </row>
    <row r="656">
      <c r="A656" s="13" t="inlineStr">
        <is>
          <t>ヴェルファイア</t>
        </is>
      </c>
      <c r="B656" s="13" t="n"/>
      <c r="C656" s="13" t="inlineStr"/>
      <c r="D656" s="15" t="n">
        <v>361000</v>
      </c>
      <c r="E656" s="13" t="n">
        <v>67</v>
      </c>
      <c r="F656" s="15" t="n"/>
      <c r="G656" s="13" t="n"/>
      <c r="H656" s="13" t="n"/>
      <c r="I656" s="15" t="n"/>
      <c r="J656" s="13" t="inlineStr">
        <is>
          <t>2026-03-01T19:28:51+09:00</t>
        </is>
      </c>
      <c r="K656" s="14" t="inlineStr">
        <is>
          <t>【全てコミコミ】*平成20年*車検付き*ウェルファイア*2.4Z*右左パワースライドドア*バックカメラ*システムヒータコンソール*ローダウン*</t>
        </is>
      </c>
      <c r="L656" s="13" t="inlineStr">
        <is>
          <t>https://page.auctions.yahoo.co.jp/jp/auction/p1220802874</t>
        </is>
      </c>
    </row>
    <row r="657">
      <c r="A657" s="8" t="inlineStr">
        <is>
          <t>ヴォクシー</t>
        </is>
      </c>
      <c r="B657" s="8" t="n">
        <v>2024</v>
      </c>
      <c r="C657" s="8" t="inlineStr">
        <is>
          <t>90系</t>
        </is>
      </c>
      <c r="D657" s="11" t="n">
        <v>3403000</v>
      </c>
      <c r="E657" s="8" t="n">
        <v>152</v>
      </c>
      <c r="F657" s="11" t="n">
        <v>3930</v>
      </c>
      <c r="G657" s="8" t="inlineStr">
        <is>
          <t>REAL_MILEAGE</t>
        </is>
      </c>
      <c r="H657" s="8" t="inlineStr">
        <is>
          <t>NONE</t>
        </is>
      </c>
      <c r="I657" s="11" t="n">
        <v>0</v>
      </c>
      <c r="J657" s="8" t="inlineStr">
        <is>
          <t>2026-05-19T18:54:07+09:00</t>
        </is>
      </c>
      <c r="K657" s="14" t="inlineStr">
        <is>
          <t>★令和6年 トヨタ ヴォクシー S-Z 両面電動スライドドア ETC2.0 走行3900km 車検9年7月★</t>
        </is>
      </c>
      <c r="L657" s="8" t="inlineStr">
        <is>
          <t>https://page.auctions.yahoo.co.jp/jp/auction/k1229697258</t>
        </is>
      </c>
    </row>
    <row r="658">
      <c r="A658" s="13" t="inlineStr">
        <is>
          <t>ヴォクシー</t>
        </is>
      </c>
      <c r="B658" s="13" t="n">
        <v>2023</v>
      </c>
      <c r="C658" s="13" t="inlineStr">
        <is>
          <t>90系</t>
        </is>
      </c>
      <c r="D658" s="15" t="n">
        <v>2680000</v>
      </c>
      <c r="E658" s="13" t="n">
        <v>1</v>
      </c>
      <c r="F658" s="15" t="n">
        <v>8000</v>
      </c>
      <c r="G658" s="13" t="inlineStr">
        <is>
          <t>REAL_MILEAGE</t>
        </is>
      </c>
      <c r="H658" s="13" t="inlineStr">
        <is>
          <t>NONE</t>
        </is>
      </c>
      <c r="I658" s="15" t="n">
        <v>0</v>
      </c>
      <c r="J658" s="13" t="inlineStr">
        <is>
          <t>2026-07-16T12:49:54+09:00</t>
        </is>
      </c>
      <c r="K658" s="14" t="inlineStr">
        <is>
          <t>ヴォクシー 2.0 S-G 4WD トヨタセーフティセンス</t>
        </is>
      </c>
      <c r="L658" s="13" t="inlineStr">
        <is>
          <t>https://page.auctions.yahoo.co.jp/jp/auction/b1237066480</t>
        </is>
      </c>
    </row>
    <row r="659">
      <c r="A659" s="8" t="inlineStr">
        <is>
          <t>ヴォクシー</t>
        </is>
      </c>
      <c r="B659" s="8" t="n">
        <v>2023</v>
      </c>
      <c r="C659" s="8" t="inlineStr">
        <is>
          <t>90系</t>
        </is>
      </c>
      <c r="D659" s="11" t="n">
        <v>2012000</v>
      </c>
      <c r="E659" s="8" t="n">
        <v>282</v>
      </c>
      <c r="F659" s="11" t="n">
        <v>70800</v>
      </c>
      <c r="G659" s="8" t="inlineStr">
        <is>
          <t>REAL_MILEAGE</t>
        </is>
      </c>
      <c r="H659" s="8" t="inlineStr">
        <is>
          <t>NONE</t>
        </is>
      </c>
      <c r="I659" s="11" t="n">
        <v>14040</v>
      </c>
      <c r="J659" s="8" t="inlineStr">
        <is>
          <t>2026-07-05T22:43:10+09:00</t>
        </is>
      </c>
      <c r="K659" s="14" t="inlineStr">
        <is>
          <t>令和5年　ヴォクシー S-G 売切り!【ディスプレイオーディオ“アップルカープレイ”・トヨタセーフティセンス・ACC・パワースライドドア】</t>
        </is>
      </c>
      <c r="L659" s="8" t="inlineStr">
        <is>
          <t>https://page.auctions.yahoo.co.jp/jp/auction/t1235105616</t>
        </is>
      </c>
    </row>
    <row r="660">
      <c r="A660" s="13" t="inlineStr">
        <is>
          <t>ヴォクシー</t>
        </is>
      </c>
      <c r="B660" s="13" t="n">
        <v>2023</v>
      </c>
      <c r="C660" s="13" t="inlineStr">
        <is>
          <t>90系</t>
        </is>
      </c>
      <c r="D660" s="15" t="n">
        <v>2000000</v>
      </c>
      <c r="E660" s="13" t="n">
        <v>1</v>
      </c>
      <c r="F660" s="15" t="n">
        <v>25500</v>
      </c>
      <c r="G660" s="13" t="inlineStr">
        <is>
          <t>REAL_MILEAGE</t>
        </is>
      </c>
      <c r="H660" s="13" t="inlineStr">
        <is>
          <t>EXISTS</t>
        </is>
      </c>
      <c r="I660" s="15" t="n">
        <v>0</v>
      </c>
      <c r="J660" s="13" t="inlineStr">
        <is>
          <t>2026-06-19T21:26:53+09:00</t>
        </is>
      </c>
      <c r="K660" s="14" t="inlineStr">
        <is>
          <t>令和5年 ヴォクシー S-G クルコン 両側電動スライド シートヒーター ユニバーサルステップ ETC2.0 ?ローン可能 売切</t>
        </is>
      </c>
      <c r="L660" s="13" t="inlineStr">
        <is>
          <t>https://page.auctions.yahoo.co.jp/jp/auction/c1233632504</t>
        </is>
      </c>
    </row>
    <row r="661">
      <c r="A661" s="8" t="inlineStr">
        <is>
          <t>ヴォクシー</t>
        </is>
      </c>
      <c r="B661" s="8" t="n">
        <v>2023</v>
      </c>
      <c r="C661" s="8" t="inlineStr">
        <is>
          <t>90系</t>
        </is>
      </c>
      <c r="D661" s="11" t="n">
        <v>3250000</v>
      </c>
      <c r="E661" s="8" t="n">
        <v>26</v>
      </c>
      <c r="F661" s="11" t="n">
        <v>21000</v>
      </c>
      <c r="G661" s="8" t="inlineStr">
        <is>
          <t>REAL_MILEAGE</t>
        </is>
      </c>
      <c r="H661" s="8" t="n"/>
      <c r="I661" s="11" t="n">
        <v>0</v>
      </c>
      <c r="J661" s="8" t="inlineStr">
        <is>
          <t>2026-04-03T16:52:46+09:00</t>
        </is>
      </c>
      <c r="K661" s="14" t="inlineStr">
        <is>
          <t>トヨタ ヴォクシー S-Z 令和5年式 19,200キロ GRエアロ 大型モニターなど充実装備 スペアキーもあります。コミコミ価格 車検ほぼ2年付 綺麗</t>
        </is>
      </c>
      <c r="L661" s="8" t="inlineStr">
        <is>
          <t>https://page.auctions.yahoo.co.jp/jp/auction/f1224402844</t>
        </is>
      </c>
    </row>
    <row r="662">
      <c r="A662" s="13" t="inlineStr">
        <is>
          <t>ヴォクシー</t>
        </is>
      </c>
      <c r="B662" s="13" t="n">
        <v>2021</v>
      </c>
      <c r="C662" s="13" t="inlineStr">
        <is>
          <t>80系</t>
        </is>
      </c>
      <c r="D662" s="15" t="n">
        <v>1780000</v>
      </c>
      <c r="E662" s="13" t="n">
        <v>1</v>
      </c>
      <c r="F662" s="15" t="n">
        <v>58124</v>
      </c>
      <c r="G662" s="13" t="inlineStr">
        <is>
          <t>REAL_MILEAGE</t>
        </is>
      </c>
      <c r="H662" s="13" t="inlineStr">
        <is>
          <t>NONE</t>
        </is>
      </c>
      <c r="I662" s="15" t="n">
        <v>0</v>
      </c>
      <c r="J662" s="13" t="inlineStr">
        <is>
          <t>2026-06-03T20:05:03+09:00</t>
        </is>
      </c>
      <c r="K662" s="14" t="inlineStr">
        <is>
          <t>【中古品現状即決】令和３年 トヨタ ヴォクシー TOYOTA VOXY ZS 2.0</t>
        </is>
      </c>
      <c r="L662" s="13" t="inlineStr">
        <is>
          <t>https://page.auctions.yahoo.co.jp/jp/auction/r1231415174</t>
        </is>
      </c>
    </row>
    <row r="663">
      <c r="A663" s="8" t="inlineStr">
        <is>
          <t>ヴォクシー</t>
        </is>
      </c>
      <c r="B663" s="8" t="n">
        <v>2019</v>
      </c>
      <c r="C663" s="8" t="inlineStr">
        <is>
          <t>80系</t>
        </is>
      </c>
      <c r="D663" s="11" t="n">
        <v>1674000</v>
      </c>
      <c r="E663" s="8" t="n">
        <v>128</v>
      </c>
      <c r="F663" s="11" t="n">
        <v>46000</v>
      </c>
      <c r="G663" s="8" t="inlineStr">
        <is>
          <t>REAL_MILEAGE</t>
        </is>
      </c>
      <c r="H663" s="8" t="inlineStr">
        <is>
          <t>NONE</t>
        </is>
      </c>
      <c r="I663" s="11" t="n">
        <v>12470</v>
      </c>
      <c r="J663" s="8" t="inlineStr">
        <is>
          <t>2026-07-17T21:12:32+09:00</t>
        </is>
      </c>
      <c r="K663" s="14" t="inlineStr">
        <is>
          <t>トヨタ ヴォクシー ZS煌Ⅱ 令和1年式 DBA-ZRR80W 4.6万キロ 両側パワースライドドア 9インチナビTVブルートゥース バックカメラ 7人乗り</t>
        </is>
      </c>
      <c r="L663" s="8" t="inlineStr">
        <is>
          <t>https://page.auctions.yahoo.co.jp/jp/auction/j1236813440</t>
        </is>
      </c>
    </row>
    <row r="664">
      <c r="A664" s="13" t="inlineStr">
        <is>
          <t>ヴォクシー</t>
        </is>
      </c>
      <c r="B664" s="13" t="n">
        <v>2019</v>
      </c>
      <c r="C664" s="13" t="inlineStr">
        <is>
          <t>80系</t>
        </is>
      </c>
      <c r="D664" s="15" t="n">
        <v>1350000</v>
      </c>
      <c r="E664" s="13" t="n">
        <v>1</v>
      </c>
      <c r="F664" s="15" t="n">
        <v>108800</v>
      </c>
      <c r="G664" s="13" t="inlineStr">
        <is>
          <t>REAL_MILEAGE</t>
        </is>
      </c>
      <c r="H664" s="13" t="inlineStr">
        <is>
          <t>NONE</t>
        </is>
      </c>
      <c r="I664" s="15" t="n">
        <v>0</v>
      </c>
      <c r="J664" s="13" t="inlineStr">
        <is>
          <t>2026-04-03T20:27:16+09:00</t>
        </is>
      </c>
      <c r="K664" s="14" t="inlineStr">
        <is>
          <t>【4WD車検残あり！】トヨタ ヴォクシー 4WD ZS 煌Ⅱ 7人乗り 1オーナー 108,800km 両側パワースライドドア 9インチナビ 寒冷地仕様</t>
        </is>
      </c>
      <c r="L664" s="13" t="inlineStr">
        <is>
          <t>https://page.auctions.yahoo.co.jp/jp/auction/g1220188119</t>
        </is>
      </c>
    </row>
    <row r="665">
      <c r="A665" s="8" t="inlineStr">
        <is>
          <t>ヴォクシー</t>
        </is>
      </c>
      <c r="B665" s="8" t="n">
        <v>2018</v>
      </c>
      <c r="C665" s="8" t="inlineStr">
        <is>
          <t>80系</t>
        </is>
      </c>
      <c r="D665" s="11" t="n">
        <v>1450000</v>
      </c>
      <c r="E665" s="8" t="n">
        <v>1</v>
      </c>
      <c r="F665" s="11" t="n">
        <v>105000</v>
      </c>
      <c r="G665" s="8" t="inlineStr">
        <is>
          <t>REAL_MILEAGE</t>
        </is>
      </c>
      <c r="H665" s="8" t="inlineStr">
        <is>
          <t>EXISTS</t>
        </is>
      </c>
      <c r="I665" s="11" t="n">
        <v>0</v>
      </c>
      <c r="J665" s="8" t="inlineStr">
        <is>
          <t>2026-08-21T20:59:17+09:00</t>
        </is>
      </c>
      <c r="K665" s="14" t="inlineStr">
        <is>
          <t>ヴォクシー 1.8 ハイブリッド ZS 煌 モデリスタエアロ　アルパインナビ</t>
        </is>
      </c>
      <c r="L665" s="8" t="inlineStr">
        <is>
          <t>https://page.auctions.yahoo.co.jp/jp/auction/e1240193937</t>
        </is>
      </c>
    </row>
    <row r="666">
      <c r="A666" s="13" t="inlineStr">
        <is>
          <t>ヴォクシー</t>
        </is>
      </c>
      <c r="B666" s="13" t="n">
        <v>2018</v>
      </c>
      <c r="C666" s="13" t="inlineStr">
        <is>
          <t>80系</t>
        </is>
      </c>
      <c r="D666" s="15" t="n">
        <v>1670000</v>
      </c>
      <c r="E666" s="13" t="n">
        <v>1</v>
      </c>
      <c r="F666" s="15" t="n">
        <v>102000</v>
      </c>
      <c r="G666" s="13" t="inlineStr">
        <is>
          <t>REAL_MILEAGE</t>
        </is>
      </c>
      <c r="H666" s="13" t="inlineStr">
        <is>
          <t>NONE</t>
        </is>
      </c>
      <c r="I666" s="15" t="n">
        <v>0</v>
      </c>
      <c r="J666" s="13" t="inlineStr">
        <is>
          <t>2026-08-08T19:53:22+09:00</t>
        </is>
      </c>
      <c r="K666" s="14" t="inlineStr">
        <is>
          <t>H30 VOXY ハイブリッド ZS煌 後期 10.2万km 車検R9.9 両側パワスラ LED 9インチナビ</t>
        </is>
      </c>
      <c r="L666" s="13" t="inlineStr">
        <is>
          <t>https://page.auctions.yahoo.co.jp/jp/auction/e1236547597</t>
        </is>
      </c>
    </row>
    <row r="667">
      <c r="A667" s="8" t="inlineStr">
        <is>
          <t>ヴォクシー</t>
        </is>
      </c>
      <c r="B667" s="8" t="n">
        <v>2018</v>
      </c>
      <c r="C667" s="8" t="inlineStr">
        <is>
          <t>80系</t>
        </is>
      </c>
      <c r="D667" s="11" t="n">
        <v>1203000</v>
      </c>
      <c r="E667" s="8" t="n">
        <v>82</v>
      </c>
      <c r="F667" s="11" t="n">
        <v>97491</v>
      </c>
      <c r="G667" s="8" t="inlineStr">
        <is>
          <t>REAL_MILEAGE</t>
        </is>
      </c>
      <c r="H667" s="8" t="n"/>
      <c r="I667" s="11" t="n">
        <v>0</v>
      </c>
      <c r="J667" s="8" t="inlineStr">
        <is>
          <t>2026-06-04T20:33:36+09:00</t>
        </is>
      </c>
      <c r="K667" s="14" t="inlineStr">
        <is>
          <t>【人気のZS煌】トヨタ ヴォクシー80 8人乗り 両側パワスラ ナビTV Bカメラ ETC トヨタセーフティセンス 車検あり</t>
        </is>
      </c>
      <c r="L667" s="8" t="inlineStr">
        <is>
          <t>https://page.auctions.yahoo.co.jp/jp/auction/b1232006660</t>
        </is>
      </c>
    </row>
    <row r="668">
      <c r="A668" s="13" t="inlineStr">
        <is>
          <t>ヴォクシー</t>
        </is>
      </c>
      <c r="B668" s="13" t="n">
        <v>2017</v>
      </c>
      <c r="C668" s="13" t="inlineStr">
        <is>
          <t>80系</t>
        </is>
      </c>
      <c r="D668" s="15" t="n">
        <v>1000000</v>
      </c>
      <c r="E668" s="13" t="n">
        <v>85</v>
      </c>
      <c r="F668" s="15" t="n">
        <v>56316</v>
      </c>
      <c r="G668" s="13" t="inlineStr">
        <is>
          <t>REAL_MILEAGE</t>
        </is>
      </c>
      <c r="H668" s="13" t="n"/>
      <c r="I668" s="15" t="n">
        <v>50000</v>
      </c>
      <c r="J668" s="13" t="inlineStr">
        <is>
          <t>2026-07-11T20:36:22+09:00</t>
        </is>
      </c>
      <c r="K668" s="14" t="inlineStr">
        <is>
          <t>【1円スタート!!】平成29年式 トヨタ ヴォクシー ZS 煌Ⅱ（キラメキ2）★実走行56,316km★大人気パールホワイト★売り切り!!★ 7人乗り</t>
        </is>
      </c>
      <c r="L668" s="13" t="inlineStr">
        <is>
          <t>https://page.auctions.yahoo.co.jp/jp/auction/v1236029095</t>
        </is>
      </c>
    </row>
    <row r="669">
      <c r="A669" s="8" t="inlineStr">
        <is>
          <t>ヴォクシー</t>
        </is>
      </c>
      <c r="B669" s="8" t="n">
        <v>2017</v>
      </c>
      <c r="C669" s="8" t="inlineStr">
        <is>
          <t>80系</t>
        </is>
      </c>
      <c r="D669" s="11" t="n">
        <v>1467000</v>
      </c>
      <c r="E669" s="8" t="n">
        <v>125</v>
      </c>
      <c r="F669" s="11" t="n">
        <v>63000</v>
      </c>
      <c r="G669" s="8" t="inlineStr">
        <is>
          <t>REAL_MILEAGE</t>
        </is>
      </c>
      <c r="H669" s="8" t="n"/>
      <c r="I669" s="11" t="n">
        <v>0</v>
      </c>
      <c r="J669" s="8" t="inlineStr">
        <is>
          <t>2026-06-01T16:47:00+09:00</t>
        </is>
      </c>
      <c r="K669" s="14" t="inlineStr">
        <is>
          <t>★☆☆ トヨタ　ヴォクシー　ZS 　低　平成29年10月　車検2年付　両面電動スライドドア　代理出品　ブラック☆☆★</t>
        </is>
      </c>
      <c r="L669" s="8" t="inlineStr">
        <is>
          <t>https://page.auctions.yahoo.co.jp/jp/auction/s1231536122</t>
        </is>
      </c>
    </row>
    <row r="670">
      <c r="A670" s="13" t="inlineStr">
        <is>
          <t>ヴォクシー</t>
        </is>
      </c>
      <c r="B670" s="13" t="n">
        <v>2016</v>
      </c>
      <c r="C670" s="13" t="inlineStr">
        <is>
          <t>80系</t>
        </is>
      </c>
      <c r="D670" s="15" t="n">
        <v>880000</v>
      </c>
      <c r="E670" s="13" t="n">
        <v>27</v>
      </c>
      <c r="F670" s="15" t="n">
        <v>153000</v>
      </c>
      <c r="G670" s="13" t="inlineStr">
        <is>
          <t>REAL_MILEAGE</t>
        </is>
      </c>
      <c r="H670" s="13" t="inlineStr">
        <is>
          <t>NONE</t>
        </is>
      </c>
      <c r="I670" s="15" t="n">
        <v>45030</v>
      </c>
      <c r="J670" s="13" t="inlineStr">
        <is>
          <t>2026-08-10T13:26:26+09:00</t>
        </is>
      </c>
      <c r="K670" s="14" t="inlineStr">
        <is>
          <t xml:space="preserve">売切り　平成28年式　ヴォクシー　ハイブリッド　ZS　煌　無事故　実走行　車検令和9年2月　ZRW80　ノア　エスクァイア　</t>
        </is>
      </c>
      <c r="L670" s="13" t="inlineStr">
        <is>
          <t>https://page.auctions.yahoo.co.jp/jp/auction/e1240202271</t>
        </is>
      </c>
    </row>
    <row r="671">
      <c r="A671" s="8" t="inlineStr">
        <is>
          <t>ヴォクシー</t>
        </is>
      </c>
      <c r="B671" s="8" t="n">
        <v>2016</v>
      </c>
      <c r="C671" s="8" t="inlineStr">
        <is>
          <t>80系</t>
        </is>
      </c>
      <c r="D671" s="11" t="n">
        <v>601000</v>
      </c>
      <c r="E671" s="8" t="n">
        <v>67</v>
      </c>
      <c r="F671" s="11" t="n">
        <v>139746</v>
      </c>
      <c r="G671" s="8" t="inlineStr">
        <is>
          <t>REAL_MILEAGE</t>
        </is>
      </c>
      <c r="H671" s="8" t="n"/>
      <c r="I671" s="11" t="n">
        <v>12470</v>
      </c>
      <c r="J671" s="8" t="inlineStr">
        <is>
          <t>2026-08-02T12:04:03+09:00</t>
        </is>
      </c>
      <c r="K671" s="14" t="inlineStr">
        <is>
          <t>平成28年 トヨタ ヴォクシー ZS 煌 4WD DBA-ZRR85W 139,746km</t>
        </is>
      </c>
      <c r="L671" s="8" t="inlineStr">
        <is>
          <t>https://page.auctions.yahoo.co.jp/jp/auction/b1238958933</t>
        </is>
      </c>
    </row>
    <row r="672">
      <c r="A672" s="13" t="inlineStr">
        <is>
          <t>ヴォクシー</t>
        </is>
      </c>
      <c r="B672" s="13" t="n">
        <v>2016</v>
      </c>
      <c r="C672" s="13" t="inlineStr">
        <is>
          <t>80系</t>
        </is>
      </c>
      <c r="D672" s="15" t="n">
        <v>1200000</v>
      </c>
      <c r="E672" s="13" t="n">
        <v>105</v>
      </c>
      <c r="F672" s="15" t="n">
        <v>61600</v>
      </c>
      <c r="G672" s="13" t="inlineStr">
        <is>
          <t>REAL_MILEAGE</t>
        </is>
      </c>
      <c r="H672" s="13" t="inlineStr">
        <is>
          <t>NONE</t>
        </is>
      </c>
      <c r="I672" s="15" t="n">
        <v>0</v>
      </c>
      <c r="J672" s="13" t="inlineStr">
        <is>
          <t>2026-06-07T22:39:09+09:00</t>
        </is>
      </c>
      <c r="K672" s="14" t="inlineStr">
        <is>
          <t>平成28年 トヨタ ヴォクシー グレードZS 煌 2000cc 純正ナビ,バックカメラ</t>
        </is>
      </c>
      <c r="L672" s="13" t="inlineStr">
        <is>
          <t>https://page.auctions.yahoo.co.jp/jp/auction/d1231153930</t>
        </is>
      </c>
    </row>
    <row r="673">
      <c r="A673" s="8" t="inlineStr">
        <is>
          <t>ヴォクシー</t>
        </is>
      </c>
      <c r="B673" s="8" t="n">
        <v>2016</v>
      </c>
      <c r="C673" s="8" t="inlineStr">
        <is>
          <t>80系</t>
        </is>
      </c>
      <c r="D673" s="11" t="n">
        <v>1599000</v>
      </c>
      <c r="E673" s="8" t="n">
        <v>1</v>
      </c>
      <c r="F673" s="11" t="n">
        <v>91000</v>
      </c>
      <c r="G673" s="8" t="inlineStr">
        <is>
          <t>REAL_MILEAGE</t>
        </is>
      </c>
      <c r="H673" s="8" t="inlineStr">
        <is>
          <t>NONE</t>
        </is>
      </c>
      <c r="I673" s="11" t="n">
        <v>0</v>
      </c>
      <c r="J673" s="8" t="inlineStr">
        <is>
          <t>2026-05-06T20:33:11+09:00</t>
        </is>
      </c>
      <c r="K673" s="14" t="inlineStr">
        <is>
          <t>ヴォクシー 1.8 ハイブリッド ZS 9インチナビTV　11インチ後席モニター</t>
        </is>
      </c>
      <c r="L673" s="8" t="inlineStr">
        <is>
          <t>https://page.auctions.yahoo.co.jp/jp/auction/m1225472008</t>
        </is>
      </c>
    </row>
    <row r="674">
      <c r="A674" s="13" t="inlineStr">
        <is>
          <t>ヴォクシー</t>
        </is>
      </c>
      <c r="B674" s="13" t="n">
        <v>2016</v>
      </c>
      <c r="C674" s="13" t="inlineStr">
        <is>
          <t>80系</t>
        </is>
      </c>
      <c r="D674" s="15" t="n">
        <v>1218000</v>
      </c>
      <c r="E674" s="13" t="n">
        <v>1</v>
      </c>
      <c r="F674" s="15" t="n">
        <v>75000</v>
      </c>
      <c r="G674" s="13" t="inlineStr">
        <is>
          <t>REAL_MILEAGE</t>
        </is>
      </c>
      <c r="H674" s="13" t="inlineStr">
        <is>
          <t>NONE</t>
        </is>
      </c>
      <c r="I674" s="15" t="n">
        <v>0</v>
      </c>
      <c r="J674" s="13" t="inlineStr">
        <is>
          <t>2026-05-05T20:46:40+09:00</t>
        </is>
      </c>
      <c r="K674" s="14" t="inlineStr">
        <is>
          <t>ヴォクシー 2.0 ZS 煌 メモリーナビ 両側オートスライド</t>
        </is>
      </c>
      <c r="L674" s="13" t="inlineStr">
        <is>
          <t>https://page.auctions.yahoo.co.jp/jp/auction/r1225161520</t>
        </is>
      </c>
    </row>
    <row r="675">
      <c r="A675" s="8" t="inlineStr">
        <is>
          <t>ヴォクシー</t>
        </is>
      </c>
      <c r="B675" s="8" t="n">
        <v>2016</v>
      </c>
      <c r="C675" s="8" t="inlineStr">
        <is>
          <t>80系</t>
        </is>
      </c>
      <c r="D675" s="11" t="n">
        <v>1128000</v>
      </c>
      <c r="E675" s="8" t="n">
        <v>1</v>
      </c>
      <c r="F675" s="11" t="n">
        <v>90300</v>
      </c>
      <c r="G675" s="8" t="inlineStr">
        <is>
          <t>REAL_MILEAGE</t>
        </is>
      </c>
      <c r="H675" s="8" t="inlineStr">
        <is>
          <t>EXISTS</t>
        </is>
      </c>
      <c r="I675" s="11" t="n">
        <v>0</v>
      </c>
      <c r="J675" s="8" t="inlineStr">
        <is>
          <t>2026-04-08T17:16:32+09:00</t>
        </is>
      </c>
      <c r="K675" s="14" t="inlineStr">
        <is>
          <t>車検満タン 28年式 ヴォクシー ハイブリッドV セーフティセンス 衝突軽減ブレーキ ナビTV Bluetooth Bカメラ 両側Pスラ スマキー クルコン</t>
        </is>
      </c>
      <c r="L675" s="8" t="inlineStr">
        <is>
          <t>https://page.auctions.yahoo.co.jp/jp/auction/c1222370119</t>
        </is>
      </c>
    </row>
    <row r="676">
      <c r="A676" s="13" t="inlineStr">
        <is>
          <t>ヴォクシー</t>
        </is>
      </c>
      <c r="B676" s="13" t="n">
        <v>2016</v>
      </c>
      <c r="C676" s="13" t="inlineStr">
        <is>
          <t>80系</t>
        </is>
      </c>
      <c r="D676" s="15" t="n">
        <v>1599000</v>
      </c>
      <c r="E676" s="13" t="n">
        <v>1</v>
      </c>
      <c r="F676" s="15" t="n">
        <v>91000</v>
      </c>
      <c r="G676" s="13" t="inlineStr">
        <is>
          <t>REAL_MILEAGE</t>
        </is>
      </c>
      <c r="H676" s="13" t="inlineStr">
        <is>
          <t>NONE</t>
        </is>
      </c>
      <c r="I676" s="15" t="n">
        <v>0</v>
      </c>
      <c r="J676" s="13" t="inlineStr">
        <is>
          <t>2026-03-31T21:19:43+09:00</t>
        </is>
      </c>
      <c r="K676" s="14" t="inlineStr">
        <is>
          <t>ヴォクシー 1.8 ハイブリッド ZS 9インチナビTV　11インチ後席モニター</t>
        </is>
      </c>
      <c r="L676" s="13" t="inlineStr">
        <is>
          <t>https://page.auctions.yahoo.co.jp/jp/auction/n1218442745</t>
        </is>
      </c>
    </row>
    <row r="677">
      <c r="A677" s="8" t="inlineStr">
        <is>
          <t>ヴォクシー</t>
        </is>
      </c>
      <c r="B677" s="8" t="n">
        <v>2016</v>
      </c>
      <c r="C677" s="8" t="inlineStr">
        <is>
          <t>80系</t>
        </is>
      </c>
      <c r="D677" s="11" t="n">
        <v>1098000</v>
      </c>
      <c r="E677" s="8" t="n">
        <v>2</v>
      </c>
      <c r="F677" s="11" t="n">
        <v>160900</v>
      </c>
      <c r="G677" s="8" t="inlineStr">
        <is>
          <t>REAL_MILEAGE</t>
        </is>
      </c>
      <c r="H677" s="8" t="inlineStr">
        <is>
          <t>NONE</t>
        </is>
      </c>
      <c r="I677" s="11" t="n">
        <v>0</v>
      </c>
      <c r="J677" s="8" t="inlineStr">
        <is>
          <t>2026-02-28T16:00:40+09:00</t>
        </is>
      </c>
      <c r="K677" s="14" t="inlineStr">
        <is>
          <t>福岡発,28年80ヴォクシーハイブリッドZS,検満渡R10年2月,専用エアロ16アルミ,両側電動,リアFDモニタ,大阪南港止2.9万円,東京有明港3.9万円</t>
        </is>
      </c>
      <c r="L677" s="8" t="inlineStr">
        <is>
          <t>https://page.auctions.yahoo.co.jp/jp/auction/o1219978316</t>
        </is>
      </c>
    </row>
    <row r="678">
      <c r="A678" s="13" t="inlineStr">
        <is>
          <t>ヴォクシー</t>
        </is>
      </c>
      <c r="B678" s="13" t="n">
        <v>2015</v>
      </c>
      <c r="C678" s="13" t="inlineStr">
        <is>
          <t>80系</t>
        </is>
      </c>
      <c r="D678" s="15" t="n">
        <v>951000</v>
      </c>
      <c r="E678" s="13" t="n">
        <v>87</v>
      </c>
      <c r="F678" s="15" t="n">
        <v>77300</v>
      </c>
      <c r="G678" s="13" t="inlineStr">
        <is>
          <t>REAL_MILEAGE</t>
        </is>
      </c>
      <c r="H678" s="13" t="inlineStr">
        <is>
          <t>NONE</t>
        </is>
      </c>
      <c r="I678" s="15" t="n">
        <v>121980</v>
      </c>
      <c r="J678" s="13" t="inlineStr">
        <is>
          <t>2026-08-17T21:34:09+09:00</t>
        </is>
      </c>
      <c r="K678" s="14" t="inlineStr">
        <is>
          <t>平成27（2015年）のヴォクシー2.0ZS KIRAMEKI 2WD走行距離 77,300km</t>
        </is>
      </c>
      <c r="L678" s="13" t="inlineStr">
        <is>
          <t>https://page.auctions.yahoo.co.jp/jp/auction/n1240736500</t>
        </is>
      </c>
    </row>
    <row r="679">
      <c r="A679" s="8" t="inlineStr">
        <is>
          <t>ヴォクシー</t>
        </is>
      </c>
      <c r="B679" s="8" t="n">
        <v>2015</v>
      </c>
      <c r="C679" s="8" t="inlineStr">
        <is>
          <t>80系</t>
        </is>
      </c>
      <c r="D679" s="11" t="n">
        <v>451000</v>
      </c>
      <c r="E679" s="8" t="n">
        <v>69</v>
      </c>
      <c r="F679" s="11" t="n">
        <v>161900</v>
      </c>
      <c r="G679" s="8" t="inlineStr">
        <is>
          <t>REAL_MILEAGE</t>
        </is>
      </c>
      <c r="H679" s="8" t="n"/>
      <c r="I679" s="11" t="n">
        <v>0</v>
      </c>
      <c r="J679" s="8" t="inlineStr">
        <is>
          <t>2026-07-12T20:23:35+09:00</t>
        </is>
      </c>
      <c r="K679" s="14" t="inlineStr">
        <is>
          <t>H27 トヨタ VOXY X 2WD 161,900km</t>
        </is>
      </c>
      <c r="L679" s="8" t="inlineStr">
        <is>
          <t>https://page.auctions.yahoo.co.jp/jp/auction/h1236431737</t>
        </is>
      </c>
    </row>
    <row r="680">
      <c r="A680" s="13" t="inlineStr">
        <is>
          <t>ヴォクシー</t>
        </is>
      </c>
      <c r="B680" s="13" t="n">
        <v>2015</v>
      </c>
      <c r="C680" s="13" t="inlineStr">
        <is>
          <t>80系</t>
        </is>
      </c>
      <c r="D680" s="15" t="n">
        <v>600000</v>
      </c>
      <c r="E680" s="13" t="n">
        <v>113</v>
      </c>
      <c r="F680" s="15" t="n">
        <v>118800</v>
      </c>
      <c r="G680" s="13" t="inlineStr">
        <is>
          <t>REAL_MILEAGE</t>
        </is>
      </c>
      <c r="H680" s="13" t="inlineStr">
        <is>
          <t>NONE</t>
        </is>
      </c>
      <c r="I680" s="15" t="n">
        <v>12470</v>
      </c>
      <c r="J680" s="13" t="inlineStr">
        <is>
          <t>2026-07-12T19:50:31+09:00</t>
        </is>
      </c>
      <c r="K680" s="14" t="inlineStr">
        <is>
          <t>トヨタ ヴォクシーX 平成 27年 2月 8人乗り【売り切り スタート】</t>
        </is>
      </c>
      <c r="L680" s="13" t="inlineStr">
        <is>
          <t>https://page.auctions.yahoo.co.jp/jp/auction/1236385898</t>
        </is>
      </c>
    </row>
    <row r="681">
      <c r="A681" s="8" t="inlineStr">
        <is>
          <t>ヴォクシー</t>
        </is>
      </c>
      <c r="B681" s="8" t="n">
        <v>2015</v>
      </c>
      <c r="C681" s="8" t="inlineStr">
        <is>
          <t>80系</t>
        </is>
      </c>
      <c r="D681" s="11" t="n">
        <v>898000</v>
      </c>
      <c r="E681" s="8" t="n">
        <v>1</v>
      </c>
      <c r="F681" s="11" t="n">
        <v>103000</v>
      </c>
      <c r="G681" s="8" t="inlineStr">
        <is>
          <t>REAL_MILEAGE</t>
        </is>
      </c>
      <c r="H681" s="8" t="inlineStr">
        <is>
          <t>NONE</t>
        </is>
      </c>
      <c r="I681" s="11" t="n">
        <v>0</v>
      </c>
      <c r="J681" s="8" t="inlineStr">
        <is>
          <t>2026-07-11T00:04:24+09:00</t>
        </is>
      </c>
      <c r="K681" s="14" t="inlineStr">
        <is>
          <t>ヴォクシー 1.8 ハイブリッド V ナビTVブルートゥース接続Bカメラ/両側パワ</t>
        </is>
      </c>
      <c r="L681" s="8" t="inlineStr">
        <is>
          <t>https://page.auctions.yahoo.co.jp/jp/auction/m1232690452</t>
        </is>
      </c>
    </row>
    <row r="682">
      <c r="A682" s="13" t="inlineStr">
        <is>
          <t>ヴォクシー</t>
        </is>
      </c>
      <c r="B682" s="13" t="n">
        <v>2015</v>
      </c>
      <c r="C682" s="13" t="inlineStr">
        <is>
          <t>80系</t>
        </is>
      </c>
      <c r="D682" s="15" t="n">
        <v>904000</v>
      </c>
      <c r="E682" s="13" t="n">
        <v>166</v>
      </c>
      <c r="F682" s="15" t="n">
        <v>130350</v>
      </c>
      <c r="G682" s="13" t="inlineStr">
        <is>
          <t>REAL_MILEAGE</t>
        </is>
      </c>
      <c r="H682" s="13" t="inlineStr">
        <is>
          <t>NONE</t>
        </is>
      </c>
      <c r="I682" s="15" t="n">
        <v>38770</v>
      </c>
      <c r="J682" s="13" t="inlineStr">
        <is>
          <t>2026-07-10T21:50:08+09:00</t>
        </is>
      </c>
      <c r="K682" s="14" t="inlineStr">
        <is>
          <t>★ヴォクシーハイブリッドV★車検10年7月1日★フリップモニター★両側パワースラ★10インチナビ★クルコン★リアオートエアコン★アルミ★</t>
        </is>
      </c>
      <c r="L682" s="13" t="inlineStr">
        <is>
          <t>https://page.auctions.yahoo.co.jp/jp/auction/d1235917701</t>
        </is>
      </c>
    </row>
    <row r="683">
      <c r="A683" s="8" t="inlineStr">
        <is>
          <t>ヴォクシー</t>
        </is>
      </c>
      <c r="B683" s="8" t="n">
        <v>2015</v>
      </c>
      <c r="C683" s="8" t="inlineStr">
        <is>
          <t>80系</t>
        </is>
      </c>
      <c r="D683" s="11" t="n">
        <v>748000</v>
      </c>
      <c r="E683" s="8" t="n">
        <v>1</v>
      </c>
      <c r="F683" s="11" t="n">
        <v>133500</v>
      </c>
      <c r="G683" s="8" t="inlineStr">
        <is>
          <t>REAL_MILEAGE</t>
        </is>
      </c>
      <c r="H683" s="8" t="inlineStr">
        <is>
          <t>NONE</t>
        </is>
      </c>
      <c r="I683" s="11" t="n">
        <v>42070</v>
      </c>
      <c r="J683" s="8" t="inlineStr">
        <is>
          <t>2026-06-20T16:00:05+09:00</t>
        </is>
      </c>
      <c r="K683" s="14" t="inlineStr">
        <is>
          <t>☆27年ヴォクシー・ZS煌 4WD☆車検10年2月☆乗り出し総額79万円☆修復歴無し☆7人乗り☆両側パワスラ☆スマートキー☆フリップダウン☆</t>
        </is>
      </c>
      <c r="L683" s="8" t="inlineStr">
        <is>
          <t>https://page.auctions.yahoo.co.jp/jp/auction/p1233431329</t>
        </is>
      </c>
    </row>
    <row r="684">
      <c r="A684" s="13" t="inlineStr">
        <is>
          <t>ヴォクシー</t>
        </is>
      </c>
      <c r="B684" s="13" t="n">
        <v>2015</v>
      </c>
      <c r="C684" s="13" t="inlineStr">
        <is>
          <t>80系</t>
        </is>
      </c>
      <c r="D684" s="15" t="n">
        <v>536000</v>
      </c>
      <c r="E684" s="13" t="n">
        <v>9</v>
      </c>
      <c r="F684" s="15" t="n">
        <v>152000</v>
      </c>
      <c r="G684" s="13" t="inlineStr">
        <is>
          <t>REAL_MILEAGE</t>
        </is>
      </c>
      <c r="H684" s="13" t="inlineStr">
        <is>
          <t>EXISTS</t>
        </is>
      </c>
      <c r="I684" s="15" t="n">
        <v>12470</v>
      </c>
      <c r="J684" s="13" t="inlineStr">
        <is>
          <t>2026-06-14T21:36:28+09:00</t>
        </is>
      </c>
      <c r="K684" s="14" t="inlineStr">
        <is>
          <t>H27 ハイブリッド 80系ヴォクシー【上級グレード V】LED★シートヒーター★スマートキー★ナビ/TV/Bカメラ/ETC★23年製国産タイヤ4本溝深い</t>
        </is>
      </c>
      <c r="L684" s="13" t="inlineStr">
        <is>
          <t>https://page.auctions.yahoo.co.jp/jp/auction/o1233136271</t>
        </is>
      </c>
    </row>
    <row r="685">
      <c r="A685" s="8" t="inlineStr">
        <is>
          <t>ヴォクシー</t>
        </is>
      </c>
      <c r="B685" s="8" t="n">
        <v>2015</v>
      </c>
      <c r="C685" s="8" t="inlineStr">
        <is>
          <t>80系</t>
        </is>
      </c>
      <c r="D685" s="11" t="n">
        <v>570000</v>
      </c>
      <c r="E685" s="8" t="n">
        <v>25</v>
      </c>
      <c r="F685" s="11" t="n">
        <v>165000</v>
      </c>
      <c r="G685" s="8" t="inlineStr">
        <is>
          <t>REAL_MILEAGE</t>
        </is>
      </c>
      <c r="H685" s="8" t="n"/>
      <c r="I685" s="11" t="n">
        <v>0</v>
      </c>
      <c r="J685" s="8" t="inlineStr">
        <is>
          <t>2026-05-31T07:16:51+09:00</t>
        </is>
      </c>
      <c r="K685" s="14" t="inlineStr">
        <is>
          <t>ヴォクシー・ハイブリッド</t>
        </is>
      </c>
      <c r="L685" s="8" t="inlineStr">
        <is>
          <t>https://page.auctions.yahoo.co.jp/jp/auction/s1231284631</t>
        </is>
      </c>
    </row>
    <row r="686">
      <c r="A686" s="13" t="inlineStr">
        <is>
          <t>ヴォクシー</t>
        </is>
      </c>
      <c r="B686" s="13" t="n">
        <v>2015</v>
      </c>
      <c r="C686" s="13" t="inlineStr">
        <is>
          <t>80系</t>
        </is>
      </c>
      <c r="D686" s="15" t="n">
        <v>739000</v>
      </c>
      <c r="E686" s="13" t="n">
        <v>1</v>
      </c>
      <c r="F686" s="15" t="n">
        <v>187000</v>
      </c>
      <c r="G686" s="13" t="inlineStr">
        <is>
          <t>REAL_MILEAGE</t>
        </is>
      </c>
      <c r="H686" s="13" t="inlineStr">
        <is>
          <t>NONE</t>
        </is>
      </c>
      <c r="I686" s="15" t="n">
        <v>0</v>
      </c>
      <c r="J686" s="13" t="inlineStr">
        <is>
          <t>2026-05-26T02:00:50+09:00</t>
        </is>
      </c>
      <c r="K686" s="14" t="inlineStr">
        <is>
          <t>福岡発,80ヴォクシーハイブリッドV,車検満タン渡しR10年5月,クルコン,両側電動,リアFDモニタ,大阪南港止2.9万円,東京有明港3.9万円</t>
        </is>
      </c>
      <c r="L686" s="13" t="inlineStr">
        <is>
          <t>https://page.auctions.yahoo.co.jp/jp/auction/s1231172571</t>
        </is>
      </c>
    </row>
    <row r="687">
      <c r="A687" s="8" t="inlineStr">
        <is>
          <t>ヴォクシー</t>
        </is>
      </c>
      <c r="B687" s="8" t="n">
        <v>2015</v>
      </c>
      <c r="C687" s="8" t="inlineStr">
        <is>
          <t>80系</t>
        </is>
      </c>
      <c r="D687" s="11" t="n">
        <v>490000</v>
      </c>
      <c r="E687" s="8" t="n">
        <v>62</v>
      </c>
      <c r="F687" s="11" t="n">
        <v>280000</v>
      </c>
      <c r="G687" s="8" t="inlineStr">
        <is>
          <t>REAL_MILEAGE</t>
        </is>
      </c>
      <c r="H687" s="8" t="n"/>
      <c r="I687" s="11" t="n">
        <v>0</v>
      </c>
      <c r="J687" s="8" t="inlineStr">
        <is>
          <t>2026-05-04T00:01:22+09:00</t>
        </is>
      </c>
      <c r="K687" s="14" t="inlineStr">
        <is>
          <t>ヴォクシー・ハイブリッド</t>
        </is>
      </c>
      <c r="L687" s="8" t="inlineStr">
        <is>
          <t>https://page.auctions.yahoo.co.jp/jp/auction/m1227818189</t>
        </is>
      </c>
    </row>
    <row r="688">
      <c r="A688" s="13" t="inlineStr">
        <is>
          <t>ヴォクシー</t>
        </is>
      </c>
      <c r="B688" s="13" t="n">
        <v>2015</v>
      </c>
      <c r="C688" s="13" t="inlineStr">
        <is>
          <t>80系</t>
        </is>
      </c>
      <c r="D688" s="15" t="n">
        <v>622000</v>
      </c>
      <c r="E688" s="13" t="n">
        <v>73</v>
      </c>
      <c r="F688" s="15" t="n">
        <v>160950</v>
      </c>
      <c r="G688" s="13" t="inlineStr">
        <is>
          <t>REAL_MILEAGE</t>
        </is>
      </c>
      <c r="H688" s="13" t="inlineStr">
        <is>
          <t>NONE</t>
        </is>
      </c>
      <c r="I688" s="15" t="n">
        <v>0</v>
      </c>
      <c r="J688" s="13" t="inlineStr">
        <is>
          <t>2026-04-27T22:59:36+09:00</t>
        </is>
      </c>
      <c r="K688" s="14" t="inlineStr">
        <is>
          <t>【美品】トヨタヴォクシーHVブラック（202）社外フルエアロ純正9インチナビバックカメラ後席モニター禁煙</t>
        </is>
      </c>
      <c r="L688" s="13" t="inlineStr">
        <is>
          <t>https://page.auctions.yahoo.co.jp/jp/auction/t1227703251</t>
        </is>
      </c>
    </row>
    <row r="689">
      <c r="A689" s="8" t="inlineStr">
        <is>
          <t>ヴォクシー</t>
        </is>
      </c>
      <c r="B689" s="8" t="n">
        <v>2015</v>
      </c>
      <c r="C689" s="8" t="inlineStr">
        <is>
          <t>80系</t>
        </is>
      </c>
      <c r="D689" s="11" t="n">
        <v>490000</v>
      </c>
      <c r="E689" s="8" t="n">
        <v>9</v>
      </c>
      <c r="F689" s="11" t="n">
        <v>280000</v>
      </c>
      <c r="G689" s="8" t="inlineStr">
        <is>
          <t>REAL_MILEAGE</t>
        </is>
      </c>
      <c r="H689" s="8" t="inlineStr">
        <is>
          <t>NONE</t>
        </is>
      </c>
      <c r="I689" s="11" t="n">
        <v>0</v>
      </c>
      <c r="J689" s="8" t="inlineStr">
        <is>
          <t>2026-04-24T20:00:05+09:00</t>
        </is>
      </c>
      <c r="K689" s="14" t="inlineStr">
        <is>
          <t>ヴォクシー・ハイブリッド</t>
        </is>
      </c>
      <c r="L689" s="8" t="inlineStr">
        <is>
          <t>https://page.auctions.yahoo.co.jp/jp/auction/g1227621318</t>
        </is>
      </c>
    </row>
    <row r="690">
      <c r="A690" s="13" t="inlineStr">
        <is>
          <t>ヴォクシー</t>
        </is>
      </c>
      <c r="B690" s="13" t="n">
        <v>2015</v>
      </c>
      <c r="C690" s="13" t="inlineStr">
        <is>
          <t>80系</t>
        </is>
      </c>
      <c r="D690" s="15" t="n">
        <v>683000</v>
      </c>
      <c r="E690" s="13" t="n">
        <v>120</v>
      </c>
      <c r="F690" s="15" t="n">
        <v>133303</v>
      </c>
      <c r="G690" s="13" t="inlineStr">
        <is>
          <t>REAL_MILEAGE</t>
        </is>
      </c>
      <c r="H690" s="13" t="n"/>
      <c r="I690" s="15" t="n">
        <v>0</v>
      </c>
      <c r="J690" s="13" t="inlineStr">
        <is>
          <t>2026-04-22T21:06:22+09:00</t>
        </is>
      </c>
      <c r="K690" s="14" t="inlineStr">
        <is>
          <t>トヨタ＊ヴォクシー80系ハイブリッドX＊車検満タン納車＊両側パワースライドドア＊美車＊純正ナビ＊Ｂカメラ＊ＥＴＣ＊純正冬タイヤ付</t>
        </is>
      </c>
      <c r="L690" s="13" t="inlineStr">
        <is>
          <t>https://page.auctions.yahoo.co.jp/jp/auction/f1226917082</t>
        </is>
      </c>
    </row>
    <row r="691">
      <c r="A691" s="8" t="inlineStr">
        <is>
          <t>ヴォクシー</t>
        </is>
      </c>
      <c r="B691" s="8" t="n">
        <v>2015</v>
      </c>
      <c r="C691" s="8" t="inlineStr">
        <is>
          <t>80系</t>
        </is>
      </c>
      <c r="D691" s="11" t="n">
        <v>798000</v>
      </c>
      <c r="E691" s="8" t="n">
        <v>1</v>
      </c>
      <c r="F691" s="11" t="n">
        <v>145500</v>
      </c>
      <c r="G691" s="8" t="inlineStr">
        <is>
          <t>REAL_MILEAGE</t>
        </is>
      </c>
      <c r="H691" s="8" t="inlineStr">
        <is>
          <t>EXISTS</t>
        </is>
      </c>
      <c r="I691" s="11" t="n">
        <v>0</v>
      </c>
      <c r="J691" s="8" t="inlineStr">
        <is>
          <t>2026-03-30T09:21:41+09:00</t>
        </is>
      </c>
      <c r="K691" s="14" t="inlineStr">
        <is>
          <t>車検満タン ヴォクシー ハイブリッドV ナビ TV Bluetooth バックカメラ 両側パワスラ スマートキー シートヒーター クルコン LEDライト ETC</t>
        </is>
      </c>
      <c r="L691" s="8" t="inlineStr">
        <is>
          <t>https://page.auctions.yahoo.co.jp/jp/auction/b1224464545</t>
        </is>
      </c>
    </row>
    <row r="692">
      <c r="A692" s="13" t="inlineStr">
        <is>
          <t>ヴォクシー</t>
        </is>
      </c>
      <c r="B692" s="13" t="n">
        <v>2015</v>
      </c>
      <c r="C692" s="13" t="inlineStr">
        <is>
          <t>80系</t>
        </is>
      </c>
      <c r="D692" s="15" t="n">
        <v>1328000</v>
      </c>
      <c r="E692" s="13" t="n">
        <v>1</v>
      </c>
      <c r="F692" s="15" t="n">
        <v>50800</v>
      </c>
      <c r="G692" s="13" t="inlineStr">
        <is>
          <t>REAL_MILEAGE</t>
        </is>
      </c>
      <c r="H692" s="13" t="inlineStr">
        <is>
          <t>EXISTS</t>
        </is>
      </c>
      <c r="I692" s="15" t="n">
        <v>0</v>
      </c>
      <c r="J692" s="13" t="inlineStr">
        <is>
          <t>2026-03-26T16:52:07+09:00</t>
        </is>
      </c>
      <c r="K692" s="14" t="inlineStr">
        <is>
          <t>ヴォクシー ハイブリッドV 実走行 1オーナー ナビ TV Bluetooth バックモニター 両側パワスラ スマキー シートヒーター クルコン LED ETC</t>
        </is>
      </c>
      <c r="L692" s="13" t="inlineStr">
        <is>
          <t>https://page.auctions.yahoo.co.jp/jp/auction/k1218792374</t>
        </is>
      </c>
    </row>
    <row r="693">
      <c r="A693" s="8" t="inlineStr">
        <is>
          <t>ヴォクシー</t>
        </is>
      </c>
      <c r="B693" s="8" t="n">
        <v>2015</v>
      </c>
      <c r="C693" s="8" t="inlineStr">
        <is>
          <t>80系</t>
        </is>
      </c>
      <c r="D693" s="11" t="n">
        <v>576000</v>
      </c>
      <c r="E693" s="8" t="n">
        <v>63</v>
      </c>
      <c r="F693" s="11" t="n">
        <v>191000</v>
      </c>
      <c r="G693" s="8" t="inlineStr">
        <is>
          <t>REAL_MILEAGE</t>
        </is>
      </c>
      <c r="H693" s="8" t="inlineStr">
        <is>
          <t>NONE</t>
        </is>
      </c>
      <c r="I693" s="11" t="n">
        <v>0</v>
      </c>
      <c r="J693" s="8" t="inlineStr">
        <is>
          <t>2026-03-23T23:02:30+09:00</t>
        </is>
      </c>
      <c r="K693" s="14" t="inlineStr">
        <is>
          <t>トヨタ ヴォクシーハイブリッド★ディーラー整備車★不具合一切なし★シートヒーター、置型充電等オプション多数</t>
        </is>
      </c>
      <c r="L693" s="8" t="inlineStr">
        <is>
          <t>https://page.auctions.yahoo.co.jp/jp/auction/w1223322463</t>
        </is>
      </c>
    </row>
    <row r="694">
      <c r="A694" s="13" t="inlineStr">
        <is>
          <t>ヴォクシー</t>
        </is>
      </c>
      <c r="B694" s="13" t="n">
        <v>2015</v>
      </c>
      <c r="C694" s="13" t="inlineStr">
        <is>
          <t>80系</t>
        </is>
      </c>
      <c r="D694" s="15" t="n">
        <v>958001</v>
      </c>
      <c r="E694" s="13" t="n">
        <v>1</v>
      </c>
      <c r="F694" s="15" t="n">
        <v>103000</v>
      </c>
      <c r="G694" s="13" t="inlineStr">
        <is>
          <t>REAL_MILEAGE</t>
        </is>
      </c>
      <c r="H694" s="13" t="inlineStr">
        <is>
          <t>NONE</t>
        </is>
      </c>
      <c r="I694" s="15" t="n">
        <v>0</v>
      </c>
      <c r="J694" s="13" t="inlineStr">
        <is>
          <t>2026-03-18T22:25:33+09:00</t>
        </is>
      </c>
      <c r="K694" s="14" t="inlineStr">
        <is>
          <t>ヴォクシー 1.8 ハイブリッド V ナビTVブルートゥース接続Bカメラ/両側パワ</t>
        </is>
      </c>
      <c r="L694" s="13" t="inlineStr">
        <is>
          <t>https://page.auctions.yahoo.co.jp/jp/auction/h1219213515</t>
        </is>
      </c>
    </row>
    <row r="695">
      <c r="A695" s="8" t="inlineStr">
        <is>
          <t>ヴォクシー</t>
        </is>
      </c>
      <c r="B695" s="8" t="n">
        <v>2015</v>
      </c>
      <c r="C695" s="8" t="inlineStr">
        <is>
          <t>80系</t>
        </is>
      </c>
      <c r="D695" s="11" t="n">
        <v>678000</v>
      </c>
      <c r="E695" s="8" t="n">
        <v>77</v>
      </c>
      <c r="F695" s="11" t="n">
        <v>152300</v>
      </c>
      <c r="G695" s="8" t="inlineStr">
        <is>
          <t>REAL_MILEAGE</t>
        </is>
      </c>
      <c r="H695" s="8" t="n"/>
      <c r="I695" s="11" t="n">
        <v>0</v>
      </c>
      <c r="J695" s="8" t="inlineStr">
        <is>
          <t>2026-03-13T21:53:19+09:00</t>
        </is>
      </c>
      <c r="K695" s="14" t="inlineStr">
        <is>
          <t>愛知発/平成27年 トヨタ ヴォクシー 1.8 ハイブリッド V★車検R8年7月迄※諸経費込み※落札料のみ※ETC/クルコン/スマートキー/WAC</t>
        </is>
      </c>
      <c r="L695" s="8" t="inlineStr">
        <is>
          <t>https://page.auctions.yahoo.co.jp/jp/auction/c1222209861</t>
        </is>
      </c>
    </row>
    <row r="696">
      <c r="A696" s="13" t="inlineStr">
        <is>
          <t>ヴォクシー</t>
        </is>
      </c>
      <c r="B696" s="13" t="n">
        <v>2015</v>
      </c>
      <c r="C696" s="13" t="inlineStr">
        <is>
          <t>80系</t>
        </is>
      </c>
      <c r="D696" s="15" t="n">
        <v>749000</v>
      </c>
      <c r="E696" s="13" t="n">
        <v>42</v>
      </c>
      <c r="F696" s="15" t="n">
        <v>152300</v>
      </c>
      <c r="G696" s="13" t="inlineStr">
        <is>
          <t>REAL_MILEAGE</t>
        </is>
      </c>
      <c r="H696" s="13" t="n"/>
      <c r="I696" s="15" t="n">
        <v>0</v>
      </c>
      <c r="J696" s="13" t="inlineStr">
        <is>
          <t>2026-03-01T21:28:51+09:00</t>
        </is>
      </c>
      <c r="K696" s="14" t="inlineStr">
        <is>
          <t>平成27年 トヨタ ヴォクシー 1.8 ハイブリッド V★車検R8年7月迄※諸経費込み※落札料のみ※ETC/クルコン/スマートキー/WAC/愛知発</t>
        </is>
      </c>
      <c r="L696" s="13" t="inlineStr">
        <is>
          <t>https://page.auctions.yahoo.co.jp/jp/auction/k1220795720</t>
        </is>
      </c>
    </row>
    <row r="697">
      <c r="A697" s="8" t="inlineStr">
        <is>
          <t>ヴォクシー</t>
        </is>
      </c>
      <c r="B697" s="8" t="n">
        <v>2014</v>
      </c>
      <c r="C697" s="8" t="inlineStr">
        <is>
          <t>80系</t>
        </is>
      </c>
      <c r="D697" s="11" t="n">
        <v>551000</v>
      </c>
      <c r="E697" s="8" t="n">
        <v>171</v>
      </c>
      <c r="F697" s="11" t="n">
        <v>180020</v>
      </c>
      <c r="G697" s="8" t="inlineStr">
        <is>
          <t>REAL_MILEAGE</t>
        </is>
      </c>
      <c r="H697" s="8" t="inlineStr">
        <is>
          <t>EXISTS</t>
        </is>
      </c>
      <c r="I697" s="11" t="n">
        <v>45030</v>
      </c>
      <c r="J697" s="8" t="inlineStr">
        <is>
          <t>2026-08-19T21:58:25+09:00</t>
        </is>
      </c>
      <c r="K697" s="14" t="inlineStr">
        <is>
          <t>トヨタ ヴォクシーHV ハイブリッドV 車検R9年8月 ☆電動スライド／フリップダウン／クルコン／LEDライト／リアオートエアコン</t>
        </is>
      </c>
      <c r="L697" s="8" t="inlineStr">
        <is>
          <t>https://page.auctions.yahoo.co.jp/jp/auction/q1240496418</t>
        </is>
      </c>
    </row>
    <row r="698">
      <c r="A698" s="13" t="inlineStr">
        <is>
          <t>ヴォクシー</t>
        </is>
      </c>
      <c r="B698" s="13" t="n">
        <v>2014</v>
      </c>
      <c r="C698" s="13" t="inlineStr">
        <is>
          <t>80系</t>
        </is>
      </c>
      <c r="D698" s="15" t="n">
        <v>703888</v>
      </c>
      <c r="E698" s="13" t="n">
        <v>71</v>
      </c>
      <c r="F698" s="15" t="n">
        <v>136950</v>
      </c>
      <c r="G698" s="13" t="inlineStr">
        <is>
          <t>REAL_MILEAGE</t>
        </is>
      </c>
      <c r="H698" s="13" t="inlineStr">
        <is>
          <t>EXISTS</t>
        </is>
      </c>
      <c r="I698" s="15" t="n">
        <v>35470</v>
      </c>
      <c r="J698" s="13" t="inlineStr">
        <is>
          <t>2026-08-17T21:05:03+09:00</t>
        </is>
      </c>
      <c r="K698" s="14" t="inlineStr">
        <is>
          <t>★ヴォクシーハイブリッドV★車検10年8月9日★フリップモニター★両側パワースラ★9インチナビ★クルコン★リアオートエアコン★アルミ★</t>
        </is>
      </c>
      <c r="L698" s="13" t="inlineStr">
        <is>
          <t>https://page.auctions.yahoo.co.jp/jp/auction/p1240424656</t>
        </is>
      </c>
    </row>
    <row r="699">
      <c r="A699" s="8" t="inlineStr">
        <is>
          <t>ヴォクシー</t>
        </is>
      </c>
      <c r="B699" s="8" t="n">
        <v>2014</v>
      </c>
      <c r="C699" s="8" t="inlineStr">
        <is>
          <t>80系</t>
        </is>
      </c>
      <c r="D699" s="11" t="n">
        <v>760000</v>
      </c>
      <c r="E699" s="8" t="n">
        <v>1</v>
      </c>
      <c r="F699" s="11" t="n">
        <v>150700</v>
      </c>
      <c r="G699" s="8" t="inlineStr">
        <is>
          <t>REAL_MILEAGE</t>
        </is>
      </c>
      <c r="H699" s="8" t="inlineStr">
        <is>
          <t>NONE</t>
        </is>
      </c>
      <c r="I699" s="11" t="n">
        <v>0</v>
      </c>
      <c r="J699" s="8" t="inlineStr">
        <is>
          <t>2026-08-17T11:39:25+09:00</t>
        </is>
      </c>
      <c r="K699" s="14" t="inlineStr">
        <is>
          <t xml:space="preserve">名古屋発 VOXYハイブリッドX 人気のパール！機関良好！車検満タン！純9インチナビTV Bluetooth Bカメラ ETC 両側パワスラ 全コミ乗出価格 </t>
        </is>
      </c>
      <c r="L699" s="8" t="inlineStr">
        <is>
          <t>https://page.auctions.yahoo.co.jp/jp/auction/j1240082441</t>
        </is>
      </c>
    </row>
    <row r="700">
      <c r="A700" s="13" t="inlineStr">
        <is>
          <t>ヴォクシー</t>
        </is>
      </c>
      <c r="B700" s="13" t="n">
        <v>2014</v>
      </c>
      <c r="C700" s="13" t="inlineStr">
        <is>
          <t>80系</t>
        </is>
      </c>
      <c r="D700" s="15" t="n">
        <v>483000</v>
      </c>
      <c r="E700" s="13" t="n">
        <v>91</v>
      </c>
      <c r="F700" s="15" t="n">
        <v>177700</v>
      </c>
      <c r="G700" s="13" t="inlineStr">
        <is>
          <t>REAL_MILEAGE</t>
        </is>
      </c>
      <c r="H700" s="13" t="inlineStr">
        <is>
          <t>EXISTS</t>
        </is>
      </c>
      <c r="I700" s="15" t="n">
        <v>12470</v>
      </c>
      <c r="J700" s="13" t="inlineStr">
        <is>
          <t>2026-08-16T21:38:13+09:00</t>
        </is>
      </c>
      <c r="K700" s="14" t="inlineStr">
        <is>
          <t>80系ヴォクシー★ハイブリッド車★大型9インチナビ★フリップダウンモニター★両側パワースライドドア★シートヒーター★TV/ETC★機関良好</t>
        </is>
      </c>
      <c r="L700" s="13" t="inlineStr">
        <is>
          <t>https://page.auctions.yahoo.co.jp/jp/auction/p1240406433</t>
        </is>
      </c>
    </row>
    <row r="701">
      <c r="A701" s="8" t="inlineStr">
        <is>
          <t>ヴォクシー</t>
        </is>
      </c>
      <c r="B701" s="8" t="n">
        <v>2014</v>
      </c>
      <c r="C701" s="8" t="inlineStr">
        <is>
          <t>80系</t>
        </is>
      </c>
      <c r="D701" s="11" t="n">
        <v>571000</v>
      </c>
      <c r="E701" s="8" t="n">
        <v>97</v>
      </c>
      <c r="F701" s="11" t="n">
        <v>94500</v>
      </c>
      <c r="G701" s="8" t="inlineStr">
        <is>
          <t>REAL_MILEAGE</t>
        </is>
      </c>
      <c r="H701" s="8" t="n"/>
      <c r="I701" s="11" t="n">
        <v>10120</v>
      </c>
      <c r="J701" s="8" t="inlineStr">
        <is>
          <t>2026-08-08T22:41:12+09:00</t>
        </is>
      </c>
      <c r="K701" s="14" t="inlineStr">
        <is>
          <t>トヨタ ヴォクシー ZRR80W ZS 書類付き 自走可能 9.45万km</t>
        </is>
      </c>
      <c r="L701" s="8" t="inlineStr">
        <is>
          <t>https://page.auctions.yahoo.co.jp/jp/auction/b1239503406</t>
        </is>
      </c>
    </row>
    <row r="702">
      <c r="A702" s="13" t="inlineStr">
        <is>
          <t>ヴォクシー</t>
        </is>
      </c>
      <c r="B702" s="13" t="n">
        <v>2014</v>
      </c>
      <c r="C702" s="13" t="inlineStr">
        <is>
          <t>80系</t>
        </is>
      </c>
      <c r="D702" s="15" t="n">
        <v>730000</v>
      </c>
      <c r="E702" s="13" t="n">
        <v>1</v>
      </c>
      <c r="F702" s="15" t="n">
        <v>174666</v>
      </c>
      <c r="G702" s="13" t="inlineStr">
        <is>
          <t>REAL_MILEAGE</t>
        </is>
      </c>
      <c r="H702" s="13" t="inlineStr">
        <is>
          <t>NONE</t>
        </is>
      </c>
      <c r="I702" s="15" t="n">
        <v>0</v>
      </c>
      <c r="J702" s="13" t="inlineStr">
        <is>
          <t>2026-08-08T15:10:27+09:00</t>
        </is>
      </c>
      <c r="K702" s="14" t="inlineStr">
        <is>
          <t>【諸費用コミ】返金保証付:全込 ヴォクシー 1.8 ハイブリッド モデリスタエアロ タイヤ新品 車検付 即日乗って帰れます</t>
        </is>
      </c>
      <c r="L702" s="13" t="inlineStr">
        <is>
          <t>https://page.auctions.yahoo.co.jp/jp/auction/k1239482344</t>
        </is>
      </c>
    </row>
    <row r="703">
      <c r="A703" s="8" t="inlineStr">
        <is>
          <t>ヴォクシー</t>
        </is>
      </c>
      <c r="B703" s="8" t="n">
        <v>2014</v>
      </c>
      <c r="C703" s="8" t="inlineStr">
        <is>
          <t>80系</t>
        </is>
      </c>
      <c r="D703" s="11" t="n">
        <v>600000</v>
      </c>
      <c r="E703" s="8" t="n">
        <v>66</v>
      </c>
      <c r="F703" s="11" t="n">
        <v>94500</v>
      </c>
      <c r="G703" s="8" t="inlineStr">
        <is>
          <t>REAL_MILEAGE</t>
        </is>
      </c>
      <c r="H703" s="8" t="n"/>
      <c r="I703" s="11" t="n">
        <v>10120</v>
      </c>
      <c r="J703" s="8" t="inlineStr">
        <is>
          <t>2026-08-01T21:36:43+09:00</t>
        </is>
      </c>
      <c r="K703" s="14" t="inlineStr">
        <is>
          <t>トヨタ ヴォクシー ZRR80W ZS 書類付き 自走可能 9.45万km</t>
        </is>
      </c>
      <c r="L703" s="8" t="inlineStr">
        <is>
          <t>https://page.auctions.yahoo.co.jp/jp/auction/j1238716847</t>
        </is>
      </c>
    </row>
    <row r="704">
      <c r="A704" s="13" t="inlineStr">
        <is>
          <t>ヴォクシー</t>
        </is>
      </c>
      <c r="B704" s="13" t="n">
        <v>2014</v>
      </c>
      <c r="C704" s="13" t="inlineStr">
        <is>
          <t>80系</t>
        </is>
      </c>
      <c r="D704" s="15" t="n">
        <v>998000</v>
      </c>
      <c r="E704" s="13" t="n">
        <v>1</v>
      </c>
      <c r="F704" s="15" t="n">
        <v>72600</v>
      </c>
      <c r="G704" s="13" t="inlineStr">
        <is>
          <t>REAL_MILEAGE</t>
        </is>
      </c>
      <c r="H704" s="13" t="inlineStr">
        <is>
          <t>EXISTS</t>
        </is>
      </c>
      <c r="I704" s="15" t="n">
        <v>37770</v>
      </c>
      <c r="J704" s="13" t="inlineStr">
        <is>
          <t>2026-07-21T05:15:26+09:00</t>
        </is>
      </c>
      <c r="K704" s="14" t="inlineStr">
        <is>
          <t>ヴォクシー ハイブリッド ナビ TV DVD再生 Bluetooth フリップモニター バックモニター 電動オートスライド スマキー LED ETC 前後ドラレコ</t>
        </is>
      </c>
      <c r="L704" s="13" t="inlineStr">
        <is>
          <t>https://page.auctions.yahoo.co.jp/jp/auction/o1237669724</t>
        </is>
      </c>
    </row>
    <row r="705">
      <c r="A705" s="8" t="inlineStr">
        <is>
          <t>ヴォクシー</t>
        </is>
      </c>
      <c r="B705" s="8" t="n">
        <v>2014</v>
      </c>
      <c r="C705" s="8" t="inlineStr">
        <is>
          <t>80系</t>
        </is>
      </c>
      <c r="D705" s="11" t="n">
        <v>686000</v>
      </c>
      <c r="E705" s="8" t="n">
        <v>18</v>
      </c>
      <c r="F705" s="11" t="n">
        <v>76000</v>
      </c>
      <c r="G705" s="8" t="inlineStr">
        <is>
          <t>REAL_MILEAGE</t>
        </is>
      </c>
      <c r="H705" s="8" t="n"/>
      <c r="I705" s="11" t="n">
        <v>12470</v>
      </c>
      <c r="J705" s="8" t="inlineStr">
        <is>
          <t>2026-07-18T20:47:32+09:00</t>
        </is>
      </c>
      <c r="K705" s="14" t="inlineStr">
        <is>
          <t>トヨタヴォクシー</t>
        </is>
      </c>
      <c r="L705" s="8" t="inlineStr">
        <is>
          <t>https://page.auctions.yahoo.co.jp/jp/auction/f1236725839</t>
        </is>
      </c>
    </row>
    <row r="706">
      <c r="A706" s="13" t="inlineStr">
        <is>
          <t>ヴォクシー</t>
        </is>
      </c>
      <c r="B706" s="13" t="n">
        <v>2014</v>
      </c>
      <c r="C706" s="13" t="inlineStr">
        <is>
          <t>80系</t>
        </is>
      </c>
      <c r="D706" s="15" t="n">
        <v>880000</v>
      </c>
      <c r="E706" s="13" t="n">
        <v>1</v>
      </c>
      <c r="F706" s="15" t="n">
        <v>171507</v>
      </c>
      <c r="G706" s="13" t="inlineStr">
        <is>
          <t>REAL_MILEAGE</t>
        </is>
      </c>
      <c r="H706" s="13" t="inlineStr">
        <is>
          <t>NONE</t>
        </is>
      </c>
      <c r="I706" s="15" t="n">
        <v>12470</v>
      </c>
      <c r="J706" s="13" t="inlineStr">
        <is>
          <t>2026-07-17T15:24:41+09:00</t>
        </is>
      </c>
      <c r="K706" s="14" t="inlineStr">
        <is>
          <t>【諸費用コミ】返金保証付:ヴォクシー 1.8 ハイブリッド V モデリスタエアロ 両側電動ドア 車検付 即日乗って帰れます</t>
        </is>
      </c>
      <c r="L706" s="13" t="inlineStr">
        <is>
          <t>https://page.auctions.yahoo.co.jp/jp/auction/c1235893178</t>
        </is>
      </c>
    </row>
    <row r="707">
      <c r="A707" s="8" t="inlineStr">
        <is>
          <t>ヴォクシー</t>
        </is>
      </c>
      <c r="B707" s="8" t="n">
        <v>2014</v>
      </c>
      <c r="C707" s="8" t="inlineStr">
        <is>
          <t>80系</t>
        </is>
      </c>
      <c r="D707" s="11" t="n">
        <v>1380000</v>
      </c>
      <c r="E707" s="8" t="n">
        <v>124</v>
      </c>
      <c r="F707" s="11" t="n">
        <v>55500</v>
      </c>
      <c r="G707" s="8" t="inlineStr">
        <is>
          <t>REAL_MILEAGE</t>
        </is>
      </c>
      <c r="H707" s="8" t="inlineStr">
        <is>
          <t>NONE</t>
        </is>
      </c>
      <c r="I707" s="11" t="n">
        <v>112470</v>
      </c>
      <c r="J707" s="8" t="inlineStr">
        <is>
          <t>2026-07-01T22:06:21+09:00</t>
        </is>
      </c>
      <c r="K707" s="14" t="inlineStr">
        <is>
          <t>ヴォクシー　ハイブリッドV 低走行！</t>
        </is>
      </c>
      <c r="L707" s="8" t="inlineStr">
        <is>
          <t>https://page.auctions.yahoo.co.jp/jp/auction/c1235321150</t>
        </is>
      </c>
    </row>
    <row r="708">
      <c r="A708" s="13" t="inlineStr">
        <is>
          <t>ヴォクシー</t>
        </is>
      </c>
      <c r="B708" s="13" t="n">
        <v>2014</v>
      </c>
      <c r="C708" s="13" t="inlineStr">
        <is>
          <t>80系</t>
        </is>
      </c>
      <c r="D708" s="15" t="n">
        <v>1328000</v>
      </c>
      <c r="E708" s="13" t="n">
        <v>1</v>
      </c>
      <c r="F708" s="15" t="n">
        <v>74000</v>
      </c>
      <c r="G708" s="13" t="inlineStr">
        <is>
          <t>REAL_MILEAGE</t>
        </is>
      </c>
      <c r="H708" s="13" t="inlineStr">
        <is>
          <t>NONE</t>
        </is>
      </c>
      <c r="I708" s="15" t="n">
        <v>0</v>
      </c>
      <c r="J708" s="13" t="inlineStr">
        <is>
          <t>2026-06-12T13:57:02+09:00</t>
        </is>
      </c>
      <c r="K708" s="14" t="inlineStr">
        <is>
          <t>ヴォクシー 1.8 ハイブリッド V 両側オートスライド メモリーナビ ETC</t>
        </is>
      </c>
      <c r="L708" s="13" t="inlineStr">
        <is>
          <t>https://page.auctions.yahoo.co.jp/jp/auction/q1227097509</t>
        </is>
      </c>
    </row>
    <row r="709">
      <c r="A709" s="8" t="inlineStr">
        <is>
          <t>ヴォクシー</t>
        </is>
      </c>
      <c r="B709" s="8" t="n">
        <v>2014</v>
      </c>
      <c r="C709" s="8" t="inlineStr">
        <is>
          <t>80系</t>
        </is>
      </c>
      <c r="D709" s="11" t="n">
        <v>796000</v>
      </c>
      <c r="E709" s="8" t="n">
        <v>1</v>
      </c>
      <c r="F709" s="11" t="n">
        <v>159000</v>
      </c>
      <c r="G709" s="8" t="inlineStr">
        <is>
          <t>REAL_MILEAGE</t>
        </is>
      </c>
      <c r="H709" s="8" t="inlineStr">
        <is>
          <t>NONE</t>
        </is>
      </c>
      <c r="I709" s="11" t="n">
        <v>0</v>
      </c>
      <c r="J709" s="8" t="inlineStr">
        <is>
          <t>2026-06-01T21:58:38+09:00</t>
        </is>
      </c>
      <c r="K709" s="14" t="inlineStr">
        <is>
          <t xml:space="preserve">15.9万㌔ 検9年3月 修復無し ワンオーナー 両側パワースライド LED フリップダウンモニター オートクルーズ ヴォクシー ハイブリッド </t>
        </is>
      </c>
      <c r="L709" s="8" t="inlineStr">
        <is>
          <t>https://page.auctions.yahoo.co.jp/jp/auction/f1228770222</t>
        </is>
      </c>
    </row>
    <row r="710">
      <c r="A710" s="13" t="inlineStr">
        <is>
          <t>ヴォクシー</t>
        </is>
      </c>
      <c r="B710" s="13" t="n">
        <v>2014</v>
      </c>
      <c r="C710" s="13" t="inlineStr">
        <is>
          <t>80系</t>
        </is>
      </c>
      <c r="D710" s="15" t="n">
        <v>750000</v>
      </c>
      <c r="E710" s="13" t="n">
        <v>1</v>
      </c>
      <c r="F710" s="15" t="n">
        <v>90000</v>
      </c>
      <c r="G710" s="13" t="inlineStr">
        <is>
          <t>REAL_MILEAGE</t>
        </is>
      </c>
      <c r="H710" s="13" t="n"/>
      <c r="I710" s="15" t="n">
        <v>0</v>
      </c>
      <c r="J710" s="13" t="inlineStr">
        <is>
          <t>2026-05-31T22:27:28+09:00</t>
        </is>
      </c>
      <c r="K710" s="14" t="inlineStr">
        <is>
          <t>H26 トヨタ　ヴォクシー　ZRR80W　９万キロ</t>
        </is>
      </c>
      <c r="L710" s="13" t="inlineStr">
        <is>
          <t>https://page.auctions.yahoo.co.jp/jp/auction/u1231529971</t>
        </is>
      </c>
    </row>
    <row r="711">
      <c r="A711" s="8" t="inlineStr">
        <is>
          <t>ヴォクシー</t>
        </is>
      </c>
      <c r="B711" s="8" t="n">
        <v>2014</v>
      </c>
      <c r="C711" s="8" t="inlineStr">
        <is>
          <t>80系</t>
        </is>
      </c>
      <c r="D711" s="11" t="n">
        <v>621000</v>
      </c>
      <c r="E711" s="8" t="n">
        <v>2</v>
      </c>
      <c r="F711" s="11" t="n">
        <v>180200</v>
      </c>
      <c r="G711" s="8" t="inlineStr">
        <is>
          <t>REAL_MILEAGE</t>
        </is>
      </c>
      <c r="H711" s="8" t="inlineStr">
        <is>
          <t>NONE</t>
        </is>
      </c>
      <c r="I711" s="11" t="n">
        <v>0</v>
      </c>
      <c r="J711" s="8" t="inlineStr">
        <is>
          <t>2026-05-17T20:24:40+09:00</t>
        </is>
      </c>
      <c r="K711" s="14" t="inlineStr">
        <is>
          <t>★ヴォクシー・ハイブリッドV♪両側パワスラ</t>
        </is>
      </c>
      <c r="L711" s="8" t="inlineStr">
        <is>
          <t>https://page.auctions.yahoo.co.jp/jp/auction/p1229102398</t>
        </is>
      </c>
    </row>
    <row r="712">
      <c r="A712" s="13" t="inlineStr">
        <is>
          <t>ヴォクシー</t>
        </is>
      </c>
      <c r="B712" s="13" t="n">
        <v>2014</v>
      </c>
      <c r="C712" s="13" t="inlineStr">
        <is>
          <t>80系</t>
        </is>
      </c>
      <c r="D712" s="15" t="n">
        <v>804000</v>
      </c>
      <c r="E712" s="13" t="n">
        <v>30</v>
      </c>
      <c r="F712" s="15" t="n">
        <v>146000</v>
      </c>
      <c r="G712" s="13" t="inlineStr">
        <is>
          <t>REAL_MILEAGE</t>
        </is>
      </c>
      <c r="H712" s="13" t="inlineStr">
        <is>
          <t>EXISTS</t>
        </is>
      </c>
      <c r="I712" s="15" t="n">
        <v>0</v>
      </c>
      <c r="J712" s="13" t="inlineStr">
        <is>
          <t>2026-05-13T21:41:01+09:00</t>
        </is>
      </c>
      <c r="K712" s="14" t="inlineStr">
        <is>
          <t>福岡発　ヴォクシー８０　ZS　後期ルック</t>
        </is>
      </c>
      <c r="L712" s="13" t="inlineStr">
        <is>
          <t>https://page.auctions.yahoo.co.jp/jp/auction/f1228241855</t>
        </is>
      </c>
    </row>
    <row r="713">
      <c r="A713" s="8" t="inlineStr">
        <is>
          <t>ヴォクシー</t>
        </is>
      </c>
      <c r="B713" s="8" t="n">
        <v>2014</v>
      </c>
      <c r="C713" s="8" t="inlineStr">
        <is>
          <t>80系</t>
        </is>
      </c>
      <c r="D713" s="11" t="n">
        <v>602000</v>
      </c>
      <c r="E713" s="8" t="n">
        <v>83</v>
      </c>
      <c r="F713" s="11" t="n">
        <v>161300</v>
      </c>
      <c r="G713" s="8" t="inlineStr">
        <is>
          <t>REAL_MILEAGE</t>
        </is>
      </c>
      <c r="H713" s="8" t="n"/>
      <c r="I713" s="11" t="n">
        <v>0</v>
      </c>
      <c r="J713" s="8" t="inlineStr">
        <is>
          <t>2026-05-10T08:57:15+09:00</t>
        </is>
      </c>
      <c r="K713" s="14" t="inlineStr">
        <is>
          <t>ヴォクシー＊ハイブリッドV＊車検1年＊ALPINE＊フリップダウンモニター＊両側スライドドア＊Bカメラ＊ETC</t>
        </is>
      </c>
      <c r="L713" s="8" t="inlineStr">
        <is>
          <t>https://page.auctions.yahoo.co.jp/jp/auction/x1228452952</t>
        </is>
      </c>
    </row>
    <row r="714">
      <c r="A714" s="13" t="inlineStr">
        <is>
          <t>ヴォクシー</t>
        </is>
      </c>
      <c r="B714" s="13" t="n">
        <v>2014</v>
      </c>
      <c r="C714" s="13" t="inlineStr">
        <is>
          <t>80系</t>
        </is>
      </c>
      <c r="D714" s="15" t="n">
        <v>998000</v>
      </c>
      <c r="E714" s="13" t="n">
        <v>1</v>
      </c>
      <c r="F714" s="15" t="n">
        <v>64000</v>
      </c>
      <c r="G714" s="13" t="inlineStr">
        <is>
          <t>METER_REPLACEMENT</t>
        </is>
      </c>
      <c r="H714" s="13" t="inlineStr">
        <is>
          <t>NONE</t>
        </is>
      </c>
      <c r="I714" s="15" t="n">
        <v>0</v>
      </c>
      <c r="J714" s="13" t="inlineStr">
        <is>
          <t>2026-05-07T08:49:52+09:00</t>
        </is>
      </c>
      <c r="K714" s="14" t="inlineStr">
        <is>
          <t>ヴォクシー 2.0 X Cパッケージ メモリーナビ バックカメラ フルセグTV</t>
        </is>
      </c>
      <c r="L714" s="13" t="inlineStr">
        <is>
          <t>https://page.auctions.yahoo.co.jp/jp/auction/v1225960639</t>
        </is>
      </c>
    </row>
    <row r="715">
      <c r="A715" s="8" t="inlineStr">
        <is>
          <t>ヴォクシー</t>
        </is>
      </c>
      <c r="B715" s="8" t="n">
        <v>2014</v>
      </c>
      <c r="C715" s="8" t="inlineStr">
        <is>
          <t>80系</t>
        </is>
      </c>
      <c r="D715" s="11" t="n">
        <v>768000</v>
      </c>
      <c r="E715" s="8" t="n">
        <v>66</v>
      </c>
      <c r="F715" s="11" t="n">
        <v>181475</v>
      </c>
      <c r="G715" s="8" t="inlineStr">
        <is>
          <t>REAL_MILEAGE</t>
        </is>
      </c>
      <c r="H715" s="8" t="inlineStr">
        <is>
          <t>NONE</t>
        </is>
      </c>
      <c r="I715" s="11" t="n">
        <v>0</v>
      </c>
      <c r="J715" s="8" t="inlineStr">
        <is>
          <t>2026-04-28T16:28:22+09:00</t>
        </is>
      </c>
      <c r="K715" s="14" t="inlineStr">
        <is>
          <t>希少モデリスタH26年トヨタ ヴォクシーハイブリッドＶ【検R9年1月】純正ナビ/地デジTV/Bカメラ/パワスラ/クルコン/ETC/FDモニター/無事故</t>
        </is>
      </c>
      <c r="L715" s="8" t="inlineStr">
        <is>
          <t>https://page.auctions.yahoo.co.jp/jp/auction/n1227719097</t>
        </is>
      </c>
    </row>
    <row r="716">
      <c r="A716" s="13" t="inlineStr">
        <is>
          <t>ヴォクシー</t>
        </is>
      </c>
      <c r="B716" s="13" t="n">
        <v>2014</v>
      </c>
      <c r="C716" s="13" t="inlineStr">
        <is>
          <t>80系</t>
        </is>
      </c>
      <c r="D716" s="15" t="n">
        <v>768000</v>
      </c>
      <c r="E716" s="13" t="n">
        <v>98</v>
      </c>
      <c r="F716" s="15" t="n">
        <v>181475</v>
      </c>
      <c r="G716" s="13" t="inlineStr">
        <is>
          <t>REAL_MILEAGE</t>
        </is>
      </c>
      <c r="H716" s="13" t="inlineStr">
        <is>
          <t>NONE</t>
        </is>
      </c>
      <c r="I716" s="15" t="n">
        <v>0</v>
      </c>
      <c r="J716" s="13" t="inlineStr">
        <is>
          <t>2026-04-24T16:58:21+09:00</t>
        </is>
      </c>
      <c r="K716" s="14" t="inlineStr">
        <is>
          <t>希少モデリスタH26年トヨタ ヴォクシーハイブリッドＶ【検R9年1月】純正ナビ/地デジTV/Bカメラ/パワスラ/クルコン/ETC/FDモニター/無事故</t>
        </is>
      </c>
      <c r="L716" s="13" t="inlineStr">
        <is>
          <t>https://page.auctions.yahoo.co.jp/jp/auction/e1226995765</t>
        </is>
      </c>
    </row>
    <row r="717">
      <c r="A717" s="8" t="inlineStr">
        <is>
          <t>ヴォクシー</t>
        </is>
      </c>
      <c r="B717" s="8" t="n">
        <v>2014</v>
      </c>
      <c r="C717" s="8" t="inlineStr">
        <is>
          <t>80系</t>
        </is>
      </c>
      <c r="D717" s="11" t="n">
        <v>502000</v>
      </c>
      <c r="E717" s="8" t="n">
        <v>89</v>
      </c>
      <c r="F717" s="11" t="n">
        <v>129100</v>
      </c>
      <c r="G717" s="8" t="inlineStr">
        <is>
          <t>REAL_MILEAGE</t>
        </is>
      </c>
      <c r="H717" s="8" t="inlineStr">
        <is>
          <t>NONE</t>
        </is>
      </c>
      <c r="I717" s="11" t="n">
        <v>0</v>
      </c>
      <c r="J717" s="8" t="inlineStr">
        <is>
          <t>2026-04-17T22:42:12+09:00</t>
        </is>
      </c>
      <c r="K717" s="14" t="inlineStr">
        <is>
          <t>必見！埼玉発【26年　ヴォクシー】★5ナンバー8人乗り★電動スライドドア★ナビ★TV★BTオーディオ★フリップダウン★程度良好★売り切り！</t>
        </is>
      </c>
      <c r="L717" s="8" t="inlineStr">
        <is>
          <t>https://page.auctions.yahoo.co.jp/jp/auction/j1225245079</t>
        </is>
      </c>
    </row>
    <row r="718">
      <c r="A718" s="13" t="inlineStr">
        <is>
          <t>ヴォクシー</t>
        </is>
      </c>
      <c r="B718" s="13" t="n">
        <v>2014</v>
      </c>
      <c r="C718" s="13" t="inlineStr">
        <is>
          <t>80系</t>
        </is>
      </c>
      <c r="D718" s="15" t="n">
        <v>701000</v>
      </c>
      <c r="E718" s="13" t="n">
        <v>74</v>
      </c>
      <c r="F718" s="15" t="n">
        <v>138400</v>
      </c>
      <c r="G718" s="13" t="inlineStr">
        <is>
          <t>REAL_MILEAGE</t>
        </is>
      </c>
      <c r="H718" s="13" t="inlineStr">
        <is>
          <t>NONE</t>
        </is>
      </c>
      <c r="I718" s="15" t="n">
        <v>0</v>
      </c>
      <c r="J718" s="13" t="inlineStr">
        <is>
          <t>2026-03-25T21:14:21+09:00</t>
        </is>
      </c>
      <c r="K718" s="14" t="inlineStr">
        <is>
          <t>平成26年式 ZRR80 ヴォクシー zs 上級グレード 車検付</t>
        </is>
      </c>
      <c r="L718" s="13" t="inlineStr">
        <is>
          <t>https://page.auctions.yahoo.co.jp/jp/auction/b1223392312</t>
        </is>
      </c>
    </row>
    <row r="719">
      <c r="A719" s="8" t="inlineStr">
        <is>
          <t>ヴォクシー</t>
        </is>
      </c>
      <c r="B719" s="8" t="n">
        <v>2014</v>
      </c>
      <c r="C719" s="8" t="inlineStr">
        <is>
          <t>80系</t>
        </is>
      </c>
      <c r="D719" s="11" t="n">
        <v>878000</v>
      </c>
      <c r="E719" s="8" t="n">
        <v>1</v>
      </c>
      <c r="F719" s="11" t="n">
        <v>109000</v>
      </c>
      <c r="G719" s="8" t="inlineStr">
        <is>
          <t>REAL_MILEAGE</t>
        </is>
      </c>
      <c r="H719" s="8" t="inlineStr">
        <is>
          <t>EXISTS</t>
        </is>
      </c>
      <c r="I719" s="11" t="n">
        <v>0</v>
      </c>
      <c r="J719" s="8" t="inlineStr">
        <is>
          <t>2026-03-20T19:31:57+09:00</t>
        </is>
      </c>
      <c r="K719" s="14" t="inlineStr">
        <is>
          <t>ヴォクシー 1.8 ハイブリッド V ナビTVブルートゥース音楽Bカメラ/両側パワ</t>
        </is>
      </c>
      <c r="L719" s="8" t="inlineStr">
        <is>
          <t>https://page.auctions.yahoo.co.jp/jp/auction/r1220918012</t>
        </is>
      </c>
    </row>
    <row r="720">
      <c r="A720" s="13" t="inlineStr">
        <is>
          <t>ヴォクシー</t>
        </is>
      </c>
      <c r="B720" s="13" t="n">
        <v>2014</v>
      </c>
      <c r="C720" s="13" t="inlineStr">
        <is>
          <t>80系</t>
        </is>
      </c>
      <c r="D720" s="15" t="n">
        <v>798000</v>
      </c>
      <c r="E720" s="13" t="n">
        <v>2</v>
      </c>
      <c r="F720" s="15" t="n">
        <v>135600</v>
      </c>
      <c r="G720" s="13" t="inlineStr">
        <is>
          <t>REAL_MILEAGE</t>
        </is>
      </c>
      <c r="H720" s="13" t="inlineStr">
        <is>
          <t>EXISTS</t>
        </is>
      </c>
      <c r="I720" s="15" t="n">
        <v>0</v>
      </c>
      <c r="J720" s="13" t="inlineStr">
        <is>
          <t>2026-03-19T20:14:44+09:00</t>
        </is>
      </c>
      <c r="K720" s="14" t="inlineStr">
        <is>
          <t>福岡発,80ヴォクシーハイブリッドV,車検満タン渡しR10年3月,クルーズコントロール,リアFDモニタ,大阪南港止2.9万円,東京有明港3.9万円</t>
        </is>
      </c>
      <c r="L720" s="13" t="inlineStr">
        <is>
          <t>https://page.auctions.yahoo.co.jp/jp/auction/k1223337943</t>
        </is>
      </c>
    </row>
    <row r="721">
      <c r="A721" s="8" t="inlineStr">
        <is>
          <t>ヴォクシー</t>
        </is>
      </c>
      <c r="B721" s="8" t="n">
        <v>2014</v>
      </c>
      <c r="C721" s="8" t="inlineStr">
        <is>
          <t>80系</t>
        </is>
      </c>
      <c r="D721" s="11" t="n">
        <v>850000</v>
      </c>
      <c r="E721" s="8" t="n">
        <v>2</v>
      </c>
      <c r="F721" s="11" t="n">
        <v>165400</v>
      </c>
      <c r="G721" s="8" t="inlineStr">
        <is>
          <t>REAL_MILEAGE</t>
        </is>
      </c>
      <c r="H721" s="8" t="inlineStr">
        <is>
          <t>NONE</t>
        </is>
      </c>
      <c r="I721" s="11" t="n">
        <v>0</v>
      </c>
      <c r="J721" s="8" t="inlineStr">
        <is>
          <t>2026-03-18T11:49:25+09:00</t>
        </is>
      </c>
      <c r="K721" s="14" t="inlineStr">
        <is>
          <t>お買得落札金のみコミコミ自動車税リサ税込み トヨタ ヴォクシー ハイブリッド 人気ブラック 車高調 アルミホイール 車検令和9年2/17まで</t>
        </is>
      </c>
      <c r="L721" s="8" t="inlineStr">
        <is>
          <t>https://page.auctions.yahoo.co.jp/jp/auction/f1223065638</t>
        </is>
      </c>
    </row>
    <row r="722">
      <c r="A722" s="13" t="inlineStr">
        <is>
          <t>ヴォクシー</t>
        </is>
      </c>
      <c r="B722" s="13" t="n">
        <v>2013</v>
      </c>
      <c r="C722" s="13" t="inlineStr">
        <is>
          <t>70系</t>
        </is>
      </c>
      <c r="D722" s="15" t="n">
        <v>341000</v>
      </c>
      <c r="E722" s="13" t="n">
        <v>44</v>
      </c>
      <c r="F722" s="15" t="n">
        <v>138111</v>
      </c>
      <c r="G722" s="13" t="inlineStr">
        <is>
          <t>REAL_MILEAGE</t>
        </is>
      </c>
      <c r="H722" s="13" t="inlineStr">
        <is>
          <t>NONE</t>
        </is>
      </c>
      <c r="I722" s="15" t="n">
        <v>60460</v>
      </c>
      <c r="J722" s="13" t="inlineStr">
        <is>
          <t>2026-07-25T12:40:42+09:00</t>
        </is>
      </c>
      <c r="K722" s="14" t="inlineStr">
        <is>
          <t xml:space="preserve">トヨタ ヴォクシー2.0 特別仕様車 ZS 煌Z </t>
        </is>
      </c>
      <c r="L722" s="13" t="inlineStr">
        <is>
          <t>https://page.auctions.yahoo.co.jp/jp/auction/u1237181396</t>
        </is>
      </c>
    </row>
    <row r="723">
      <c r="A723" s="8" t="inlineStr">
        <is>
          <t>ヴォクシー</t>
        </is>
      </c>
      <c r="B723" s="8" t="n">
        <v>2013</v>
      </c>
      <c r="C723" s="8" t="inlineStr">
        <is>
          <t>70系</t>
        </is>
      </c>
      <c r="D723" s="11" t="n">
        <v>390000</v>
      </c>
      <c r="E723" s="8" t="n">
        <v>1</v>
      </c>
      <c r="F723" s="11" t="n">
        <v>143800</v>
      </c>
      <c r="G723" s="8" t="inlineStr">
        <is>
          <t>REAL_MILEAGE</t>
        </is>
      </c>
      <c r="H723" s="8" t="inlineStr">
        <is>
          <t>NONE</t>
        </is>
      </c>
      <c r="I723" s="11" t="n">
        <v>12530</v>
      </c>
      <c r="J723" s="8" t="inlineStr">
        <is>
          <t>2026-07-07T14:53:25+09:00</t>
        </is>
      </c>
      <c r="K723" s="14" t="inlineStr">
        <is>
          <t>予備検査付き☆25年1月登録☆ヴォクシーZS煌3 4WD☆両側パワスラ.HDDナビ.地デジフルセグ.バックカメラ.ETC.修復歴無し.点検整備済み</t>
        </is>
      </c>
      <c r="L723" s="8" t="inlineStr">
        <is>
          <t>https://page.auctions.yahoo.co.jp/jp/auction/s1236026673</t>
        </is>
      </c>
    </row>
    <row r="724">
      <c r="A724" s="13" t="inlineStr">
        <is>
          <t>ヴォクシー</t>
        </is>
      </c>
      <c r="B724" s="13" t="n">
        <v>2013</v>
      </c>
      <c r="C724" s="13" t="inlineStr">
        <is>
          <t>70系</t>
        </is>
      </c>
      <c r="D724" s="15" t="n">
        <v>251000</v>
      </c>
      <c r="E724" s="13" t="n">
        <v>1</v>
      </c>
      <c r="F724" s="15" t="n">
        <v>125000</v>
      </c>
      <c r="G724" s="13" t="inlineStr">
        <is>
          <t>REAL_MILEAGE</t>
        </is>
      </c>
      <c r="H724" s="13" t="inlineStr">
        <is>
          <t>NONE</t>
        </is>
      </c>
      <c r="I724" s="15" t="n">
        <v>13180</v>
      </c>
      <c r="J724" s="13" t="inlineStr">
        <is>
          <t>2026-06-14T21:20:01+09:00</t>
        </is>
      </c>
      <c r="K724" s="14" t="inlineStr">
        <is>
          <t xml:space="preserve">トヨタ ヴォクシー ベースグレード「Ｘ」のウェルキャブ車「車いす仕様車　スロープタイプ　タイプ１　車いす１脚仕様 25年 </t>
        </is>
      </c>
      <c r="L724" s="13" t="inlineStr">
        <is>
          <t>https://page.auctions.yahoo.co.jp/jp/auction/m1233021808</t>
        </is>
      </c>
    </row>
    <row r="725">
      <c r="A725" s="8" t="inlineStr">
        <is>
          <t>ヴォクシー</t>
        </is>
      </c>
      <c r="B725" s="8" t="n">
        <v>2013</v>
      </c>
      <c r="C725" s="8" t="inlineStr">
        <is>
          <t>70系</t>
        </is>
      </c>
      <c r="D725" s="11" t="n">
        <v>452000</v>
      </c>
      <c r="E725" s="8" t="n">
        <v>3</v>
      </c>
      <c r="F725" s="11" t="n">
        <v>103000</v>
      </c>
      <c r="G725" s="8" t="inlineStr">
        <is>
          <t>REAL_MILEAGE</t>
        </is>
      </c>
      <c r="H725" s="8" t="inlineStr">
        <is>
          <t>NONE</t>
        </is>
      </c>
      <c r="I725" s="11" t="n">
        <v>0</v>
      </c>
      <c r="J725" s="8" t="inlineStr">
        <is>
          <t>2026-03-15T22:05:54+09:00</t>
        </is>
      </c>
      <c r="K725" s="14" t="inlineStr">
        <is>
          <t xml:space="preserve">平成25年 トヨタ 70ヴォクシー 黒 走行11万キロ 8人乗り 車検あり </t>
        </is>
      </c>
      <c r="L725" s="8" t="inlineStr">
        <is>
          <t>https://page.auctions.yahoo.co.jp/jp/auction/w1219455273</t>
        </is>
      </c>
    </row>
    <row r="726">
      <c r="A726" s="13" t="inlineStr">
        <is>
          <t>ヴォクシー</t>
        </is>
      </c>
      <c r="B726" s="13" t="n">
        <v>2012</v>
      </c>
      <c r="C726" s="13" t="inlineStr">
        <is>
          <t>70系</t>
        </is>
      </c>
      <c r="D726" s="15" t="n">
        <v>350000</v>
      </c>
      <c r="E726" s="13" t="n">
        <v>1</v>
      </c>
      <c r="F726" s="15" t="n">
        <v>158880</v>
      </c>
      <c r="G726" s="13" t="inlineStr">
        <is>
          <t>REAL_MILEAGE</t>
        </is>
      </c>
      <c r="H726" s="13" t="n"/>
      <c r="I726" s="15" t="n">
        <v>12630</v>
      </c>
      <c r="J726" s="13" t="inlineStr">
        <is>
          <t>2026-08-17T20:39:08+09:00</t>
        </is>
      </c>
      <c r="K726" s="14" t="inlineStr">
        <is>
          <t>ヴォクシー ★ 年式 H24★ ZRR75W★ 4WD ★ ETC ★ 車検9年1月 ★ ナビ</t>
        </is>
      </c>
      <c r="L726" s="13" t="inlineStr">
        <is>
          <t>https://page.auctions.yahoo.co.jp/jp/auction/g1238300541</t>
        </is>
      </c>
    </row>
    <row r="727">
      <c r="A727" s="8" t="inlineStr">
        <is>
          <t>ヴォクシー</t>
        </is>
      </c>
      <c r="B727" s="8" t="n">
        <v>2012</v>
      </c>
      <c r="C727" s="8" t="inlineStr">
        <is>
          <t>70系</t>
        </is>
      </c>
      <c r="D727" s="11" t="n">
        <v>350000</v>
      </c>
      <c r="E727" s="8" t="n">
        <v>2</v>
      </c>
      <c r="F727" s="11" t="n">
        <v>223600</v>
      </c>
      <c r="G727" s="8" t="inlineStr">
        <is>
          <t>REAL_MILEAGE</t>
        </is>
      </c>
      <c r="H727" s="8" t="n"/>
      <c r="I727" s="11" t="n">
        <v>0</v>
      </c>
      <c r="J727" s="8" t="inlineStr">
        <is>
          <t>2026-06-03T11:14:54+09:00</t>
        </is>
      </c>
      <c r="K727" s="14" t="inlineStr">
        <is>
          <t>★コミコミ価格★ヴォクシー ★平成24年式★ ZRR75G★8人乗り★4WD★ETC★8型ナビ★フリップダウンモニター★程度良好★Bカメラ★車検残1年</t>
        </is>
      </c>
      <c r="L727" s="8" t="inlineStr">
        <is>
          <t>https://page.auctions.yahoo.co.jp/jp/auction/j1230542761</t>
        </is>
      </c>
    </row>
    <row r="728">
      <c r="A728" s="13" t="inlineStr">
        <is>
          <t>ヴォクシー</t>
        </is>
      </c>
      <c r="B728" s="13" t="n">
        <v>2011</v>
      </c>
      <c r="C728" s="13" t="inlineStr">
        <is>
          <t>70系</t>
        </is>
      </c>
      <c r="D728" s="15" t="n">
        <v>356000</v>
      </c>
      <c r="E728" s="13" t="n">
        <v>1</v>
      </c>
      <c r="F728" s="15" t="n">
        <v>95000</v>
      </c>
      <c r="G728" s="13" t="inlineStr">
        <is>
          <t>REAL_MILEAGE</t>
        </is>
      </c>
      <c r="H728" s="13" t="inlineStr">
        <is>
          <t>NONE</t>
        </is>
      </c>
      <c r="I728" s="15" t="n">
        <v>26480</v>
      </c>
      <c r="J728" s="13" t="inlineStr">
        <is>
          <t>2026-08-14T20:04:23+09:00</t>
        </is>
      </c>
      <c r="K728" s="14" t="inlineStr">
        <is>
          <t xml:space="preserve">平成23年　トヨタ　70ヴォクシーZS 後期型　走行距離9万キロ代　高知県より個人出品　車検有り　格安　売り切り　乗って帰れる　</t>
        </is>
      </c>
      <c r="L728" s="13" t="inlineStr">
        <is>
          <t>https://page.auctions.yahoo.co.jp/jp/auction/v1239176084</t>
        </is>
      </c>
    </row>
    <row r="729">
      <c r="A729" s="8" t="inlineStr">
        <is>
          <t>ヴォクシー</t>
        </is>
      </c>
      <c r="B729" s="8" t="n">
        <v>2011</v>
      </c>
      <c r="C729" s="8" t="inlineStr">
        <is>
          <t>70系</t>
        </is>
      </c>
      <c r="D729" s="11" t="n">
        <v>153000</v>
      </c>
      <c r="E729" s="8" t="n">
        <v>25</v>
      </c>
      <c r="F729" s="11" t="n">
        <v>200000</v>
      </c>
      <c r="G729" s="8" t="inlineStr">
        <is>
          <t>REAL_MILEAGE</t>
        </is>
      </c>
      <c r="H729" s="8" t="inlineStr">
        <is>
          <t>EXISTS</t>
        </is>
      </c>
      <c r="I729" s="11" t="n">
        <v>34050</v>
      </c>
      <c r="J729" s="8" t="inlineStr">
        <is>
          <t>2026-06-30T21:48:18+09:00</t>
        </is>
      </c>
      <c r="K729" s="14" t="inlineStr">
        <is>
          <t xml:space="preserve">平成23年　トヨタ70ヴォクシーZS煌 後期型　8人乗りオプション多数　HDD フリップダウン　社外マフラー　RSRサス　モデリスタ　ドラレコ　</t>
        </is>
      </c>
      <c r="L729" s="8" t="inlineStr">
        <is>
          <t>https://page.auctions.yahoo.co.jp/jp/auction/q1233793156</t>
        </is>
      </c>
    </row>
    <row r="730">
      <c r="A730" s="13" t="inlineStr">
        <is>
          <t>ヴォクシー</t>
        </is>
      </c>
      <c r="B730" s="13" t="n">
        <v>2011</v>
      </c>
      <c r="C730" s="13" t="inlineStr">
        <is>
          <t>70系</t>
        </is>
      </c>
      <c r="D730" s="15" t="n">
        <v>301000</v>
      </c>
      <c r="E730" s="13" t="n">
        <v>41</v>
      </c>
      <c r="F730" s="15" t="n">
        <v>123400</v>
      </c>
      <c r="G730" s="13" t="inlineStr">
        <is>
          <t>REAL_MILEAGE</t>
        </is>
      </c>
      <c r="H730" s="13" t="inlineStr">
        <is>
          <t>NONE</t>
        </is>
      </c>
      <c r="I730" s="15" t="n">
        <v>13000</v>
      </c>
      <c r="J730" s="13" t="inlineStr">
        <is>
          <t>2026-06-28T21:46:19+09:00</t>
        </is>
      </c>
      <c r="K730" s="14" t="inlineStr">
        <is>
          <t xml:space="preserve">激安！ヴォクシー　煌　美車　車検あり　</t>
        </is>
      </c>
      <c r="L730" s="13" t="inlineStr">
        <is>
          <t>https://page.auctions.yahoo.co.jp/jp/auction/n1233677652</t>
        </is>
      </c>
    </row>
    <row r="731">
      <c r="A731" s="8" t="inlineStr">
        <is>
          <t>ヴォクシー</t>
        </is>
      </c>
      <c r="B731" s="8" t="n">
        <v>2011</v>
      </c>
      <c r="C731" s="8" t="inlineStr">
        <is>
          <t>70系</t>
        </is>
      </c>
      <c r="D731" s="11" t="n">
        <v>221000</v>
      </c>
      <c r="E731" s="8" t="n">
        <v>69</v>
      </c>
      <c r="F731" s="11" t="n">
        <v>171932</v>
      </c>
      <c r="G731" s="8" t="inlineStr">
        <is>
          <t>REAL_MILEAGE</t>
        </is>
      </c>
      <c r="H731" s="8" t="inlineStr">
        <is>
          <t>NONE</t>
        </is>
      </c>
      <c r="I731" s="11" t="n">
        <v>0</v>
      </c>
      <c r="J731" s="8" t="inlineStr">
        <is>
          <t>2026-04-26T21:31:45+09:00</t>
        </is>
      </c>
      <c r="K731" s="14" t="inlineStr">
        <is>
          <t>★トヨタ　ヴォクシー ★ 平成23年式★ ZRR 75G　★XL エディション ★7人乗り★4WD★</t>
        </is>
      </c>
      <c r="L731" s="8" t="inlineStr">
        <is>
          <t>https://page.auctions.yahoo.co.jp/jp/auction/k1226926403</t>
        </is>
      </c>
    </row>
    <row r="732">
      <c r="A732" s="13" t="inlineStr">
        <is>
          <t>ヴォクシー</t>
        </is>
      </c>
      <c r="B732" s="13" t="n">
        <v>2010</v>
      </c>
      <c r="C732" s="13" t="inlineStr">
        <is>
          <t>70系</t>
        </is>
      </c>
      <c r="D732" s="15" t="n">
        <v>250000</v>
      </c>
      <c r="E732" s="13" t="n">
        <v>1</v>
      </c>
      <c r="F732" s="15" t="n">
        <v>107600</v>
      </c>
      <c r="G732" s="13" t="inlineStr">
        <is>
          <t>REAL_MILEAGE</t>
        </is>
      </c>
      <c r="H732" s="13" t="inlineStr">
        <is>
          <t>NONE</t>
        </is>
      </c>
      <c r="I732" s="15" t="n">
        <v>0</v>
      </c>
      <c r="J732" s="13" t="inlineStr">
        <is>
          <t>2026-08-17T09:06:59+09:00</t>
        </is>
      </c>
      <c r="K732" s="14" t="inlineStr">
        <is>
          <t>返金保証付:神奈川県厚木市 平成22年 ヴォクシー 2.0 X Lエディション ナビ</t>
        </is>
      </c>
      <c r="L732" s="13" t="inlineStr">
        <is>
          <t>https://page.auctions.yahoo.co.jp/jp/auction/s1240735655</t>
        </is>
      </c>
    </row>
    <row r="733">
      <c r="A733" s="8" t="inlineStr">
        <is>
          <t>ヴォクシー</t>
        </is>
      </c>
      <c r="B733" s="8" t="n">
        <v>2010</v>
      </c>
      <c r="C733" s="8" t="inlineStr">
        <is>
          <t>70系</t>
        </is>
      </c>
      <c r="D733" s="11" t="n">
        <v>448000</v>
      </c>
      <c r="E733" s="8" t="n">
        <v>1</v>
      </c>
      <c r="F733" s="11" t="n">
        <v>89000</v>
      </c>
      <c r="G733" s="8" t="inlineStr">
        <is>
          <t>REAL_MILEAGE</t>
        </is>
      </c>
      <c r="H733" s="8" t="inlineStr">
        <is>
          <t>NONE</t>
        </is>
      </c>
      <c r="I733" s="11" t="n">
        <v>0</v>
      </c>
      <c r="J733" s="8" t="inlineStr">
        <is>
          <t>2026-08-08T23:42:58+09:00</t>
        </is>
      </c>
      <c r="K733" s="14" t="inlineStr">
        <is>
          <t>ヴォクシー 2.0 ZS 左オートスライド バックカメラ ETC</t>
        </is>
      </c>
      <c r="L733" s="8" t="inlineStr">
        <is>
          <t>https://page.auctions.yahoo.co.jp/jp/auction/t1238296993</t>
        </is>
      </c>
    </row>
    <row r="734">
      <c r="A734" s="13" t="inlineStr">
        <is>
          <t>ヴォクシー</t>
        </is>
      </c>
      <c r="B734" s="13" t="n">
        <v>2010</v>
      </c>
      <c r="C734" s="13" t="inlineStr">
        <is>
          <t>70系</t>
        </is>
      </c>
      <c r="D734" s="15" t="n">
        <v>253000</v>
      </c>
      <c r="E734" s="13" t="n">
        <v>24</v>
      </c>
      <c r="F734" s="15" t="n">
        <v>100811</v>
      </c>
      <c r="G734" s="13" t="inlineStr">
        <is>
          <t>REAL_MILEAGE</t>
        </is>
      </c>
      <c r="H734" s="13" t="n"/>
      <c r="I734" s="15" t="n">
        <v>0</v>
      </c>
      <c r="J734" s="13" t="inlineStr">
        <is>
          <t>2026-06-14T20:06:16+09:00</t>
        </is>
      </c>
      <c r="K734" s="14" t="inlineStr">
        <is>
          <t>岩手発!! H22 トヨタ ヴォクシー X Lエディション ZRR75G 4WD AT 走行100,811km 車検令和9年3/24迄 名変渡し 売切!!</t>
        </is>
      </c>
      <c r="L734" s="13" t="inlineStr">
        <is>
          <t>https://page.auctions.yahoo.co.jp/jp/auction/g1232907322</t>
        </is>
      </c>
    </row>
    <row r="735">
      <c r="A735" s="8" t="inlineStr">
        <is>
          <t>ヴォクシー</t>
        </is>
      </c>
      <c r="B735" s="8" t="n">
        <v>2010</v>
      </c>
      <c r="C735" s="8" t="inlineStr">
        <is>
          <t>70系</t>
        </is>
      </c>
      <c r="D735" s="11" t="n">
        <v>202000</v>
      </c>
      <c r="E735" s="8" t="n">
        <v>3</v>
      </c>
      <c r="F735" s="11" t="n">
        <v>217495</v>
      </c>
      <c r="G735" s="8" t="inlineStr">
        <is>
          <t>REAL_MILEAGE</t>
        </is>
      </c>
      <c r="H735" s="8" t="n"/>
      <c r="I735" s="11" t="n">
        <v>0</v>
      </c>
      <c r="J735" s="8" t="inlineStr">
        <is>
          <t>2026-04-14T20:14:24+09:00</t>
        </is>
      </c>
      <c r="K735" s="14" t="inlineStr">
        <is>
          <t>トヨタ　ヴォクシー　22年式　両側パワスラ　黒</t>
        </is>
      </c>
      <c r="L735" s="8" t="inlineStr">
        <is>
          <t>https://page.auctions.yahoo.co.jp/jp/auction/j1226061813</t>
        </is>
      </c>
    </row>
    <row r="736">
      <c r="A736" s="13" t="inlineStr">
        <is>
          <t>ヴォクシー</t>
        </is>
      </c>
      <c r="B736" s="13" t="n">
        <v>2009</v>
      </c>
      <c r="C736" s="13" t="inlineStr">
        <is>
          <t>70系</t>
        </is>
      </c>
      <c r="D736" s="15" t="n">
        <v>400000</v>
      </c>
      <c r="E736" s="13" t="n">
        <v>2</v>
      </c>
      <c r="F736" s="15" t="n">
        <v>133724</v>
      </c>
      <c r="G736" s="13" t="inlineStr">
        <is>
          <t>REAL_MILEAGE</t>
        </is>
      </c>
      <c r="H736" s="13" t="inlineStr">
        <is>
          <t>NONE</t>
        </is>
      </c>
      <c r="I736" s="15" t="n">
        <v>0</v>
      </c>
      <c r="J736" s="13" t="inlineStr">
        <is>
          <t>2026-08-20T17:28:32+09:00</t>
        </is>
      </c>
      <c r="K736" s="14" t="inlineStr">
        <is>
          <t>【予備検査付】ヴォクシー ZSサイドリフトアップ装着車 ウェルキャブ 介護車両 車椅子</t>
        </is>
      </c>
      <c r="L736" s="13" t="inlineStr">
        <is>
          <t>https://page.auctions.yahoo.co.jp/jp/auction/h1240503962</t>
        </is>
      </c>
    </row>
    <row r="737">
      <c r="A737" s="8" t="inlineStr">
        <is>
          <t>ヴォクシー</t>
        </is>
      </c>
      <c r="B737" s="8" t="n">
        <v>2009</v>
      </c>
      <c r="C737" s="8" t="inlineStr">
        <is>
          <t>70系</t>
        </is>
      </c>
      <c r="D737" s="11" t="n">
        <v>141000</v>
      </c>
      <c r="E737" s="8" t="n">
        <v>65</v>
      </c>
      <c r="F737" s="11" t="n">
        <v>159900</v>
      </c>
      <c r="G737" s="8" t="inlineStr">
        <is>
          <t>REAL_MILEAGE</t>
        </is>
      </c>
      <c r="H737" s="8" t="inlineStr">
        <is>
          <t>NONE</t>
        </is>
      </c>
      <c r="I737" s="11" t="n">
        <v>43530</v>
      </c>
      <c r="J737" s="8" t="inlineStr">
        <is>
          <t>2026-07-18T20:51:07+09:00</t>
        </is>
      </c>
      <c r="K737" s="14" t="inlineStr">
        <is>
          <t>【トヨタ　ヴォクシー】8人乗り/純正HDDナビ/バックカメラ/スライドドア/社外18インチアルミホイール</t>
        </is>
      </c>
      <c r="L737" s="8" t="inlineStr">
        <is>
          <t>https://page.auctions.yahoo.co.jp/jp/auction/j1236590838</t>
        </is>
      </c>
    </row>
    <row r="738">
      <c r="A738" s="13" t="inlineStr">
        <is>
          <t>ヴォクシー</t>
        </is>
      </c>
      <c r="B738" s="13" t="n">
        <v>2009</v>
      </c>
      <c r="C738" s="13" t="inlineStr">
        <is>
          <t>70系</t>
        </is>
      </c>
      <c r="D738" s="15" t="n">
        <v>234000</v>
      </c>
      <c r="E738" s="13" t="n">
        <v>43</v>
      </c>
      <c r="F738" s="15" t="n">
        <v>144200</v>
      </c>
      <c r="G738" s="13" t="inlineStr">
        <is>
          <t>REAL_MILEAGE</t>
        </is>
      </c>
      <c r="H738" s="13" t="inlineStr">
        <is>
          <t>NONE</t>
        </is>
      </c>
      <c r="I738" s="15" t="n">
        <v>0</v>
      </c>
      <c r="J738" s="13" t="inlineStr">
        <is>
          <t>2026-05-24T22:44:54+09:00</t>
        </is>
      </c>
      <c r="K738" s="14" t="inlineStr">
        <is>
          <t>売切★仕事に遊びに大活躍！流行りの車中泊車ベースにも★H21年式VOXYトランス-X★機関快調/内外装掃除済キレイ★ナビ地デジ走行中TV視聴OK</t>
        </is>
      </c>
      <c r="L738" s="13" t="inlineStr">
        <is>
          <t>https://page.auctions.yahoo.co.jp/jp/auction/m1230338345</t>
        </is>
      </c>
    </row>
    <row r="739">
      <c r="A739" s="8" t="inlineStr">
        <is>
          <t>ヴォクシー</t>
        </is>
      </c>
      <c r="B739" s="8" t="n">
        <v>2009</v>
      </c>
      <c r="C739" s="8" t="inlineStr">
        <is>
          <t>70系</t>
        </is>
      </c>
      <c r="D739" s="11" t="n">
        <v>441000</v>
      </c>
      <c r="E739" s="8" t="n">
        <v>163</v>
      </c>
      <c r="F739" s="11" t="n">
        <v>76700</v>
      </c>
      <c r="G739" s="8" t="inlineStr">
        <is>
          <t>REAL_MILEAGE</t>
        </is>
      </c>
      <c r="H739" s="8" t="inlineStr">
        <is>
          <t>NONE</t>
        </is>
      </c>
      <c r="I739" s="11" t="n">
        <v>0</v>
      </c>
      <c r="J739" s="8" t="inlineStr">
        <is>
          <t>2026-03-21T22:02:56+09:00</t>
        </is>
      </c>
      <c r="K739" s="14" t="inlineStr">
        <is>
          <t xml:space="preserve">1円売り切り　70ヴォクシーZS煌めき2　両側パワースライド　プッシュスタート　フルセグTV　Bluetooth　新品タイヤ装備　ETC　8人乗り　</t>
        </is>
      </c>
      <c r="L739" s="8" t="inlineStr">
        <is>
          <t>https://page.auctions.yahoo.co.jp/jp/auction/t1222831197</t>
        </is>
      </c>
    </row>
    <row r="740">
      <c r="A740" s="13" t="inlineStr">
        <is>
          <t>ヴォクシー</t>
        </is>
      </c>
      <c r="B740" s="13" t="n">
        <v>2008</v>
      </c>
      <c r="C740" s="13" t="inlineStr">
        <is>
          <t>70系</t>
        </is>
      </c>
      <c r="D740" s="15" t="n">
        <v>335000</v>
      </c>
      <c r="E740" s="13" t="n">
        <v>54</v>
      </c>
      <c r="F740" s="15" t="n">
        <v>83590</v>
      </c>
      <c r="G740" s="13" t="inlineStr">
        <is>
          <t>REAL_MILEAGE</t>
        </is>
      </c>
      <c r="H740" s="13" t="inlineStr">
        <is>
          <t>NONE</t>
        </is>
      </c>
      <c r="I740" s="15" t="n">
        <v>13300</v>
      </c>
      <c r="J740" s="13" t="inlineStr">
        <is>
          <t>2026-07-18T22:19:57+09:00</t>
        </is>
      </c>
      <c r="K740" s="14" t="inlineStr">
        <is>
          <t>トヨタ　ヴォクシー　車中泊仕様　キャンピングカー風　ルーフキャリア　ソーラーパネル付き</t>
        </is>
      </c>
      <c r="L740" s="13" t="inlineStr">
        <is>
          <t>https://page.auctions.yahoo.co.jp/jp/auction/d1231852272</t>
        </is>
      </c>
    </row>
    <row r="741">
      <c r="A741" s="8" t="inlineStr">
        <is>
          <t>ヴォクシー</t>
        </is>
      </c>
      <c r="B741" s="8" t="n">
        <v>2008</v>
      </c>
      <c r="C741" s="8" t="inlineStr">
        <is>
          <t>70系</t>
        </is>
      </c>
      <c r="D741" s="11" t="n">
        <v>228000</v>
      </c>
      <c r="E741" s="8" t="n">
        <v>1</v>
      </c>
      <c r="F741" s="11" t="n">
        <v>101000</v>
      </c>
      <c r="G741" s="8" t="inlineStr">
        <is>
          <t>REAL_MILEAGE</t>
        </is>
      </c>
      <c r="H741" s="8" t="inlineStr">
        <is>
          <t>EXISTS</t>
        </is>
      </c>
      <c r="I741" s="11" t="n">
        <v>0</v>
      </c>
      <c r="J741" s="8" t="inlineStr">
        <is>
          <t>2026-06-20T01:07:47+09:00</t>
        </is>
      </c>
      <c r="K741" s="14" t="inlineStr">
        <is>
          <t>ヴォクシー 2.0 ZS 煌 4WD 両側オートスライド メモリーナビ</t>
        </is>
      </c>
      <c r="L741" s="8" t="inlineStr">
        <is>
          <t>https://page.auctions.yahoo.co.jp/jp/auction/g1233387496</t>
        </is>
      </c>
    </row>
    <row r="742">
      <c r="A742" s="13" t="inlineStr">
        <is>
          <t>ヴォクシー</t>
        </is>
      </c>
      <c r="B742" s="13" t="n">
        <v>2008</v>
      </c>
      <c r="C742" s="13" t="inlineStr">
        <is>
          <t>70系</t>
        </is>
      </c>
      <c r="D742" s="15" t="n">
        <v>275000</v>
      </c>
      <c r="E742" s="13" t="n">
        <v>36</v>
      </c>
      <c r="F742" s="15" t="n">
        <v>107993</v>
      </c>
      <c r="G742" s="13" t="inlineStr">
        <is>
          <t>REAL_MILEAGE</t>
        </is>
      </c>
      <c r="H742" s="13" t="n"/>
      <c r="I742" s="15" t="n">
        <v>0</v>
      </c>
      <c r="J742" s="13" t="inlineStr">
        <is>
          <t>2026-06-14T21:39:08+09:00</t>
        </is>
      </c>
      <c r="K742" s="14" t="inlineStr">
        <is>
          <t>【売切り】ヴォクシー X 車検付 実走10.8万km 両側電動スライド・ナビ・バックカメラ 乗って帰れます!! 車検令和8年9月</t>
        </is>
      </c>
      <c r="L742" s="13" t="inlineStr">
        <is>
          <t>https://page.auctions.yahoo.co.jp/jp/auction/b1232820410</t>
        </is>
      </c>
    </row>
    <row r="743">
      <c r="A743" s="8" t="inlineStr">
        <is>
          <t>ヴォクシー</t>
        </is>
      </c>
      <c r="B743" s="8" t="n">
        <v>2008</v>
      </c>
      <c r="C743" s="8" t="inlineStr">
        <is>
          <t>70系</t>
        </is>
      </c>
      <c r="D743" s="11" t="n">
        <v>300000</v>
      </c>
      <c r="E743" s="8" t="n">
        <v>50</v>
      </c>
      <c r="F743" s="11" t="n">
        <v>151360</v>
      </c>
      <c r="G743" s="8" t="inlineStr">
        <is>
          <t>REAL_MILEAGE</t>
        </is>
      </c>
      <c r="H743" s="8" t="n"/>
      <c r="I743" s="11" t="n">
        <v>0</v>
      </c>
      <c r="J743" s="8" t="inlineStr">
        <is>
          <t>2026-06-08T21:07:50+09:00</t>
        </is>
      </c>
      <c r="K743" s="14" t="inlineStr">
        <is>
          <t>【売切】お財布に優しい車税+維持費節減の４ナンバー仕様（貨物登録/構造変更）ヴォクシー４WD （ノア） 車検取得渡（R9/6月迄）75</t>
        </is>
      </c>
      <c r="L743" s="8" t="inlineStr">
        <is>
          <t>https://page.auctions.yahoo.co.jp/jp/auction/m1231142374</t>
        </is>
      </c>
    </row>
    <row r="744">
      <c r="A744" s="13" t="inlineStr">
        <is>
          <t>ヴォクシー</t>
        </is>
      </c>
      <c r="B744" s="13" t="n">
        <v>2008</v>
      </c>
      <c r="C744" s="13" t="inlineStr">
        <is>
          <t>70系</t>
        </is>
      </c>
      <c r="D744" s="15" t="n">
        <v>181000</v>
      </c>
      <c r="E744" s="13" t="n">
        <v>73</v>
      </c>
      <c r="F744" s="15" t="n">
        <v>67100</v>
      </c>
      <c r="G744" s="13" t="inlineStr">
        <is>
          <t>METER_REPLACEMENT</t>
        </is>
      </c>
      <c r="H744" s="13" t="n"/>
      <c r="I744" s="15" t="n">
        <v>0</v>
      </c>
      <c r="J744" s="13" t="inlineStr">
        <is>
          <t>2026-05-10T22:46:23+09:00</t>
        </is>
      </c>
      <c r="K744" s="14" t="inlineStr">
        <is>
          <t>再出品1円～売切り[悪戯購入意思のない入札辞めて下さい]★ヴォクシーZS パワスラ ナビBカメラ 予備検査取得済み 車検2年付き即乗り可能★</t>
        </is>
      </c>
      <c r="L744" s="13" t="inlineStr">
        <is>
          <t>https://page.auctions.yahoo.co.jp/jp/auction/e1228249742</t>
        </is>
      </c>
    </row>
    <row r="745">
      <c r="A745" s="8" t="inlineStr">
        <is>
          <t>ヴォクシー</t>
        </is>
      </c>
      <c r="B745" s="8" t="n">
        <v>2008</v>
      </c>
      <c r="C745" s="8" t="inlineStr">
        <is>
          <t>70系</t>
        </is>
      </c>
      <c r="D745" s="11" t="n">
        <v>285000</v>
      </c>
      <c r="E745" s="8" t="n">
        <v>30</v>
      </c>
      <c r="F745" s="11" t="n">
        <v>67100</v>
      </c>
      <c r="G745" s="8" t="inlineStr">
        <is>
          <t>METER_REPLACEMENT</t>
        </is>
      </c>
      <c r="H745" s="8" t="n"/>
      <c r="I745" s="11" t="n">
        <v>0</v>
      </c>
      <c r="J745" s="8" t="inlineStr">
        <is>
          <t>2026-04-19T10:33:32+09:00</t>
        </is>
      </c>
      <c r="K745" s="14" t="inlineStr">
        <is>
          <t>★再出品1円～売切り★ヴォクシーZS★8人乗り★パワスラ ナビBカメラ 地デジTV Bluetooth★予備検査取得合格済み 車検2年付き即乗り可能★</t>
        </is>
      </c>
      <c r="L745" s="8" t="inlineStr">
        <is>
          <t>https://page.auctions.yahoo.co.jp/jp/auction/1226283465</t>
        </is>
      </c>
    </row>
    <row r="746">
      <c r="A746" s="13" t="inlineStr">
        <is>
          <t>ヴォクシー</t>
        </is>
      </c>
      <c r="B746" s="13" t="n">
        <v>2008</v>
      </c>
      <c r="C746" s="13" t="inlineStr">
        <is>
          <t>70系</t>
        </is>
      </c>
      <c r="D746" s="15" t="n">
        <v>203000</v>
      </c>
      <c r="E746" s="13" t="n">
        <v>13</v>
      </c>
      <c r="F746" s="15" t="n">
        <v>84303</v>
      </c>
      <c r="G746" s="13" t="inlineStr">
        <is>
          <t>REAL_MILEAGE</t>
        </is>
      </c>
      <c r="H746" s="13" t="inlineStr">
        <is>
          <t>NONE</t>
        </is>
      </c>
      <c r="I746" s="15" t="n">
        <v>0</v>
      </c>
      <c r="J746" s="13" t="inlineStr">
        <is>
          <t>2026-04-12T12:15:58+09:00</t>
        </is>
      </c>
      <c r="K746" s="14" t="inlineStr">
        <is>
          <t>トヨタ ヴォクシー 距離8万キロ★不具合なし★サイドカメラ付き</t>
        </is>
      </c>
      <c r="L746" s="13" t="inlineStr">
        <is>
          <t>https://page.auctions.yahoo.co.jp/jp/auction/h1225405415</t>
        </is>
      </c>
    </row>
    <row r="747">
      <c r="A747" s="8" t="inlineStr">
        <is>
          <t>ヴォクシー</t>
        </is>
      </c>
      <c r="B747" s="8" t="n">
        <v>2008</v>
      </c>
      <c r="C747" s="8" t="inlineStr">
        <is>
          <t>70系</t>
        </is>
      </c>
      <c r="D747" s="11" t="n">
        <v>157000</v>
      </c>
      <c r="E747" s="8" t="n">
        <v>47</v>
      </c>
      <c r="F747" s="11" t="n">
        <v>67100</v>
      </c>
      <c r="G747" s="8" t="inlineStr">
        <is>
          <t>METER_REPLACEMENT</t>
        </is>
      </c>
      <c r="H747" s="8" t="n"/>
      <c r="I747" s="11" t="n">
        <v>0</v>
      </c>
      <c r="J747" s="8" t="inlineStr">
        <is>
          <t>2026-04-05T21:43:21+09:00</t>
        </is>
      </c>
      <c r="K747" s="14" t="inlineStr">
        <is>
          <t>★美車★1円～売切り★ヴォクシーZS★8人乗り★パワスラ ナビBカメラ 地デジTV Bluetooth★予備検査取得合格済み 車検2年付き即乗り可能★</t>
        </is>
      </c>
      <c r="L747" s="8" t="inlineStr">
        <is>
          <t>https://page.auctions.yahoo.co.jp/jp/auction/p1223830196</t>
        </is>
      </c>
    </row>
    <row r="748">
      <c r="A748" s="13" t="inlineStr">
        <is>
          <t>ヴォクシー</t>
        </is>
      </c>
      <c r="B748" s="13" t="n">
        <v>2008</v>
      </c>
      <c r="C748" s="13" t="inlineStr">
        <is>
          <t>70系</t>
        </is>
      </c>
      <c r="D748" s="15" t="n">
        <v>157000</v>
      </c>
      <c r="E748" s="13" t="n">
        <v>63</v>
      </c>
      <c r="F748" s="15" t="n">
        <v>177000</v>
      </c>
      <c r="G748" s="13" t="inlineStr">
        <is>
          <t>REAL_MILEAGE</t>
        </is>
      </c>
      <c r="H748" s="13" t="n"/>
      <c r="I748" s="15" t="n">
        <v>0</v>
      </c>
      <c r="J748" s="13" t="inlineStr">
        <is>
          <t>2026-03-29T20:23:56+09:00</t>
        </is>
      </c>
      <c r="K748" s="14" t="inlineStr">
        <is>
          <t>【個人】トヨタヴォクシーZガソリン4WD</t>
        </is>
      </c>
      <c r="L748" s="13" t="inlineStr">
        <is>
          <t>https://page.auctions.yahoo.co.jp/jp/auction/n1223658853</t>
        </is>
      </c>
    </row>
    <row r="749">
      <c r="A749" s="8" t="inlineStr">
        <is>
          <t>ヴォクシー</t>
        </is>
      </c>
      <c r="B749" s="8" t="n">
        <v>2008</v>
      </c>
      <c r="C749" s="8" t="inlineStr">
        <is>
          <t>70系</t>
        </is>
      </c>
      <c r="D749" s="11" t="n">
        <v>200000</v>
      </c>
      <c r="E749" s="8" t="n">
        <v>26</v>
      </c>
      <c r="F749" s="11" t="n">
        <v>145000</v>
      </c>
      <c r="G749" s="8" t="inlineStr">
        <is>
          <t>REAL_MILEAGE</t>
        </is>
      </c>
      <c r="H749" s="8" t="inlineStr">
        <is>
          <t>NONE</t>
        </is>
      </c>
      <c r="I749" s="11" t="n">
        <v>0</v>
      </c>
      <c r="J749" s="8" t="inlineStr">
        <is>
          <t>2026-03-26T22:50:07+09:00</t>
        </is>
      </c>
      <c r="K749" s="14" t="inlineStr">
        <is>
          <t xml:space="preserve">トヨタ　ヴォクシー　ZS　車検 令和9年10月　左電動スライド　8人乗り　一週間のみ出品　　旅行に　仕事に　送迎に　お役に立ちます！　</t>
        </is>
      </c>
      <c r="L749" s="8" t="inlineStr">
        <is>
          <t>https://page.auctions.yahoo.co.jp/jp/auction/r1223623438</t>
        </is>
      </c>
    </row>
    <row r="750">
      <c r="A750" s="13" t="inlineStr">
        <is>
          <t>ヴォクシー</t>
        </is>
      </c>
      <c r="B750" s="13" t="n">
        <v>2007</v>
      </c>
      <c r="C750" s="13" t="inlineStr"/>
      <c r="D750" s="15" t="n">
        <v>150000</v>
      </c>
      <c r="E750" s="13" t="n">
        <v>11</v>
      </c>
      <c r="F750" s="15" t="n">
        <v>130000</v>
      </c>
      <c r="G750" s="13" t="inlineStr">
        <is>
          <t>REAL_MILEAGE</t>
        </is>
      </c>
      <c r="H750" s="13" t="inlineStr">
        <is>
          <t>NONE</t>
        </is>
      </c>
      <c r="I750" s="15" t="n">
        <v>92820</v>
      </c>
      <c r="J750" s="13" t="inlineStr">
        <is>
          <t>2026-07-13T18:38:02+09:00</t>
        </is>
      </c>
      <c r="K750" s="14" t="inlineStr">
        <is>
          <t>トヨタ ヴォクシー X グレード 4WD 年式平成 19年3月 車検が長い　令和10年3月まで</t>
        </is>
      </c>
      <c r="L750" s="13" t="inlineStr">
        <is>
          <t>https://page.auctions.yahoo.co.jp/jp/auction/s1236019614</t>
        </is>
      </c>
    </row>
    <row r="751">
      <c r="A751" s="8" t="inlineStr">
        <is>
          <t>ヴォクシー</t>
        </is>
      </c>
      <c r="B751" s="8" t="n">
        <v>2007</v>
      </c>
      <c r="C751" s="8" t="inlineStr">
        <is>
          <t>70系</t>
        </is>
      </c>
      <c r="D751" s="11" t="n">
        <v>198000</v>
      </c>
      <c r="E751" s="8" t="n">
        <v>26</v>
      </c>
      <c r="F751" s="11" t="n">
        <v>110800</v>
      </c>
      <c r="G751" s="8" t="inlineStr">
        <is>
          <t>REAL_MILEAGE</t>
        </is>
      </c>
      <c r="H751" s="8" t="inlineStr">
        <is>
          <t>NONE</t>
        </is>
      </c>
      <c r="I751" s="11" t="n">
        <v>0</v>
      </c>
      <c r="J751" s="8" t="inlineStr">
        <is>
          <t>2026-06-07T22:21:27+09:00</t>
        </is>
      </c>
      <c r="K751" s="14" t="inlineStr">
        <is>
          <t xml:space="preserve">ヴォクシー　ZRR70G　検査9年5月まで　</t>
        </is>
      </c>
      <c r="L751" s="8" t="inlineStr">
        <is>
          <t>https://page.auctions.yahoo.co.jp/jp/auction/c1228897454</t>
        </is>
      </c>
    </row>
    <row r="752">
      <c r="A752" s="13" t="inlineStr">
        <is>
          <t>ヴォクシー</t>
        </is>
      </c>
      <c r="B752" s="13" t="n">
        <v>2007</v>
      </c>
      <c r="C752" s="13" t="inlineStr">
        <is>
          <t>70系</t>
        </is>
      </c>
      <c r="D752" s="15" t="n">
        <v>522000</v>
      </c>
      <c r="E752" s="13" t="n">
        <v>36</v>
      </c>
      <c r="F752" s="15" t="n">
        <v>110503</v>
      </c>
      <c r="G752" s="13" t="inlineStr">
        <is>
          <t>REAL_MILEAGE</t>
        </is>
      </c>
      <c r="H752" s="13" t="inlineStr">
        <is>
          <t>NONE</t>
        </is>
      </c>
      <c r="I752" s="15" t="n">
        <v>0</v>
      </c>
      <c r="J752" s="13" t="inlineStr">
        <is>
          <t>2026-05-28T21:08:00+09:00</t>
        </is>
      </c>
      <c r="K752" s="14" t="inlineStr">
        <is>
          <t>8ナンバーOK★トヨタ・ヴォクシー★福祉車両★全自動スローパー★車いす固定電動ウインチ★パワースライドドア★7人乗り★ナビ・地デジTV★</t>
        </is>
      </c>
      <c r="L752" s="13" t="inlineStr">
        <is>
          <t>https://page.auctions.yahoo.co.jp/jp/auction/q1229862226</t>
        </is>
      </c>
    </row>
    <row r="753">
      <c r="A753" s="8" t="inlineStr">
        <is>
          <t>ヴォクシー</t>
        </is>
      </c>
      <c r="B753" s="8" t="n">
        <v>2007</v>
      </c>
      <c r="C753" s="8" t="inlineStr">
        <is>
          <t>70系</t>
        </is>
      </c>
      <c r="D753" s="11" t="n">
        <v>350000</v>
      </c>
      <c r="E753" s="8" t="n">
        <v>1</v>
      </c>
      <c r="F753" s="11" t="n">
        <v>122440</v>
      </c>
      <c r="G753" s="8" t="inlineStr">
        <is>
          <t>REAL_MILEAGE</t>
        </is>
      </c>
      <c r="H753" s="8" t="inlineStr">
        <is>
          <t>NONE</t>
        </is>
      </c>
      <c r="I753" s="11" t="n">
        <v>0</v>
      </c>
      <c r="J753" s="8" t="inlineStr">
        <is>
          <t>2026-05-19T21:11:53+09:00</t>
        </is>
      </c>
      <c r="K753" s="14" t="inlineStr">
        <is>
          <t>トヨタ VOXY ヴォクシー 70 平成19年 12万キロ トランポ 5人乗り 水回り オルタネーター タイヤ 交換済み</t>
        </is>
      </c>
      <c r="L753" s="8" t="inlineStr">
        <is>
          <t>https://page.auctions.yahoo.co.jp/jp/auction/o1230228481</t>
        </is>
      </c>
    </row>
    <row r="754">
      <c r="A754" s="13" t="inlineStr">
        <is>
          <t>ヴォクシー</t>
        </is>
      </c>
      <c r="B754" s="13" t="n">
        <v>2007</v>
      </c>
      <c r="C754" s="13" t="inlineStr">
        <is>
          <t>70系</t>
        </is>
      </c>
      <c r="D754" s="15" t="n">
        <v>147000</v>
      </c>
      <c r="E754" s="13" t="n">
        <v>56</v>
      </c>
      <c r="F754" s="15" t="n">
        <v>178052</v>
      </c>
      <c r="G754" s="13" t="inlineStr">
        <is>
          <t>REAL_MILEAGE</t>
        </is>
      </c>
      <c r="H754" s="13" t="n"/>
      <c r="I754" s="15" t="n">
        <v>0</v>
      </c>
      <c r="J754" s="13" t="inlineStr">
        <is>
          <t>2026-04-19T22:18:20+09:00</t>
        </is>
      </c>
      <c r="K754" s="14" t="inlineStr">
        <is>
          <t>売り切り！1円スタート　今回のみ出品　トヨタ　ヴォクシー　8人乗り　社外ホイール　etcフルセグ車検あり乗って帰れます</t>
        </is>
      </c>
      <c r="L754" s="13" t="inlineStr">
        <is>
          <t>https://page.auctions.yahoo.co.jp/jp/auction/1226538221</t>
        </is>
      </c>
    </row>
    <row r="755">
      <c r="A755" s="8" t="inlineStr">
        <is>
          <t>ヴォクシー</t>
        </is>
      </c>
      <c r="B755" s="8" t="n">
        <v>2006</v>
      </c>
      <c r="C755" s="8" t="inlineStr"/>
      <c r="D755" s="11" t="n">
        <v>198000</v>
      </c>
      <c r="E755" s="8" t="n">
        <v>1</v>
      </c>
      <c r="F755" s="11" t="n">
        <v>135000</v>
      </c>
      <c r="G755" s="8" t="inlineStr">
        <is>
          <t>REAL_MILEAGE</t>
        </is>
      </c>
      <c r="H755" s="8" t="inlineStr">
        <is>
          <t>NONE</t>
        </is>
      </c>
      <c r="I755" s="11" t="n">
        <v>0</v>
      </c>
      <c r="J755" s="8" t="inlineStr">
        <is>
          <t>2026-03-23T23:55:44+09:00</t>
        </is>
      </c>
      <c r="K755" s="14" t="inlineStr">
        <is>
          <t>ヴォクシー 2.0 Z 煌 エアコン　パワステ　パワーウインドウ　エ</t>
        </is>
      </c>
      <c r="L755" s="8" t="inlineStr">
        <is>
          <t>https://page.auctions.yahoo.co.jp/jp/auction/s1209721898</t>
        </is>
      </c>
    </row>
    <row r="756">
      <c r="A756" s="13" t="inlineStr">
        <is>
          <t>ヴォクシー</t>
        </is>
      </c>
      <c r="B756" s="13" t="n">
        <v>2006</v>
      </c>
      <c r="C756" s="13" t="inlineStr"/>
      <c r="D756" s="15" t="n">
        <v>153000</v>
      </c>
      <c r="E756" s="13" t="n">
        <v>52</v>
      </c>
      <c r="F756" s="15" t="n">
        <v>137329</v>
      </c>
      <c r="G756" s="13" t="inlineStr">
        <is>
          <t>REAL_MILEAGE</t>
        </is>
      </c>
      <c r="H756" s="13" t="n"/>
      <c r="I756" s="15" t="n">
        <v>0</v>
      </c>
      <c r="J756" s="13" t="inlineStr">
        <is>
          <t>2026-03-08T20:59:33+09:00</t>
        </is>
      </c>
      <c r="K756" s="14" t="inlineStr">
        <is>
          <t>ヴォクシー☆トヨタ☆AZR60☆　平成18年　８人乗り　スライドドア　ETC 掃除済み　埼玉　1729</t>
        </is>
      </c>
      <c r="L756" s="13" t="inlineStr">
        <is>
          <t>https://page.auctions.yahoo.co.jp/jp/auction/u1220945648</t>
        </is>
      </c>
    </row>
    <row r="757">
      <c r="A757" s="8" t="inlineStr">
        <is>
          <t>ヴォクシー</t>
        </is>
      </c>
      <c r="B757" s="8" t="n">
        <v>2005</v>
      </c>
      <c r="C757" s="8" t="inlineStr"/>
      <c r="D757" s="11" t="n">
        <v>147000</v>
      </c>
      <c r="E757" s="8" t="n">
        <v>4</v>
      </c>
      <c r="F757" s="11" t="n">
        <v>102432</v>
      </c>
      <c r="G757" s="8" t="inlineStr">
        <is>
          <t>REAL_MILEAGE</t>
        </is>
      </c>
      <c r="H757" s="8" t="inlineStr">
        <is>
          <t>NONE</t>
        </is>
      </c>
      <c r="I757" s="11" t="n">
        <v>0</v>
      </c>
      <c r="J757" s="8" t="inlineStr">
        <is>
          <t>2026-04-19T17:39:08+09:00</t>
        </is>
      </c>
      <c r="K757" s="14" t="inlineStr">
        <is>
          <t>再出品！！　値下げ！車検２月に取り立て！！　程度良好、格安ミニバンをお探しの方必見！！　平成17年式ヴォクシー・X 譲ります。</t>
        </is>
      </c>
      <c r="L757" s="8" t="inlineStr">
        <is>
          <t>https://page.auctions.yahoo.co.jp/jp/auction/r1226811072</t>
        </is>
      </c>
    </row>
    <row r="758">
      <c r="A758" s="13" t="inlineStr">
        <is>
          <t>ヴォクシー</t>
        </is>
      </c>
      <c r="B758" s="13" t="n">
        <v>2005</v>
      </c>
      <c r="C758" s="13" t="inlineStr"/>
      <c r="D758" s="15" t="n">
        <v>168700</v>
      </c>
      <c r="E758" s="13" t="n">
        <v>61</v>
      </c>
      <c r="F758" s="15" t="n">
        <v>137710</v>
      </c>
      <c r="G758" s="13" t="inlineStr">
        <is>
          <t>REAL_MILEAGE</t>
        </is>
      </c>
      <c r="H758" s="13" t="inlineStr">
        <is>
          <t>NONE</t>
        </is>
      </c>
      <c r="I758" s="15" t="n">
        <v>0</v>
      </c>
      <c r="J758" s="13" t="inlineStr">
        <is>
          <t>2026-04-04T23:37:12+09:00</t>
        </is>
      </c>
      <c r="K758" s="14" t="inlineStr">
        <is>
          <t xml:space="preserve">トヨタ ヴォクシー Z煌 後期型 8人乗り 車検残R8年8月乗って帰れます 両側パワースライドドア バックカメラ 後席天井モニタ ETC </t>
        </is>
      </c>
      <c r="L758" s="13" t="inlineStr">
        <is>
          <t>https://page.auctions.yahoo.co.jp/jp/auction/q1223732608</t>
        </is>
      </c>
    </row>
    <row r="759">
      <c r="A759" s="8" t="inlineStr">
        <is>
          <t>ヴォクシー</t>
        </is>
      </c>
      <c r="B759" s="8" t="n">
        <v>2004</v>
      </c>
      <c r="C759" s="8" t="inlineStr"/>
      <c r="D759" s="11" t="n">
        <v>154500</v>
      </c>
      <c r="E759" s="8" t="n">
        <v>28</v>
      </c>
      <c r="F759" s="11" t="n">
        <v>185641</v>
      </c>
      <c r="G759" s="8" t="inlineStr">
        <is>
          <t>REAL_MILEAGE</t>
        </is>
      </c>
      <c r="H759" s="8" t="n"/>
      <c r="I759" s="11" t="n">
        <v>0</v>
      </c>
      <c r="J759" s="8" t="inlineStr">
        <is>
          <t>2026-03-18T04:02:38+09:00</t>
        </is>
      </c>
      <c r="K759" s="14" t="inlineStr">
        <is>
          <t>1円スタート 60 ヴォクシー ノア 車検有り 3列シート 8人乗り 車検令和9年6月26まで 走行距離185,641km 乗って帰れます♪</t>
        </is>
      </c>
      <c r="L759" s="8" t="inlineStr">
        <is>
          <t>https://page.auctions.yahoo.co.jp/jp/auction/j1221607832</t>
        </is>
      </c>
    </row>
    <row r="760">
      <c r="A760" s="13" t="inlineStr">
        <is>
          <t>ヴォクシー</t>
        </is>
      </c>
      <c r="B760" s="13" t="n">
        <v>2002</v>
      </c>
      <c r="C760" s="13" t="inlineStr"/>
      <c r="D760" s="15" t="n">
        <v>440000</v>
      </c>
      <c r="E760" s="13" t="n">
        <v>1</v>
      </c>
      <c r="F760" s="15" t="n">
        <v>140000</v>
      </c>
      <c r="G760" s="13" t="inlineStr">
        <is>
          <t>REAL_MILEAGE</t>
        </is>
      </c>
      <c r="H760" s="13" t="inlineStr">
        <is>
          <t>NONE</t>
        </is>
      </c>
      <c r="I760" s="15" t="n">
        <v>0</v>
      </c>
      <c r="J760" s="13" t="inlineStr">
        <is>
          <t>2026-04-02T17:34:30+09:00</t>
        </is>
      </c>
      <c r="K760" s="14" t="inlineStr">
        <is>
          <t>ヴォクシー80</t>
        </is>
      </c>
      <c r="L760" s="13" t="inlineStr">
        <is>
          <t>https://page.auctions.yahoo.co.jp/jp/auction/b1225108459</t>
        </is>
      </c>
    </row>
    <row r="761">
      <c r="A761" s="8" t="inlineStr">
        <is>
          <t>ヴォクシー</t>
        </is>
      </c>
      <c r="B761" s="8" t="n"/>
      <c r="C761" s="8" t="inlineStr"/>
      <c r="D761" s="11" t="n">
        <v>140000</v>
      </c>
      <c r="E761" s="8" t="n">
        <v>49</v>
      </c>
      <c r="F761" s="11" t="n"/>
      <c r="G761" s="8" t="n"/>
      <c r="H761" s="8" t="n"/>
      <c r="I761" s="11" t="n"/>
      <c r="J761" s="8" t="inlineStr">
        <is>
          <t>2026-08-13T22:20:26+09:00</t>
        </is>
      </c>
      <c r="K761" s="14" t="inlineStr">
        <is>
          <t>福島発!! 完全売切!! 車検付!! トヨタ ヴォクシー ボクシー ZS 70 ZRR70W パール ナビ フリップダウン 現状車 全てコミコミ ノア セレナ</t>
        </is>
      </c>
      <c r="L761" s="8" t="inlineStr">
        <is>
          <t>https://page.auctions.yahoo.co.jp/jp/auction/v1238991584</t>
        </is>
      </c>
    </row>
    <row r="762">
      <c r="A762" s="13" t="inlineStr">
        <is>
          <t>ヴォクシー</t>
        </is>
      </c>
      <c r="B762" s="13" t="n"/>
      <c r="C762" s="13" t="inlineStr"/>
      <c r="D762" s="15" t="n">
        <v>703000</v>
      </c>
      <c r="E762" s="13" t="n">
        <v>183</v>
      </c>
      <c r="F762" s="15" t="n"/>
      <c r="G762" s="13" t="n"/>
      <c r="H762" s="13" t="n"/>
      <c r="I762" s="15" t="n"/>
      <c r="J762" s="13" t="inlineStr">
        <is>
          <t>2026-07-18T22:40:37+09:00</t>
        </is>
      </c>
      <c r="K762" s="14" t="inlineStr">
        <is>
          <t>【売り切り！】平成26年 ヴォクシー ハイブリッド X 7人乗り｜車検2年付き｜すぐ乗れます！</t>
        </is>
      </c>
      <c r="L762" s="13" t="inlineStr">
        <is>
          <t>https://page.auctions.yahoo.co.jp/jp/auction/n1236397413</t>
        </is>
      </c>
    </row>
    <row r="763">
      <c r="A763" s="8" t="inlineStr">
        <is>
          <t>ヴォクシー</t>
        </is>
      </c>
      <c r="B763" s="8" t="n"/>
      <c r="C763" s="8" t="inlineStr"/>
      <c r="D763" s="11" t="n">
        <v>135000</v>
      </c>
      <c r="E763" s="8" t="n">
        <v>52</v>
      </c>
      <c r="F763" s="11" t="n"/>
      <c r="G763" s="8" t="n"/>
      <c r="H763" s="8" t="n"/>
      <c r="I763" s="11" t="n"/>
      <c r="J763" s="8" t="inlineStr">
        <is>
          <t>2026-07-18T21:49:37+09:00</t>
        </is>
      </c>
      <c r="K763" s="14" t="inlineStr">
        <is>
          <t>超超超訳あり！！格安出品、売り切り！維持費格安！ZSですが4ナンバー登録！7/14まで検査有り！</t>
        </is>
      </c>
      <c r="L763" s="8" t="inlineStr">
        <is>
          <t>https://page.auctions.yahoo.co.jp/jp/auction/l1236369154</t>
        </is>
      </c>
    </row>
    <row r="764">
      <c r="A764" s="13" t="inlineStr">
        <is>
          <t>ヴォクシー</t>
        </is>
      </c>
      <c r="B764" s="13" t="n"/>
      <c r="C764" s="13" t="inlineStr"/>
      <c r="D764" s="15" t="n">
        <v>621000</v>
      </c>
      <c r="E764" s="13" t="n">
        <v>197</v>
      </c>
      <c r="F764" s="15" t="n"/>
      <c r="G764" s="13" t="n"/>
      <c r="H764" s="13" t="n"/>
      <c r="I764" s="15" t="n"/>
      <c r="J764" s="13" t="inlineStr">
        <is>
          <t>2026-07-13T21:31:35+09:00</t>
        </is>
      </c>
      <c r="K764" s="14" t="inlineStr">
        <is>
          <t>ハイブリッドＶ　車検９年３月　９インチ大画面ナビ　両側パワスラ　クルーズコントロール　シートヒーター　Ｗエアコン　ドラレコ</t>
        </is>
      </c>
      <c r="L764" s="13" t="inlineStr">
        <is>
          <t>https://page.auctions.yahoo.co.jp/jp/auction/u1236146364</t>
        </is>
      </c>
    </row>
    <row r="765">
      <c r="A765" s="8" t="inlineStr">
        <is>
          <t>ヴォクシー</t>
        </is>
      </c>
      <c r="B765" s="8" t="n"/>
      <c r="C765" s="8" t="inlineStr"/>
      <c r="D765" s="11" t="n">
        <v>801000</v>
      </c>
      <c r="E765" s="8" t="n">
        <v>108</v>
      </c>
      <c r="F765" s="11" t="n"/>
      <c r="G765" s="8" t="n"/>
      <c r="H765" s="8" t="n"/>
      <c r="I765" s="11" t="n"/>
      <c r="J765" s="8" t="inlineStr">
        <is>
          <t>2026-06-07T21:22:53+09:00</t>
        </is>
      </c>
      <c r="K765" s="14" t="inlineStr">
        <is>
          <t>本車検R10/5迄満タン☆ZS☆両側パワースライド【純正10インチナビ/フルセグ/Bモニター/アイドリングストップ/ETC】LED/アルミ</t>
        </is>
      </c>
      <c r="L765" s="8" t="inlineStr">
        <is>
          <t>https://page.auctions.yahoo.co.jp/jp/auction/d1231403990</t>
        </is>
      </c>
    </row>
    <row r="766">
      <c r="A766" s="13" t="inlineStr">
        <is>
          <t>ヴォクシー</t>
        </is>
      </c>
      <c r="B766" s="13" t="n"/>
      <c r="C766" s="13" t="inlineStr"/>
      <c r="D766" s="15" t="n">
        <v>698000</v>
      </c>
      <c r="E766" s="13" t="n">
        <v>52</v>
      </c>
      <c r="F766" s="15" t="n"/>
      <c r="G766" s="13" t="n"/>
      <c r="H766" s="13" t="n"/>
      <c r="I766" s="15" t="n"/>
      <c r="J766" s="13" t="inlineStr">
        <is>
          <t>2026-05-20T21:12:08+09:00</t>
        </is>
      </c>
      <c r="K766" s="14" t="inlineStr">
        <is>
          <t xml:space="preserve">ハイブリッドＶ　車検１０年５月　ナビ　Ｂカメラ　ＥＴＣ　パワースライド　クルコン　シートヒーター　前後ドラレコ　Ｗエアコン　</t>
        </is>
      </c>
      <c r="L766" s="13" t="inlineStr">
        <is>
          <t>https://page.auctions.yahoo.co.jp/jp/auction/o1228200508</t>
        </is>
      </c>
    </row>
    <row r="767">
      <c r="A767" s="8" t="inlineStr">
        <is>
          <t>ヴォクシー</t>
        </is>
      </c>
      <c r="B767" s="8" t="n"/>
      <c r="C767" s="8" t="inlineStr"/>
      <c r="D767" s="11" t="n">
        <v>571000</v>
      </c>
      <c r="E767" s="8" t="n">
        <v>46</v>
      </c>
      <c r="F767" s="11" t="n"/>
      <c r="G767" s="8" t="n"/>
      <c r="H767" s="8" t="n"/>
      <c r="I767" s="11" t="n"/>
      <c r="J767" s="8" t="inlineStr">
        <is>
          <t>2026-05-16T20:52:08+09:00</t>
        </is>
      </c>
      <c r="K767" s="14" t="inlineStr">
        <is>
          <t>ハイブリッドＶ　車検９年９月　修復なし　フリップダウンモニター　両側パワスラ　純正ナビ　Ｂカメラ　ＥＴＣ　ダブルエアコン　クルコン</t>
        </is>
      </c>
      <c r="L767" s="8" t="inlineStr">
        <is>
          <t>https://page.auctions.yahoo.co.jp/jp/auction/m1229310612</t>
        </is>
      </c>
    </row>
    <row r="768">
      <c r="A768" s="13" t="inlineStr">
        <is>
          <t>ヴォクシー</t>
        </is>
      </c>
      <c r="B768" s="13" t="n"/>
      <c r="C768" s="13" t="inlineStr"/>
      <c r="D768" s="15" t="n">
        <v>702000</v>
      </c>
      <c r="E768" s="13" t="n">
        <v>97</v>
      </c>
      <c r="F768" s="15" t="n"/>
      <c r="G768" s="13" t="n"/>
      <c r="H768" s="13" t="n"/>
      <c r="I768" s="15" t="n"/>
      <c r="J768" s="13" t="inlineStr">
        <is>
          <t>2026-05-13T22:08:24+09:00</t>
        </is>
      </c>
      <c r="K768" s="14" t="inlineStr">
        <is>
          <t>『陸送30％off』車検満タン10/5☆Fダウンモニタ-☆ハイブリットX♪【両パワスラ/ナビ/フルセグ走行中視聴可/Bカメラ/スマ-トキ-/ETC/LED】</t>
        </is>
      </c>
      <c r="L768" s="13" t="inlineStr">
        <is>
          <t>https://page.auctions.yahoo.co.jp/jp/auction/h1228665478</t>
        </is>
      </c>
    </row>
    <row r="769">
      <c r="A769" s="8" t="inlineStr">
        <is>
          <t>ヴォクシー</t>
        </is>
      </c>
      <c r="B769" s="8" t="n"/>
      <c r="C769" s="8" t="inlineStr"/>
      <c r="D769" s="11" t="n">
        <v>677000</v>
      </c>
      <c r="E769" s="8" t="n">
        <v>118</v>
      </c>
      <c r="F769" s="11" t="n"/>
      <c r="G769" s="8" t="n"/>
      <c r="H769" s="8" t="n"/>
      <c r="I769" s="11" t="n"/>
      <c r="J769" s="8" t="inlineStr">
        <is>
          <t>2026-05-05T22:26:18+09:00</t>
        </is>
      </c>
      <c r="K769" s="14" t="inlineStr">
        <is>
          <t xml:space="preserve">モデリスタ　ハイブリッドＶ　車検１０年５月　修復なし　フリップダウンモニター　ナビ　Ｂカメラ　ＥＴＣ　シートヒーター　クルコン　</t>
        </is>
      </c>
      <c r="L769" s="8" t="inlineStr">
        <is>
          <t>https://page.auctions.yahoo.co.jp/jp/auction/u1227775008</t>
        </is>
      </c>
    </row>
    <row r="770">
      <c r="A770" s="13" t="inlineStr">
        <is>
          <t>ヴォクシー</t>
        </is>
      </c>
      <c r="B770" s="13" t="n"/>
      <c r="C770" s="13" t="inlineStr"/>
      <c r="D770" s="15" t="n">
        <v>260000</v>
      </c>
      <c r="E770" s="13" t="n">
        <v>30</v>
      </c>
      <c r="F770" s="15" t="n"/>
      <c r="G770" s="13" t="n"/>
      <c r="H770" s="13" t="n"/>
      <c r="I770" s="15" t="n"/>
      <c r="J770" s="13" t="inlineStr">
        <is>
          <t>2026-04-18T21:18:21+09:00</t>
        </is>
      </c>
      <c r="K770" s="14" t="inlineStr">
        <is>
          <t>トヨタ　ヴォクシー平成24年　8人乗り</t>
        </is>
      </c>
      <c r="L770" s="13" t="inlineStr">
        <is>
          <t>https://page.auctions.yahoo.co.jp/jp/auction/c1226289900</t>
        </is>
      </c>
    </row>
    <row r="771">
      <c r="A771" s="8" t="inlineStr">
        <is>
          <t>ヴォクシー</t>
        </is>
      </c>
      <c r="B771" s="8" t="n"/>
      <c r="C771" s="8" t="inlineStr"/>
      <c r="D771" s="11" t="n">
        <v>641000</v>
      </c>
      <c r="E771" s="8" t="n">
        <v>53</v>
      </c>
      <c r="F771" s="11" t="n"/>
      <c r="G771" s="8" t="n"/>
      <c r="H771" s="8" t="n"/>
      <c r="I771" s="11" t="n"/>
      <c r="J771" s="8" t="inlineStr">
        <is>
          <t>2026-04-12T21:22:57+09:00</t>
        </is>
      </c>
      <c r="K771" s="14" t="inlineStr">
        <is>
          <t xml:space="preserve">ハイブリッドＶ　車検１０年４月　両側パワースライドドア　ナビ　Ｂカメラ　ＥＴＣ　クルコン　シートヒーター　コーナーセンサー　</t>
        </is>
      </c>
      <c r="L771" s="8" t="inlineStr">
        <is>
          <t>https://page.auctions.yahoo.co.jp/jp/auction/b1225386942</t>
        </is>
      </c>
    </row>
    <row r="772">
      <c r="A772" s="13" t="inlineStr">
        <is>
          <t>ヴォクシー</t>
        </is>
      </c>
      <c r="B772" s="13" t="n"/>
      <c r="C772" s="13" t="inlineStr"/>
      <c r="D772" s="15" t="n">
        <v>350000</v>
      </c>
      <c r="E772" s="13" t="n">
        <v>22</v>
      </c>
      <c r="F772" s="15" t="n"/>
      <c r="G772" s="13" t="n"/>
      <c r="H772" s="13" t="n"/>
      <c r="I772" s="15" t="n"/>
      <c r="J772" s="13" t="inlineStr">
        <is>
          <t>2026-04-12T00:03:30+09:00</t>
        </is>
      </c>
      <c r="K772" s="14" t="inlineStr">
        <is>
          <t>ヴォクシー　 113000キロ　４WD</t>
        </is>
      </c>
      <c r="L772" s="13" t="inlineStr">
        <is>
          <t>https://page.auctions.yahoo.co.jp/jp/auction/e1223874169</t>
        </is>
      </c>
    </row>
    <row r="773">
      <c r="A773" s="8" t="inlineStr">
        <is>
          <t>ヴォクシー</t>
        </is>
      </c>
      <c r="B773" s="8" t="n"/>
      <c r="C773" s="8" t="inlineStr"/>
      <c r="D773" s="11" t="n">
        <v>651000</v>
      </c>
      <c r="E773" s="8" t="n">
        <v>34</v>
      </c>
      <c r="F773" s="11" t="n"/>
      <c r="G773" s="8" t="n"/>
      <c r="H773" s="8" t="n"/>
      <c r="I773" s="11" t="n"/>
      <c r="J773" s="8" t="inlineStr">
        <is>
          <t>2026-04-11T21:25:35+09:00</t>
        </is>
      </c>
      <c r="K773" s="14" t="inlineStr">
        <is>
          <t xml:space="preserve">ＨＶバッテリー交換済み　車検９年８月　１０インチナビ　エアロ　Ｂカメラ　シートヒーター　クルコン　両側パワスラ　修正なし　</t>
        </is>
      </c>
      <c r="L773" s="8" t="inlineStr">
        <is>
          <t>https://page.auctions.yahoo.co.jp/jp/auction/s1225253942</t>
        </is>
      </c>
    </row>
    <row r="774">
      <c r="A774" s="13" t="inlineStr">
        <is>
          <t>ヴォクシー</t>
        </is>
      </c>
      <c r="B774" s="13" t="n"/>
      <c r="C774" s="13" t="inlineStr"/>
      <c r="D774" s="15" t="n">
        <v>788000</v>
      </c>
      <c r="E774" s="13" t="n">
        <v>2</v>
      </c>
      <c r="F774" s="15" t="n"/>
      <c r="G774" s="13" t="n"/>
      <c r="H774" s="13" t="n"/>
      <c r="I774" s="15" t="n"/>
      <c r="J774" s="13" t="inlineStr">
        <is>
          <t>2026-03-27T10:59:50+09:00</t>
        </is>
      </c>
      <c r="K774" s="14" t="inlineStr">
        <is>
          <t>ハイブリッド　車検１０年４月　修復なし　両側パワースライドドア　ナビ　Ｂカメラ　ＥＴＣ　ステアスイッチ　ＬＥＤヘッドライト</t>
        </is>
      </c>
      <c r="L774" s="13" t="inlineStr">
        <is>
          <t>https://page.auctions.yahoo.co.jp/jp/auction/c1224204859</t>
        </is>
      </c>
    </row>
    <row r="775">
      <c r="A775" s="8" t="inlineStr">
        <is>
          <t>ヴォクシー</t>
        </is>
      </c>
      <c r="B775" s="8" t="n"/>
      <c r="C775" s="8" t="inlineStr"/>
      <c r="D775" s="11" t="n">
        <v>848000</v>
      </c>
      <c r="E775" s="8" t="n">
        <v>146</v>
      </c>
      <c r="F775" s="11" t="n"/>
      <c r="G775" s="8" t="n"/>
      <c r="H775" s="8" t="n"/>
      <c r="I775" s="11" t="n"/>
      <c r="J775" s="8" t="inlineStr">
        <is>
          <t>2026-03-18T21:03:22+09:00</t>
        </is>
      </c>
      <c r="K775" s="14" t="inlineStr">
        <is>
          <t>ハイブリッド　車検１０年３月　修復なし　フリップダウンモニター　両側パワースライド　純正ナビ　Ｂカメラ　ＥＴＣ　オートエアコン</t>
        </is>
      </c>
      <c r="L775" s="8" t="inlineStr">
        <is>
          <t>https://page.auctions.yahoo.co.jp/jp/auction/t1221873077</t>
        </is>
      </c>
    </row>
    <row r="776">
      <c r="A776" s="13" t="inlineStr">
        <is>
          <t>ヴォクシー</t>
        </is>
      </c>
      <c r="B776" s="13" t="n"/>
      <c r="C776" s="13" t="inlineStr"/>
      <c r="D776" s="15" t="n">
        <v>271000</v>
      </c>
      <c r="E776" s="13" t="n">
        <v>40</v>
      </c>
      <c r="F776" s="15" t="n"/>
      <c r="G776" s="13" t="n"/>
      <c r="H776" s="13" t="n"/>
      <c r="I776" s="15" t="n"/>
      <c r="J776" s="13" t="inlineStr">
        <is>
          <t>2026-03-14T20:16:23+09:00</t>
        </is>
      </c>
      <c r="K776" s="14" t="inlineStr">
        <is>
          <t>乗って帰れます！約10.3万km TOYOTA ヴォクシー X Lエディション 諸費用込 埼玉から 個人出品　検) VOXY ノア ボクシー ミニバン</t>
        </is>
      </c>
      <c r="L776" s="13" t="inlineStr">
        <is>
          <t>https://page.auctions.yahoo.co.jp/jp/auction/w1222192015</t>
        </is>
      </c>
    </row>
    <row r="777">
      <c r="A777" s="8" t="inlineStr">
        <is>
          <t>ヴォクシー</t>
        </is>
      </c>
      <c r="B777" s="8" t="n"/>
      <c r="C777" s="8" t="inlineStr"/>
      <c r="D777" s="11" t="n">
        <v>798000</v>
      </c>
      <c r="E777" s="8" t="n">
        <v>90</v>
      </c>
      <c r="F777" s="11" t="n"/>
      <c r="G777" s="8" t="n"/>
      <c r="H777" s="8" t="n"/>
      <c r="I777" s="11" t="n"/>
      <c r="J777" s="8" t="inlineStr">
        <is>
          <t>2026-02-24T21:03:35+09:00</t>
        </is>
      </c>
      <c r="K777" s="14" t="inlineStr">
        <is>
          <t>ハイブリッドＶ　車検９年１０月　９インチナビ　Ｂカメラ　両側パワスラ　シートヒーター　クルコン　Ｗエアコン　リモコンスターター</t>
        </is>
      </c>
      <c r="L777" s="8" t="inlineStr">
        <is>
          <t>https://page.auctions.yahoo.co.jp/jp/auction/s1220083463</t>
        </is>
      </c>
    </row>
  </sheetData>
  <autoFilter ref="A1:L7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2026-08-22T01:52:37Z</dcterms:created>
  <dcterms:modified xmlns:dcterms="http://purl.org/dc/terms/" xmlns:xsi="http://www.w3.org/2001/XMLSchema-instance" xsi:type="dcterms:W3CDTF">2026-08-22T01:52:38Z</dcterms:modified>
</cp:coreProperties>
</file>