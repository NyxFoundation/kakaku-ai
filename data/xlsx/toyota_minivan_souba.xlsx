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グラフ_価格差" sheetId="2" state="visible" r:id="rId2"/>
    <sheet xmlns:r="http://schemas.openxmlformats.org/officeDocument/2006/relationships" name="グラフ_車種別" sheetId="3" state="visible" r:id="rId3"/>
    <sheet xmlns:r="http://schemas.openxmlformats.org/officeDocument/2006/relationships" name="グラフ_年式別" sheetId="4" state="visible" r:id="rId4"/>
    <sheet xmlns:r="http://schemas.openxmlformats.org/officeDocument/2006/relationships" name="車種マスタ" sheetId="5" state="visible" r:id="rId5"/>
    <sheet xmlns:r="http://schemas.openxmlformats.org/officeDocument/2006/relationships" name="相場_最新" sheetId="6" state="visible" r:id="rId6"/>
    <sheet xmlns:r="http://schemas.openxmlformats.org/officeDocument/2006/relationships" name="相場_時系列" sheetId="7" state="visible" r:id="rId7"/>
    <sheet xmlns:r="http://schemas.openxmlformats.org/officeDocument/2006/relationships" name="推移_落札中央値" sheetId="8" state="visible" r:id="rId8"/>
    <sheet xmlns:r="http://schemas.openxmlformats.org/officeDocument/2006/relationships" name="推移_小売中央値" sheetId="9" state="visible" r:id="rId9"/>
    <sheet xmlns:r="http://schemas.openxmlformats.org/officeDocument/2006/relationships" name="車種サマリ" sheetId="10" state="visible" r:id="rId10"/>
    <sheet xmlns:r="http://schemas.openxmlformats.org/officeDocument/2006/relationships" name="口コミ_年式別" sheetId="11" state="visible" r:id="rId11"/>
    <sheet xmlns:r="http://schemas.openxmlformats.org/officeDocument/2006/relationships" name="口コミ_明細" sheetId="12" state="visible" r:id="rId12"/>
    <sheet xmlns:r="http://schemas.openxmlformats.org/officeDocument/2006/relationships" name="壊れやすい点" sheetId="13" state="visible" r:id="rId13"/>
    <sheet xmlns:r="http://schemas.openxmlformats.org/officeDocument/2006/relationships" name="リコール" sheetId="14" state="visible" r:id="rId14"/>
    <sheet xmlns:r="http://schemas.openxmlformats.org/officeDocument/2006/relationships" name="落札明細" sheetId="15" state="visible" r:id="rId15"/>
  </sheets>
  <definedNames>
    <definedName name="_xlnm._FilterDatabase" localSheetId="4" hidden="1">'車種マスタ'!$A$1:$J$24</definedName>
    <definedName name="_xlnm._FilterDatabase" localSheetId="5" hidden="1">'相場_最新'!$A$1:$R$112</definedName>
    <definedName name="_xlnm._FilterDatabase" localSheetId="6" hidden="1">'相場_時系列'!$A$1:$S$112</definedName>
    <definedName name="_xlnm._FilterDatabase" localSheetId="9" hidden="1">'車種サマリ'!$A$1:$U$12</definedName>
    <definedName name="_xlnm._FilterDatabase" localSheetId="10" hidden="1">'口コミ_年式別'!$A$1:$M$87</definedName>
    <definedName name="_xlnm._FilterDatabase" localSheetId="11" hidden="1">'口コミ_明細'!$A$1:$P$312</definedName>
    <definedName name="_xlnm._FilterDatabase" localSheetId="12" hidden="1">'壊れやすい点'!$A$1:$J$434</definedName>
    <definedName name="_xlnm._FilterDatabase" localSheetId="13" hidden="1">'リコール'!$A$1:$J$196</definedName>
    <definedName name="_xlnm._FilterDatabase" localSheetId="14" hidden="1">'落札明細'!$A$1:$L$777</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b val="1"/>
      <sz val="14"/>
    </font>
    <font/>
    <font>
      <b val="1"/>
    </font>
    <font>
      <b val="1"/>
      <sz val="13"/>
    </font>
    <font>
      <color rgb="00595959"/>
      <sz val="9"/>
    </font>
    <font>
      <b val="1"/>
      <color rgb="00FFFFFF"/>
      <sz val="10"/>
    </font>
    <font>
      <b val="1"/>
      <sz val="11"/>
    </font>
  </fonts>
  <fills count="4">
    <fill>
      <patternFill/>
    </fill>
    <fill>
      <patternFill patternType="gray125"/>
    </fill>
    <fill>
      <patternFill patternType="solid">
        <fgColor rgb="001F3864"/>
      </patternFill>
    </fill>
    <fill>
      <patternFill patternType="solid">
        <fgColor rgb="00F2F5F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5" fillId="0" borderId="0" applyAlignment="1" pivotButton="0" quotePrefix="0" xfId="0">
      <alignment vertical="top"/>
    </xf>
    <xf numFmtId="0" fontId="6" fillId="2" borderId="1" applyAlignment="1" pivotButton="0" quotePrefix="0" xfId="0">
      <alignment horizontal="center" vertical="center" wrapText="1"/>
    </xf>
    <xf numFmtId="0" fontId="0" fillId="0" borderId="1" pivotButton="0" quotePrefix="0" xfId="0"/>
    <xf numFmtId="164" fontId="0" fillId="0" borderId="1" pivotButton="0" quotePrefix="0" xfId="0"/>
    <xf numFmtId="165" fontId="0" fillId="0" borderId="1" pivotButton="0" quotePrefix="0" xfId="0"/>
    <xf numFmtId="3" fontId="0" fillId="0" borderId="1" pivotButton="0" quotePrefix="0" xfId="0"/>
    <xf numFmtId="0" fontId="7" fillId="0" borderId="0" pivotButton="0" quotePrefix="0" xfId="0"/>
    <xf numFmtId="0" fontId="0" fillId="3" borderId="1" pivotButton="0" quotePrefix="0" xfId="0"/>
    <xf numFmtId="0" fontId="0" fillId="0" borderId="1" applyAlignment="1" pivotButton="0" quotePrefix="0" xfId="0">
      <alignment vertical="top" wrapText="1"/>
    </xf>
    <xf numFmtId="3" fontId="0" fillId="3" borderId="1" pivotButton="0" quotePrefix="0" xfId="0"/>
    <xf numFmtId="165" fontId="0" fillId="3" borderId="1" pivotButton="0" quotePrefix="0" xfId="0"/>
    <xf numFmtId="164" fontId="0" fillId="3" borderId="1" pivotButton="0" quotePrefix="0" xfId="0"/>
    <xf numFmtId="0" fontId="6" fillId="2" borderId="1"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店頭価格 ÷ 落札価格 − 1（%）</a:t>
            </a:r>
          </a:p>
        </rich>
      </tx>
    </title>
    <plotArea>
      <barChart>
        <barDir val="bar"/>
        <grouping val="clustered"/>
        <ser>
          <idx val="0"/>
          <order val="0"/>
          <tx>
            <strRef>
              <f>'グラフ_価格差'!B4</f>
            </strRef>
          </tx>
          <spPr>
            <a:ln xmlns:a="http://schemas.openxmlformats.org/drawingml/2006/main">
              <a:prstDash val="solid"/>
            </a:ln>
          </spPr>
          <cat>
            <numRef>
              <f>'グラフ_価格差'!$A$5:$A$29</f>
            </numRef>
          </cat>
          <val>
            <numRef>
              <f>'グラフ_価格差'!$B$5:$B$29</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車種別 落札相場 vs 小売相場（2013年式以降・年式構成を揃えた中央値）</a:t>
            </a:r>
          </a:p>
        </rich>
      </tx>
    </title>
    <plotArea>
      <barChart>
        <barDir val="col"/>
        <grouping val="clustered"/>
        <ser>
          <idx val="0"/>
          <order val="0"/>
          <tx>
            <strRef>
              <f>'グラフ_車種別'!B4</f>
            </strRef>
          </tx>
          <spPr>
            <a:ln xmlns:a="http://schemas.openxmlformats.org/drawingml/2006/main">
              <a:prstDash val="solid"/>
            </a:ln>
          </spPr>
          <cat>
            <numRef>
              <f>'グラフ_車種別'!$A$5:$A$15</f>
            </numRef>
          </cat>
          <val>
            <numRef>
              <f>'グラフ_車種別'!$B$5:$B$15</f>
            </numRef>
          </val>
        </ser>
        <ser>
          <idx val="1"/>
          <order val="1"/>
          <tx>
            <strRef>
              <f>'グラフ_車種別'!C4</f>
            </strRef>
          </tx>
          <spPr>
            <a:ln xmlns:a="http://schemas.openxmlformats.org/drawingml/2006/main">
              <a:prstDash val="solid"/>
            </a:ln>
          </spPr>
          <cat>
            <numRef>
              <f>'グラフ_車種別'!$A$5:$A$15</f>
            </numRef>
          </cat>
          <val>
            <numRef>
              <f>'グラフ_車種別'!$C$5:$C$15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年式別の落札中央値（値落ちカーブ・データのない年式はまたいで接続）</a:t>
            </a:r>
          </a:p>
        </rich>
      </tx>
    </title>
    <plotArea>
      <lineChart>
        <grouping val="standard"/>
        <ser>
          <idx val="0"/>
          <order val="0"/>
          <tx>
            <strRef>
              <f>'グラフ_年式別'!A6</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'グラフ_年式別'!$B$6:$N$6</f>
            </numRef>
          </val>
          <smooth val="0"/>
        </ser>
        <ser>
          <idx val="1"/>
          <order val="1"/>
          <tx>
            <strRef>
              <f>'グラフ_年式別'!A7</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'グラフ_年式別'!$B$7:$N$7</f>
            </numRef>
          </val>
          <smooth val="0"/>
        </ser>
        <ser>
          <idx val="2"/>
          <order val="2"/>
          <tx>
            <strRef>
              <f>'グラフ_年式別'!A8</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'グラフ_年式別'!$B$8:$N$8</f>
            </numRef>
          </val>
          <smooth val="0"/>
        </ser>
        <ser>
          <idx val="3"/>
          <order val="3"/>
          <tx>
            <strRef>
              <f>'グラフ_年式別'!A9</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'グラフ_年式別'!$B$9:$N$9</f>
            </numRef>
          </val>
          <smooth val="0"/>
        </ser>
        <ser>
          <idx val="4"/>
          <order val="4"/>
          <tx>
            <strRef>
              <f>'グラフ_年式別'!A10</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'グラフ_年式別'!$B$10:$N$10</f>
            </numRef>
          </val>
          <smooth val="0"/>
        </ser>
        <ser>
          <idx val="5"/>
          <order val="5"/>
          <tx>
            <strRef>
              <f>'グラフ_年式別'!A11</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'グラフ_年式別'!$B$11:$N$11</f>
            </numRef>
          </val>
          <smooth val="0"/>
        </ser>
        <ser>
          <idx val="6"/>
          <order val="6"/>
          <tx>
            <strRef>
              <f>'グラフ_年式別'!A12</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'グラフ_年式別'!$B$12:$N$12</f>
            </numRef>
          </val>
          <smooth val="0"/>
        </ser>
        <ser>
          <idx val="7"/>
          <order val="7"/>
          <tx>
            <strRef>
              <f>'グラフ_年式別'!A13</f>
            </strRef>
          </tx>
          <spPr>
            <a:ln xmlns:a="http://schemas.openxmlformats.org/drawingml/2006/main">
              <a:prstDash val="solid"/>
            </a:ln>
          </spPr>
          <marker>
            <symbol val="circle"/>
            <size val="6"/>
            <spPr>
              <a:ln xmlns:a="http://schemas.openxmlformats.org/drawingml/2006/main">
                <a:prstDash val="solid"/>
              </a:ln>
            </spPr>
          </marker>
          <cat>
            <numRef>
              <f>'グラフ_年式別'!$B$5:$N$5</f>
            </numRef>
          </cat>
          <val>
            <numRef>
              <f>'グラフ_年式別'!$B$13:$N$13</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年式</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万円</a:t>
                </a:r>
              </a:p>
            </rich>
          </tx>
        </title>
        <majorTickMark val="none"/>
        <minorTickMark val="none"/>
        <crossAx val="10"/>
      </valAx>
    </plotArea>
    <legend>
      <legendPos val="r"/>
    </legend>
    <plotVisOnly val="1"/>
    <dispBlanksAs val="span"/>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10</col>
      <colOff>0</colOff>
      <row>3</row>
      <rowOff>0</rowOff>
    </from>
    <ext cx="9360000" cy="495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10</col>
      <colOff>0</colOff>
      <row>3</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15</col>
      <colOff>0</colOff>
      <row>4</row>
      <rowOff>0</rowOff>
    </from>
    <ext cx="1080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B47"/>
  <sheetViews>
    <sheetView workbookViewId="0">
      <selection activeCell="A1" sqref="A1"/>
    </sheetView>
  </sheetViews>
  <sheetFormatPr baseColWidth="8" defaultRowHeight="15"/>
  <cols>
    <col width="26" customWidth="1" min="1" max="1"/>
    <col width="110" customWidth="1" min="2" max="2"/>
  </cols>
  <sheetData>
    <row r="1">
      <c r="A1" s="1" t="inlineStr">
        <is>
          <t>トヨタ ミニバン 中古車相場データベース</t>
        </is>
      </c>
    </row>
    <row r="3">
      <c r="A3" s="2" t="inlineStr">
        <is>
          <t>生成日時</t>
        </is>
      </c>
      <c r="B3" s="3" t="inlineStr">
        <is>
          <t>2026-08-22 11:06</t>
        </is>
      </c>
    </row>
    <row r="4">
      <c r="A4" s="2" t="inlineStr">
        <is>
          <t>対象</t>
        </is>
      </c>
      <c r="B4" s="3" t="inlineStr">
        <is>
          <t>トヨタのミニバン 11車種 / 2013年式以降</t>
        </is>
      </c>
    </row>
    <row r="5">
      <c r="A5" s="2" t="inlineStr">
        <is>
          <t>収録スナップショット</t>
        </is>
      </c>
      <c r="B5" s="3" t="inlineStr">
        <is>
          <t>1件: 2026-08-22</t>
        </is>
      </c>
    </row>
    <row r="6">
      <c r="A6" s="2" t="inlineStr"/>
      <c r="B6" s="3" t="inlineStr"/>
    </row>
    <row r="7">
      <c r="A7" s="4" t="inlineStr">
        <is>
          <t>■ シートの読み方</t>
        </is>
      </c>
      <c r="B7" s="3" t="inlineStr"/>
    </row>
    <row r="8">
      <c r="A8" s="2" t="inlineStr">
        <is>
          <t>グラフ_価格差</t>
        </is>
      </c>
      <c r="B8" s="3" t="inlineStr">
        <is>
          <t>落札価格と店頭価格の差が大きい順の横棒。走行距離も併記。まずここ。</t>
        </is>
      </c>
    </row>
    <row r="9">
      <c r="A9" s="2" t="inlineStr">
        <is>
          <t>グラフ_車種別</t>
        </is>
      </c>
      <c r="B9" s="3" t="inlineStr">
        <is>
          <t>車種ごとの落札相場と小売相場を並べた棒グラフ。</t>
        </is>
      </c>
    </row>
    <row r="10">
      <c r="A10" s="2" t="inlineStr">
        <is>
          <t>グラフ_年式別</t>
        </is>
      </c>
      <c r="B10" s="3" t="inlineStr">
        <is>
          <t>車種 × 年式 の落札中央値マトリクス（行内で色分け）と値落ちカーブ。</t>
        </is>
      </c>
    </row>
    <row r="11">
      <c r="A11" s="2" t="inlineStr">
        <is>
          <t>相場_最新</t>
        </is>
      </c>
      <c r="B11" s="3" t="inlineStr">
        <is>
          <t>直近スナップショットの 車種×年式 相場。数字で見たいときはここ。</t>
        </is>
      </c>
    </row>
    <row r="12">
      <c r="A12" s="2" t="inlineStr">
        <is>
          <t>相場_時系列</t>
        </is>
      </c>
      <c r="B12" s="3" t="inlineStr">
        <is>
          <t>全スナップショットを積んだ long format。ピボットの元データ。</t>
        </is>
      </c>
    </row>
    <row r="13">
      <c r="A13" s="2" t="inlineStr">
        <is>
          <t>推移_落札中央値</t>
        </is>
      </c>
      <c r="B13" s="3" t="inlineStr">
        <is>
          <t>行=車種×年式 / 列=時点。折れ線グラフはここから引く。</t>
        </is>
      </c>
    </row>
    <row r="14">
      <c r="A14" s="2" t="inlineStr">
        <is>
          <t>推移_小売中央値</t>
        </is>
      </c>
      <c r="B14" s="3" t="inlineStr">
        <is>
          <t>同上、小売（カーセンサー掲載）側。</t>
        </is>
      </c>
    </row>
    <row r="15">
      <c r="A15" s="2" t="inlineStr">
        <is>
          <t>車種サマリ</t>
        </is>
      </c>
      <c r="B15" s="3" t="inlineStr">
        <is>
          <t>車種単位の価格レンジ・掲載台数・満足度など。</t>
        </is>
      </c>
    </row>
    <row r="16">
      <c r="A16" s="2" t="inlineStr">
        <is>
          <t>口コミ_年式別</t>
        </is>
      </c>
      <c r="B16" s="3" t="inlineStr">
        <is>
          <t>みんカラのレビューを年式で集計したもの。</t>
        </is>
      </c>
    </row>
    <row r="17">
      <c r="A17" s="2" t="inlineStr">
        <is>
          <t>口コミ_明細</t>
        </is>
      </c>
      <c r="B17" s="3" t="inlineStr">
        <is>
          <t>レビュー個票（満足点・不満点・総評）。</t>
        </is>
      </c>
    </row>
    <row r="18">
      <c r="A18" s="2" t="inlineStr">
        <is>
          <t>壊れやすい点</t>
        </is>
      </c>
      <c r="B18" s="3" t="inlineStr">
        <is>
          <t>国交省に寄せられた不具合通報を 世代 × 装置 で集計。整備観点の弱点はここ。世代 =「（車種全体）」の行は車種まるごとのロールアップ。</t>
        </is>
      </c>
    </row>
    <row r="19">
      <c r="A19" s="2" t="inlineStr">
        <is>
          <t>リコール</t>
        </is>
      </c>
      <c r="B19" s="3" t="inlineStr">
        <is>
          <t>国交省リコール届出。不具合装置・状況・改善措置つき。</t>
        </is>
      </c>
    </row>
    <row r="20">
      <c r="A20" s="2" t="inlineStr">
        <is>
          <t>落札明細</t>
        </is>
      </c>
      <c r="B20" s="3" t="inlineStr">
        <is>
          <t>ヤフオク!の落札 1 台ずつ。年式・走行距離・修復歴つき。</t>
        </is>
      </c>
    </row>
    <row r="21">
      <c r="A21" s="2" t="inlineStr">
        <is>
          <t>車種マスタ</t>
        </is>
      </c>
      <c r="B21" s="3" t="inlineStr">
        <is>
          <t>車種・世代・型式の一覧。</t>
        </is>
      </c>
    </row>
    <row r="22">
      <c r="A22" s="2" t="inlineStr"/>
      <c r="B22" s="3" t="inlineStr"/>
    </row>
    <row r="23">
      <c r="A23" s="4" t="inlineStr">
        <is>
          <t>■ 相場の作り方</t>
        </is>
      </c>
      <c r="B23" s="3" t="inlineStr"/>
    </row>
    <row r="24">
      <c r="A24" s="2" t="inlineStr">
        <is>
          <t>オークション相場</t>
        </is>
      </c>
      <c r="B24" s="3" t="inlineStr">
        <is>
          <t>ヤフオク!「中古車・新車」カテゴリの終了180日間の落札から、carSpec.modelDate を年式として集計。メーター交換車・修復歴ありは除外（除外件数は別途保持）。</t>
        </is>
      </c>
    </row>
    <row r="25">
      <c r="A25" s="2" t="inlineStr">
        <is>
          <t>小売相場</t>
        </is>
      </c>
      <c r="B25" s="3" t="inlineStr">
        <is>
          <t>カーセンサーの相場ページにある「価格帯 × 年式」度数分布から、ビン内一様分布を仮定したグループ中央値で推定。最上位ビン（420万円以上）は幅20万円と仮定。</t>
        </is>
      </c>
    </row>
    <row r="26">
      <c r="A26" s="2" t="inlineStr">
        <is>
          <t>小売プレミアム</t>
        </is>
      </c>
      <c r="B26" s="3" t="inlineStr">
        <is>
          <t>(小売中央値 / 落札中央値 - 1) × 100。業販と小売の価格差の目安。</t>
        </is>
      </c>
    </row>
    <row r="27">
      <c r="A27" s="2" t="inlineStr"/>
      <c r="B27" s="3" t="inlineStr"/>
    </row>
    <row r="28">
      <c r="A28" s="4" t="inlineStr">
        <is>
          <t>■ 出典</t>
        </is>
      </c>
      <c r="B28" s="3" t="inlineStr"/>
    </row>
    <row r="29">
      <c r="A29" s="2" t="inlineStr">
        <is>
          <t>ヤフオク!</t>
        </is>
      </c>
      <c r="B29" s="3" t="inlineStr">
        <is>
          <t>https://auctions.yahoo.co.jp/closedsearch/closedsearch （robots.txt で Allow）</t>
        </is>
      </c>
    </row>
    <row r="30">
      <c r="A30" s="2" t="inlineStr">
        <is>
          <t>カーセンサー</t>
        </is>
      </c>
      <c r="B30" s="3" t="inlineStr">
        <is>
          <t>https://www.carsensor.net/usedcar/souba/</t>
        </is>
      </c>
    </row>
    <row r="31">
      <c r="A31" s="2" t="inlineStr">
        <is>
          <t>価格.com</t>
        </is>
      </c>
      <c r="B31" s="3" t="inlineStr">
        <is>
          <t>https://kakaku.com/kuruma/</t>
        </is>
      </c>
    </row>
    <row r="32">
      <c r="A32" s="2" t="inlineStr">
        <is>
          <t>みんカラ</t>
        </is>
      </c>
      <c r="B32" s="3" t="inlineStr">
        <is>
          <t>https://minkara.carview.co.jp/car/toyota/</t>
        </is>
      </c>
    </row>
    <row r="33">
      <c r="A33" s="2" t="inlineStr">
        <is>
          <t>国土交通省</t>
        </is>
      </c>
      <c r="B33" s="3" t="inlineStr">
        <is>
          <t>https://renrakuda.mlit.go.jp/renrakuda/ （リコール届出情報 / 自動車不具合情報ホットライン）</t>
        </is>
      </c>
    </row>
    <row r="34">
      <c r="A34" s="2" t="inlineStr"/>
      <c r="B34" s="3" t="inlineStr"/>
    </row>
    <row r="35">
      <c r="A35" s="4" t="inlineStr">
        <is>
          <t>■ 注意</t>
        </is>
      </c>
      <c r="B35" s="3" t="inlineStr"/>
    </row>
    <row r="36">
      <c r="A36" s="2" t="inlineStr">
        <is>
          <t>サンプル数</t>
        </is>
      </c>
      <c r="B36" s="3" t="inlineStr">
        <is>
          <t>年式によっては落札件数が 1〜2 台しかない。auction_n を必ず見ること。週次で積み上がるので、時系列シート側で複数週をまとめれば精度は上がる。</t>
        </is>
      </c>
    </row>
    <row r="37">
      <c r="A37" s="2" t="inlineStr">
        <is>
          <t>価格の単位</t>
        </is>
      </c>
      <c r="B37" s="3" t="inlineStr">
        <is>
          <t>すべて万円（税込・諸費用別）。走行距離は km。</t>
        </is>
      </c>
    </row>
    <row r="38">
      <c r="A38" s="2" t="inlineStr">
        <is>
          <t>更新</t>
        </is>
      </c>
      <c r="B38" s="3" t="inlineStr">
        <is>
          <t>毎週クロールして新しい時点の行を追記する。過去の行は書き換えない。</t>
        </is>
      </c>
    </row>
    <row r="39">
      <c r="A39" s="2" t="inlineStr">
        <is>
          <t>リポジトリ</t>
        </is>
      </c>
      <c r="B39" s="3" t="inlineStr">
        <is>
          <t>https://github.com/NyxFoundation/kakaku-ai</t>
        </is>
      </c>
    </row>
    <row r="40">
      <c r="A40" s="2" t="inlineStr"/>
      <c r="B40" s="3" t="inlineStr"/>
    </row>
    <row r="41">
      <c r="A41" s="4" t="inlineStr">
        <is>
          <t>■ 今回のスナップショット行数</t>
        </is>
      </c>
      <c r="B41" s="3" t="inlineStr"/>
    </row>
    <row r="42">
      <c r="A42" s="2" t="inlineStr">
        <is>
          <t>相場_時系列</t>
        </is>
      </c>
      <c r="B42" s="3" t="inlineStr">
        <is>
          <t>111</t>
        </is>
      </c>
    </row>
    <row r="43">
      <c r="A43" s="2" t="inlineStr">
        <is>
          <t>相場_最新</t>
        </is>
      </c>
      <c r="B43" s="3" t="inlineStr">
        <is>
          <t>111</t>
        </is>
      </c>
    </row>
    <row r="44">
      <c r="A44" s="2" t="inlineStr">
        <is>
          <t>口コミ_明細</t>
        </is>
      </c>
      <c r="B44" s="3" t="inlineStr">
        <is>
          <t>311</t>
        </is>
      </c>
    </row>
    <row r="45">
      <c r="A45" s="2" t="inlineStr">
        <is>
          <t>壊れやすい点</t>
        </is>
      </c>
      <c r="B45" s="3" t="inlineStr">
        <is>
          <t>433</t>
        </is>
      </c>
    </row>
    <row r="46">
      <c r="A46" s="2" t="inlineStr">
        <is>
          <t>リコール</t>
        </is>
      </c>
      <c r="B46" s="3" t="inlineStr">
        <is>
          <t>195</t>
        </is>
      </c>
    </row>
    <row r="47">
      <c r="A47" s="2" t="inlineStr">
        <is>
          <t>落札明細</t>
        </is>
      </c>
      <c r="B47" s="3" t="inlineStr">
        <is>
          <t>776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5" t="inlineStr">
        <is>
          <t>落札価格と店頭価格の差が大きい順（車種 × 年式）</t>
        </is>
      </c>
    </row>
    <row r="2">
      <c r="A2" s="6" t="inlineStr">
        <is>
          <t>小売プレミアム = (小売中央値 / 落札中央値 − 1) × 100。落札件数 3 件以上の年式だけを対象にしている。同じ年式どうしの比較なので年式構成のズレはないが、**落札車の走行距離**の列を必ず併せて見ること。ヤフオクは個人出品が多く、距離が伸びた車・保証なし・名義変更や陸送が自己負担のものが混ざる。差額がそのまま儲けになるわけではない。</t>
        </is>
      </c>
    </row>
    <row r="4" ht="32" customHeight="1">
      <c r="A4" s="7" t="inlineStr">
        <is>
          <t>車種・年式</t>
        </is>
      </c>
      <c r="B4" s="7" t="inlineStr">
        <is>
          <t>小売プレミアム
(%)</t>
        </is>
      </c>
      <c r="C4" s="7" t="inlineStr">
        <is>
          <t>落札中央値
(万円)</t>
        </is>
      </c>
      <c r="D4" s="7" t="inlineStr">
        <is>
          <t>小売中央値
(万円)</t>
        </is>
      </c>
      <c r="E4" s="7" t="inlineStr">
        <is>
          <t>差額
(万円)</t>
        </is>
      </c>
      <c r="F4" s="7" t="inlineStr">
        <is>
          <t>落札件数</t>
        </is>
      </c>
      <c r="G4" s="7" t="inlineStr">
        <is>
          <t>掲載台数</t>
        </is>
      </c>
      <c r="H4" s="7" t="inlineStr">
        <is>
          <t>落札車の
中央走行距離(km)</t>
        </is>
      </c>
      <c r="I4" s="7" t="inlineStr">
        <is>
          <t>掲載車の
中央走行距離(km)
※車種全体</t>
        </is>
      </c>
    </row>
    <row r="5">
      <c r="A5" s="8" t="inlineStr">
        <is>
          <t>シエンタ 2016年（170系）</t>
        </is>
      </c>
      <c r="B5" s="9" t="n">
        <v>159.4</v>
      </c>
      <c r="C5" s="10" t="n">
        <v>41.4</v>
      </c>
      <c r="D5" s="10" t="n">
        <v>107.4</v>
      </c>
      <c r="E5" s="10" t="n">
        <v>66</v>
      </c>
      <c r="F5" s="11" t="n">
        <v>6</v>
      </c>
      <c r="G5" s="11" t="n">
        <v>547</v>
      </c>
      <c r="H5" s="11" t="n">
        <v>220000</v>
      </c>
      <c r="I5" s="11" t="n">
        <v>39000</v>
      </c>
    </row>
    <row r="6">
      <c r="A6" s="8" t="inlineStr">
        <is>
          <t>エスティマ 2014年（50系）</t>
        </is>
      </c>
      <c r="B6" s="9" t="n">
        <v>144</v>
      </c>
      <c r="C6" s="10" t="n">
        <v>46.8</v>
      </c>
      <c r="D6" s="10" t="n">
        <v>114.2</v>
      </c>
      <c r="E6" s="10" t="n">
        <v>67.40000000000001</v>
      </c>
      <c r="F6" s="11" t="n">
        <v>4</v>
      </c>
      <c r="G6" s="11" t="n">
        <v>97</v>
      </c>
      <c r="H6" s="11" t="n">
        <v>269500</v>
      </c>
      <c r="I6" s="11" t="n">
        <v>87000</v>
      </c>
    </row>
    <row r="7">
      <c r="A7" s="8" t="inlineStr">
        <is>
          <t>ヴェルファイア 2013年（20系）</t>
        </is>
      </c>
      <c r="B7" s="9" t="n">
        <v>129.9</v>
      </c>
      <c r="C7" s="10" t="n">
        <v>47.5</v>
      </c>
      <c r="D7" s="10" t="n">
        <v>109.2</v>
      </c>
      <c r="E7" s="10" t="n">
        <v>61.7</v>
      </c>
      <c r="F7" s="11" t="n">
        <v>10</v>
      </c>
      <c r="G7" s="11" t="n">
        <v>244</v>
      </c>
      <c r="H7" s="11" t="n">
        <v>154000</v>
      </c>
      <c r="I7" s="11" t="n">
        <v>67000</v>
      </c>
    </row>
    <row r="8">
      <c r="A8" s="8" t="inlineStr">
        <is>
          <t>シエンタ 2017年（170系）</t>
        </is>
      </c>
      <c r="B8" s="9" t="n">
        <v>118.9</v>
      </c>
      <c r="C8" s="10" t="n">
        <v>55</v>
      </c>
      <c r="D8" s="10" t="n">
        <v>120.4</v>
      </c>
      <c r="E8" s="10" t="n">
        <v>65.40000000000001</v>
      </c>
      <c r="F8" s="11" t="n">
        <v>4</v>
      </c>
      <c r="G8" s="11" t="n">
        <v>475</v>
      </c>
      <c r="H8" s="11" t="n">
        <v>126000</v>
      </c>
      <c r="I8" s="11" t="n">
        <v>39000</v>
      </c>
    </row>
    <row r="9">
      <c r="A9" s="8" t="inlineStr">
        <is>
          <t>プリウスα 2015年（40系）</t>
        </is>
      </c>
      <c r="B9" s="9" t="n">
        <v>118.1</v>
      </c>
      <c r="C9" s="10" t="n">
        <v>57.5</v>
      </c>
      <c r="D9" s="10" t="n">
        <v>125.4</v>
      </c>
      <c r="E9" s="10" t="n">
        <v>67.90000000000001</v>
      </c>
      <c r="F9" s="11" t="n">
        <v>4</v>
      </c>
      <c r="G9" s="11" t="n">
        <v>210</v>
      </c>
      <c r="H9" s="11" t="n">
        <v>147860</v>
      </c>
      <c r="I9" s="11" t="n">
        <v>88000</v>
      </c>
    </row>
    <row r="10">
      <c r="A10" s="8" t="inlineStr">
        <is>
          <t>エスティマ 2013年（50系）</t>
        </is>
      </c>
      <c r="B10" s="9" t="n">
        <v>114.9</v>
      </c>
      <c r="C10" s="10" t="n">
        <v>43.5</v>
      </c>
      <c r="D10" s="10" t="n">
        <v>93.5</v>
      </c>
      <c r="E10" s="10" t="n">
        <v>50</v>
      </c>
      <c r="F10" s="11" t="n">
        <v>10</v>
      </c>
      <c r="G10" s="11" t="n">
        <v>194</v>
      </c>
      <c r="H10" s="11" t="n">
        <v>148827</v>
      </c>
      <c r="I10" s="11" t="n">
        <v>87000</v>
      </c>
    </row>
    <row r="11">
      <c r="A11" s="8" t="inlineStr">
        <is>
          <t>エスクァイア 2015年（80系）</t>
        </is>
      </c>
      <c r="B11" s="9" t="n">
        <v>110.7</v>
      </c>
      <c r="C11" s="10" t="n">
        <v>64.5</v>
      </c>
      <c r="D11" s="10" t="n">
        <v>135.9</v>
      </c>
      <c r="E11" s="10" t="n">
        <v>71.40000000000001</v>
      </c>
      <c r="F11" s="11" t="n">
        <v>9</v>
      </c>
      <c r="G11" s="11" t="n">
        <v>232</v>
      </c>
      <c r="H11" s="11" t="n">
        <v>154500</v>
      </c>
      <c r="I11" s="11" t="n">
        <v>73000</v>
      </c>
    </row>
    <row r="12">
      <c r="A12" s="8" t="inlineStr">
        <is>
          <t>ヴォクシー 2013年（70系）</t>
        </is>
      </c>
      <c r="B12" s="9" t="n">
        <v>103</v>
      </c>
      <c r="C12" s="10" t="n">
        <v>36.5</v>
      </c>
      <c r="D12" s="10" t="n">
        <v>74.09999999999999</v>
      </c>
      <c r="E12" s="10" t="n">
        <v>37.6</v>
      </c>
      <c r="F12" s="11" t="n">
        <v>4</v>
      </c>
      <c r="G12" s="11" t="n">
        <v>138</v>
      </c>
      <c r="H12" s="11" t="n">
        <v>138111</v>
      </c>
      <c r="I12" s="11" t="n">
        <v>53000</v>
      </c>
    </row>
    <row r="13">
      <c r="A13" s="8" t="inlineStr">
        <is>
          <t>プリウスα 2014年（40系）</t>
        </is>
      </c>
      <c r="B13" s="9" t="n">
        <v>102.6</v>
      </c>
      <c r="C13" s="10" t="n">
        <v>45.6</v>
      </c>
      <c r="D13" s="10" t="n">
        <v>92.40000000000001</v>
      </c>
      <c r="E13" s="10" t="n">
        <v>46.8</v>
      </c>
      <c r="F13" s="11" t="n">
        <v>4</v>
      </c>
      <c r="G13" s="11" t="n">
        <v>120</v>
      </c>
      <c r="H13" s="11" t="n">
        <v>136000</v>
      </c>
      <c r="I13" s="11" t="n">
        <v>88000</v>
      </c>
    </row>
    <row r="14">
      <c r="A14" s="8" t="inlineStr">
        <is>
          <t>ヴォクシー 2015年（80系）</t>
        </is>
      </c>
      <c r="B14" s="9" t="n">
        <v>101.6</v>
      </c>
      <c r="C14" s="10" t="n">
        <v>68</v>
      </c>
      <c r="D14" s="10" t="n">
        <v>137.1</v>
      </c>
      <c r="E14" s="10" t="n">
        <v>69.09999999999999</v>
      </c>
      <c r="F14" s="11" t="n">
        <v>16</v>
      </c>
      <c r="G14" s="11" t="n">
        <v>387</v>
      </c>
      <c r="H14" s="11" t="n">
        <v>152300</v>
      </c>
      <c r="I14" s="11" t="n">
        <v>53000</v>
      </c>
    </row>
    <row r="15">
      <c r="A15" s="8" t="inlineStr">
        <is>
          <t>アルファード 2013年（20系）</t>
        </is>
      </c>
      <c r="B15" s="9" t="n">
        <v>93.3</v>
      </c>
      <c r="C15" s="10" t="n">
        <v>62.5</v>
      </c>
      <c r="D15" s="10" t="n">
        <v>120.8</v>
      </c>
      <c r="E15" s="10" t="n">
        <v>58.3</v>
      </c>
      <c r="F15" s="11" t="n">
        <v>5</v>
      </c>
      <c r="G15" s="11" t="n">
        <v>172</v>
      </c>
      <c r="H15" s="11" t="n">
        <v>128000</v>
      </c>
      <c r="I15" s="11" t="n">
        <v>44000</v>
      </c>
    </row>
    <row r="16">
      <c r="A16" s="8" t="inlineStr">
        <is>
          <t>プリウスα 2013年（40系）</t>
        </is>
      </c>
      <c r="B16" s="9" t="n">
        <v>89.90000000000001</v>
      </c>
      <c r="C16" s="10" t="n">
        <v>42.4</v>
      </c>
      <c r="D16" s="10" t="n">
        <v>80.5</v>
      </c>
      <c r="E16" s="10" t="n">
        <v>38.1</v>
      </c>
      <c r="F16" s="11" t="n">
        <v>6</v>
      </c>
      <c r="G16" s="11" t="n">
        <v>248</v>
      </c>
      <c r="H16" s="11" t="n">
        <v>169000</v>
      </c>
      <c r="I16" s="11" t="n">
        <v>88000</v>
      </c>
    </row>
    <row r="17">
      <c r="A17" s="8" t="inlineStr">
        <is>
          <t>シエンタ 2015年</t>
        </is>
      </c>
      <c r="B17" s="9" t="n">
        <v>79.3</v>
      </c>
      <c r="C17" s="10" t="n">
        <v>55.5</v>
      </c>
      <c r="D17" s="10" t="n">
        <v>99.5</v>
      </c>
      <c r="E17" s="10" t="n">
        <v>44</v>
      </c>
      <c r="F17" s="11" t="n">
        <v>10</v>
      </c>
      <c r="G17" s="11" t="n">
        <v>383</v>
      </c>
      <c r="H17" s="11" t="n">
        <v>102250</v>
      </c>
      <c r="I17" s="11" t="n">
        <v>39000</v>
      </c>
    </row>
    <row r="18">
      <c r="A18" s="8" t="inlineStr">
        <is>
          <t>プリウスα 2017年（40系）</t>
        </is>
      </c>
      <c r="B18" s="9" t="n">
        <v>74.8</v>
      </c>
      <c r="C18" s="10" t="n">
        <v>93.40000000000001</v>
      </c>
      <c r="D18" s="10" t="n">
        <v>163.3</v>
      </c>
      <c r="E18" s="10" t="n">
        <v>69.90000000000001</v>
      </c>
      <c r="F18" s="11" t="n">
        <v>4</v>
      </c>
      <c r="G18" s="11" t="n">
        <v>61</v>
      </c>
      <c r="H18" s="11" t="n">
        <v>96000</v>
      </c>
      <c r="I18" s="11" t="n">
        <v>88000</v>
      </c>
    </row>
    <row r="19">
      <c r="A19" s="8" t="inlineStr">
        <is>
          <t>シエンタ 2024年（10系）</t>
        </is>
      </c>
      <c r="B19" s="9" t="n">
        <v>74.3</v>
      </c>
      <c r="C19" s="10" t="n">
        <v>160.1</v>
      </c>
      <c r="D19" s="10" t="n">
        <v>279.1</v>
      </c>
      <c r="E19" s="10" t="n">
        <v>119</v>
      </c>
      <c r="F19" s="11" t="n">
        <v>3</v>
      </c>
      <c r="G19" s="11" t="n">
        <v>383</v>
      </c>
      <c r="H19" s="11" t="n">
        <v>35130</v>
      </c>
      <c r="I19" s="11" t="n">
        <v>39000</v>
      </c>
    </row>
    <row r="20">
      <c r="A20" s="8" t="inlineStr">
        <is>
          <t>アルファード 2017年（30系前期）</t>
        </is>
      </c>
      <c r="B20" s="9" t="n">
        <v>68.7</v>
      </c>
      <c r="C20" s="10" t="n">
        <v>150</v>
      </c>
      <c r="D20" s="10" t="n">
        <v>253</v>
      </c>
      <c r="E20" s="10" t="n">
        <v>103</v>
      </c>
      <c r="F20" s="11" t="n">
        <v>5</v>
      </c>
      <c r="G20" s="11" t="n">
        <v>313</v>
      </c>
      <c r="H20" s="11" t="n">
        <v>138000</v>
      </c>
      <c r="I20" s="11" t="n">
        <v>44000</v>
      </c>
    </row>
    <row r="21">
      <c r="A21" s="8" t="inlineStr">
        <is>
          <t>ノア 2014年（80系）</t>
        </is>
      </c>
      <c r="B21" s="9" t="n">
        <v>67.8</v>
      </c>
      <c r="C21" s="10" t="n">
        <v>72.40000000000001</v>
      </c>
      <c r="D21" s="10" t="n">
        <v>121.5</v>
      </c>
      <c r="E21" s="10" t="n">
        <v>49.1</v>
      </c>
      <c r="F21" s="11" t="n">
        <v>6</v>
      </c>
      <c r="G21" s="11" t="n">
        <v>204</v>
      </c>
      <c r="H21" s="11" t="n">
        <v>159070</v>
      </c>
      <c r="I21" s="11" t="n">
        <v>46000</v>
      </c>
    </row>
    <row r="22">
      <c r="A22" s="8" t="inlineStr">
        <is>
          <t>ヴェルファイア 2016年（30系前期）</t>
        </is>
      </c>
      <c r="B22" s="9" t="n">
        <v>64.3</v>
      </c>
      <c r="C22" s="10" t="n">
        <v>140.1</v>
      </c>
      <c r="D22" s="10" t="n">
        <v>230.2</v>
      </c>
      <c r="E22" s="10" t="n">
        <v>90.09999999999999</v>
      </c>
      <c r="F22" s="11" t="n">
        <v>6</v>
      </c>
      <c r="G22" s="11" t="n">
        <v>349</v>
      </c>
      <c r="H22" s="11" t="n">
        <v>150000</v>
      </c>
      <c r="I22" s="11" t="n">
        <v>67000</v>
      </c>
    </row>
    <row r="23">
      <c r="A23" s="8" t="inlineStr">
        <is>
          <t>ヴォクシー 2014年（80系）</t>
        </is>
      </c>
      <c r="B23" s="9" t="n">
        <v>63.5</v>
      </c>
      <c r="C23" s="10" t="n">
        <v>75</v>
      </c>
      <c r="D23" s="10" t="n">
        <v>122.6</v>
      </c>
      <c r="E23" s="10" t="n">
        <v>47.6</v>
      </c>
      <c r="F23" s="11" t="n">
        <v>17</v>
      </c>
      <c r="G23" s="11" t="n">
        <v>395</v>
      </c>
      <c r="H23" s="11" t="n">
        <v>150700</v>
      </c>
      <c r="I23" s="11" t="n">
        <v>53000</v>
      </c>
    </row>
    <row r="24">
      <c r="A24" s="8" t="inlineStr">
        <is>
          <t>シエンタ 2019年（170系）</t>
        </is>
      </c>
      <c r="B24" s="9" t="n">
        <v>59.4</v>
      </c>
      <c r="C24" s="10" t="n">
        <v>101.4</v>
      </c>
      <c r="D24" s="10" t="n">
        <v>161.6</v>
      </c>
      <c r="E24" s="10" t="n">
        <v>60.2</v>
      </c>
      <c r="F24" s="11" t="n">
        <v>6</v>
      </c>
      <c r="G24" s="11" t="n">
        <v>519</v>
      </c>
      <c r="H24" s="11" t="n">
        <v>75334</v>
      </c>
      <c r="I24" s="11" t="n">
        <v>39000</v>
      </c>
    </row>
    <row r="25">
      <c r="A25" s="8" t="inlineStr">
        <is>
          <t>アルファード 2015年（30系前期）</t>
        </is>
      </c>
      <c r="B25" s="9" t="n">
        <v>53.8</v>
      </c>
      <c r="C25" s="10" t="n">
        <v>147.1</v>
      </c>
      <c r="D25" s="10" t="n">
        <v>226.3</v>
      </c>
      <c r="E25" s="10" t="n">
        <v>79.2</v>
      </c>
      <c r="F25" s="11" t="n">
        <v>4</v>
      </c>
      <c r="G25" s="11" t="n">
        <v>297</v>
      </c>
      <c r="H25" s="11" t="n">
        <v>155000</v>
      </c>
      <c r="I25" s="11" t="n">
        <v>44000</v>
      </c>
    </row>
    <row r="26">
      <c r="A26" s="8" t="inlineStr">
        <is>
          <t>アルファード 2020年（30系後期）</t>
        </is>
      </c>
      <c r="B26" s="9" t="n">
        <v>50.6</v>
      </c>
      <c r="C26" s="10" t="n">
        <v>246</v>
      </c>
      <c r="D26" s="10" t="n">
        <v>370.4</v>
      </c>
      <c r="E26" s="10" t="n">
        <v>124.4</v>
      </c>
      <c r="F26" s="11" t="n">
        <v>7</v>
      </c>
      <c r="G26" s="11" t="n">
        <v>710</v>
      </c>
      <c r="H26" s="11" t="n">
        <v>97400</v>
      </c>
      <c r="I26" s="11" t="n">
        <v>44000</v>
      </c>
    </row>
    <row r="27">
      <c r="A27" s="8" t="inlineStr">
        <is>
          <t>ノア 2015年（80系）</t>
        </is>
      </c>
      <c r="B27" s="9" t="n">
        <v>46.1</v>
      </c>
      <c r="C27" s="10" t="n">
        <v>86.40000000000001</v>
      </c>
      <c r="D27" s="10" t="n">
        <v>126.2</v>
      </c>
      <c r="E27" s="10" t="n">
        <v>39.8</v>
      </c>
      <c r="F27" s="11" t="n">
        <v>6</v>
      </c>
      <c r="G27" s="11" t="n">
        <v>196</v>
      </c>
      <c r="H27" s="11" t="n">
        <v>127000</v>
      </c>
      <c r="I27" s="11" t="n">
        <v>46000</v>
      </c>
    </row>
    <row r="28">
      <c r="A28" s="8" t="inlineStr">
        <is>
          <t>ヴェルファイア 2015年（30系前期）</t>
        </is>
      </c>
      <c r="B28" s="9" t="n">
        <v>46</v>
      </c>
      <c r="C28" s="10" t="n">
        <v>147.9</v>
      </c>
      <c r="D28" s="10" t="n">
        <v>215.9</v>
      </c>
      <c r="E28" s="10" t="n">
        <v>68</v>
      </c>
      <c r="F28" s="11" t="n">
        <v>8</v>
      </c>
      <c r="G28" s="11" t="n">
        <v>409</v>
      </c>
      <c r="H28" s="11" t="n">
        <v>166225</v>
      </c>
      <c r="I28" s="11" t="n">
        <v>67000</v>
      </c>
    </row>
    <row r="29">
      <c r="A29" s="8" t="inlineStr">
        <is>
          <t>ヴォクシー 2023年（90系）</t>
        </is>
      </c>
      <c r="B29" s="9" t="n">
        <v>39</v>
      </c>
      <c r="C29" s="10" t="n">
        <v>268</v>
      </c>
      <c r="D29" s="10" t="n">
        <v>372.4</v>
      </c>
      <c r="E29" s="10" t="n">
        <v>104.4</v>
      </c>
      <c r="F29" s="11" t="n">
        <v>3</v>
      </c>
      <c r="G29" s="11" t="n">
        <v>1019</v>
      </c>
      <c r="H29" s="11" t="n">
        <v>21000</v>
      </c>
      <c r="I29" s="11" t="n">
        <v>53000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5" t="inlineStr">
        <is>
          <t>車種別の相場（2013年式以降）</t>
        </is>
      </c>
    </row>
    <row r="2">
      <c r="A2" s="6" t="inlineStr">
        <is>
          <t>落札中央値はヤフオク!の落札明細から実測。小売中央値は、**落札と同じ年式構成に揃えて** カーセンサーの年式別中央値を重み付けしたもの。単純に掲載台数で重み付けすると、落札は古い年式・掲載は新しい年式に偏っているせいで差額が実態より大きく出てしまうため、こう揃えている。それでも落札車は走行距離が長く保証も付かないので、差額がそのまま利ざやではない。</t>
        </is>
      </c>
    </row>
    <row r="4" ht="44" customHeight="1">
      <c r="A4" s="7" t="inlineStr">
        <is>
          <t>車種</t>
        </is>
      </c>
      <c r="B4" s="7" t="inlineStr">
        <is>
          <t>落札中央値
(万円)</t>
        </is>
      </c>
      <c r="C4" s="7" t="inlineStr">
        <is>
          <t>小売中央値
(万円)
※落札と同じ年式構成</t>
        </is>
      </c>
      <c r="D4" s="7" t="inlineStr">
        <is>
          <t>小売−落札
(万円)</t>
        </is>
      </c>
      <c r="E4" s="7" t="inlineStr">
        <is>
          <t>落札件数</t>
        </is>
      </c>
      <c r="F4" s="7" t="inlineStr">
        <is>
          <t>掲載台数</t>
        </is>
      </c>
      <c r="G4" s="7" t="inlineStr">
        <is>
          <t>落札車の
中央走行距離(km)</t>
        </is>
      </c>
      <c r="H4" s="7" t="inlineStr">
        <is>
          <t>掲載車の
中央走行距離(km)</t>
        </is>
      </c>
      <c r="I4" s="7" t="inlineStr">
        <is>
          <t>対象年式</t>
        </is>
      </c>
    </row>
    <row r="5">
      <c r="A5" s="8" t="inlineStr">
        <is>
          <t>アルファード</t>
        </is>
      </c>
      <c r="B5" s="10" t="n">
        <v>250.9</v>
      </c>
      <c r="C5" s="10" t="n">
        <v>339</v>
      </c>
      <c r="D5" s="10" t="n">
        <v>88.09999999999999</v>
      </c>
      <c r="E5" s="11" t="n">
        <v>43</v>
      </c>
      <c r="F5" s="11" t="n">
        <v>7208</v>
      </c>
      <c r="G5" s="11" t="n">
        <v>97400</v>
      </c>
      <c r="H5" s="11" t="n">
        <v>44000</v>
      </c>
      <c r="I5" s="8" t="inlineStr">
        <is>
          <t>2013〜2025年</t>
        </is>
      </c>
    </row>
    <row r="6">
      <c r="A6" s="8" t="inlineStr">
        <is>
          <t>ヴェルファイア</t>
        </is>
      </c>
      <c r="B6" s="10" t="n">
        <v>112.4</v>
      </c>
      <c r="C6" s="10" t="n">
        <v>215.9</v>
      </c>
      <c r="D6" s="10" t="n">
        <v>103.5</v>
      </c>
      <c r="E6" s="11" t="n">
        <v>32</v>
      </c>
      <c r="F6" s="11" t="n">
        <v>3393</v>
      </c>
      <c r="G6" s="11" t="n">
        <v>144500</v>
      </c>
      <c r="H6" s="11" t="n">
        <v>67000</v>
      </c>
      <c r="I6" s="8" t="inlineStr">
        <is>
          <t>2013〜2023年</t>
        </is>
      </c>
    </row>
    <row r="7">
      <c r="A7" s="8" t="inlineStr">
        <is>
          <t>ノア</t>
        </is>
      </c>
      <c r="B7" s="10" t="n">
        <v>96.8</v>
      </c>
      <c r="C7" s="10" t="n">
        <v>126.2</v>
      </c>
      <c r="D7" s="10" t="n">
        <v>29.4</v>
      </c>
      <c r="E7" s="11" t="n">
        <v>19</v>
      </c>
      <c r="F7" s="11" t="n">
        <v>3793</v>
      </c>
      <c r="G7" s="11" t="n">
        <v>115566</v>
      </c>
      <c r="H7" s="11" t="n">
        <v>46000</v>
      </c>
      <c r="I7" s="8" t="inlineStr">
        <is>
          <t>2014〜2023年</t>
        </is>
      </c>
    </row>
    <row r="8">
      <c r="A8" s="8" t="inlineStr">
        <is>
          <t>ヴォクシー</t>
        </is>
      </c>
      <c r="B8" s="10" t="n">
        <v>76.8</v>
      </c>
      <c r="C8" s="10" t="n">
        <v>137.1</v>
      </c>
      <c r="D8" s="10" t="n">
        <v>60.3</v>
      </c>
      <c r="E8" s="11" t="n">
        <v>55</v>
      </c>
      <c r="F8" s="11" t="n">
        <v>6401</v>
      </c>
      <c r="G8" s="11" t="n">
        <v>129100</v>
      </c>
      <c r="H8" s="11" t="n">
        <v>53000</v>
      </c>
      <c r="I8" s="8" t="inlineStr">
        <is>
          <t>2013〜2024年</t>
        </is>
      </c>
    </row>
    <row r="9">
      <c r="A9" s="8" t="inlineStr">
        <is>
          <t>シエンタ</t>
        </is>
      </c>
      <c r="B9" s="10" t="n">
        <v>70.09999999999999</v>
      </c>
      <c r="C9" s="10" t="n">
        <v>120.4</v>
      </c>
      <c r="D9" s="10" t="n">
        <v>50.3</v>
      </c>
      <c r="E9" s="11" t="n">
        <v>38</v>
      </c>
      <c r="F9" s="11" t="n">
        <v>5568</v>
      </c>
      <c r="G9" s="11" t="n">
        <v>79362</v>
      </c>
      <c r="H9" s="11" t="n">
        <v>39000</v>
      </c>
      <c r="I9" s="8" t="inlineStr">
        <is>
          <t>2013〜2025年</t>
        </is>
      </c>
    </row>
    <row r="10">
      <c r="A10" s="8" t="inlineStr">
        <is>
          <t>エスクァイア</t>
        </is>
      </c>
      <c r="B10" s="10" t="n">
        <v>64.5</v>
      </c>
      <c r="C10" s="10" t="n">
        <v>135.9</v>
      </c>
      <c r="D10" s="10" t="n">
        <v>71.40000000000001</v>
      </c>
      <c r="E10" s="11" t="n">
        <v>15</v>
      </c>
      <c r="F10" s="11" t="n">
        <v>1229</v>
      </c>
      <c r="G10" s="11" t="n">
        <v>153000</v>
      </c>
      <c r="H10" s="11" t="n">
        <v>73000</v>
      </c>
      <c r="I10" s="8" t="inlineStr">
        <is>
          <t>2014〜2017年</t>
        </is>
      </c>
    </row>
    <row r="11">
      <c r="A11" s="8" t="inlineStr">
        <is>
          <t>プリウスα</t>
        </is>
      </c>
      <c r="B11" s="10" t="n">
        <v>55</v>
      </c>
      <c r="C11" s="10" t="n">
        <v>92.40000000000001</v>
      </c>
      <c r="D11" s="10" t="n">
        <v>37.4</v>
      </c>
      <c r="E11" s="11" t="n">
        <v>19</v>
      </c>
      <c r="F11" s="11" t="n">
        <v>796</v>
      </c>
      <c r="G11" s="11" t="n">
        <v>136000</v>
      </c>
      <c r="H11" s="11" t="n">
        <v>88000</v>
      </c>
      <c r="I11" s="8" t="inlineStr">
        <is>
          <t>2013〜2017年</t>
        </is>
      </c>
    </row>
    <row r="12">
      <c r="A12" s="8" t="inlineStr">
        <is>
          <t>エスティマ</t>
        </is>
      </c>
      <c r="B12" s="10" t="n">
        <v>49</v>
      </c>
      <c r="C12" s="10" t="n">
        <v>93.5</v>
      </c>
      <c r="D12" s="10" t="n">
        <v>44.5</v>
      </c>
      <c r="E12" s="11" t="n">
        <v>18</v>
      </c>
      <c r="F12" s="11" t="n">
        <v>644</v>
      </c>
      <c r="G12" s="11" t="n">
        <v>177500</v>
      </c>
      <c r="H12" s="11" t="n">
        <v>87000</v>
      </c>
      <c r="I12" s="8" t="inlineStr">
        <is>
          <t>2013〜2017年</t>
        </is>
      </c>
    </row>
    <row r="13">
      <c r="A13" s="8" t="inlineStr">
        <is>
          <t>ウィッシュ</t>
        </is>
      </c>
      <c r="B13" s="10" t="n"/>
      <c r="C13" s="10" t="n"/>
      <c r="D13" s="10" t="n"/>
      <c r="E13" s="11" t="n"/>
      <c r="F13" s="11" t="n">
        <v>32</v>
      </c>
      <c r="G13" s="11" t="n"/>
      <c r="H13" s="11" t="n">
        <v>88000</v>
      </c>
      <c r="I13" s="8" t="inlineStr"/>
    </row>
    <row r="14">
      <c r="A14" s="8" t="inlineStr">
        <is>
          <t>アイシス</t>
        </is>
      </c>
      <c r="B14" s="10" t="n"/>
      <c r="C14" s="10" t="n"/>
      <c r="D14" s="10" t="n"/>
      <c r="E14" s="11" t="n"/>
      <c r="F14" s="11" t="n">
        <v>37</v>
      </c>
      <c r="G14" s="11" t="n"/>
      <c r="H14" s="11" t="n">
        <v>81000</v>
      </c>
      <c r="I14" s="8" t="inlineStr"/>
    </row>
    <row r="15">
      <c r="A15" s="8" t="inlineStr">
        <is>
          <t>グランエース</t>
        </is>
      </c>
      <c r="B15" s="10" t="n"/>
      <c r="C15" s="10" t="n"/>
      <c r="D15" s="10" t="n"/>
      <c r="E15" s="11" t="n"/>
      <c r="F15" s="11" t="n">
        <v>58</v>
      </c>
      <c r="G15" s="11" t="n"/>
      <c r="H15" s="11" t="n">
        <v>44000</v>
      </c>
      <c r="I15" s="8" t="inlineStr"/>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N24"/>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c r="A1" s="5" t="inlineStr">
        <is>
          <t>車種 × 年式 の落札相場（2013年式以降）</t>
        </is>
      </c>
    </row>
    <row r="2">
      <c r="A2" s="6" t="inlineStr">
        <is>
          <t>セルの色は「その車種のなかでの相対的な高さ」。薄いほどその車種では安い年式。下段は落札件数で、件数が 1〜2 の年式は参考値にとどめること。</t>
        </is>
      </c>
    </row>
    <row r="4">
      <c r="A4" s="12" t="inlineStr">
        <is>
          <t>■ 落札中央値（万円）</t>
        </is>
      </c>
    </row>
    <row r="5">
      <c r="A5" s="7" t="inlineStr">
        <is>
          <t>車種</t>
        </is>
      </c>
      <c r="B5" s="7" t="inlineStr">
        <is>
          <t>2013年</t>
        </is>
      </c>
      <c r="C5" s="7" t="inlineStr">
        <is>
          <t>2014年</t>
        </is>
      </c>
      <c r="D5" s="7" t="inlineStr">
        <is>
          <t>2015年</t>
        </is>
      </c>
      <c r="E5" s="7" t="inlineStr">
        <is>
          <t>2016年</t>
        </is>
      </c>
      <c r="F5" s="7" t="inlineStr">
        <is>
          <t>2017年</t>
        </is>
      </c>
      <c r="G5" s="7" t="inlineStr">
        <is>
          <t>2018年</t>
        </is>
      </c>
      <c r="H5" s="7" t="inlineStr">
        <is>
          <t>2019年</t>
        </is>
      </c>
      <c r="I5" s="7" t="inlineStr">
        <is>
          <t>2020年</t>
        </is>
      </c>
      <c r="J5" s="7" t="inlineStr">
        <is>
          <t>2021年</t>
        </is>
      </c>
      <c r="K5" s="7" t="inlineStr">
        <is>
          <t>2022年</t>
        </is>
      </c>
      <c r="L5" s="7" t="inlineStr">
        <is>
          <t>2023年</t>
        </is>
      </c>
      <c r="M5" s="7" t="inlineStr">
        <is>
          <t>2024年</t>
        </is>
      </c>
      <c r="N5" s="7" t="inlineStr">
        <is>
          <t>2025年</t>
        </is>
      </c>
    </row>
    <row r="6">
      <c r="A6" s="8" t="inlineStr">
        <is>
          <t>ヴォクシー</t>
        </is>
      </c>
      <c r="B6" s="10" t="n">
        <v>36.5</v>
      </c>
      <c r="C6" s="10" t="n">
        <v>75</v>
      </c>
      <c r="D6" s="10" t="n">
        <v>68</v>
      </c>
      <c r="E6" s="10" t="n">
        <v>120</v>
      </c>
      <c r="F6" s="10" t="n">
        <v>123.3</v>
      </c>
      <c r="G6" s="10" t="n">
        <v>143.7</v>
      </c>
      <c r="H6" s="10" t="n">
        <v>151.2</v>
      </c>
      <c r="I6" s="10" t="n"/>
      <c r="J6" s="10" t="n">
        <v>178</v>
      </c>
      <c r="K6" s="10" t="n"/>
      <c r="L6" s="10" t="n">
        <v>268</v>
      </c>
      <c r="M6" s="10" t="n">
        <v>340.3</v>
      </c>
      <c r="N6" s="10" t="n"/>
    </row>
    <row r="7">
      <c r="A7" s="8" t="inlineStr">
        <is>
          <t>アルファード</t>
        </is>
      </c>
      <c r="B7" s="10" t="n">
        <v>62.5</v>
      </c>
      <c r="C7" s="10" t="n">
        <v>67</v>
      </c>
      <c r="D7" s="10" t="n">
        <v>147.1</v>
      </c>
      <c r="E7" s="10" t="n">
        <v>218.8</v>
      </c>
      <c r="F7" s="10" t="n">
        <v>150</v>
      </c>
      <c r="G7" s="10" t="n">
        <v>286.6</v>
      </c>
      <c r="H7" s="10" t="n">
        <v>282.1</v>
      </c>
      <c r="I7" s="10" t="n">
        <v>246</v>
      </c>
      <c r="J7" s="10" t="n"/>
      <c r="K7" s="10" t="n">
        <v>468</v>
      </c>
      <c r="L7" s="10" t="n">
        <v>631.5</v>
      </c>
      <c r="M7" s="10" t="n">
        <v>504.1</v>
      </c>
      <c r="N7" s="10" t="n">
        <v>657.6</v>
      </c>
    </row>
    <row r="8">
      <c r="A8" s="8" t="inlineStr">
        <is>
          <t>シエンタ</t>
        </is>
      </c>
      <c r="B8" s="10" t="n">
        <v>32.5</v>
      </c>
      <c r="C8" s="10" t="n"/>
      <c r="D8" s="10" t="n">
        <v>55.5</v>
      </c>
      <c r="E8" s="10" t="n">
        <v>41.4</v>
      </c>
      <c r="F8" s="10" t="n">
        <v>55</v>
      </c>
      <c r="G8" s="10" t="n">
        <v>165.1</v>
      </c>
      <c r="H8" s="10" t="n">
        <v>101.4</v>
      </c>
      <c r="I8" s="10" t="n">
        <v>98.7</v>
      </c>
      <c r="J8" s="10" t="n">
        <v>81</v>
      </c>
      <c r="K8" s="10" t="n"/>
      <c r="L8" s="10" t="n">
        <v>209.9</v>
      </c>
      <c r="M8" s="10" t="n">
        <v>160.1</v>
      </c>
      <c r="N8" s="10" t="n">
        <v>165.1</v>
      </c>
    </row>
    <row r="9">
      <c r="A9" s="8" t="inlineStr">
        <is>
          <t>ヴェルファイア</t>
        </is>
      </c>
      <c r="B9" s="10" t="n">
        <v>47.5</v>
      </c>
      <c r="C9" s="10" t="n">
        <v>72</v>
      </c>
      <c r="D9" s="10" t="n">
        <v>147.9</v>
      </c>
      <c r="E9" s="10" t="n">
        <v>140.1</v>
      </c>
      <c r="F9" s="10" t="n">
        <v>199.6</v>
      </c>
      <c r="G9" s="10" t="n">
        <v>300.5</v>
      </c>
      <c r="H9" s="10" t="n">
        <v>238.3</v>
      </c>
      <c r="I9" s="10" t="n"/>
      <c r="J9" s="10" t="n"/>
      <c r="K9" s="10" t="n">
        <v>265.3</v>
      </c>
      <c r="L9" s="10" t="n">
        <v>599</v>
      </c>
      <c r="M9" s="10" t="n"/>
      <c r="N9" s="10" t="n"/>
    </row>
    <row r="10">
      <c r="A10" s="8" t="inlineStr">
        <is>
          <t>プリウスα</t>
        </is>
      </c>
      <c r="B10" s="10" t="n">
        <v>42.4</v>
      </c>
      <c r="C10" s="10" t="n">
        <v>45.6</v>
      </c>
      <c r="D10" s="10" t="n">
        <v>57.5</v>
      </c>
      <c r="E10" s="10" t="n">
        <v>65</v>
      </c>
      <c r="F10" s="10" t="n">
        <v>93.40000000000001</v>
      </c>
      <c r="G10" s="10" t="n"/>
      <c r="H10" s="10" t="n"/>
      <c r="I10" s="10" t="n"/>
      <c r="J10" s="10" t="n"/>
      <c r="K10" s="10" t="n"/>
      <c r="L10" s="10" t="n"/>
      <c r="M10" s="10" t="n"/>
      <c r="N10" s="10" t="n"/>
    </row>
    <row r="11">
      <c r="A11" s="8" t="inlineStr">
        <is>
          <t>ノア</t>
        </is>
      </c>
      <c r="B11" s="10" t="n"/>
      <c r="C11" s="10" t="n">
        <v>72.40000000000001</v>
      </c>
      <c r="D11" s="10" t="n">
        <v>86.40000000000001</v>
      </c>
      <c r="E11" s="10" t="n">
        <v>128.3</v>
      </c>
      <c r="F11" s="10" t="n">
        <v>169.8</v>
      </c>
      <c r="G11" s="10" t="n">
        <v>133</v>
      </c>
      <c r="H11" s="10" t="n"/>
      <c r="I11" s="10" t="n">
        <v>144.7</v>
      </c>
      <c r="J11" s="10" t="n"/>
      <c r="K11" s="10" t="n"/>
      <c r="L11" s="10" t="n">
        <v>292.1</v>
      </c>
      <c r="M11" s="10" t="n"/>
      <c r="N11" s="10" t="n"/>
    </row>
    <row r="12">
      <c r="A12" s="8" t="inlineStr">
        <is>
          <t>エスティマ</t>
        </is>
      </c>
      <c r="B12" s="10" t="n">
        <v>43.5</v>
      </c>
      <c r="C12" s="10" t="n">
        <v>46.8</v>
      </c>
      <c r="D12" s="10" t="n">
        <v>85</v>
      </c>
      <c r="E12" s="10" t="n">
        <v>108.8</v>
      </c>
      <c r="F12" s="10" t="n">
        <v>96</v>
      </c>
      <c r="G12" s="10" t="n"/>
      <c r="H12" s="10" t="n"/>
      <c r="I12" s="10" t="n"/>
      <c r="J12" s="10" t="n"/>
      <c r="K12" s="10" t="n"/>
      <c r="L12" s="10" t="n"/>
      <c r="M12" s="10" t="n"/>
      <c r="N12" s="10" t="n"/>
    </row>
    <row r="13">
      <c r="A13" s="8" t="inlineStr">
        <is>
          <t>エスクァイア</t>
        </is>
      </c>
      <c r="B13" s="10" t="n"/>
      <c r="C13" s="10" t="n">
        <v>105</v>
      </c>
      <c r="D13" s="10" t="n">
        <v>64.5</v>
      </c>
      <c r="E13" s="10" t="n">
        <v>105.7</v>
      </c>
      <c r="F13" s="10" t="n">
        <v>58.2</v>
      </c>
      <c r="G13" s="10" t="n"/>
      <c r="H13" s="10" t="n"/>
      <c r="I13" s="10" t="n"/>
      <c r="J13" s="10" t="n"/>
      <c r="K13" s="10" t="n"/>
      <c r="L13" s="10" t="n"/>
      <c r="M13" s="10" t="n"/>
      <c r="N13" s="10" t="n"/>
    </row>
    <row r="15">
      <c r="A15" s="12" t="inlineStr">
        <is>
          <t>■ 落札件数（この数が少ないほど上の中央値はブレる）</t>
        </is>
      </c>
    </row>
    <row r="16">
      <c r="A16" s="7" t="inlineStr">
        <is>
          <t>車種</t>
        </is>
      </c>
      <c r="B16" s="7" t="inlineStr">
        <is>
          <t>2013年</t>
        </is>
      </c>
      <c r="C16" s="7" t="inlineStr">
        <is>
          <t>2014年</t>
        </is>
      </c>
      <c r="D16" s="7" t="inlineStr">
        <is>
          <t>2015年</t>
        </is>
      </c>
      <c r="E16" s="7" t="inlineStr">
        <is>
          <t>2016年</t>
        </is>
      </c>
      <c r="F16" s="7" t="inlineStr">
        <is>
          <t>2017年</t>
        </is>
      </c>
      <c r="G16" s="7" t="inlineStr">
        <is>
          <t>2018年</t>
        </is>
      </c>
      <c r="H16" s="7" t="inlineStr">
        <is>
          <t>2019年</t>
        </is>
      </c>
      <c r="I16" s="7" t="inlineStr">
        <is>
          <t>2020年</t>
        </is>
      </c>
      <c r="J16" s="7" t="inlineStr">
        <is>
          <t>2021年</t>
        </is>
      </c>
      <c r="K16" s="7" t="inlineStr">
        <is>
          <t>2022年</t>
        </is>
      </c>
      <c r="L16" s="7" t="inlineStr">
        <is>
          <t>2023年</t>
        </is>
      </c>
      <c r="M16" s="7" t="inlineStr">
        <is>
          <t>2024年</t>
        </is>
      </c>
      <c r="N16" s="7" t="inlineStr">
        <is>
          <t>2025年</t>
        </is>
      </c>
    </row>
    <row r="17">
      <c r="A17" s="8" t="inlineStr">
        <is>
          <t>ヴォクシー</t>
        </is>
      </c>
      <c r="B17" s="11" t="n">
        <v>4</v>
      </c>
      <c r="C17" s="11" t="n">
        <v>17</v>
      </c>
      <c r="D17" s="11" t="n">
        <v>16</v>
      </c>
      <c r="E17" s="11" t="n">
        <v>7</v>
      </c>
      <c r="F17" s="11" t="n">
        <v>2</v>
      </c>
      <c r="G17" s="11" t="n">
        <v>2</v>
      </c>
      <c r="H17" s="11" t="n">
        <v>2</v>
      </c>
      <c r="I17" s="11" t="n"/>
      <c r="J17" s="11" t="n">
        <v>1</v>
      </c>
      <c r="K17" s="11" t="n"/>
      <c r="L17" s="11" t="n">
        <v>3</v>
      </c>
      <c r="M17" s="11" t="n">
        <v>1</v>
      </c>
      <c r="N17" s="11" t="n"/>
    </row>
    <row r="18">
      <c r="A18" s="8" t="inlineStr">
        <is>
          <t>アルファード</t>
        </is>
      </c>
      <c r="B18" s="11" t="n">
        <v>5</v>
      </c>
      <c r="C18" s="11" t="n">
        <v>2</v>
      </c>
      <c r="D18" s="11" t="n">
        <v>4</v>
      </c>
      <c r="E18" s="11" t="n">
        <v>2</v>
      </c>
      <c r="F18" s="11" t="n">
        <v>5</v>
      </c>
      <c r="G18" s="11" t="n">
        <v>6</v>
      </c>
      <c r="H18" s="11" t="n">
        <v>3</v>
      </c>
      <c r="I18" s="11" t="n">
        <v>7</v>
      </c>
      <c r="J18" s="11" t="n"/>
      <c r="K18" s="11" t="n">
        <v>1</v>
      </c>
      <c r="L18" s="11" t="n">
        <v>2</v>
      </c>
      <c r="M18" s="11" t="n">
        <v>2</v>
      </c>
      <c r="N18" s="11" t="n">
        <v>4</v>
      </c>
    </row>
    <row r="19">
      <c r="A19" s="8" t="inlineStr">
        <is>
          <t>シエンタ</t>
        </is>
      </c>
      <c r="B19" s="11" t="n">
        <v>2</v>
      </c>
      <c r="C19" s="11" t="n"/>
      <c r="D19" s="11" t="n">
        <v>10</v>
      </c>
      <c r="E19" s="11" t="n">
        <v>6</v>
      </c>
      <c r="F19" s="11" t="n">
        <v>4</v>
      </c>
      <c r="G19" s="11" t="n">
        <v>1</v>
      </c>
      <c r="H19" s="11" t="n">
        <v>6</v>
      </c>
      <c r="I19" s="11" t="n">
        <v>2</v>
      </c>
      <c r="J19" s="11" t="n">
        <v>1</v>
      </c>
      <c r="K19" s="11" t="n"/>
      <c r="L19" s="11" t="n">
        <v>2</v>
      </c>
      <c r="M19" s="11" t="n">
        <v>3</v>
      </c>
      <c r="N19" s="11" t="n">
        <v>1</v>
      </c>
    </row>
    <row r="20">
      <c r="A20" s="8" t="inlineStr">
        <is>
          <t>ヴェルファイア</t>
        </is>
      </c>
      <c r="B20" s="11" t="n">
        <v>10</v>
      </c>
      <c r="C20" s="11" t="n">
        <v>2</v>
      </c>
      <c r="D20" s="11" t="n">
        <v>8</v>
      </c>
      <c r="E20" s="11" t="n">
        <v>6</v>
      </c>
      <c r="F20" s="11" t="n">
        <v>1</v>
      </c>
      <c r="G20" s="11" t="n">
        <v>2</v>
      </c>
      <c r="H20" s="11" t="n">
        <v>1</v>
      </c>
      <c r="I20" s="11" t="n"/>
      <c r="J20" s="11" t="n"/>
      <c r="K20" s="11" t="n">
        <v>1</v>
      </c>
      <c r="L20" s="11" t="n">
        <v>1</v>
      </c>
      <c r="M20" s="11" t="n"/>
      <c r="N20" s="11" t="n"/>
    </row>
    <row r="21">
      <c r="A21" s="8" t="inlineStr">
        <is>
          <t>プリウスα</t>
        </is>
      </c>
      <c r="B21" s="11" t="n">
        <v>6</v>
      </c>
      <c r="C21" s="11" t="n">
        <v>4</v>
      </c>
      <c r="D21" s="11" t="n">
        <v>4</v>
      </c>
      <c r="E21" s="11" t="n">
        <v>1</v>
      </c>
      <c r="F21" s="11" t="n">
        <v>4</v>
      </c>
      <c r="G21" s="11" t="n"/>
      <c r="H21" s="11" t="n"/>
      <c r="I21" s="11" t="n"/>
      <c r="J21" s="11" t="n"/>
      <c r="K21" s="11" t="n"/>
      <c r="L21" s="11" t="n"/>
      <c r="M21" s="11" t="n"/>
      <c r="N21" s="11" t="n"/>
    </row>
    <row r="22">
      <c r="A22" s="8" t="inlineStr">
        <is>
          <t>ノア</t>
        </is>
      </c>
      <c r="B22" s="11" t="n"/>
      <c r="C22" s="11" t="n">
        <v>6</v>
      </c>
      <c r="D22" s="11" t="n">
        <v>6</v>
      </c>
      <c r="E22" s="11" t="n">
        <v>2</v>
      </c>
      <c r="F22" s="11" t="n">
        <v>2</v>
      </c>
      <c r="G22" s="11" t="n">
        <v>1</v>
      </c>
      <c r="H22" s="11" t="n"/>
      <c r="I22" s="11" t="n">
        <v>1</v>
      </c>
      <c r="J22" s="11" t="n"/>
      <c r="K22" s="11" t="n"/>
      <c r="L22" s="11" t="n">
        <v>1</v>
      </c>
      <c r="M22" s="11" t="n"/>
      <c r="N22" s="11" t="n"/>
    </row>
    <row r="23">
      <c r="A23" s="8" t="inlineStr">
        <is>
          <t>エスティマ</t>
        </is>
      </c>
      <c r="B23" s="11" t="n">
        <v>10</v>
      </c>
      <c r="C23" s="11" t="n">
        <v>4</v>
      </c>
      <c r="D23" s="11" t="n">
        <v>1</v>
      </c>
      <c r="E23" s="11" t="n">
        <v>1</v>
      </c>
      <c r="F23" s="11" t="n">
        <v>2</v>
      </c>
      <c r="G23" s="11" t="n"/>
      <c r="H23" s="11" t="n"/>
      <c r="I23" s="11" t="n"/>
      <c r="J23" s="11" t="n"/>
      <c r="K23" s="11" t="n"/>
      <c r="L23" s="11" t="n"/>
      <c r="M23" s="11" t="n"/>
      <c r="N23" s="11" t="n"/>
    </row>
    <row r="24">
      <c r="A24" s="8" t="inlineStr">
        <is>
          <t>エスクァイア</t>
        </is>
      </c>
      <c r="B24" s="11" t="n"/>
      <c r="C24" s="11" t="n">
        <v>3</v>
      </c>
      <c r="D24" s="11" t="n">
        <v>9</v>
      </c>
      <c r="E24" s="11" t="n">
        <v>2</v>
      </c>
      <c r="F24" s="11" t="n">
        <v>1</v>
      </c>
      <c r="G24" s="11" t="n"/>
      <c r="H24" s="11" t="n"/>
      <c r="I24" s="11" t="n"/>
      <c r="J24" s="11" t="n"/>
      <c r="K24" s="11" t="n"/>
      <c r="L24" s="11" t="n"/>
      <c r="M24" s="11" t="n"/>
      <c r="N24" s="11" t="n"/>
    </row>
  </sheetData>
  <conditionalFormatting sqref="B6:N6">
    <cfRule type="colorScale" priority="1">
      <colorScale>
        <cfvo type="min"/>
        <cfvo type="percentile" val="50"/>
        <cfvo type="max"/>
        <color rgb="00FFFFFF"/>
        <color rgb="00BDD7EE"/>
        <color rgb="002E75B6"/>
      </colorScale>
    </cfRule>
  </conditionalFormatting>
  <conditionalFormatting sqref="B7:N7">
    <cfRule type="colorScale" priority="1">
      <colorScale>
        <cfvo type="min"/>
        <cfvo type="percentile" val="50"/>
        <cfvo type="max"/>
        <color rgb="00FFFFFF"/>
        <color rgb="00BDD7EE"/>
        <color rgb="002E75B6"/>
      </colorScale>
    </cfRule>
  </conditionalFormatting>
  <conditionalFormatting sqref="B8:N8">
    <cfRule type="colorScale" priority="1">
      <colorScale>
        <cfvo type="min"/>
        <cfvo type="percentile" val="50"/>
        <cfvo type="max"/>
        <color rgb="00FFFFFF"/>
        <color rgb="00BDD7EE"/>
        <color rgb="002E75B6"/>
      </colorScale>
    </cfRule>
  </conditionalFormatting>
  <conditionalFormatting sqref="B9:N9">
    <cfRule type="colorScale" priority="1">
      <colorScale>
        <cfvo type="min"/>
        <cfvo type="percentile" val="50"/>
        <cfvo type="max"/>
        <color rgb="00FFFFFF"/>
        <color rgb="00BDD7EE"/>
        <color rgb="002E75B6"/>
      </colorScale>
    </cfRule>
  </conditionalFormatting>
  <conditionalFormatting sqref="B10:N10">
    <cfRule type="colorScale" priority="1">
      <colorScale>
        <cfvo type="min"/>
        <cfvo type="percentile" val="50"/>
        <cfvo type="max"/>
        <color rgb="00FFFFFF"/>
        <color rgb="00BDD7EE"/>
        <color rgb="002E75B6"/>
      </colorScale>
    </cfRule>
  </conditionalFormatting>
  <conditionalFormatting sqref="B11:N11">
    <cfRule type="colorScale" priority="1">
      <colorScale>
        <cfvo type="min"/>
        <cfvo type="percentile" val="50"/>
        <cfvo type="max"/>
        <color rgb="00FFFFFF"/>
        <color rgb="00BDD7EE"/>
        <color rgb="002E75B6"/>
      </colorScale>
    </cfRule>
  </conditionalFormatting>
  <conditionalFormatting sqref="B12:N12">
    <cfRule type="colorScale" priority="1">
      <colorScale>
        <cfvo type="min"/>
        <cfvo type="percentile" val="50"/>
        <cfvo type="max"/>
        <color rgb="00FFFFFF"/>
        <color rgb="00BDD7EE"/>
        <color rgb="002E75B6"/>
      </colorScale>
    </cfRule>
  </conditionalFormatting>
  <conditionalFormatting sqref="B13:N13">
    <cfRule type="colorScale" priority="1">
      <colorScale>
        <cfvo type="min"/>
        <cfvo type="percentile" val="50"/>
        <cfvo type="max"/>
        <color rgb="00FFFFFF"/>
        <color rgb="00BDD7EE"/>
        <color rgb="002E75B6"/>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0" customWidth="1" min="3" max="3"/>
    <col width="10" customWidth="1" min="4" max="4"/>
    <col width="12" customWidth="1" min="5" max="5"/>
    <col width="34" customWidth="1" min="6" max="6"/>
    <col width="24" customWidth="1" min="7" max="7"/>
    <col width="22" customWidth="1" min="8" max="8"/>
    <col width="22" customWidth="1" min="9" max="9"/>
    <col width="22" customWidth="1" min="10" max="10"/>
  </cols>
  <sheetData>
    <row r="1" ht="32" customHeight="1">
      <c r="A1" s="7" t="inlineStr">
        <is>
          <t>メーカー</t>
        </is>
      </c>
      <c r="B1" s="7" t="inlineStr">
        <is>
          <t>車種</t>
        </is>
      </c>
      <c r="C1" s="7" t="inlineStr">
        <is>
          <t>キー</t>
        </is>
      </c>
      <c r="D1" s="7" t="inlineStr">
        <is>
          <t>世代</t>
        </is>
      </c>
      <c r="E1" s="7" t="inlineStr">
        <is>
          <t>販売期間</t>
        </is>
      </c>
      <c r="F1" s="7" t="inlineStr">
        <is>
          <t>型式</t>
        </is>
      </c>
      <c r="G1" s="7" t="inlineStr">
        <is>
          <t>カーセンサー
コード</t>
        </is>
      </c>
      <c r="H1" s="7" t="inlineStr">
        <is>
          <t>価格.com
ID</t>
        </is>
      </c>
      <c r="I1" s="7" t="inlineStr">
        <is>
          <t>みんカラ
slug</t>
        </is>
      </c>
      <c r="J1" s="7" t="inlineStr">
        <is>
          <t>ヤフオク
カテゴリ</t>
        </is>
      </c>
    </row>
    <row r="2">
      <c r="A2" s="13" t="inlineStr">
        <is>
          <t>トヨタ</t>
        </is>
      </c>
      <c r="B2" s="13" t="inlineStr">
        <is>
          <t>アルファード</t>
        </is>
      </c>
      <c r="C2" s="13" t="inlineStr">
        <is>
          <t>alphard</t>
        </is>
      </c>
      <c r="D2" s="13" t="inlineStr">
        <is>
          <t>20系</t>
        </is>
      </c>
      <c r="E2" s="13" t="inlineStr">
        <is>
          <t>2008/05〜2015/01</t>
        </is>
      </c>
      <c r="F2" s="14" t="inlineStr">
        <is>
          <t>DBA-ANH20W, DBA-ANH25W, DBA-GGH20W, DBA-GGH25W, DAA-ATH20W</t>
        </is>
      </c>
      <c r="G2" s="13" t="inlineStr">
        <is>
          <t>TO_S009, TO_S010</t>
        </is>
      </c>
      <c r="H2" s="13" t="inlineStr">
        <is>
          <t>70100110661</t>
        </is>
      </c>
      <c r="I2" s="13" t="inlineStr">
        <is>
          <t>alphard</t>
        </is>
      </c>
      <c r="J2" s="13" t="inlineStr">
        <is>
          <t>2084049538, 2084231229</t>
        </is>
      </c>
    </row>
    <row r="3">
      <c r="A3" s="8" t="inlineStr">
        <is>
          <t>トヨタ</t>
        </is>
      </c>
      <c r="B3" s="8" t="inlineStr">
        <is>
          <t>アルファード</t>
        </is>
      </c>
      <c r="C3" s="8" t="inlineStr">
        <is>
          <t>alphard</t>
        </is>
      </c>
      <c r="D3" s="8" t="inlineStr">
        <is>
          <t>30系前期</t>
        </is>
      </c>
      <c r="E3" s="8" t="inlineStr">
        <is>
          <t>2015/01〜2017/12</t>
        </is>
      </c>
      <c r="F3" s="14" t="inlineStr">
        <is>
          <t>DBA-AGH30W, DBA-AGH35W, DBA-GGH30W, DBA-GGH35W, DAA-AYH30W</t>
        </is>
      </c>
      <c r="G3" s="8" t="inlineStr">
        <is>
          <t>TO_S009, TO_S010</t>
        </is>
      </c>
      <c r="H3" s="8" t="inlineStr">
        <is>
          <t>70100110661</t>
        </is>
      </c>
      <c r="I3" s="8" t="inlineStr">
        <is>
          <t>alphard</t>
        </is>
      </c>
      <c r="J3" s="8" t="inlineStr">
        <is>
          <t>2084049538, 2084231229</t>
        </is>
      </c>
    </row>
    <row r="4">
      <c r="A4" s="13" t="inlineStr">
        <is>
          <t>トヨタ</t>
        </is>
      </c>
      <c r="B4" s="13" t="inlineStr">
        <is>
          <t>アルファード</t>
        </is>
      </c>
      <c r="C4" s="13" t="inlineStr">
        <is>
          <t>alphard</t>
        </is>
      </c>
      <c r="D4" s="13" t="inlineStr">
        <is>
          <t>30系後期</t>
        </is>
      </c>
      <c r="E4" s="13" t="inlineStr">
        <is>
          <t>2017/12〜2023/06</t>
        </is>
      </c>
      <c r="F4" s="14" t="inlineStr">
        <is>
          <t>3BA-AGH30W, 3BA-AGH35W, 3BA-GGH30W, 3BA-GGH35W, 6AA-AYH30W</t>
        </is>
      </c>
      <c r="G4" s="13" t="inlineStr">
        <is>
          <t>TO_S009, TO_S010</t>
        </is>
      </c>
      <c r="H4" s="13" t="inlineStr">
        <is>
          <t>70100110661</t>
        </is>
      </c>
      <c r="I4" s="13" t="inlineStr">
        <is>
          <t>alphard</t>
        </is>
      </c>
      <c r="J4" s="13" t="inlineStr">
        <is>
          <t>2084049538, 2084231229</t>
        </is>
      </c>
    </row>
    <row r="5">
      <c r="A5" s="8" t="inlineStr">
        <is>
          <t>トヨタ</t>
        </is>
      </c>
      <c r="B5" s="8" t="inlineStr">
        <is>
          <t>アルファード</t>
        </is>
      </c>
      <c r="C5" s="8" t="inlineStr">
        <is>
          <t>alphard</t>
        </is>
      </c>
      <c r="D5" s="8" t="inlineStr">
        <is>
          <t>40系</t>
        </is>
      </c>
      <c r="E5" s="8" t="inlineStr">
        <is>
          <t>2023/06〜</t>
        </is>
      </c>
      <c r="F5" s="14" t="inlineStr">
        <is>
          <t>3BA-AGH40W, 3BA-AGH45W, 6AA-AAHH40W, 6AA-AAHH45W</t>
        </is>
      </c>
      <c r="G5" s="8" t="inlineStr">
        <is>
          <t>TO_S009, TO_S010</t>
        </is>
      </c>
      <c r="H5" s="8" t="inlineStr">
        <is>
          <t>70100110661</t>
        </is>
      </c>
      <c r="I5" s="8" t="inlineStr">
        <is>
          <t>alphard</t>
        </is>
      </c>
      <c r="J5" s="8" t="inlineStr">
        <is>
          <t>2084049538, 2084231229</t>
        </is>
      </c>
    </row>
    <row r="6">
      <c r="A6" s="13" t="inlineStr">
        <is>
          <t>トヨタ</t>
        </is>
      </c>
      <c r="B6" s="13" t="inlineStr">
        <is>
          <t>ヴェルファイア</t>
        </is>
      </c>
      <c r="C6" s="13" t="inlineStr">
        <is>
          <t>vellfire</t>
        </is>
      </c>
      <c r="D6" s="13" t="inlineStr">
        <is>
          <t>20系</t>
        </is>
      </c>
      <c r="E6" s="13" t="inlineStr">
        <is>
          <t>2008/05〜2015/01</t>
        </is>
      </c>
      <c r="F6" s="14" t="inlineStr">
        <is>
          <t>DBA-ANH20W, DBA-ANH25W, DBA-GGH20W, DBA-GGH25W, DAA-ATH20W</t>
        </is>
      </c>
      <c r="G6" s="13" t="inlineStr">
        <is>
          <t>TO_S200, TO_S222</t>
        </is>
      </c>
      <c r="H6" s="13" t="inlineStr">
        <is>
          <t>70100110662</t>
        </is>
      </c>
      <c r="I6" s="13" t="inlineStr">
        <is>
          <t>vellfire</t>
        </is>
      </c>
      <c r="J6" s="13" t="inlineStr">
        <is>
          <t>2084231724, 2084299521</t>
        </is>
      </c>
    </row>
    <row r="7">
      <c r="A7" s="8" t="inlineStr">
        <is>
          <t>トヨタ</t>
        </is>
      </c>
      <c r="B7" s="8" t="inlineStr">
        <is>
          <t>ヴェルファイア</t>
        </is>
      </c>
      <c r="C7" s="8" t="inlineStr">
        <is>
          <t>vellfire</t>
        </is>
      </c>
      <c r="D7" s="8" t="inlineStr">
        <is>
          <t>30系前期</t>
        </is>
      </c>
      <c r="E7" s="8" t="inlineStr">
        <is>
          <t>2015/01〜2017/12</t>
        </is>
      </c>
      <c r="F7" s="14" t="inlineStr">
        <is>
          <t>DBA-AGH30W, DBA-AGH35W, DBA-GGH30W, DBA-GGH35W, DAA-AYH30W</t>
        </is>
      </c>
      <c r="G7" s="8" t="inlineStr">
        <is>
          <t>TO_S200, TO_S222</t>
        </is>
      </c>
      <c r="H7" s="8" t="inlineStr">
        <is>
          <t>70100110662</t>
        </is>
      </c>
      <c r="I7" s="8" t="inlineStr">
        <is>
          <t>vellfire</t>
        </is>
      </c>
      <c r="J7" s="8" t="inlineStr">
        <is>
          <t>2084231724, 2084299521</t>
        </is>
      </c>
    </row>
    <row r="8">
      <c r="A8" s="13" t="inlineStr">
        <is>
          <t>トヨタ</t>
        </is>
      </c>
      <c r="B8" s="13" t="inlineStr">
        <is>
          <t>ヴェルファイア</t>
        </is>
      </c>
      <c r="C8" s="13" t="inlineStr">
        <is>
          <t>vellfire</t>
        </is>
      </c>
      <c r="D8" s="13" t="inlineStr">
        <is>
          <t>30系後期</t>
        </is>
      </c>
      <c r="E8" s="13" t="inlineStr">
        <is>
          <t>2017/12〜2023/06</t>
        </is>
      </c>
      <c r="F8" s="14" t="inlineStr">
        <is>
          <t>3BA-AGH30W, 3BA-AGH35W, 3BA-GGH30W, 3BA-GGH35W, 6AA-AYH30W</t>
        </is>
      </c>
      <c r="G8" s="13" t="inlineStr">
        <is>
          <t>TO_S200, TO_S222</t>
        </is>
      </c>
      <c r="H8" s="13" t="inlineStr">
        <is>
          <t>70100110662</t>
        </is>
      </c>
      <c r="I8" s="13" t="inlineStr">
        <is>
          <t>vellfire</t>
        </is>
      </c>
      <c r="J8" s="13" t="inlineStr">
        <is>
          <t>2084231724, 2084299521</t>
        </is>
      </c>
    </row>
    <row r="9">
      <c r="A9" s="8" t="inlineStr">
        <is>
          <t>トヨタ</t>
        </is>
      </c>
      <c r="B9" s="8" t="inlineStr">
        <is>
          <t>ヴェルファイア</t>
        </is>
      </c>
      <c r="C9" s="8" t="inlineStr">
        <is>
          <t>vellfire</t>
        </is>
      </c>
      <c r="D9" s="8" t="inlineStr">
        <is>
          <t>40系</t>
        </is>
      </c>
      <c r="E9" s="8" t="inlineStr">
        <is>
          <t>2023/06〜</t>
        </is>
      </c>
      <c r="F9" s="14" t="inlineStr">
        <is>
          <t>3BA-TAHA40W, 3BA-TAHA45W, 6AA-AAHH40W, 6AA-AAHH45W</t>
        </is>
      </c>
      <c r="G9" s="8" t="inlineStr">
        <is>
          <t>TO_S200, TO_S222</t>
        </is>
      </c>
      <c r="H9" s="8" t="inlineStr">
        <is>
          <t>70100110662</t>
        </is>
      </c>
      <c r="I9" s="8" t="inlineStr">
        <is>
          <t>vellfire</t>
        </is>
      </c>
      <c r="J9" s="8" t="inlineStr">
        <is>
          <t>2084231724, 2084299521</t>
        </is>
      </c>
    </row>
    <row r="10">
      <c r="A10" s="13" t="inlineStr">
        <is>
          <t>トヨタ</t>
        </is>
      </c>
      <c r="B10" s="13" t="inlineStr">
        <is>
          <t>ノア</t>
        </is>
      </c>
      <c r="C10" s="13" t="inlineStr">
        <is>
          <t>noah</t>
        </is>
      </c>
      <c r="D10" s="13" t="inlineStr">
        <is>
          <t>70系</t>
        </is>
      </c>
      <c r="E10" s="13" t="inlineStr">
        <is>
          <t>2007/06〜2014/01</t>
        </is>
      </c>
      <c r="F10" s="14" t="inlineStr">
        <is>
          <t>DBA-ZRR70W, DBA-ZRR75W, DBA-ZRR70G, DBA-ZRR75G</t>
        </is>
      </c>
      <c r="G10" s="13" t="inlineStr">
        <is>
          <t>TO_S108</t>
        </is>
      </c>
      <c r="H10" s="13" t="inlineStr">
        <is>
          <t>70100110045</t>
        </is>
      </c>
      <c r="I10" s="13" t="inlineStr">
        <is>
          <t>noah</t>
        </is>
      </c>
      <c r="J10" s="13" t="inlineStr">
        <is>
          <t>2084016682</t>
        </is>
      </c>
    </row>
    <row r="11">
      <c r="A11" s="8" t="inlineStr">
        <is>
          <t>トヨタ</t>
        </is>
      </c>
      <c r="B11" s="8" t="inlineStr">
        <is>
          <t>ノア</t>
        </is>
      </c>
      <c r="C11" s="8" t="inlineStr">
        <is>
          <t>noah</t>
        </is>
      </c>
      <c r="D11" s="8" t="inlineStr">
        <is>
          <t>80系</t>
        </is>
      </c>
      <c r="E11" s="8" t="inlineStr">
        <is>
          <t>2014/01〜2022/01</t>
        </is>
      </c>
      <c r="F11" s="14" t="inlineStr">
        <is>
          <t>DBA-ZRR80W, DBA-ZRR85W, DBA-ZRR80G, DBA-ZRR85G, DAA-ZWR80W, DAA-ZWR80G, 3BA-ZRR80W, 3BA-ZRR85W, 3BA-ZRR80G, 3BA-ZRR85G, 6AA-ZWR80W, 6AA-ZWR80G</t>
        </is>
      </c>
      <c r="G11" s="8" t="inlineStr">
        <is>
          <t>TO_S108</t>
        </is>
      </c>
      <c r="H11" s="8" t="inlineStr">
        <is>
          <t>70100110045</t>
        </is>
      </c>
      <c r="I11" s="8" t="inlineStr">
        <is>
          <t>noah</t>
        </is>
      </c>
      <c r="J11" s="8" t="inlineStr">
        <is>
          <t>2084016682</t>
        </is>
      </c>
    </row>
    <row r="12">
      <c r="A12" s="13" t="inlineStr">
        <is>
          <t>トヨタ</t>
        </is>
      </c>
      <c r="B12" s="13" t="inlineStr">
        <is>
          <t>ノア</t>
        </is>
      </c>
      <c r="C12" s="13" t="inlineStr">
        <is>
          <t>noah</t>
        </is>
      </c>
      <c r="D12" s="13" t="inlineStr">
        <is>
          <t>90系</t>
        </is>
      </c>
      <c r="E12" s="13" t="inlineStr">
        <is>
          <t>2022/01〜</t>
        </is>
      </c>
      <c r="F12" s="14" t="inlineStr">
        <is>
          <t>6BA-MZRA90W, 6BA-MZRA95W, 6AA-ZWR90W, 6AA-ZWR95W</t>
        </is>
      </c>
      <c r="G12" s="13" t="inlineStr">
        <is>
          <t>TO_S108</t>
        </is>
      </c>
      <c r="H12" s="13" t="inlineStr">
        <is>
          <t>70100110045</t>
        </is>
      </c>
      <c r="I12" s="13" t="inlineStr">
        <is>
          <t>noah</t>
        </is>
      </c>
      <c r="J12" s="13" t="inlineStr">
        <is>
          <t>2084016682</t>
        </is>
      </c>
    </row>
    <row r="13">
      <c r="A13" s="8" t="inlineStr">
        <is>
          <t>トヨタ</t>
        </is>
      </c>
      <c r="B13" s="8" t="inlineStr">
        <is>
          <t>ヴォクシー</t>
        </is>
      </c>
      <c r="C13" s="8" t="inlineStr">
        <is>
          <t>voxy</t>
        </is>
      </c>
      <c r="D13" s="8" t="inlineStr">
        <is>
          <t>70系</t>
        </is>
      </c>
      <c r="E13" s="8" t="inlineStr">
        <is>
          <t>2007/06〜2014/01</t>
        </is>
      </c>
      <c r="F13" s="14" t="inlineStr">
        <is>
          <t>DBA-ZRR70W, DBA-ZRR75W, DBA-ZRR70G, DBA-ZRR75G</t>
        </is>
      </c>
      <c r="G13" s="8" t="inlineStr">
        <is>
          <t>TO_S021</t>
        </is>
      </c>
      <c r="H13" s="8" t="inlineStr">
        <is>
          <t>70100110019</t>
        </is>
      </c>
      <c r="I13" s="8" t="inlineStr">
        <is>
          <t>voxy</t>
        </is>
      </c>
      <c r="J13" s="8" t="inlineStr">
        <is>
          <t>2084049058</t>
        </is>
      </c>
    </row>
    <row r="14">
      <c r="A14" s="13" t="inlineStr">
        <is>
          <t>トヨタ</t>
        </is>
      </c>
      <c r="B14" s="13" t="inlineStr">
        <is>
          <t>ヴォクシー</t>
        </is>
      </c>
      <c r="C14" s="13" t="inlineStr">
        <is>
          <t>voxy</t>
        </is>
      </c>
      <c r="D14" s="13" t="inlineStr">
        <is>
          <t>80系</t>
        </is>
      </c>
      <c r="E14" s="13" t="inlineStr">
        <is>
          <t>2014/01〜2022/01</t>
        </is>
      </c>
      <c r="F14" s="14" t="inlineStr">
        <is>
          <t>DBA-ZRR80W, DBA-ZRR85W, DBA-ZRR80G, DBA-ZRR85G, DAA-ZWR80W, DAA-ZWR80G, 3BA-ZRR80W, 3BA-ZRR85W, 3BA-ZRR80G, 3BA-ZRR85G, 6AA-ZWR80W, 6AA-ZWR80G</t>
        </is>
      </c>
      <c r="G14" s="13" t="inlineStr">
        <is>
          <t>TO_S021</t>
        </is>
      </c>
      <c r="H14" s="13" t="inlineStr">
        <is>
          <t>70100110019</t>
        </is>
      </c>
      <c r="I14" s="13" t="inlineStr">
        <is>
          <t>voxy</t>
        </is>
      </c>
      <c r="J14" s="13" t="inlineStr">
        <is>
          <t>2084049058</t>
        </is>
      </c>
    </row>
    <row r="15">
      <c r="A15" s="8" t="inlineStr">
        <is>
          <t>トヨタ</t>
        </is>
      </c>
      <c r="B15" s="8" t="inlineStr">
        <is>
          <t>ヴォクシー</t>
        </is>
      </c>
      <c r="C15" s="8" t="inlineStr">
        <is>
          <t>voxy</t>
        </is>
      </c>
      <c r="D15" s="8" t="inlineStr">
        <is>
          <t>90系</t>
        </is>
      </c>
      <c r="E15" s="8" t="inlineStr">
        <is>
          <t>2022/01〜</t>
        </is>
      </c>
      <c r="F15" s="14" t="inlineStr">
        <is>
          <t>6BA-MZRA90W, 6BA-MZRA95W, 6AA-ZWR90W, 6AA-ZWR95W</t>
        </is>
      </c>
      <c r="G15" s="8" t="inlineStr">
        <is>
          <t>TO_S021</t>
        </is>
      </c>
      <c r="H15" s="8" t="inlineStr">
        <is>
          <t>70100110019</t>
        </is>
      </c>
      <c r="I15" s="8" t="inlineStr">
        <is>
          <t>voxy</t>
        </is>
      </c>
      <c r="J15" s="8" t="inlineStr">
        <is>
          <t>2084049058</t>
        </is>
      </c>
    </row>
    <row r="16">
      <c r="A16" s="13" t="inlineStr">
        <is>
          <t>トヨタ</t>
        </is>
      </c>
      <c r="B16" s="13" t="inlineStr">
        <is>
          <t>エスクァイア</t>
        </is>
      </c>
      <c r="C16" s="13" t="inlineStr">
        <is>
          <t>esquire</t>
        </is>
      </c>
      <c r="D16" s="13" t="inlineStr">
        <is>
          <t>80系</t>
        </is>
      </c>
      <c r="E16" s="13" t="inlineStr">
        <is>
          <t>2014/10〜2021/12</t>
        </is>
      </c>
      <c r="F16" s="14" t="inlineStr">
        <is>
          <t>DBA-ZRR80G, DBA-ZRR85G, DAA-ZWR80G, 3BA-ZRR80G, 3BA-ZRR85G, 6AA-ZWR80G</t>
        </is>
      </c>
      <c r="G16" s="13" t="inlineStr">
        <is>
          <t>TO_S234</t>
        </is>
      </c>
      <c r="H16" s="13" t="inlineStr"/>
      <c r="I16" s="13" t="inlineStr">
        <is>
          <t>esquire</t>
        </is>
      </c>
      <c r="J16" s="13" t="inlineStr">
        <is>
          <t>2084315387, 2084315388</t>
        </is>
      </c>
    </row>
    <row r="17">
      <c r="A17" s="8" t="inlineStr">
        <is>
          <t>トヨタ</t>
        </is>
      </c>
      <c r="B17" s="8" t="inlineStr">
        <is>
          <t>シエンタ</t>
        </is>
      </c>
      <c r="C17" s="8" t="inlineStr">
        <is>
          <t>sienta</t>
        </is>
      </c>
      <c r="D17" s="8" t="inlineStr">
        <is>
          <t>80系</t>
        </is>
      </c>
      <c r="E17" s="8" t="inlineStr">
        <is>
          <t>2003/09〜2015/06</t>
        </is>
      </c>
      <c r="F17" s="14" t="inlineStr">
        <is>
          <t>DBA-NCP81G, DBA-NCP85G</t>
        </is>
      </c>
      <c r="G17" s="8" t="inlineStr">
        <is>
          <t>TO_S077</t>
        </is>
      </c>
      <c r="H17" s="8" t="inlineStr">
        <is>
          <t>70100110391</t>
        </is>
      </c>
      <c r="I17" s="8" t="inlineStr">
        <is>
          <t>sienta</t>
        </is>
      </c>
      <c r="J17" s="8" t="inlineStr">
        <is>
          <t>2084054059</t>
        </is>
      </c>
    </row>
    <row r="18">
      <c r="A18" s="13" t="inlineStr">
        <is>
          <t>トヨタ</t>
        </is>
      </c>
      <c r="B18" s="13" t="inlineStr">
        <is>
          <t>シエンタ</t>
        </is>
      </c>
      <c r="C18" s="13" t="inlineStr">
        <is>
          <t>sienta</t>
        </is>
      </c>
      <c r="D18" s="13" t="inlineStr">
        <is>
          <t>170系</t>
        </is>
      </c>
      <c r="E18" s="13" t="inlineStr">
        <is>
          <t>2015/07〜2022/08</t>
        </is>
      </c>
      <c r="F18" s="14" t="inlineStr">
        <is>
          <t>DBA-NSP170G, DBA-NSP172G, DBA-NCP175G, DAA-NHP170G, 5BA-NSP170G, 5BA-NSP172G, 6AA-NHP170G</t>
        </is>
      </c>
      <c r="G18" s="13" t="inlineStr">
        <is>
          <t>TO_S077</t>
        </is>
      </c>
      <c r="H18" s="13" t="inlineStr">
        <is>
          <t>70100110391</t>
        </is>
      </c>
      <c r="I18" s="13" t="inlineStr">
        <is>
          <t>sienta</t>
        </is>
      </c>
      <c r="J18" s="13" t="inlineStr">
        <is>
          <t>2084054059</t>
        </is>
      </c>
    </row>
    <row r="19">
      <c r="A19" s="8" t="inlineStr">
        <is>
          <t>トヨタ</t>
        </is>
      </c>
      <c r="B19" s="8" t="inlineStr">
        <is>
          <t>シエンタ</t>
        </is>
      </c>
      <c r="C19" s="8" t="inlineStr">
        <is>
          <t>sienta</t>
        </is>
      </c>
      <c r="D19" s="8" t="inlineStr">
        <is>
          <t>10系</t>
        </is>
      </c>
      <c r="E19" s="8" t="inlineStr">
        <is>
          <t>2022/08〜</t>
        </is>
      </c>
      <c r="F19" s="14" t="inlineStr">
        <is>
          <t>5BA-MXPC10G, 5BA-MXPC15G, 6AA-MXPL10G, 6AA-MXPL15G</t>
        </is>
      </c>
      <c r="G19" s="8" t="inlineStr">
        <is>
          <t>TO_S077</t>
        </is>
      </c>
      <c r="H19" s="8" t="inlineStr">
        <is>
          <t>70100110391</t>
        </is>
      </c>
      <c r="I19" s="8" t="inlineStr">
        <is>
          <t>sienta</t>
        </is>
      </c>
      <c r="J19" s="8" t="inlineStr">
        <is>
          <t>2084054059</t>
        </is>
      </c>
    </row>
    <row r="20">
      <c r="A20" s="13" t="inlineStr">
        <is>
          <t>トヨタ</t>
        </is>
      </c>
      <c r="B20" s="13" t="inlineStr">
        <is>
          <t>エスティマ</t>
        </is>
      </c>
      <c r="C20" s="13" t="inlineStr">
        <is>
          <t>estima</t>
        </is>
      </c>
      <c r="D20" s="13" t="inlineStr">
        <is>
          <t>50系</t>
        </is>
      </c>
      <c r="E20" s="13" t="inlineStr">
        <is>
          <t>2006/01〜2019/10</t>
        </is>
      </c>
      <c r="F20" s="14" t="inlineStr">
        <is>
          <t>DBA-ACR50W, DBA-ACR55W, DBA-GSR50W, DBA-GSR55W, DAA-AHR20W</t>
        </is>
      </c>
      <c r="G20" s="13" t="inlineStr">
        <is>
          <t>TO_S023, TO_S024</t>
        </is>
      </c>
      <c r="H20" s="13" t="inlineStr">
        <is>
          <t>70100110021</t>
        </is>
      </c>
      <c r="I20" s="13" t="inlineStr">
        <is>
          <t>estima</t>
        </is>
      </c>
      <c r="J20" s="13" t="inlineStr">
        <is>
          <t>2084016637, 2084231230</t>
        </is>
      </c>
    </row>
    <row r="21">
      <c r="A21" s="8" t="inlineStr">
        <is>
          <t>トヨタ</t>
        </is>
      </c>
      <c r="B21" s="8" t="inlineStr">
        <is>
          <t>ウィッシュ</t>
        </is>
      </c>
      <c r="C21" s="8" t="inlineStr">
        <is>
          <t>wish</t>
        </is>
      </c>
      <c r="D21" s="8" t="inlineStr">
        <is>
          <t>20系</t>
        </is>
      </c>
      <c r="E21" s="8" t="inlineStr">
        <is>
          <t>2009/04〜2017/10</t>
        </is>
      </c>
      <c r="F21" s="14" t="inlineStr">
        <is>
          <t>DBA-ZGE20W, DBA-ZGE20G, DBA-ZGE21G, DBA-ZGE22W, DBA-ZGE25W, DBA-ZGE25G</t>
        </is>
      </c>
      <c r="G21" s="8" t="inlineStr">
        <is>
          <t>TO_S014</t>
        </is>
      </c>
      <c r="H21" s="8" t="inlineStr">
        <is>
          <t>70100110323</t>
        </is>
      </c>
      <c r="I21" s="8" t="inlineStr">
        <is>
          <t>wish</t>
        </is>
      </c>
      <c r="J21" s="8" t="inlineStr">
        <is>
          <t>2084051733</t>
        </is>
      </c>
    </row>
    <row r="22">
      <c r="A22" s="13" t="inlineStr">
        <is>
          <t>トヨタ</t>
        </is>
      </c>
      <c r="B22" s="13" t="inlineStr">
        <is>
          <t>プリウスα</t>
        </is>
      </c>
      <c r="C22" s="13" t="inlineStr">
        <is>
          <t>prius_alpha</t>
        </is>
      </c>
      <c r="D22" s="13" t="inlineStr">
        <is>
          <t>40系</t>
        </is>
      </c>
      <c r="E22" s="13" t="inlineStr">
        <is>
          <t>2011/05〜2021/03</t>
        </is>
      </c>
      <c r="F22" s="14" t="inlineStr">
        <is>
          <t>DAA-ZVW40W, DAA-ZVW41W</t>
        </is>
      </c>
      <c r="G22" s="13" t="inlineStr">
        <is>
          <t>TO_S220</t>
        </is>
      </c>
      <c r="H22" s="13" t="inlineStr"/>
      <c r="I22" s="13" t="inlineStr">
        <is>
          <t>prius_alpha</t>
        </is>
      </c>
      <c r="J22" s="13" t="inlineStr">
        <is>
          <t>2084299524</t>
        </is>
      </c>
    </row>
    <row r="23">
      <c r="A23" s="8" t="inlineStr">
        <is>
          <t>トヨタ</t>
        </is>
      </c>
      <c r="B23" s="8" t="inlineStr">
        <is>
          <t>アイシス</t>
        </is>
      </c>
      <c r="C23" s="8" t="inlineStr">
        <is>
          <t>isis</t>
        </is>
      </c>
      <c r="D23" s="8" t="inlineStr">
        <is>
          <t>10系</t>
        </is>
      </c>
      <c r="E23" s="8" t="inlineStr">
        <is>
          <t>2004/09〜2017/12</t>
        </is>
      </c>
      <c r="F23" s="14" t="inlineStr">
        <is>
          <t>DBA-ZGM10W, DBA-ZGM10G, DBA-ZGM11W, DBA-ZGM15W, DBA-ZGM15G, DBA-ANM10W, DBA-ANM10G, DBA-ANM15W, DBA-ANM15G</t>
        </is>
      </c>
      <c r="G23" s="8" t="inlineStr">
        <is>
          <t>TO_S001</t>
        </is>
      </c>
      <c r="H23" s="8" t="inlineStr">
        <is>
          <t>70100110472</t>
        </is>
      </c>
      <c r="I23" s="8" t="inlineStr">
        <is>
          <t>isis</t>
        </is>
      </c>
      <c r="J23" s="8" t="inlineStr">
        <is>
          <t>2084058459</t>
        </is>
      </c>
    </row>
    <row r="24">
      <c r="A24" s="13" t="inlineStr">
        <is>
          <t>トヨタ</t>
        </is>
      </c>
      <c r="B24" s="13" t="inlineStr">
        <is>
          <t>グランエース</t>
        </is>
      </c>
      <c r="C24" s="13" t="inlineStr">
        <is>
          <t>granace</t>
        </is>
      </c>
      <c r="D24" s="13" t="inlineStr">
        <is>
          <t>300系</t>
        </is>
      </c>
      <c r="E24" s="13" t="inlineStr">
        <is>
          <t>2019/12〜2024/06</t>
        </is>
      </c>
      <c r="F24" s="14" t="inlineStr">
        <is>
          <t>3DA-GDH303W</t>
        </is>
      </c>
      <c r="G24" s="13" t="inlineStr">
        <is>
          <t>TO_S248</t>
        </is>
      </c>
      <c r="H24" s="13" t="inlineStr"/>
      <c r="I24" s="13" t="inlineStr">
        <is>
          <t>granace</t>
        </is>
      </c>
      <c r="J24" s="13" t="inlineStr"/>
    </row>
  </sheetData>
  <autoFilter ref="A1:J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11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22"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18" customWidth="1" min="12" max="12"/>
    <col width="24" customWidth="1" min="13" max="13"/>
    <col width="24" customWidth="1" min="14" max="14"/>
    <col width="22" customWidth="1" min="15" max="15"/>
    <col width="24" customWidth="1" min="16" max="16"/>
    <col width="24" customWidth="1" min="17" max="17"/>
    <col width="24" customWidth="1" min="18" max="18"/>
  </cols>
  <sheetData>
    <row r="1" ht="32" customHeight="1">
      <c r="A1" s="7" t="inlineStr">
        <is>
          <t>車種</t>
        </is>
      </c>
      <c r="B1" s="7" t="inlineStr">
        <is>
          <t>世代</t>
        </is>
      </c>
      <c r="C1" s="7" t="inlineStr">
        <is>
          <t>年式</t>
        </is>
      </c>
      <c r="D1" s="7" t="inlineStr">
        <is>
          <t>ヤフオク
落札件数</t>
        </is>
      </c>
      <c r="E1" s="7" t="inlineStr">
        <is>
          <t>ヤフオク
最安(万円)</t>
        </is>
      </c>
      <c r="F1" s="7" t="inlineStr">
        <is>
          <t>ヤフオク
25%(万円)</t>
        </is>
      </c>
      <c r="G1" s="7" t="inlineStr">
        <is>
          <t>ヤフオク
中央値(万円)</t>
        </is>
      </c>
      <c r="H1" s="7" t="inlineStr">
        <is>
          <t>ヤフオク
平均(万円)</t>
        </is>
      </c>
      <c r="I1" s="7" t="inlineStr">
        <is>
          <t>ヤフオク
75%(万円)</t>
        </is>
      </c>
      <c r="J1" s="7" t="inlineStr">
        <is>
          <t>ヤフオク
最高(万円)</t>
        </is>
      </c>
      <c r="K1" s="7" t="inlineStr">
        <is>
          <t>落札車の
中央走行距離(km)</t>
        </is>
      </c>
      <c r="L1" s="7" t="inlineStr">
        <is>
          <t>小売
掲載台数</t>
        </is>
      </c>
      <c r="M1" s="7" t="inlineStr">
        <is>
          <t>小売
25%(万円)</t>
        </is>
      </c>
      <c r="N1" s="7" t="inlineStr">
        <is>
          <t>小売
中央値(万円)</t>
        </is>
      </c>
      <c r="O1" s="7" t="inlineStr">
        <is>
          <t>小売
平均(万円)</t>
        </is>
      </c>
      <c r="P1" s="7" t="inlineStr">
        <is>
          <t>小売
75%(万円)</t>
        </is>
      </c>
      <c r="Q1" s="7" t="inlineStr">
        <is>
          <t>小売−落札
(万円)</t>
        </is>
      </c>
      <c r="R1" s="7" t="inlineStr">
        <is>
          <t>小売プレミアム
(%)</t>
        </is>
      </c>
    </row>
    <row r="2">
      <c r="A2" s="13" t="inlineStr">
        <is>
          <t>アルファード</t>
        </is>
      </c>
      <c r="B2" s="13" t="inlineStr">
        <is>
          <t>20系</t>
        </is>
      </c>
      <c r="C2" s="13" t="n">
        <v>2013</v>
      </c>
      <c r="D2" s="15" t="n">
        <v>5</v>
      </c>
      <c r="E2" s="16" t="n">
        <v>59.8</v>
      </c>
      <c r="F2" s="16" t="n">
        <v>60.4</v>
      </c>
      <c r="G2" s="16" t="n">
        <v>62.5</v>
      </c>
      <c r="H2" s="16" t="n">
        <v>67.5</v>
      </c>
      <c r="I2" s="16" t="n">
        <v>74.8</v>
      </c>
      <c r="J2" s="16" t="n">
        <v>80.2</v>
      </c>
      <c r="K2" s="15" t="n">
        <v>128000</v>
      </c>
      <c r="L2" s="15" t="n">
        <v>172</v>
      </c>
      <c r="M2" s="16" t="n">
        <v>95</v>
      </c>
      <c r="N2" s="16" t="n">
        <v>120.8</v>
      </c>
      <c r="O2" s="16" t="n">
        <v>122.6</v>
      </c>
      <c r="P2" s="16" t="n">
        <v>150</v>
      </c>
      <c r="Q2" s="16" t="n">
        <v>58.3</v>
      </c>
      <c r="R2" s="17" t="n">
        <v>93.3</v>
      </c>
    </row>
    <row r="3">
      <c r="A3" s="8" t="inlineStr">
        <is>
          <t>アルファード</t>
        </is>
      </c>
      <c r="B3" s="8" t="inlineStr">
        <is>
          <t>20系</t>
        </is>
      </c>
      <c r="C3" s="8" t="n">
        <v>2014</v>
      </c>
      <c r="D3" s="11" t="n">
        <v>2</v>
      </c>
      <c r="E3" s="10" t="n">
        <v>64.09999999999999</v>
      </c>
      <c r="F3" s="10" t="n">
        <v>65.59999999999999</v>
      </c>
      <c r="G3" s="10" t="n">
        <v>67</v>
      </c>
      <c r="H3" s="10" t="n">
        <v>67</v>
      </c>
      <c r="I3" s="10" t="n">
        <v>68.5</v>
      </c>
      <c r="J3" s="10" t="n">
        <v>70</v>
      </c>
      <c r="K3" s="11" t="n">
        <v>190000</v>
      </c>
      <c r="L3" s="11" t="n">
        <v>125</v>
      </c>
      <c r="M3" s="10" t="n">
        <v>100.4</v>
      </c>
      <c r="N3" s="10" t="n">
        <v>128.8</v>
      </c>
      <c r="O3" s="10" t="n">
        <v>130.8</v>
      </c>
      <c r="P3" s="10" t="n">
        <v>158.7</v>
      </c>
      <c r="Q3" s="10" t="n">
        <v>61.8</v>
      </c>
      <c r="R3" s="9" t="n">
        <v>92.2</v>
      </c>
    </row>
    <row r="4">
      <c r="A4" s="13" t="inlineStr">
        <is>
          <t>アルファード</t>
        </is>
      </c>
      <c r="B4" s="13" t="inlineStr">
        <is>
          <t>30系前期</t>
        </is>
      </c>
      <c r="C4" s="13" t="n">
        <v>2015</v>
      </c>
      <c r="D4" s="15" t="n">
        <v>4</v>
      </c>
      <c r="E4" s="16" t="n">
        <v>128</v>
      </c>
      <c r="F4" s="16" t="n">
        <v>133.2</v>
      </c>
      <c r="G4" s="16" t="n">
        <v>147.1</v>
      </c>
      <c r="H4" s="16" t="n">
        <v>146.7</v>
      </c>
      <c r="I4" s="16" t="n">
        <v>160.5</v>
      </c>
      <c r="J4" s="16" t="n">
        <v>164.8</v>
      </c>
      <c r="K4" s="15" t="n">
        <v>155000</v>
      </c>
      <c r="L4" s="15" t="n">
        <v>297</v>
      </c>
      <c r="M4" s="16" t="n">
        <v>187.9</v>
      </c>
      <c r="N4" s="16" t="n">
        <v>226.3</v>
      </c>
      <c r="O4" s="16" t="n">
        <v>226.9</v>
      </c>
      <c r="P4" s="16" t="n">
        <v>261.9</v>
      </c>
      <c r="Q4" s="16" t="n">
        <v>79.2</v>
      </c>
      <c r="R4" s="17" t="n">
        <v>53.8</v>
      </c>
    </row>
    <row r="5">
      <c r="A5" s="8" t="inlineStr">
        <is>
          <t>アルファード</t>
        </is>
      </c>
      <c r="B5" s="8" t="inlineStr">
        <is>
          <t>30系前期</t>
        </is>
      </c>
      <c r="C5" s="8" t="n">
        <v>2016</v>
      </c>
      <c r="D5" s="11" t="n">
        <v>2</v>
      </c>
      <c r="E5" s="10" t="n">
        <v>139.5</v>
      </c>
      <c r="F5" s="10" t="n">
        <v>179.2</v>
      </c>
      <c r="G5" s="10" t="n">
        <v>218.8</v>
      </c>
      <c r="H5" s="10" t="n">
        <v>218.8</v>
      </c>
      <c r="I5" s="10" t="n">
        <v>258.5</v>
      </c>
      <c r="J5" s="10" t="n">
        <v>298.1</v>
      </c>
      <c r="K5" s="11" t="n">
        <v>148000</v>
      </c>
      <c r="L5" s="11" t="n">
        <v>251</v>
      </c>
      <c r="M5" s="10" t="n">
        <v>211.1</v>
      </c>
      <c r="N5" s="10" t="n">
        <v>243.5</v>
      </c>
      <c r="O5" s="10" t="n">
        <v>260.3</v>
      </c>
      <c r="P5" s="10" t="n">
        <v>280.7</v>
      </c>
      <c r="Q5" s="10" t="n">
        <v>24.7</v>
      </c>
      <c r="R5" s="9" t="n">
        <v>11.3</v>
      </c>
    </row>
    <row r="6">
      <c r="A6" s="13" t="inlineStr">
        <is>
          <t>アルファード</t>
        </is>
      </c>
      <c r="B6" s="13" t="inlineStr">
        <is>
          <t>30系前期</t>
        </is>
      </c>
      <c r="C6" s="13" t="n">
        <v>2017</v>
      </c>
      <c r="D6" s="15" t="n">
        <v>5</v>
      </c>
      <c r="E6" s="16" t="n">
        <v>133</v>
      </c>
      <c r="F6" s="16" t="n">
        <v>133</v>
      </c>
      <c r="G6" s="16" t="n">
        <v>150</v>
      </c>
      <c r="H6" s="16" t="n">
        <v>205</v>
      </c>
      <c r="I6" s="16" t="n">
        <v>261.2</v>
      </c>
      <c r="J6" s="16" t="n">
        <v>348</v>
      </c>
      <c r="K6" s="15" t="n">
        <v>138000</v>
      </c>
      <c r="L6" s="15" t="n">
        <v>313</v>
      </c>
      <c r="M6" s="16" t="n">
        <v>218.3</v>
      </c>
      <c r="N6" s="16" t="n">
        <v>253</v>
      </c>
      <c r="O6" s="16" t="n">
        <v>269.2</v>
      </c>
      <c r="P6" s="16" t="n">
        <v>286</v>
      </c>
      <c r="Q6" s="16" t="n">
        <v>103</v>
      </c>
      <c r="R6" s="17" t="n">
        <v>68.7</v>
      </c>
    </row>
    <row r="7">
      <c r="A7" s="8" t="inlineStr">
        <is>
          <t>アルファード</t>
        </is>
      </c>
      <c r="B7" s="8" t="inlineStr">
        <is>
          <t>30系後期</t>
        </is>
      </c>
      <c r="C7" s="8" t="n">
        <v>2018</v>
      </c>
      <c r="D7" s="11" t="n">
        <v>6</v>
      </c>
      <c r="E7" s="10" t="n">
        <v>217.4</v>
      </c>
      <c r="F7" s="10" t="n">
        <v>270.9</v>
      </c>
      <c r="G7" s="10" t="n">
        <v>286.6</v>
      </c>
      <c r="H7" s="10" t="n">
        <v>308.7</v>
      </c>
      <c r="I7" s="10" t="n">
        <v>316.4</v>
      </c>
      <c r="J7" s="10" t="n">
        <v>470</v>
      </c>
      <c r="K7" s="11" t="n">
        <v>110848</v>
      </c>
      <c r="L7" s="11" t="n">
        <v>425</v>
      </c>
      <c r="M7" s="10" t="n">
        <v>286.7</v>
      </c>
      <c r="N7" s="10" t="n">
        <v>339</v>
      </c>
      <c r="O7" s="10" t="n">
        <v>343.8</v>
      </c>
      <c r="P7" s="10" t="n">
        <v>388.1</v>
      </c>
      <c r="Q7" s="10" t="n">
        <v>52.4</v>
      </c>
      <c r="R7" s="9" t="n">
        <v>18.3</v>
      </c>
    </row>
    <row r="8">
      <c r="A8" s="13" t="inlineStr">
        <is>
          <t>アルファード</t>
        </is>
      </c>
      <c r="B8" s="13" t="inlineStr">
        <is>
          <t>30系後期</t>
        </is>
      </c>
      <c r="C8" s="13" t="n">
        <v>2019</v>
      </c>
      <c r="D8" s="15" t="n">
        <v>3</v>
      </c>
      <c r="E8" s="16" t="n">
        <v>250.2</v>
      </c>
      <c r="F8" s="16" t="n">
        <v>266.1</v>
      </c>
      <c r="G8" s="16" t="n">
        <v>282.1</v>
      </c>
      <c r="H8" s="16" t="n">
        <v>277.5</v>
      </c>
      <c r="I8" s="16" t="n">
        <v>291.2</v>
      </c>
      <c r="J8" s="16" t="n">
        <v>300.3</v>
      </c>
      <c r="K8" s="15" t="n">
        <v>88300</v>
      </c>
      <c r="L8" s="15" t="n">
        <v>502</v>
      </c>
      <c r="M8" s="16" t="n">
        <v>318.2</v>
      </c>
      <c r="N8" s="16" t="n">
        <v>365.6</v>
      </c>
      <c r="O8" s="16" t="n">
        <v>369.2</v>
      </c>
      <c r="P8" s="16" t="n">
        <v>407.5</v>
      </c>
      <c r="Q8" s="16" t="n">
        <v>83.5</v>
      </c>
      <c r="R8" s="17" t="n">
        <v>29.6</v>
      </c>
    </row>
    <row r="9">
      <c r="A9" s="8" t="inlineStr">
        <is>
          <t>アルファード</t>
        </is>
      </c>
      <c r="B9" s="8" t="inlineStr">
        <is>
          <t>30系後期</t>
        </is>
      </c>
      <c r="C9" s="8" t="n">
        <v>2020</v>
      </c>
      <c r="D9" s="11" t="n">
        <v>7</v>
      </c>
      <c r="E9" s="10" t="n">
        <v>200.3</v>
      </c>
      <c r="F9" s="10" t="n">
        <v>232.7</v>
      </c>
      <c r="G9" s="10" t="n">
        <v>246</v>
      </c>
      <c r="H9" s="10" t="n">
        <v>258.9</v>
      </c>
      <c r="I9" s="10" t="n">
        <v>267.8</v>
      </c>
      <c r="J9" s="10" t="n">
        <v>365</v>
      </c>
      <c r="K9" s="11" t="n">
        <v>97400</v>
      </c>
      <c r="L9" s="11" t="n">
        <v>710</v>
      </c>
      <c r="M9" s="10" t="n">
        <v>330.5</v>
      </c>
      <c r="N9" s="10" t="n">
        <v>370.4</v>
      </c>
      <c r="O9" s="10" t="n">
        <v>370.3</v>
      </c>
      <c r="P9" s="10" t="n">
        <v>411.5</v>
      </c>
      <c r="Q9" s="10" t="n">
        <v>124.4</v>
      </c>
      <c r="R9" s="9" t="n">
        <v>50.6</v>
      </c>
    </row>
    <row r="10">
      <c r="A10" s="13" t="inlineStr">
        <is>
          <t>アルファード</t>
        </is>
      </c>
      <c r="B10" s="13" t="inlineStr">
        <is>
          <t>30系後期</t>
        </is>
      </c>
      <c r="C10" s="13" t="n">
        <v>2021</v>
      </c>
      <c r="D10" s="15" t="n"/>
      <c r="E10" s="16" t="n"/>
      <c r="F10" s="16" t="n"/>
      <c r="G10" s="16" t="n"/>
      <c r="H10" s="16" t="n"/>
      <c r="I10" s="16" t="n"/>
      <c r="J10" s="16" t="n"/>
      <c r="K10" s="15" t="n"/>
      <c r="L10" s="15" t="n">
        <v>1288</v>
      </c>
      <c r="M10" s="16" t="n">
        <v>351.2</v>
      </c>
      <c r="N10" s="16" t="n">
        <v>388.5</v>
      </c>
      <c r="O10" s="16" t="n">
        <v>390.6</v>
      </c>
      <c r="P10" s="16" t="n">
        <v>427.7</v>
      </c>
      <c r="Q10" s="16" t="n"/>
      <c r="R10" s="17" t="n"/>
    </row>
    <row r="11">
      <c r="A11" s="8" t="inlineStr">
        <is>
          <t>アルファード</t>
        </is>
      </c>
      <c r="B11" s="8" t="inlineStr">
        <is>
          <t>30系後期</t>
        </is>
      </c>
      <c r="C11" s="8" t="n">
        <v>2022</v>
      </c>
      <c r="D11" s="11" t="n">
        <v>1</v>
      </c>
      <c r="E11" s="10" t="n">
        <v>468</v>
      </c>
      <c r="F11" s="10" t="n">
        <v>468</v>
      </c>
      <c r="G11" s="10" t="n">
        <v>468</v>
      </c>
      <c r="H11" s="10" t="n">
        <v>468</v>
      </c>
      <c r="I11" s="10" t="n">
        <v>468</v>
      </c>
      <c r="J11" s="10" t="n">
        <v>468</v>
      </c>
      <c r="K11" s="11" t="n">
        <v>21000</v>
      </c>
      <c r="L11" s="11" t="n">
        <v>584</v>
      </c>
      <c r="M11" s="10" t="n">
        <v>396.3</v>
      </c>
      <c r="N11" s="10" t="n">
        <v>441.7</v>
      </c>
      <c r="O11" s="10" t="n">
        <v>434.8</v>
      </c>
      <c r="P11" s="10" t="n">
        <v>474.8</v>
      </c>
      <c r="Q11" s="10" t="n">
        <v>-26.3</v>
      </c>
      <c r="R11" s="9" t="n">
        <v>-5.6</v>
      </c>
    </row>
    <row r="12">
      <c r="A12" s="13" t="inlineStr">
        <is>
          <t>アルファード</t>
        </is>
      </c>
      <c r="B12" s="13" t="inlineStr">
        <is>
          <t>40系</t>
        </is>
      </c>
      <c r="C12" s="13" t="n">
        <v>2023</v>
      </c>
      <c r="D12" s="15" t="n">
        <v>2</v>
      </c>
      <c r="E12" s="16" t="n">
        <v>522.9</v>
      </c>
      <c r="F12" s="16" t="n">
        <v>577.2</v>
      </c>
      <c r="G12" s="16" t="n">
        <v>631.5</v>
      </c>
      <c r="H12" s="16" t="n">
        <v>631.5</v>
      </c>
      <c r="I12" s="16" t="n">
        <v>685.7</v>
      </c>
      <c r="J12" s="16" t="n">
        <v>740</v>
      </c>
      <c r="K12" s="15" t="n">
        <v>48000</v>
      </c>
      <c r="L12" s="15" t="n">
        <v>804</v>
      </c>
      <c r="M12" s="16" t="n">
        <v>513.6</v>
      </c>
      <c r="N12" s="16" t="n">
        <v>572.9</v>
      </c>
      <c r="O12" s="16" t="n">
        <v>573</v>
      </c>
      <c r="P12" s="16" t="n">
        <v>619.8</v>
      </c>
      <c r="Q12" s="16" t="n">
        <v>-58.6</v>
      </c>
      <c r="R12" s="17" t="n">
        <v>-9.300000000000001</v>
      </c>
    </row>
    <row r="13">
      <c r="A13" s="8" t="inlineStr">
        <is>
          <t>アルファード</t>
        </is>
      </c>
      <c r="B13" s="8" t="inlineStr">
        <is>
          <t>40系</t>
        </is>
      </c>
      <c r="C13" s="8" t="n">
        <v>2024</v>
      </c>
      <c r="D13" s="11" t="n">
        <v>2</v>
      </c>
      <c r="E13" s="10" t="n">
        <v>500.1</v>
      </c>
      <c r="F13" s="10" t="n">
        <v>502.1</v>
      </c>
      <c r="G13" s="10" t="n">
        <v>504.1</v>
      </c>
      <c r="H13" s="10" t="n">
        <v>504.1</v>
      </c>
      <c r="I13" s="10" t="n">
        <v>506</v>
      </c>
      <c r="J13" s="10" t="n">
        <v>508</v>
      </c>
      <c r="K13" s="11" t="n">
        <v>55300</v>
      </c>
      <c r="L13" s="11" t="n">
        <v>818</v>
      </c>
      <c r="M13" s="10" t="n">
        <v>585.3</v>
      </c>
      <c r="N13" s="10" t="n">
        <v>617.2</v>
      </c>
      <c r="O13" s="10" t="n">
        <v>633.2</v>
      </c>
      <c r="P13" s="10" t="n">
        <v>654.9</v>
      </c>
      <c r="Q13" s="10" t="n">
        <v>113.1</v>
      </c>
      <c r="R13" s="9" t="n">
        <v>22.4</v>
      </c>
    </row>
    <row r="14">
      <c r="A14" s="13" t="inlineStr">
        <is>
          <t>アルファード</t>
        </is>
      </c>
      <c r="B14" s="13" t="inlineStr">
        <is>
          <t>40系</t>
        </is>
      </c>
      <c r="C14" s="13" t="n">
        <v>2025</v>
      </c>
      <c r="D14" s="15" t="n">
        <v>4</v>
      </c>
      <c r="E14" s="16" t="n">
        <v>500.1</v>
      </c>
      <c r="F14" s="16" t="n">
        <v>533.8</v>
      </c>
      <c r="G14" s="16" t="n">
        <v>657.6</v>
      </c>
      <c r="H14" s="16" t="n">
        <v>651.3</v>
      </c>
      <c r="I14" s="16" t="n">
        <v>775.2</v>
      </c>
      <c r="J14" s="16" t="n">
        <v>789.8</v>
      </c>
      <c r="K14" s="15" t="n">
        <v>15000</v>
      </c>
      <c r="L14" s="15" t="n">
        <v>649</v>
      </c>
      <c r="M14" s="16" t="n">
        <v>597.2</v>
      </c>
      <c r="N14" s="16" t="n">
        <v>639.4</v>
      </c>
      <c r="O14" s="16" t="n">
        <v>653.4</v>
      </c>
      <c r="P14" s="16" t="n">
        <v>691.5</v>
      </c>
      <c r="Q14" s="16" t="n">
        <v>-18.2</v>
      </c>
      <c r="R14" s="17" t="n">
        <v>-2.8</v>
      </c>
    </row>
    <row r="15">
      <c r="A15" s="8" t="inlineStr">
        <is>
          <t>アルファード</t>
        </is>
      </c>
      <c r="B15" s="8" t="inlineStr">
        <is>
          <t>40系</t>
        </is>
      </c>
      <c r="C15" s="8" t="n">
        <v>2026</v>
      </c>
      <c r="D15" s="11" t="n"/>
      <c r="E15" s="10" t="n"/>
      <c r="F15" s="10" t="n"/>
      <c r="G15" s="10" t="n"/>
      <c r="H15" s="10" t="n"/>
      <c r="I15" s="10" t="n"/>
      <c r="J15" s="10" t="n"/>
      <c r="K15" s="11" t="n"/>
      <c r="L15" s="11" t="n">
        <v>270</v>
      </c>
      <c r="M15" s="10" t="n">
        <v>631.7</v>
      </c>
      <c r="N15" s="10" t="n">
        <v>688.6</v>
      </c>
      <c r="O15" s="10" t="n">
        <v>687.7</v>
      </c>
      <c r="P15" s="10" t="n">
        <v>747.5</v>
      </c>
      <c r="Q15" s="10" t="n"/>
      <c r="R15" s="9" t="n"/>
    </row>
    <row r="16">
      <c r="A16" s="13" t="inlineStr">
        <is>
          <t>ヴェルファイア</t>
        </is>
      </c>
      <c r="B16" s="13" t="inlineStr">
        <is>
          <t>20系</t>
        </is>
      </c>
      <c r="C16" s="13" t="n">
        <v>2013</v>
      </c>
      <c r="D16" s="15" t="n">
        <v>10</v>
      </c>
      <c r="E16" s="16" t="n">
        <v>32.1</v>
      </c>
      <c r="F16" s="16" t="n">
        <v>43.5</v>
      </c>
      <c r="G16" s="16" t="n">
        <v>47.5</v>
      </c>
      <c r="H16" s="16" t="n">
        <v>50.7</v>
      </c>
      <c r="I16" s="16" t="n">
        <v>56.1</v>
      </c>
      <c r="J16" s="16" t="n">
        <v>79.8</v>
      </c>
      <c r="K16" s="15" t="n">
        <v>154000</v>
      </c>
      <c r="L16" s="15" t="n">
        <v>244</v>
      </c>
      <c r="M16" s="16" t="n">
        <v>85.2</v>
      </c>
      <c r="N16" s="16" t="n">
        <v>109.2</v>
      </c>
      <c r="O16" s="16" t="n">
        <v>113.3</v>
      </c>
      <c r="P16" s="16" t="n">
        <v>138.8</v>
      </c>
      <c r="Q16" s="16" t="n">
        <v>61.7</v>
      </c>
      <c r="R16" s="17" t="n">
        <v>129.9</v>
      </c>
    </row>
    <row r="17">
      <c r="A17" s="8" t="inlineStr">
        <is>
          <t>ヴェルファイア</t>
        </is>
      </c>
      <c r="B17" s="8" t="inlineStr">
        <is>
          <t>20系</t>
        </is>
      </c>
      <c r="C17" s="8" t="n">
        <v>2014</v>
      </c>
      <c r="D17" s="11" t="n">
        <v>2</v>
      </c>
      <c r="E17" s="10" t="n">
        <v>64.09999999999999</v>
      </c>
      <c r="F17" s="10" t="n">
        <v>68.09999999999999</v>
      </c>
      <c r="G17" s="10" t="n">
        <v>72</v>
      </c>
      <c r="H17" s="10" t="n">
        <v>72</v>
      </c>
      <c r="I17" s="10" t="n">
        <v>76</v>
      </c>
      <c r="J17" s="10" t="n">
        <v>80</v>
      </c>
      <c r="K17" s="11" t="n">
        <v>159600</v>
      </c>
      <c r="L17" s="11" t="n">
        <v>151</v>
      </c>
      <c r="M17" s="10" t="n">
        <v>97.3</v>
      </c>
      <c r="N17" s="10" t="n">
        <v>125</v>
      </c>
      <c r="O17" s="10" t="n">
        <v>125.6</v>
      </c>
      <c r="P17" s="10" t="n">
        <v>146.2</v>
      </c>
      <c r="Q17" s="10" t="n">
        <v>53</v>
      </c>
      <c r="R17" s="9" t="n">
        <v>73.59999999999999</v>
      </c>
    </row>
    <row r="18">
      <c r="A18" s="13" t="inlineStr">
        <is>
          <t>ヴェルファイア</t>
        </is>
      </c>
      <c r="B18" s="13" t="inlineStr">
        <is>
          <t>30系前期</t>
        </is>
      </c>
      <c r="C18" s="13" t="n">
        <v>2015</v>
      </c>
      <c r="D18" s="15" t="n">
        <v>8</v>
      </c>
      <c r="E18" s="16" t="n">
        <v>86.09999999999999</v>
      </c>
      <c r="F18" s="16" t="n">
        <v>117.4</v>
      </c>
      <c r="G18" s="16" t="n">
        <v>147.9</v>
      </c>
      <c r="H18" s="16" t="n">
        <v>150.6</v>
      </c>
      <c r="I18" s="16" t="n">
        <v>170.9</v>
      </c>
      <c r="J18" s="16" t="n">
        <v>258</v>
      </c>
      <c r="K18" s="15" t="n">
        <v>166225</v>
      </c>
      <c r="L18" s="15" t="n">
        <v>409</v>
      </c>
      <c r="M18" s="16" t="n">
        <v>179.4</v>
      </c>
      <c r="N18" s="16" t="n">
        <v>215.9</v>
      </c>
      <c r="O18" s="16" t="n">
        <v>221.3</v>
      </c>
      <c r="P18" s="16" t="n">
        <v>251.8</v>
      </c>
      <c r="Q18" s="16" t="n">
        <v>68</v>
      </c>
      <c r="R18" s="17" t="n">
        <v>46</v>
      </c>
    </row>
    <row r="19">
      <c r="A19" s="8" t="inlineStr">
        <is>
          <t>ヴェルファイア</t>
        </is>
      </c>
      <c r="B19" s="8" t="inlineStr">
        <is>
          <t>30系前期</t>
        </is>
      </c>
      <c r="C19" s="8" t="n">
        <v>2016</v>
      </c>
      <c r="D19" s="11" t="n">
        <v>6</v>
      </c>
      <c r="E19" s="10" t="n">
        <v>99.90000000000001</v>
      </c>
      <c r="F19" s="10" t="n">
        <v>108.8</v>
      </c>
      <c r="G19" s="10" t="n">
        <v>140.1</v>
      </c>
      <c r="H19" s="10" t="n">
        <v>137.6</v>
      </c>
      <c r="I19" s="10" t="n">
        <v>149</v>
      </c>
      <c r="J19" s="10" t="n">
        <v>195</v>
      </c>
      <c r="K19" s="11" t="n">
        <v>150000</v>
      </c>
      <c r="L19" s="11" t="n">
        <v>349</v>
      </c>
      <c r="M19" s="10" t="n">
        <v>197.6</v>
      </c>
      <c r="N19" s="10" t="n">
        <v>230.2</v>
      </c>
      <c r="O19" s="10" t="n">
        <v>235.2</v>
      </c>
      <c r="P19" s="10" t="n">
        <v>267</v>
      </c>
      <c r="Q19" s="10" t="n">
        <v>90.09999999999999</v>
      </c>
      <c r="R19" s="9" t="n">
        <v>64.3</v>
      </c>
    </row>
    <row r="20">
      <c r="A20" s="13" t="inlineStr">
        <is>
          <t>ヴェルファイア</t>
        </is>
      </c>
      <c r="B20" s="13" t="inlineStr">
        <is>
          <t>30系前期</t>
        </is>
      </c>
      <c r="C20" s="13" t="n">
        <v>2017</v>
      </c>
      <c r="D20" s="15" t="n">
        <v>1</v>
      </c>
      <c r="E20" s="16" t="n">
        <v>199.6</v>
      </c>
      <c r="F20" s="16" t="n">
        <v>199.6</v>
      </c>
      <c r="G20" s="16" t="n">
        <v>199.6</v>
      </c>
      <c r="H20" s="16" t="n">
        <v>199.6</v>
      </c>
      <c r="I20" s="16" t="n">
        <v>199.6</v>
      </c>
      <c r="J20" s="16" t="n">
        <v>199.6</v>
      </c>
      <c r="K20" s="15" t="n">
        <v>106863</v>
      </c>
      <c r="L20" s="15" t="n">
        <v>352</v>
      </c>
      <c r="M20" s="16" t="n">
        <v>200.4</v>
      </c>
      <c r="N20" s="16" t="n">
        <v>229.7</v>
      </c>
      <c r="O20" s="16" t="n">
        <v>240.8</v>
      </c>
      <c r="P20" s="16" t="n">
        <v>265.1</v>
      </c>
      <c r="Q20" s="16" t="n">
        <v>30.1</v>
      </c>
      <c r="R20" s="17" t="n">
        <v>15.1</v>
      </c>
    </row>
    <row r="21">
      <c r="A21" s="8" t="inlineStr">
        <is>
          <t>ヴェルファイア</t>
        </is>
      </c>
      <c r="B21" s="8" t="inlineStr">
        <is>
          <t>30系後期</t>
        </is>
      </c>
      <c r="C21" s="8" t="n">
        <v>2018</v>
      </c>
      <c r="D21" s="11" t="n">
        <v>2</v>
      </c>
      <c r="E21" s="10" t="n">
        <v>153</v>
      </c>
      <c r="F21" s="10" t="n">
        <v>226.8</v>
      </c>
      <c r="G21" s="10" t="n">
        <v>300.5</v>
      </c>
      <c r="H21" s="10" t="n">
        <v>300.5</v>
      </c>
      <c r="I21" s="10" t="n">
        <v>374.2</v>
      </c>
      <c r="J21" s="10" t="n">
        <v>448</v>
      </c>
      <c r="K21" s="11" t="n">
        <v>89200</v>
      </c>
      <c r="L21" s="11" t="n">
        <v>383</v>
      </c>
      <c r="M21" s="10" t="n">
        <v>272.9</v>
      </c>
      <c r="N21" s="10" t="n">
        <v>315.5</v>
      </c>
      <c r="O21" s="10" t="n">
        <v>321.6</v>
      </c>
      <c r="P21" s="10" t="n">
        <v>360.5</v>
      </c>
      <c r="Q21" s="10" t="n">
        <v>15</v>
      </c>
      <c r="R21" s="9" t="n">
        <v>5</v>
      </c>
    </row>
    <row r="22">
      <c r="A22" s="13" t="inlineStr">
        <is>
          <t>ヴェルファイア</t>
        </is>
      </c>
      <c r="B22" s="13" t="inlineStr">
        <is>
          <t>30系後期</t>
        </is>
      </c>
      <c r="C22" s="13" t="n">
        <v>2019</v>
      </c>
      <c r="D22" s="15" t="n">
        <v>1</v>
      </c>
      <c r="E22" s="16" t="n">
        <v>238.3</v>
      </c>
      <c r="F22" s="16" t="n">
        <v>238.3</v>
      </c>
      <c r="G22" s="16" t="n">
        <v>238.3</v>
      </c>
      <c r="H22" s="16" t="n">
        <v>238.3</v>
      </c>
      <c r="I22" s="16" t="n">
        <v>238.3</v>
      </c>
      <c r="J22" s="16" t="n">
        <v>238.3</v>
      </c>
      <c r="K22" s="15" t="n">
        <v>103000</v>
      </c>
      <c r="L22" s="15" t="n">
        <v>300</v>
      </c>
      <c r="M22" s="16" t="n">
        <v>279.1</v>
      </c>
      <c r="N22" s="16" t="n">
        <v>329.4</v>
      </c>
      <c r="O22" s="16" t="n">
        <v>332.6</v>
      </c>
      <c r="P22" s="16" t="n">
        <v>378.3</v>
      </c>
      <c r="Q22" s="16" t="n">
        <v>91.09999999999999</v>
      </c>
      <c r="R22" s="17" t="n">
        <v>38.2</v>
      </c>
    </row>
    <row r="23">
      <c r="A23" s="8" t="inlineStr">
        <is>
          <t>ヴェルファイア</t>
        </is>
      </c>
      <c r="B23" s="8" t="inlineStr">
        <is>
          <t>30系後期</t>
        </is>
      </c>
      <c r="C23" s="8" t="n">
        <v>2020</v>
      </c>
      <c r="D23" s="11" t="n"/>
      <c r="E23" s="10" t="n"/>
      <c r="F23" s="10" t="n"/>
      <c r="G23" s="10" t="n"/>
      <c r="H23" s="10" t="n"/>
      <c r="I23" s="10" t="n"/>
      <c r="J23" s="10" t="n"/>
      <c r="K23" s="11" t="n"/>
      <c r="L23" s="11" t="n">
        <v>138</v>
      </c>
      <c r="M23" s="10" t="n">
        <v>306.2</v>
      </c>
      <c r="N23" s="10" t="n">
        <v>355.6</v>
      </c>
      <c r="O23" s="10" t="n">
        <v>353.5</v>
      </c>
      <c r="P23" s="10" t="n">
        <v>389.5</v>
      </c>
      <c r="Q23" s="10" t="n"/>
      <c r="R23" s="9" t="n"/>
    </row>
    <row r="24">
      <c r="A24" s="13" t="inlineStr">
        <is>
          <t>ヴェルファイア</t>
        </is>
      </c>
      <c r="B24" s="13" t="inlineStr">
        <is>
          <t>30系後期</t>
        </is>
      </c>
      <c r="C24" s="13" t="n">
        <v>2021</v>
      </c>
      <c r="D24" s="15" t="n"/>
      <c r="E24" s="16" t="n"/>
      <c r="F24" s="16" t="n"/>
      <c r="G24" s="16" t="n"/>
      <c r="H24" s="16" t="n"/>
      <c r="I24" s="16" t="n"/>
      <c r="J24" s="16" t="n"/>
      <c r="K24" s="15" t="n"/>
      <c r="L24" s="15" t="n">
        <v>99</v>
      </c>
      <c r="M24" s="16" t="n">
        <v>335</v>
      </c>
      <c r="N24" s="16" t="n">
        <v>371.4</v>
      </c>
      <c r="O24" s="16" t="n">
        <v>366.5</v>
      </c>
      <c r="P24" s="16" t="n">
        <v>397.7</v>
      </c>
      <c r="Q24" s="16" t="n"/>
      <c r="R24" s="17" t="n"/>
    </row>
    <row r="25">
      <c r="A25" s="8" t="inlineStr">
        <is>
          <t>ヴェルファイア</t>
        </is>
      </c>
      <c r="B25" s="8" t="inlineStr">
        <is>
          <t>30系後期</t>
        </is>
      </c>
      <c r="C25" s="8" t="n">
        <v>2022</v>
      </c>
      <c r="D25" s="11" t="n">
        <v>1</v>
      </c>
      <c r="E25" s="10" t="n">
        <v>265.3</v>
      </c>
      <c r="F25" s="10" t="n">
        <v>265.3</v>
      </c>
      <c r="G25" s="10" t="n">
        <v>265.3</v>
      </c>
      <c r="H25" s="10" t="n">
        <v>265.3</v>
      </c>
      <c r="I25" s="10" t="n">
        <v>265.3</v>
      </c>
      <c r="J25" s="10" t="n">
        <v>265.3</v>
      </c>
      <c r="K25" s="11" t="n">
        <v>78908</v>
      </c>
      <c r="L25" s="11" t="n">
        <v>17</v>
      </c>
      <c r="M25" s="10" t="n">
        <v>391.2</v>
      </c>
      <c r="N25" s="10" t="n">
        <v>415</v>
      </c>
      <c r="O25" s="10" t="n">
        <v>421.8</v>
      </c>
      <c r="P25" s="10" t="n">
        <v>457.5</v>
      </c>
      <c r="Q25" s="10" t="n">
        <v>149.7</v>
      </c>
      <c r="R25" s="9" t="n">
        <v>56.4</v>
      </c>
    </row>
    <row r="26">
      <c r="A26" s="13" t="inlineStr">
        <is>
          <t>ヴェルファイア</t>
        </is>
      </c>
      <c r="B26" s="13" t="inlineStr">
        <is>
          <t>40系</t>
        </is>
      </c>
      <c r="C26" s="13" t="n">
        <v>2023</v>
      </c>
      <c r="D26" s="15" t="n">
        <v>1</v>
      </c>
      <c r="E26" s="16" t="n">
        <v>599</v>
      </c>
      <c r="F26" s="16" t="n">
        <v>599</v>
      </c>
      <c r="G26" s="16" t="n">
        <v>599</v>
      </c>
      <c r="H26" s="16" t="n">
        <v>599</v>
      </c>
      <c r="I26" s="16" t="n">
        <v>599</v>
      </c>
      <c r="J26" s="16" t="n">
        <v>599</v>
      </c>
      <c r="K26" s="15" t="n">
        <v>27000</v>
      </c>
      <c r="L26" s="15" t="n">
        <v>270</v>
      </c>
      <c r="M26" s="16" t="n">
        <v>629.3</v>
      </c>
      <c r="N26" s="16" t="n">
        <v>660.2</v>
      </c>
      <c r="O26" s="16" t="n">
        <v>672.5</v>
      </c>
      <c r="P26" s="16" t="n">
        <v>695.4</v>
      </c>
      <c r="Q26" s="16" t="n">
        <v>61.2</v>
      </c>
      <c r="R26" s="17" t="n">
        <v>10.2</v>
      </c>
    </row>
    <row r="27">
      <c r="A27" s="8" t="inlineStr">
        <is>
          <t>ヴェルファイア</t>
        </is>
      </c>
      <c r="B27" s="8" t="inlineStr">
        <is>
          <t>40系</t>
        </is>
      </c>
      <c r="C27" s="8" t="n">
        <v>2024</v>
      </c>
      <c r="D27" s="11" t="n"/>
      <c r="E27" s="10" t="n"/>
      <c r="F27" s="10" t="n"/>
      <c r="G27" s="10" t="n"/>
      <c r="H27" s="10" t="n"/>
      <c r="I27" s="10" t="n"/>
      <c r="J27" s="10" t="n"/>
      <c r="K27" s="11" t="n"/>
      <c r="L27" s="11" t="n">
        <v>324</v>
      </c>
      <c r="M27" s="10" t="n">
        <v>644.6</v>
      </c>
      <c r="N27" s="10" t="n">
        <v>679.1</v>
      </c>
      <c r="O27" s="10" t="n">
        <v>695.5</v>
      </c>
      <c r="P27" s="10" t="n">
        <v>730</v>
      </c>
      <c r="Q27" s="10" t="n"/>
      <c r="R27" s="9" t="n"/>
    </row>
    <row r="28">
      <c r="A28" s="13" t="inlineStr">
        <is>
          <t>ヴェルファイア</t>
        </is>
      </c>
      <c r="B28" s="13" t="inlineStr">
        <is>
          <t>40系</t>
        </is>
      </c>
      <c r="C28" s="13" t="n">
        <v>2025</v>
      </c>
      <c r="D28" s="15" t="n"/>
      <c r="E28" s="16" t="n"/>
      <c r="F28" s="16" t="n"/>
      <c r="G28" s="16" t="n"/>
      <c r="H28" s="16" t="n"/>
      <c r="I28" s="16" t="n"/>
      <c r="J28" s="16" t="n"/>
      <c r="K28" s="15" t="n"/>
      <c r="L28" s="15" t="n">
        <v>251</v>
      </c>
      <c r="M28" s="16" t="n">
        <v>710.8</v>
      </c>
      <c r="N28" s="16" t="n">
        <v>765.4</v>
      </c>
      <c r="O28" s="16" t="n">
        <v>768.4</v>
      </c>
      <c r="P28" s="16" t="n">
        <v>842.3</v>
      </c>
      <c r="Q28" s="16" t="n"/>
      <c r="R28" s="17" t="n"/>
    </row>
    <row r="29">
      <c r="A29" s="8" t="inlineStr">
        <is>
          <t>ヴェルファイア</t>
        </is>
      </c>
      <c r="B29" s="8" t="inlineStr">
        <is>
          <t>40系</t>
        </is>
      </c>
      <c r="C29" s="8" t="n">
        <v>2026</v>
      </c>
      <c r="D29" s="11" t="n"/>
      <c r="E29" s="10" t="n"/>
      <c r="F29" s="10" t="n"/>
      <c r="G29" s="10" t="n"/>
      <c r="H29" s="10" t="n"/>
      <c r="I29" s="10" t="n"/>
      <c r="J29" s="10" t="n"/>
      <c r="K29" s="11" t="n"/>
      <c r="L29" s="11" t="n">
        <v>106</v>
      </c>
      <c r="M29" s="10" t="n">
        <v>765</v>
      </c>
      <c r="N29" s="10" t="n">
        <v>797.1</v>
      </c>
      <c r="O29" s="10" t="n">
        <v>796</v>
      </c>
      <c r="P29" s="10" t="n">
        <v>842.1</v>
      </c>
      <c r="Q29" s="10" t="n"/>
      <c r="R29" s="9" t="n"/>
    </row>
    <row r="30">
      <c r="A30" s="13" t="inlineStr">
        <is>
          <t>ノア</t>
        </is>
      </c>
      <c r="B30" s="13" t="inlineStr">
        <is>
          <t>70系</t>
        </is>
      </c>
      <c r="C30" s="13" t="n">
        <v>2013</v>
      </c>
      <c r="D30" s="15" t="n"/>
      <c r="E30" s="16" t="n"/>
      <c r="F30" s="16" t="n"/>
      <c r="G30" s="16" t="n"/>
      <c r="H30" s="16" t="n"/>
      <c r="I30" s="16" t="n"/>
      <c r="J30" s="16" t="n"/>
      <c r="K30" s="15" t="n"/>
      <c r="L30" s="15" t="n">
        <v>50</v>
      </c>
      <c r="M30" s="16" t="n">
        <v>76.5</v>
      </c>
      <c r="N30" s="16" t="n">
        <v>95</v>
      </c>
      <c r="O30" s="16" t="n">
        <v>100.3</v>
      </c>
      <c r="P30" s="16" t="n">
        <v>116</v>
      </c>
      <c r="Q30" s="16" t="n"/>
      <c r="R30" s="17" t="n"/>
    </row>
    <row r="31">
      <c r="A31" s="8" t="inlineStr">
        <is>
          <t>ノア</t>
        </is>
      </c>
      <c r="B31" s="8" t="inlineStr">
        <is>
          <t>80系</t>
        </is>
      </c>
      <c r="C31" s="8" t="n">
        <v>2014</v>
      </c>
      <c r="D31" s="11" t="n">
        <v>6</v>
      </c>
      <c r="E31" s="10" t="n">
        <v>50</v>
      </c>
      <c r="F31" s="10" t="n">
        <v>54.5</v>
      </c>
      <c r="G31" s="10" t="n">
        <v>72.40000000000001</v>
      </c>
      <c r="H31" s="10" t="n">
        <v>82.2</v>
      </c>
      <c r="I31" s="10" t="n">
        <v>112.6</v>
      </c>
      <c r="J31" s="10" t="n">
        <v>123.8</v>
      </c>
      <c r="K31" s="11" t="n">
        <v>159070</v>
      </c>
      <c r="L31" s="11" t="n">
        <v>204</v>
      </c>
      <c r="M31" s="10" t="n">
        <v>94.3</v>
      </c>
      <c r="N31" s="10" t="n">
        <v>121.5</v>
      </c>
      <c r="O31" s="10" t="n">
        <v>124.5</v>
      </c>
      <c r="P31" s="10" t="n">
        <v>148.2</v>
      </c>
      <c r="Q31" s="10" t="n">
        <v>49.1</v>
      </c>
      <c r="R31" s="9" t="n">
        <v>67.8</v>
      </c>
    </row>
    <row r="32">
      <c r="A32" s="13" t="inlineStr">
        <is>
          <t>ノア</t>
        </is>
      </c>
      <c r="B32" s="13" t="inlineStr">
        <is>
          <t>80系</t>
        </is>
      </c>
      <c r="C32" s="13" t="n">
        <v>2015</v>
      </c>
      <c r="D32" s="15" t="n">
        <v>6</v>
      </c>
      <c r="E32" s="16" t="n">
        <v>58.3</v>
      </c>
      <c r="F32" s="16" t="n">
        <v>73.59999999999999</v>
      </c>
      <c r="G32" s="16" t="n">
        <v>86.40000000000001</v>
      </c>
      <c r="H32" s="16" t="n">
        <v>89.40000000000001</v>
      </c>
      <c r="I32" s="16" t="n">
        <v>89.90000000000001</v>
      </c>
      <c r="J32" s="16" t="n">
        <v>145</v>
      </c>
      <c r="K32" s="15" t="n">
        <v>127000</v>
      </c>
      <c r="L32" s="15" t="n">
        <v>196</v>
      </c>
      <c r="M32" s="16" t="n">
        <v>105.4</v>
      </c>
      <c r="N32" s="16" t="n">
        <v>126.2</v>
      </c>
      <c r="O32" s="16" t="n">
        <v>132</v>
      </c>
      <c r="P32" s="16" t="n">
        <v>156.5</v>
      </c>
      <c r="Q32" s="16" t="n">
        <v>39.8</v>
      </c>
      <c r="R32" s="17" t="n">
        <v>46.1</v>
      </c>
    </row>
    <row r="33">
      <c r="A33" s="8" t="inlineStr">
        <is>
          <t>ノア</t>
        </is>
      </c>
      <c r="B33" s="8" t="inlineStr">
        <is>
          <t>80系</t>
        </is>
      </c>
      <c r="C33" s="8" t="n">
        <v>2016</v>
      </c>
      <c r="D33" s="11" t="n">
        <v>2</v>
      </c>
      <c r="E33" s="10" t="n">
        <v>96.8</v>
      </c>
      <c r="F33" s="10" t="n">
        <v>112.5</v>
      </c>
      <c r="G33" s="10" t="n">
        <v>128.3</v>
      </c>
      <c r="H33" s="10" t="n">
        <v>128.3</v>
      </c>
      <c r="I33" s="10" t="n">
        <v>144.1</v>
      </c>
      <c r="J33" s="10" t="n">
        <v>159.8</v>
      </c>
      <c r="K33" s="11" t="n">
        <v>141360</v>
      </c>
      <c r="L33" s="11" t="n">
        <v>156</v>
      </c>
      <c r="M33" s="10" t="n">
        <v>126.6</v>
      </c>
      <c r="N33" s="10" t="n">
        <v>149.8</v>
      </c>
      <c r="O33" s="10" t="n">
        <v>154.9</v>
      </c>
      <c r="P33" s="10" t="n">
        <v>180.3</v>
      </c>
      <c r="Q33" s="10" t="n">
        <v>21.5</v>
      </c>
      <c r="R33" s="9" t="n">
        <v>16.8</v>
      </c>
    </row>
    <row r="34">
      <c r="A34" s="13" t="inlineStr">
        <is>
          <t>ノア</t>
        </is>
      </c>
      <c r="B34" s="13" t="inlineStr">
        <is>
          <t>80系</t>
        </is>
      </c>
      <c r="C34" s="13" t="n">
        <v>2017</v>
      </c>
      <c r="D34" s="15" t="n">
        <v>2</v>
      </c>
      <c r="E34" s="16" t="n">
        <v>166.8</v>
      </c>
      <c r="F34" s="16" t="n">
        <v>168.3</v>
      </c>
      <c r="G34" s="16" t="n">
        <v>169.8</v>
      </c>
      <c r="H34" s="16" t="n">
        <v>169.8</v>
      </c>
      <c r="I34" s="16" t="n">
        <v>171.3</v>
      </c>
      <c r="J34" s="16" t="n">
        <v>172.8</v>
      </c>
      <c r="K34" s="15" t="n">
        <v>77000</v>
      </c>
      <c r="L34" s="15" t="n">
        <v>253</v>
      </c>
      <c r="M34" s="16" t="n">
        <v>150.8</v>
      </c>
      <c r="N34" s="16" t="n">
        <v>178.9</v>
      </c>
      <c r="O34" s="16" t="n">
        <v>181.5</v>
      </c>
      <c r="P34" s="16" t="n">
        <v>212.1</v>
      </c>
      <c r="Q34" s="16" t="n">
        <v>9.1</v>
      </c>
      <c r="R34" s="17" t="n">
        <v>5.4</v>
      </c>
    </row>
    <row r="35">
      <c r="A35" s="8" t="inlineStr">
        <is>
          <t>ノア</t>
        </is>
      </c>
      <c r="B35" s="8" t="inlineStr">
        <is>
          <t>80系</t>
        </is>
      </c>
      <c r="C35" s="8" t="n">
        <v>2018</v>
      </c>
      <c r="D35" s="11" t="n">
        <v>1</v>
      </c>
      <c r="E35" s="10" t="n">
        <v>133</v>
      </c>
      <c r="F35" s="10" t="n">
        <v>133</v>
      </c>
      <c r="G35" s="10" t="n">
        <v>133</v>
      </c>
      <c r="H35" s="10" t="n">
        <v>133</v>
      </c>
      <c r="I35" s="10" t="n">
        <v>133</v>
      </c>
      <c r="J35" s="10" t="n">
        <v>133</v>
      </c>
      <c r="K35" s="11" t="n">
        <v>122000</v>
      </c>
      <c r="L35" s="11" t="n">
        <v>257</v>
      </c>
      <c r="M35" s="10" t="n">
        <v>179.4</v>
      </c>
      <c r="N35" s="10" t="n">
        <v>207.7</v>
      </c>
      <c r="O35" s="10" t="n">
        <v>209.6</v>
      </c>
      <c r="P35" s="10" t="n">
        <v>242</v>
      </c>
      <c r="Q35" s="10" t="n">
        <v>74.7</v>
      </c>
      <c r="R35" s="9" t="n">
        <v>56.2</v>
      </c>
    </row>
    <row r="36">
      <c r="A36" s="13" t="inlineStr">
        <is>
          <t>ノア</t>
        </is>
      </c>
      <c r="B36" s="13" t="inlineStr">
        <is>
          <t>80系</t>
        </is>
      </c>
      <c r="C36" s="13" t="n">
        <v>2019</v>
      </c>
      <c r="D36" s="15" t="n"/>
      <c r="E36" s="16" t="n"/>
      <c r="F36" s="16" t="n"/>
      <c r="G36" s="16" t="n"/>
      <c r="H36" s="16" t="n"/>
      <c r="I36" s="16" t="n"/>
      <c r="J36" s="16" t="n"/>
      <c r="K36" s="15" t="n"/>
      <c r="L36" s="15" t="n">
        <v>265</v>
      </c>
      <c r="M36" s="16" t="n">
        <v>200.9</v>
      </c>
      <c r="N36" s="16" t="n">
        <v>231.9</v>
      </c>
      <c r="O36" s="16" t="n">
        <v>227.2</v>
      </c>
      <c r="P36" s="16" t="n">
        <v>255.4</v>
      </c>
      <c r="Q36" s="16" t="n"/>
      <c r="R36" s="17" t="n"/>
    </row>
    <row r="37">
      <c r="A37" s="8" t="inlineStr">
        <is>
          <t>ノア</t>
        </is>
      </c>
      <c r="B37" s="8" t="inlineStr">
        <is>
          <t>80系</t>
        </is>
      </c>
      <c r="C37" s="8" t="n">
        <v>2020</v>
      </c>
      <c r="D37" s="11" t="n">
        <v>1</v>
      </c>
      <c r="E37" s="10" t="n">
        <v>144.7</v>
      </c>
      <c r="F37" s="10" t="n">
        <v>144.7</v>
      </c>
      <c r="G37" s="10" t="n">
        <v>144.7</v>
      </c>
      <c r="H37" s="10" t="n">
        <v>144.7</v>
      </c>
      <c r="I37" s="10" t="n">
        <v>144.7</v>
      </c>
      <c r="J37" s="10" t="n">
        <v>144.7</v>
      </c>
      <c r="K37" s="11" t="n">
        <v>85000</v>
      </c>
      <c r="L37" s="11" t="n">
        <v>165</v>
      </c>
      <c r="M37" s="10" t="n">
        <v>221.9</v>
      </c>
      <c r="N37" s="10" t="n">
        <v>249</v>
      </c>
      <c r="O37" s="10" t="n">
        <v>243.8</v>
      </c>
      <c r="P37" s="10" t="n">
        <v>270</v>
      </c>
      <c r="Q37" s="10" t="n">
        <v>104.3</v>
      </c>
      <c r="R37" s="9" t="n">
        <v>72.09999999999999</v>
      </c>
    </row>
    <row r="38">
      <c r="A38" s="13" t="inlineStr">
        <is>
          <t>ノア</t>
        </is>
      </c>
      <c r="B38" s="13" t="inlineStr">
        <is>
          <t>80系</t>
        </is>
      </c>
      <c r="C38" s="13" t="n">
        <v>2021</v>
      </c>
      <c r="D38" s="15" t="n"/>
      <c r="E38" s="16" t="n"/>
      <c r="F38" s="16" t="n"/>
      <c r="G38" s="16" t="n"/>
      <c r="H38" s="16" t="n"/>
      <c r="I38" s="16" t="n"/>
      <c r="J38" s="16" t="n"/>
      <c r="K38" s="15" t="n"/>
      <c r="L38" s="15" t="n">
        <v>290</v>
      </c>
      <c r="M38" s="16" t="n">
        <v>241.8</v>
      </c>
      <c r="N38" s="16" t="n">
        <v>266.9</v>
      </c>
      <c r="O38" s="16" t="n">
        <v>262.4</v>
      </c>
      <c r="P38" s="16" t="n">
        <v>287.9</v>
      </c>
      <c r="Q38" s="16" t="n"/>
      <c r="R38" s="17" t="n"/>
    </row>
    <row r="39">
      <c r="A39" s="8" t="inlineStr">
        <is>
          <t>ノア</t>
        </is>
      </c>
      <c r="B39" s="8" t="inlineStr">
        <is>
          <t>90系</t>
        </is>
      </c>
      <c r="C39" s="8" t="n">
        <v>2022</v>
      </c>
      <c r="D39" s="11" t="n"/>
      <c r="E39" s="10" t="n"/>
      <c r="F39" s="10" t="n"/>
      <c r="G39" s="10" t="n"/>
      <c r="H39" s="10" t="n"/>
      <c r="I39" s="10" t="n"/>
      <c r="J39" s="10" t="n"/>
      <c r="K39" s="11" t="n"/>
      <c r="L39" s="11" t="n">
        <v>547</v>
      </c>
      <c r="M39" s="10" t="n">
        <v>303.5</v>
      </c>
      <c r="N39" s="10" t="n">
        <v>339.6</v>
      </c>
      <c r="O39" s="10" t="n">
        <v>335.3</v>
      </c>
      <c r="P39" s="10" t="n">
        <v>372.4</v>
      </c>
      <c r="Q39" s="10" t="n"/>
      <c r="R39" s="9" t="n"/>
    </row>
    <row r="40">
      <c r="A40" s="13" t="inlineStr">
        <is>
          <t>ノア</t>
        </is>
      </c>
      <c r="B40" s="13" t="inlineStr">
        <is>
          <t>90系</t>
        </is>
      </c>
      <c r="C40" s="13" t="n">
        <v>2023</v>
      </c>
      <c r="D40" s="15" t="n">
        <v>1</v>
      </c>
      <c r="E40" s="16" t="n">
        <v>292.1</v>
      </c>
      <c r="F40" s="16" t="n">
        <v>292.1</v>
      </c>
      <c r="G40" s="16" t="n">
        <v>292.1</v>
      </c>
      <c r="H40" s="16" t="n">
        <v>292.1</v>
      </c>
      <c r="I40" s="16" t="n">
        <v>292.1</v>
      </c>
      <c r="J40" s="16" t="n">
        <v>292.1</v>
      </c>
      <c r="K40" s="15" t="n">
        <v>4000</v>
      </c>
      <c r="L40" s="15" t="n">
        <v>782</v>
      </c>
      <c r="M40" s="16" t="n">
        <v>331.6</v>
      </c>
      <c r="N40" s="16" t="n">
        <v>361</v>
      </c>
      <c r="O40" s="16" t="n">
        <v>354.1</v>
      </c>
      <c r="P40" s="16" t="n">
        <v>383.3</v>
      </c>
      <c r="Q40" s="16" t="n">
        <v>68.90000000000001</v>
      </c>
      <c r="R40" s="17" t="n">
        <v>23.6</v>
      </c>
    </row>
    <row r="41">
      <c r="A41" s="8" t="inlineStr">
        <is>
          <t>ノア</t>
        </is>
      </c>
      <c r="B41" s="8" t="inlineStr">
        <is>
          <t>90系</t>
        </is>
      </c>
      <c r="C41" s="8" t="n">
        <v>2024</v>
      </c>
      <c r="D41" s="11" t="n"/>
      <c r="E41" s="10" t="n"/>
      <c r="F41" s="10" t="n"/>
      <c r="G41" s="10" t="n"/>
      <c r="H41" s="10" t="n"/>
      <c r="I41" s="10" t="n"/>
      <c r="J41" s="10" t="n"/>
      <c r="K41" s="11" t="n"/>
      <c r="L41" s="11" t="n">
        <v>314</v>
      </c>
      <c r="M41" s="10" t="n">
        <v>338.8</v>
      </c>
      <c r="N41" s="10" t="n">
        <v>371.5</v>
      </c>
      <c r="O41" s="10" t="n">
        <v>364.5</v>
      </c>
      <c r="P41" s="10" t="n">
        <v>396.6</v>
      </c>
      <c r="Q41" s="10" t="n"/>
      <c r="R41" s="9" t="n"/>
    </row>
    <row r="42">
      <c r="A42" s="13" t="inlineStr">
        <is>
          <t>ノア</t>
        </is>
      </c>
      <c r="B42" s="13" t="inlineStr">
        <is>
          <t>90系</t>
        </is>
      </c>
      <c r="C42" s="13" t="n">
        <v>2025</v>
      </c>
      <c r="D42" s="15" t="n"/>
      <c r="E42" s="16" t="n"/>
      <c r="F42" s="16" t="n"/>
      <c r="G42" s="16" t="n"/>
      <c r="H42" s="16" t="n"/>
      <c r="I42" s="16" t="n"/>
      <c r="J42" s="16" t="n"/>
      <c r="K42" s="15" t="n"/>
      <c r="L42" s="15" t="n">
        <v>201</v>
      </c>
      <c r="M42" s="16" t="n">
        <v>371.8</v>
      </c>
      <c r="N42" s="16" t="n">
        <v>402.9</v>
      </c>
      <c r="O42" s="16" t="n">
        <v>395.9</v>
      </c>
      <c r="P42" s="16" t="n">
        <v>432.1</v>
      </c>
      <c r="Q42" s="16" t="n"/>
      <c r="R42" s="17" t="n"/>
    </row>
    <row r="43">
      <c r="A43" s="8" t="inlineStr">
        <is>
          <t>ノア</t>
        </is>
      </c>
      <c r="B43" s="8" t="inlineStr">
        <is>
          <t>90系</t>
        </is>
      </c>
      <c r="C43" s="8" t="n">
        <v>2026</v>
      </c>
      <c r="D43" s="11" t="n"/>
      <c r="E43" s="10" t="n"/>
      <c r="F43" s="10" t="n"/>
      <c r="G43" s="10" t="n"/>
      <c r="H43" s="10" t="n"/>
      <c r="I43" s="10" t="n"/>
      <c r="J43" s="10" t="n"/>
      <c r="K43" s="11" t="n"/>
      <c r="L43" s="11" t="n">
        <v>113</v>
      </c>
      <c r="M43" s="10" t="n">
        <v>416.2</v>
      </c>
      <c r="N43" s="10" t="n">
        <v>446.8</v>
      </c>
      <c r="O43" s="10" t="n">
        <v>428.3</v>
      </c>
      <c r="P43" s="10" t="n">
        <v>455.9</v>
      </c>
      <c r="Q43" s="10" t="n"/>
      <c r="R43" s="9" t="n"/>
    </row>
    <row r="44">
      <c r="A44" s="13" t="inlineStr">
        <is>
          <t>ヴォクシー</t>
        </is>
      </c>
      <c r="B44" s="13" t="inlineStr">
        <is>
          <t>70系</t>
        </is>
      </c>
      <c r="C44" s="13" t="n">
        <v>2013</v>
      </c>
      <c r="D44" s="15" t="n">
        <v>4</v>
      </c>
      <c r="E44" s="16" t="n">
        <v>25.1</v>
      </c>
      <c r="F44" s="16" t="n">
        <v>31.9</v>
      </c>
      <c r="G44" s="16" t="n">
        <v>36.5</v>
      </c>
      <c r="H44" s="16" t="n">
        <v>35.9</v>
      </c>
      <c r="I44" s="16" t="n">
        <v>40.5</v>
      </c>
      <c r="J44" s="16" t="n">
        <v>45.2</v>
      </c>
      <c r="K44" s="15" t="n">
        <v>138111</v>
      </c>
      <c r="L44" s="15" t="n">
        <v>138</v>
      </c>
      <c r="M44" s="16" t="n">
        <v>59</v>
      </c>
      <c r="N44" s="16" t="n">
        <v>74.09999999999999</v>
      </c>
      <c r="O44" s="16" t="n">
        <v>83.3</v>
      </c>
      <c r="P44" s="16" t="n">
        <v>98.8</v>
      </c>
      <c r="Q44" s="16" t="n">
        <v>37.6</v>
      </c>
      <c r="R44" s="17" t="n">
        <v>103</v>
      </c>
    </row>
    <row r="45">
      <c r="A45" s="8" t="inlineStr">
        <is>
          <t>ヴォクシー</t>
        </is>
      </c>
      <c r="B45" s="8" t="inlineStr">
        <is>
          <t>80系</t>
        </is>
      </c>
      <c r="C45" s="8" t="n">
        <v>2014</v>
      </c>
      <c r="D45" s="11" t="n">
        <v>17</v>
      </c>
      <c r="E45" s="10" t="n">
        <v>50.2</v>
      </c>
      <c r="F45" s="10" t="n">
        <v>62.1</v>
      </c>
      <c r="G45" s="10" t="n">
        <v>75</v>
      </c>
      <c r="H45" s="10" t="n">
        <v>78.2</v>
      </c>
      <c r="I45" s="10" t="n">
        <v>79.59999999999999</v>
      </c>
      <c r="J45" s="10" t="n">
        <v>138</v>
      </c>
      <c r="K45" s="11" t="n">
        <v>150700</v>
      </c>
      <c r="L45" s="11" t="n">
        <v>395</v>
      </c>
      <c r="M45" s="10" t="n">
        <v>99.3</v>
      </c>
      <c r="N45" s="10" t="n">
        <v>122.6</v>
      </c>
      <c r="O45" s="10" t="n">
        <v>129.6</v>
      </c>
      <c r="P45" s="10" t="n">
        <v>149.8</v>
      </c>
      <c r="Q45" s="10" t="n">
        <v>47.6</v>
      </c>
      <c r="R45" s="9" t="n">
        <v>63.5</v>
      </c>
    </row>
    <row r="46">
      <c r="A46" s="13" t="inlineStr">
        <is>
          <t>ヴォクシー</t>
        </is>
      </c>
      <c r="B46" s="13" t="inlineStr">
        <is>
          <t>80系</t>
        </is>
      </c>
      <c r="C46" s="13" t="n">
        <v>2015</v>
      </c>
      <c r="D46" s="15" t="n">
        <v>16</v>
      </c>
      <c r="E46" s="16" t="n">
        <v>45.1</v>
      </c>
      <c r="F46" s="16" t="n">
        <v>57.5</v>
      </c>
      <c r="G46" s="16" t="n">
        <v>68</v>
      </c>
      <c r="H46" s="16" t="n">
        <v>69.40000000000001</v>
      </c>
      <c r="I46" s="16" t="n">
        <v>78.59999999999999</v>
      </c>
      <c r="J46" s="16" t="n">
        <v>95.8</v>
      </c>
      <c r="K46" s="15" t="n">
        <v>152300</v>
      </c>
      <c r="L46" s="15" t="n">
        <v>387</v>
      </c>
      <c r="M46" s="16" t="n">
        <v>110.5</v>
      </c>
      <c r="N46" s="16" t="n">
        <v>137.1</v>
      </c>
      <c r="O46" s="16" t="n">
        <v>138.6</v>
      </c>
      <c r="P46" s="16" t="n">
        <v>162.9</v>
      </c>
      <c r="Q46" s="16" t="n">
        <v>69.09999999999999</v>
      </c>
      <c r="R46" s="17" t="n">
        <v>101.6</v>
      </c>
    </row>
    <row r="47">
      <c r="A47" s="8" t="inlineStr">
        <is>
          <t>ヴォクシー</t>
        </is>
      </c>
      <c r="B47" s="8" t="inlineStr">
        <is>
          <t>80系</t>
        </is>
      </c>
      <c r="C47" s="8" t="n">
        <v>2016</v>
      </c>
      <c r="D47" s="11" t="n">
        <v>7</v>
      </c>
      <c r="E47" s="10" t="n">
        <v>60.1</v>
      </c>
      <c r="F47" s="10" t="n">
        <v>98.90000000000001</v>
      </c>
      <c r="G47" s="10" t="n">
        <v>120</v>
      </c>
      <c r="H47" s="10" t="n">
        <v>117.1</v>
      </c>
      <c r="I47" s="10" t="n">
        <v>140.8</v>
      </c>
      <c r="J47" s="10" t="n">
        <v>159.9</v>
      </c>
      <c r="K47" s="11" t="n">
        <v>91000</v>
      </c>
      <c r="L47" s="11" t="n">
        <v>344</v>
      </c>
      <c r="M47" s="10" t="n">
        <v>134.9</v>
      </c>
      <c r="N47" s="10" t="n">
        <v>160.2</v>
      </c>
      <c r="O47" s="10" t="n">
        <v>161</v>
      </c>
      <c r="P47" s="10" t="n">
        <v>186.1</v>
      </c>
      <c r="Q47" s="10" t="n">
        <v>40.2</v>
      </c>
      <c r="R47" s="9" t="n">
        <v>33.5</v>
      </c>
    </row>
    <row r="48">
      <c r="A48" s="13" t="inlineStr">
        <is>
          <t>ヴォクシー</t>
        </is>
      </c>
      <c r="B48" s="13" t="inlineStr">
        <is>
          <t>80系</t>
        </is>
      </c>
      <c r="C48" s="13" t="n">
        <v>2017</v>
      </c>
      <c r="D48" s="15" t="n">
        <v>2</v>
      </c>
      <c r="E48" s="16" t="n">
        <v>100</v>
      </c>
      <c r="F48" s="16" t="n">
        <v>111.7</v>
      </c>
      <c r="G48" s="16" t="n">
        <v>123.3</v>
      </c>
      <c r="H48" s="16" t="n">
        <v>123.3</v>
      </c>
      <c r="I48" s="16" t="n">
        <v>135</v>
      </c>
      <c r="J48" s="16" t="n">
        <v>146.7</v>
      </c>
      <c r="K48" s="15" t="n">
        <v>63000</v>
      </c>
      <c r="L48" s="15" t="n">
        <v>502</v>
      </c>
      <c r="M48" s="16" t="n">
        <v>161.1</v>
      </c>
      <c r="N48" s="16" t="n">
        <v>191.1</v>
      </c>
      <c r="O48" s="16" t="n">
        <v>192.1</v>
      </c>
      <c r="P48" s="16" t="n">
        <v>221.2</v>
      </c>
      <c r="Q48" s="16" t="n">
        <v>67.8</v>
      </c>
      <c r="R48" s="17" t="n">
        <v>55</v>
      </c>
    </row>
    <row r="49">
      <c r="A49" s="8" t="inlineStr">
        <is>
          <t>ヴォクシー</t>
        </is>
      </c>
      <c r="B49" s="8" t="inlineStr">
        <is>
          <t>80系</t>
        </is>
      </c>
      <c r="C49" s="8" t="n">
        <v>2018</v>
      </c>
      <c r="D49" s="11" t="n">
        <v>2</v>
      </c>
      <c r="E49" s="10" t="n">
        <v>120.3</v>
      </c>
      <c r="F49" s="10" t="n">
        <v>132</v>
      </c>
      <c r="G49" s="10" t="n">
        <v>143.7</v>
      </c>
      <c r="H49" s="10" t="n">
        <v>143.7</v>
      </c>
      <c r="I49" s="10" t="n">
        <v>155.3</v>
      </c>
      <c r="J49" s="10" t="n">
        <v>167</v>
      </c>
      <c r="K49" s="11" t="n">
        <v>102000</v>
      </c>
      <c r="L49" s="11" t="n">
        <v>507</v>
      </c>
      <c r="M49" s="10" t="n">
        <v>186.9</v>
      </c>
      <c r="N49" s="10" t="n">
        <v>214.4</v>
      </c>
      <c r="O49" s="10" t="n">
        <v>214.1</v>
      </c>
      <c r="P49" s="10" t="n">
        <v>243.6</v>
      </c>
      <c r="Q49" s="10" t="n">
        <v>70.7</v>
      </c>
      <c r="R49" s="9" t="n">
        <v>49.2</v>
      </c>
    </row>
    <row r="50">
      <c r="A50" s="13" t="inlineStr">
        <is>
          <t>ヴォクシー</t>
        </is>
      </c>
      <c r="B50" s="13" t="inlineStr">
        <is>
          <t>80系</t>
        </is>
      </c>
      <c r="C50" s="13" t="n">
        <v>2019</v>
      </c>
      <c r="D50" s="15" t="n">
        <v>2</v>
      </c>
      <c r="E50" s="16" t="n">
        <v>135</v>
      </c>
      <c r="F50" s="16" t="n">
        <v>143.1</v>
      </c>
      <c r="G50" s="16" t="n">
        <v>151.2</v>
      </c>
      <c r="H50" s="16" t="n">
        <v>151.2</v>
      </c>
      <c r="I50" s="16" t="n">
        <v>159.3</v>
      </c>
      <c r="J50" s="16" t="n">
        <v>167.4</v>
      </c>
      <c r="K50" s="15" t="n">
        <v>108800</v>
      </c>
      <c r="L50" s="15" t="n">
        <v>503</v>
      </c>
      <c r="M50" s="16" t="n">
        <v>204.4</v>
      </c>
      <c r="N50" s="16" t="n">
        <v>236</v>
      </c>
      <c r="O50" s="16" t="n">
        <v>231.8</v>
      </c>
      <c r="P50" s="16" t="n">
        <v>260.7</v>
      </c>
      <c r="Q50" s="16" t="n">
        <v>84.8</v>
      </c>
      <c r="R50" s="17" t="n">
        <v>56.1</v>
      </c>
    </row>
    <row r="51">
      <c r="A51" s="8" t="inlineStr">
        <is>
          <t>ヴォクシー</t>
        </is>
      </c>
      <c r="B51" s="8" t="inlineStr">
        <is>
          <t>80系</t>
        </is>
      </c>
      <c r="C51" s="8" t="n">
        <v>2020</v>
      </c>
      <c r="D51" s="11" t="n"/>
      <c r="E51" s="10" t="n"/>
      <c r="F51" s="10" t="n"/>
      <c r="G51" s="10" t="n"/>
      <c r="H51" s="10" t="n"/>
      <c r="I51" s="10" t="n"/>
      <c r="J51" s="10" t="n"/>
      <c r="K51" s="11" t="n"/>
      <c r="L51" s="11" t="n">
        <v>328</v>
      </c>
      <c r="M51" s="10" t="n">
        <v>231.4</v>
      </c>
      <c r="N51" s="10" t="n">
        <v>256.9</v>
      </c>
      <c r="O51" s="10" t="n">
        <v>253.3</v>
      </c>
      <c r="P51" s="10" t="n">
        <v>277.9</v>
      </c>
      <c r="Q51" s="10" t="n"/>
      <c r="R51" s="9" t="n"/>
    </row>
    <row r="52">
      <c r="A52" s="13" t="inlineStr">
        <is>
          <t>ヴォクシー</t>
        </is>
      </c>
      <c r="B52" s="13" t="inlineStr">
        <is>
          <t>80系</t>
        </is>
      </c>
      <c r="C52" s="13" t="n">
        <v>2021</v>
      </c>
      <c r="D52" s="15" t="n">
        <v>1</v>
      </c>
      <c r="E52" s="16" t="n">
        <v>178</v>
      </c>
      <c r="F52" s="16" t="n">
        <v>178</v>
      </c>
      <c r="G52" s="16" t="n">
        <v>178</v>
      </c>
      <c r="H52" s="16" t="n">
        <v>178</v>
      </c>
      <c r="I52" s="16" t="n">
        <v>178</v>
      </c>
      <c r="J52" s="16" t="n">
        <v>178</v>
      </c>
      <c r="K52" s="15" t="n">
        <v>58124</v>
      </c>
      <c r="L52" s="15" t="n">
        <v>702</v>
      </c>
      <c r="M52" s="16" t="n">
        <v>255.3</v>
      </c>
      <c r="N52" s="16" t="n">
        <v>275.5</v>
      </c>
      <c r="O52" s="16" t="n">
        <v>275.4</v>
      </c>
      <c r="P52" s="16" t="n">
        <v>296.4</v>
      </c>
      <c r="Q52" s="16" t="n">
        <v>97.5</v>
      </c>
      <c r="R52" s="17" t="n">
        <v>54.8</v>
      </c>
    </row>
    <row r="53">
      <c r="A53" s="8" t="inlineStr">
        <is>
          <t>ヴォクシー</t>
        </is>
      </c>
      <c r="B53" s="8" t="inlineStr">
        <is>
          <t>90系</t>
        </is>
      </c>
      <c r="C53" s="8" t="n">
        <v>2022</v>
      </c>
      <c r="D53" s="11" t="n"/>
      <c r="E53" s="10" t="n"/>
      <c r="F53" s="10" t="n"/>
      <c r="G53" s="10" t="n"/>
      <c r="H53" s="10" t="n"/>
      <c r="I53" s="10" t="n"/>
      <c r="J53" s="10" t="n"/>
      <c r="K53" s="11" t="n"/>
      <c r="L53" s="11" t="n">
        <v>652</v>
      </c>
      <c r="M53" s="10" t="n">
        <v>333.1</v>
      </c>
      <c r="N53" s="10" t="n">
        <v>355.5</v>
      </c>
      <c r="O53" s="10" t="n">
        <v>354</v>
      </c>
      <c r="P53" s="10" t="n">
        <v>378</v>
      </c>
      <c r="Q53" s="10" t="n"/>
      <c r="R53" s="9" t="n"/>
    </row>
    <row r="54">
      <c r="A54" s="13" t="inlineStr">
        <is>
          <t>ヴォクシー</t>
        </is>
      </c>
      <c r="B54" s="13" t="inlineStr">
        <is>
          <t>90系</t>
        </is>
      </c>
      <c r="C54" s="13" t="n">
        <v>2023</v>
      </c>
      <c r="D54" s="15" t="n">
        <v>3</v>
      </c>
      <c r="E54" s="16" t="n">
        <v>201.2</v>
      </c>
      <c r="F54" s="16" t="n">
        <v>234.6</v>
      </c>
      <c r="G54" s="16" t="n">
        <v>268</v>
      </c>
      <c r="H54" s="16" t="n">
        <v>264.7</v>
      </c>
      <c r="I54" s="16" t="n">
        <v>296.5</v>
      </c>
      <c r="J54" s="16" t="n">
        <v>325</v>
      </c>
      <c r="K54" s="15" t="n">
        <v>21000</v>
      </c>
      <c r="L54" s="15" t="n">
        <v>1019</v>
      </c>
      <c r="M54" s="16" t="n">
        <v>346.4</v>
      </c>
      <c r="N54" s="16" t="n">
        <v>372.4</v>
      </c>
      <c r="O54" s="16" t="n">
        <v>368.4</v>
      </c>
      <c r="P54" s="16" t="n">
        <v>394.5</v>
      </c>
      <c r="Q54" s="16" t="n">
        <v>104.4</v>
      </c>
      <c r="R54" s="17" t="n">
        <v>39</v>
      </c>
    </row>
    <row r="55">
      <c r="A55" s="8" t="inlineStr">
        <is>
          <t>ヴォクシー</t>
        </is>
      </c>
      <c r="B55" s="8" t="inlineStr">
        <is>
          <t>90系</t>
        </is>
      </c>
      <c r="C55" s="8" t="n">
        <v>2024</v>
      </c>
      <c r="D55" s="11" t="n">
        <v>1</v>
      </c>
      <c r="E55" s="10" t="n">
        <v>340.3</v>
      </c>
      <c r="F55" s="10" t="n">
        <v>340.3</v>
      </c>
      <c r="G55" s="10" t="n">
        <v>340.3</v>
      </c>
      <c r="H55" s="10" t="n">
        <v>340.3</v>
      </c>
      <c r="I55" s="10" t="n">
        <v>340.3</v>
      </c>
      <c r="J55" s="10" t="n">
        <v>340.3</v>
      </c>
      <c r="K55" s="11" t="n">
        <v>3930</v>
      </c>
      <c r="L55" s="11" t="n">
        <v>438</v>
      </c>
      <c r="M55" s="10" t="n">
        <v>357.1</v>
      </c>
      <c r="N55" s="10" t="n">
        <v>384.1</v>
      </c>
      <c r="O55" s="10" t="n">
        <v>381.4</v>
      </c>
      <c r="P55" s="10" t="n">
        <v>407.5</v>
      </c>
      <c r="Q55" s="10" t="n">
        <v>43.8</v>
      </c>
      <c r="R55" s="9" t="n">
        <v>12.9</v>
      </c>
    </row>
    <row r="56">
      <c r="A56" s="13" t="inlineStr">
        <is>
          <t>ヴォクシー</t>
        </is>
      </c>
      <c r="B56" s="13" t="inlineStr">
        <is>
          <t>90系</t>
        </is>
      </c>
      <c r="C56" s="13" t="n">
        <v>2025</v>
      </c>
      <c r="D56" s="15" t="n"/>
      <c r="E56" s="16" t="n"/>
      <c r="F56" s="16" t="n"/>
      <c r="G56" s="16" t="n"/>
      <c r="H56" s="16" t="n"/>
      <c r="I56" s="16" t="n"/>
      <c r="J56" s="16" t="n"/>
      <c r="K56" s="15" t="n"/>
      <c r="L56" s="15" t="n">
        <v>300</v>
      </c>
      <c r="M56" s="16" t="n">
        <v>391.1</v>
      </c>
      <c r="N56" s="16" t="n">
        <v>416.9</v>
      </c>
      <c r="O56" s="16" t="n">
        <v>415.2</v>
      </c>
      <c r="P56" s="16" t="n">
        <v>440.2</v>
      </c>
      <c r="Q56" s="16" t="n"/>
      <c r="R56" s="17" t="n"/>
    </row>
    <row r="57">
      <c r="A57" s="8" t="inlineStr">
        <is>
          <t>ヴォクシー</t>
        </is>
      </c>
      <c r="B57" s="8" t="inlineStr">
        <is>
          <t>90系</t>
        </is>
      </c>
      <c r="C57" s="8" t="n">
        <v>2026</v>
      </c>
      <c r="D57" s="11" t="n"/>
      <c r="E57" s="10" t="n"/>
      <c r="F57" s="10" t="n"/>
      <c r="G57" s="10" t="n"/>
      <c r="H57" s="10" t="n"/>
      <c r="I57" s="10" t="n"/>
      <c r="J57" s="10" t="n"/>
      <c r="K57" s="11" t="n"/>
      <c r="L57" s="11" t="n">
        <v>186</v>
      </c>
      <c r="M57" s="10" t="n">
        <v>440</v>
      </c>
      <c r="N57" s="10" t="n">
        <v>469</v>
      </c>
      <c r="O57" s="10" t="n">
        <v>454.8</v>
      </c>
      <c r="P57" s="10" t="n">
        <v>479.8</v>
      </c>
      <c r="Q57" s="10" t="n"/>
      <c r="R57" s="9" t="n"/>
    </row>
    <row r="58">
      <c r="A58" s="13" t="inlineStr">
        <is>
          <t>エスクァイア</t>
        </is>
      </c>
      <c r="B58" s="13" t="inlineStr"/>
      <c r="C58" s="13" t="n">
        <v>2014</v>
      </c>
      <c r="D58" s="15" t="n">
        <v>3</v>
      </c>
      <c r="E58" s="16" t="n">
        <v>54.3</v>
      </c>
      <c r="F58" s="16" t="n">
        <v>79.7</v>
      </c>
      <c r="G58" s="16" t="n">
        <v>105</v>
      </c>
      <c r="H58" s="16" t="n">
        <v>104.1</v>
      </c>
      <c r="I58" s="16" t="n">
        <v>129</v>
      </c>
      <c r="J58" s="16" t="n">
        <v>153</v>
      </c>
      <c r="K58" s="15" t="n">
        <v>125435</v>
      </c>
      <c r="L58" s="15" t="n">
        <v>51</v>
      </c>
      <c r="M58" s="16" t="n">
        <v>98.5</v>
      </c>
      <c r="N58" s="16" t="n">
        <v>122</v>
      </c>
      <c r="O58" s="16" t="n">
        <v>126.4</v>
      </c>
      <c r="P58" s="16" t="n">
        <v>152.2</v>
      </c>
      <c r="Q58" s="16" t="n">
        <v>17</v>
      </c>
      <c r="R58" s="17" t="n">
        <v>16.2</v>
      </c>
    </row>
    <row r="59">
      <c r="A59" s="8" t="inlineStr">
        <is>
          <t>エスクァイア</t>
        </is>
      </c>
      <c r="B59" s="8" t="inlineStr">
        <is>
          <t>80系</t>
        </is>
      </c>
      <c r="C59" s="8" t="n">
        <v>2015</v>
      </c>
      <c r="D59" s="11" t="n">
        <v>9</v>
      </c>
      <c r="E59" s="10" t="n">
        <v>49.8</v>
      </c>
      <c r="F59" s="10" t="n">
        <v>58.9</v>
      </c>
      <c r="G59" s="10" t="n">
        <v>64.5</v>
      </c>
      <c r="H59" s="10" t="n">
        <v>74.3</v>
      </c>
      <c r="I59" s="10" t="n">
        <v>90</v>
      </c>
      <c r="J59" s="10" t="n">
        <v>110</v>
      </c>
      <c r="K59" s="11" t="n">
        <v>154500</v>
      </c>
      <c r="L59" s="11" t="n">
        <v>232</v>
      </c>
      <c r="M59" s="10" t="n">
        <v>104.5</v>
      </c>
      <c r="N59" s="10" t="n">
        <v>135.9</v>
      </c>
      <c r="O59" s="10" t="n">
        <v>138.4</v>
      </c>
      <c r="P59" s="10" t="n">
        <v>164.5</v>
      </c>
      <c r="Q59" s="10" t="n">
        <v>71.40000000000001</v>
      </c>
      <c r="R59" s="9" t="n">
        <v>110.7</v>
      </c>
    </row>
    <row r="60">
      <c r="A60" s="13" t="inlineStr">
        <is>
          <t>エスクァイア</t>
        </is>
      </c>
      <c r="B60" s="13" t="inlineStr">
        <is>
          <t>80系</t>
        </is>
      </c>
      <c r="C60" s="13" t="n">
        <v>2016</v>
      </c>
      <c r="D60" s="15" t="n">
        <v>2</v>
      </c>
      <c r="E60" s="16" t="n">
        <v>61.4</v>
      </c>
      <c r="F60" s="16" t="n">
        <v>83.5</v>
      </c>
      <c r="G60" s="16" t="n">
        <v>105.7</v>
      </c>
      <c r="H60" s="16" t="n">
        <v>105.7</v>
      </c>
      <c r="I60" s="16" t="n">
        <v>127.8</v>
      </c>
      <c r="J60" s="16" t="n">
        <v>150</v>
      </c>
      <c r="K60" s="15" t="n">
        <v>140184</v>
      </c>
      <c r="L60" s="15" t="n">
        <v>139</v>
      </c>
      <c r="M60" s="16" t="n">
        <v>127.7</v>
      </c>
      <c r="N60" s="16" t="n">
        <v>152</v>
      </c>
      <c r="O60" s="16" t="n">
        <v>155.4</v>
      </c>
      <c r="P60" s="16" t="n">
        <v>179.5</v>
      </c>
      <c r="Q60" s="16" t="n">
        <v>46.3</v>
      </c>
      <c r="R60" s="17" t="n">
        <v>43.8</v>
      </c>
    </row>
    <row r="61">
      <c r="A61" s="8" t="inlineStr">
        <is>
          <t>エスクァイア</t>
        </is>
      </c>
      <c r="B61" s="8" t="inlineStr">
        <is>
          <t>80系</t>
        </is>
      </c>
      <c r="C61" s="8" t="n">
        <v>2017</v>
      </c>
      <c r="D61" s="11" t="n">
        <v>1</v>
      </c>
      <c r="E61" s="10" t="n">
        <v>58.2</v>
      </c>
      <c r="F61" s="10" t="n">
        <v>58.2</v>
      </c>
      <c r="G61" s="10" t="n">
        <v>58.2</v>
      </c>
      <c r="H61" s="10" t="n">
        <v>58.2</v>
      </c>
      <c r="I61" s="10" t="n">
        <v>58.2</v>
      </c>
      <c r="J61" s="10" t="n">
        <v>58.2</v>
      </c>
      <c r="K61" s="11" t="n">
        <v>284630</v>
      </c>
      <c r="L61" s="11" t="n">
        <v>189</v>
      </c>
      <c r="M61" s="10" t="n">
        <v>150.3</v>
      </c>
      <c r="N61" s="10" t="n">
        <v>180.4</v>
      </c>
      <c r="O61" s="10" t="n">
        <v>185.5</v>
      </c>
      <c r="P61" s="10" t="n">
        <v>223</v>
      </c>
      <c r="Q61" s="10" t="n">
        <v>122.2</v>
      </c>
      <c r="R61" s="9" t="n">
        <v>210</v>
      </c>
    </row>
    <row r="62">
      <c r="A62" s="13" t="inlineStr">
        <is>
          <t>エスクァイア</t>
        </is>
      </c>
      <c r="B62" s="13" t="inlineStr">
        <is>
          <t>80系</t>
        </is>
      </c>
      <c r="C62" s="13" t="n">
        <v>2018</v>
      </c>
      <c r="D62" s="15" t="n"/>
      <c r="E62" s="16" t="n"/>
      <c r="F62" s="16" t="n"/>
      <c r="G62" s="16" t="n"/>
      <c r="H62" s="16" t="n"/>
      <c r="I62" s="16" t="n"/>
      <c r="J62" s="16" t="n"/>
      <c r="K62" s="15" t="n"/>
      <c r="L62" s="15" t="n">
        <v>174</v>
      </c>
      <c r="M62" s="16" t="n">
        <v>179.6</v>
      </c>
      <c r="N62" s="16" t="n">
        <v>215</v>
      </c>
      <c r="O62" s="16" t="n">
        <v>212.6</v>
      </c>
      <c r="P62" s="16" t="n">
        <v>244</v>
      </c>
      <c r="Q62" s="16" t="n"/>
      <c r="R62" s="17" t="n"/>
    </row>
    <row r="63">
      <c r="A63" s="8" t="inlineStr">
        <is>
          <t>エスクァイア</t>
        </is>
      </c>
      <c r="B63" s="8" t="inlineStr">
        <is>
          <t>80系</t>
        </is>
      </c>
      <c r="C63" s="8" t="n">
        <v>2019</v>
      </c>
      <c r="D63" s="11" t="n"/>
      <c r="E63" s="10" t="n"/>
      <c r="F63" s="10" t="n"/>
      <c r="G63" s="10" t="n"/>
      <c r="H63" s="10" t="n"/>
      <c r="I63" s="10" t="n"/>
      <c r="J63" s="10" t="n"/>
      <c r="K63" s="11" t="n"/>
      <c r="L63" s="11" t="n">
        <v>198</v>
      </c>
      <c r="M63" s="10" t="n">
        <v>209.3</v>
      </c>
      <c r="N63" s="10" t="n">
        <v>239.1</v>
      </c>
      <c r="O63" s="10" t="n">
        <v>235.7</v>
      </c>
      <c r="P63" s="10" t="n">
        <v>264.2</v>
      </c>
      <c r="Q63" s="10" t="n"/>
      <c r="R63" s="9" t="n"/>
    </row>
    <row r="64">
      <c r="A64" s="13" t="inlineStr">
        <is>
          <t>エスクァイア</t>
        </is>
      </c>
      <c r="B64" s="13" t="inlineStr">
        <is>
          <t>80系</t>
        </is>
      </c>
      <c r="C64" s="13" t="n">
        <v>2020</v>
      </c>
      <c r="D64" s="15" t="n"/>
      <c r="E64" s="16" t="n"/>
      <c r="F64" s="16" t="n"/>
      <c r="G64" s="16" t="n"/>
      <c r="H64" s="16" t="n"/>
      <c r="I64" s="16" t="n"/>
      <c r="J64" s="16" t="n"/>
      <c r="K64" s="15" t="n"/>
      <c r="L64" s="15" t="n">
        <v>124</v>
      </c>
      <c r="M64" s="16" t="n">
        <v>232</v>
      </c>
      <c r="N64" s="16" t="n">
        <v>253.9</v>
      </c>
      <c r="O64" s="16" t="n">
        <v>250.8</v>
      </c>
      <c r="P64" s="16" t="n">
        <v>274.6</v>
      </c>
      <c r="Q64" s="16" t="n"/>
      <c r="R64" s="17" t="n"/>
    </row>
    <row r="65">
      <c r="A65" s="8" t="inlineStr">
        <is>
          <t>エスクァイア</t>
        </is>
      </c>
      <c r="B65" s="8" t="inlineStr">
        <is>
          <t>80系</t>
        </is>
      </c>
      <c r="C65" s="8" t="n">
        <v>2021</v>
      </c>
      <c r="D65" s="11" t="n"/>
      <c r="E65" s="10" t="n"/>
      <c r="F65" s="10" t="n"/>
      <c r="G65" s="10" t="n"/>
      <c r="H65" s="10" t="n"/>
      <c r="I65" s="10" t="n"/>
      <c r="J65" s="10" t="n"/>
      <c r="K65" s="11" t="n"/>
      <c r="L65" s="11" t="n">
        <v>120</v>
      </c>
      <c r="M65" s="10" t="n">
        <v>259.3</v>
      </c>
      <c r="N65" s="10" t="n">
        <v>281.3</v>
      </c>
      <c r="O65" s="10" t="n">
        <v>282.7</v>
      </c>
      <c r="P65" s="10" t="n">
        <v>300.6</v>
      </c>
      <c r="Q65" s="10" t="n"/>
      <c r="R65" s="9" t="n"/>
    </row>
    <row r="66">
      <c r="A66" s="13" t="inlineStr">
        <is>
          <t>エスクァイア</t>
        </is>
      </c>
      <c r="B66" s="13" t="inlineStr"/>
      <c r="C66" s="13" t="n">
        <v>2022</v>
      </c>
      <c r="D66" s="15" t="n"/>
      <c r="E66" s="16" t="n"/>
      <c r="F66" s="16" t="n"/>
      <c r="G66" s="16" t="n"/>
      <c r="H66" s="16" t="n"/>
      <c r="I66" s="16" t="n"/>
      <c r="J66" s="16" t="n"/>
      <c r="K66" s="15" t="n"/>
      <c r="L66" s="15" t="n">
        <v>2</v>
      </c>
      <c r="M66" s="16" t="n">
        <v>275</v>
      </c>
      <c r="N66" s="16" t="n">
        <v>285</v>
      </c>
      <c r="O66" s="16" t="n">
        <v>305</v>
      </c>
      <c r="P66" s="16" t="n">
        <v>335</v>
      </c>
      <c r="Q66" s="16" t="n"/>
      <c r="R66" s="17" t="n"/>
    </row>
    <row r="67">
      <c r="A67" s="8" t="inlineStr">
        <is>
          <t>シエンタ</t>
        </is>
      </c>
      <c r="B67" s="8" t="inlineStr">
        <is>
          <t>80系</t>
        </is>
      </c>
      <c r="C67" s="8" t="n">
        <v>2013</v>
      </c>
      <c r="D67" s="11" t="n">
        <v>2</v>
      </c>
      <c r="E67" s="10" t="n">
        <v>20</v>
      </c>
      <c r="F67" s="10" t="n">
        <v>26.2</v>
      </c>
      <c r="G67" s="10" t="n">
        <v>32.5</v>
      </c>
      <c r="H67" s="10" t="n">
        <v>32.5</v>
      </c>
      <c r="I67" s="10" t="n">
        <v>38.8</v>
      </c>
      <c r="J67" s="10" t="n">
        <v>45</v>
      </c>
      <c r="K67" s="11" t="n">
        <v>165020</v>
      </c>
      <c r="L67" s="11" t="n">
        <v>50</v>
      </c>
      <c r="M67" s="10" t="n">
        <v>45.4</v>
      </c>
      <c r="N67" s="10" t="n">
        <v>55.8</v>
      </c>
      <c r="O67" s="10" t="n">
        <v>58.8</v>
      </c>
      <c r="P67" s="10" t="n">
        <v>70</v>
      </c>
      <c r="Q67" s="10" t="n">
        <v>23.3</v>
      </c>
      <c r="R67" s="9" t="n">
        <v>71.7</v>
      </c>
    </row>
    <row r="68">
      <c r="A68" s="13" t="inlineStr">
        <is>
          <t>シエンタ</t>
        </is>
      </c>
      <c r="B68" s="13" t="inlineStr">
        <is>
          <t>80系</t>
        </is>
      </c>
      <c r="C68" s="13" t="n">
        <v>2014</v>
      </c>
      <c r="D68" s="15" t="n"/>
      <c r="E68" s="16" t="n"/>
      <c r="F68" s="16" t="n"/>
      <c r="G68" s="16" t="n"/>
      <c r="H68" s="16" t="n"/>
      <c r="I68" s="16" t="n"/>
      <c r="J68" s="16" t="n"/>
      <c r="K68" s="15" t="n"/>
      <c r="L68" s="15" t="n">
        <v>31</v>
      </c>
      <c r="M68" s="16" t="n">
        <v>59.2</v>
      </c>
      <c r="N68" s="16" t="n">
        <v>73.59999999999999</v>
      </c>
      <c r="O68" s="16" t="n">
        <v>84.8</v>
      </c>
      <c r="P68" s="16" t="n">
        <v>89.40000000000001</v>
      </c>
      <c r="Q68" s="16" t="n"/>
      <c r="R68" s="17" t="n"/>
    </row>
    <row r="69">
      <c r="A69" s="8" t="inlineStr">
        <is>
          <t>シエンタ</t>
        </is>
      </c>
      <c r="B69" s="8" t="inlineStr"/>
      <c r="C69" s="8" t="n">
        <v>2015</v>
      </c>
      <c r="D69" s="11" t="n">
        <v>10</v>
      </c>
      <c r="E69" s="10" t="n">
        <v>40</v>
      </c>
      <c r="F69" s="10" t="n">
        <v>48.4</v>
      </c>
      <c r="G69" s="10" t="n">
        <v>55.5</v>
      </c>
      <c r="H69" s="10" t="n">
        <v>55.8</v>
      </c>
      <c r="I69" s="10" t="n">
        <v>65</v>
      </c>
      <c r="J69" s="10" t="n">
        <v>71.90000000000001</v>
      </c>
      <c r="K69" s="11" t="n">
        <v>102250</v>
      </c>
      <c r="L69" s="11" t="n">
        <v>383</v>
      </c>
      <c r="M69" s="10" t="n">
        <v>80.5</v>
      </c>
      <c r="N69" s="10" t="n">
        <v>99.5</v>
      </c>
      <c r="O69" s="10" t="n">
        <v>100.1</v>
      </c>
      <c r="P69" s="10" t="n">
        <v>120.4</v>
      </c>
      <c r="Q69" s="10" t="n">
        <v>44</v>
      </c>
      <c r="R69" s="9" t="n">
        <v>79.3</v>
      </c>
    </row>
    <row r="70">
      <c r="A70" s="13" t="inlineStr">
        <is>
          <t>シエンタ</t>
        </is>
      </c>
      <c r="B70" s="13" t="inlineStr">
        <is>
          <t>170系</t>
        </is>
      </c>
      <c r="C70" s="13" t="n">
        <v>2016</v>
      </c>
      <c r="D70" s="15" t="n">
        <v>6</v>
      </c>
      <c r="E70" s="16" t="n">
        <v>32.8</v>
      </c>
      <c r="F70" s="16" t="n">
        <v>37.5</v>
      </c>
      <c r="G70" s="16" t="n">
        <v>41.4</v>
      </c>
      <c r="H70" s="16" t="n">
        <v>43.3</v>
      </c>
      <c r="I70" s="16" t="n">
        <v>43.8</v>
      </c>
      <c r="J70" s="16" t="n">
        <v>63.5</v>
      </c>
      <c r="K70" s="15" t="n">
        <v>220000</v>
      </c>
      <c r="L70" s="15" t="n">
        <v>547</v>
      </c>
      <c r="M70" s="16" t="n">
        <v>87.40000000000001</v>
      </c>
      <c r="N70" s="16" t="n">
        <v>107.4</v>
      </c>
      <c r="O70" s="16" t="n">
        <v>108.6</v>
      </c>
      <c r="P70" s="16" t="n">
        <v>128.9</v>
      </c>
      <c r="Q70" s="16" t="n">
        <v>66</v>
      </c>
      <c r="R70" s="17" t="n">
        <v>159.4</v>
      </c>
    </row>
    <row r="71">
      <c r="A71" s="8" t="inlineStr">
        <is>
          <t>シエンタ</t>
        </is>
      </c>
      <c r="B71" s="8" t="inlineStr">
        <is>
          <t>170系</t>
        </is>
      </c>
      <c r="C71" s="8" t="n">
        <v>2017</v>
      </c>
      <c r="D71" s="11" t="n">
        <v>4</v>
      </c>
      <c r="E71" s="10" t="n">
        <v>25</v>
      </c>
      <c r="F71" s="10" t="n">
        <v>36</v>
      </c>
      <c r="G71" s="10" t="n">
        <v>55</v>
      </c>
      <c r="H71" s="10" t="n">
        <v>54.5</v>
      </c>
      <c r="I71" s="10" t="n">
        <v>73.59999999999999</v>
      </c>
      <c r="J71" s="10" t="n">
        <v>83.09999999999999</v>
      </c>
      <c r="K71" s="11" t="n">
        <v>126000</v>
      </c>
      <c r="L71" s="11" t="n">
        <v>475</v>
      </c>
      <c r="M71" s="10" t="n">
        <v>100.9</v>
      </c>
      <c r="N71" s="10" t="n">
        <v>120.4</v>
      </c>
      <c r="O71" s="10" t="n">
        <v>119.7</v>
      </c>
      <c r="P71" s="10" t="n">
        <v>138.1</v>
      </c>
      <c r="Q71" s="10" t="n">
        <v>65.40000000000001</v>
      </c>
      <c r="R71" s="9" t="n">
        <v>118.9</v>
      </c>
    </row>
    <row r="72">
      <c r="A72" s="13" t="inlineStr">
        <is>
          <t>シエンタ</t>
        </is>
      </c>
      <c r="B72" s="13" t="inlineStr">
        <is>
          <t>170系</t>
        </is>
      </c>
      <c r="C72" s="13" t="n">
        <v>2018</v>
      </c>
      <c r="D72" s="15" t="n">
        <v>1</v>
      </c>
      <c r="E72" s="16" t="n">
        <v>165.1</v>
      </c>
      <c r="F72" s="16" t="n">
        <v>165.1</v>
      </c>
      <c r="G72" s="16" t="n">
        <v>165.1</v>
      </c>
      <c r="H72" s="16" t="n">
        <v>165.1</v>
      </c>
      <c r="I72" s="16" t="n">
        <v>165.1</v>
      </c>
      <c r="J72" s="16" t="n">
        <v>165.1</v>
      </c>
      <c r="K72" s="15" t="n">
        <v>43793</v>
      </c>
      <c r="L72" s="15" t="n">
        <v>450</v>
      </c>
      <c r="M72" s="16" t="n">
        <v>121.5</v>
      </c>
      <c r="N72" s="16" t="n">
        <v>141.3</v>
      </c>
      <c r="O72" s="16" t="n">
        <v>140.5</v>
      </c>
      <c r="P72" s="16" t="n">
        <v>159.9</v>
      </c>
      <c r="Q72" s="16" t="n">
        <v>-23.8</v>
      </c>
      <c r="R72" s="17" t="n">
        <v>-14.4</v>
      </c>
    </row>
    <row r="73">
      <c r="A73" s="8" t="inlineStr">
        <is>
          <t>シエンタ</t>
        </is>
      </c>
      <c r="B73" s="8" t="inlineStr">
        <is>
          <t>170系</t>
        </is>
      </c>
      <c r="C73" s="8" t="n">
        <v>2019</v>
      </c>
      <c r="D73" s="11" t="n">
        <v>6</v>
      </c>
      <c r="E73" s="10" t="n">
        <v>71.7</v>
      </c>
      <c r="F73" s="10" t="n">
        <v>80.59999999999999</v>
      </c>
      <c r="G73" s="10" t="n">
        <v>101.4</v>
      </c>
      <c r="H73" s="10" t="n">
        <v>112.3</v>
      </c>
      <c r="I73" s="10" t="n">
        <v>120.2</v>
      </c>
      <c r="J73" s="10" t="n">
        <v>198.9</v>
      </c>
      <c r="K73" s="11" t="n">
        <v>75334</v>
      </c>
      <c r="L73" s="11" t="n">
        <v>519</v>
      </c>
      <c r="M73" s="10" t="n">
        <v>142.1</v>
      </c>
      <c r="N73" s="10" t="n">
        <v>161.6</v>
      </c>
      <c r="O73" s="10" t="n">
        <v>160.2</v>
      </c>
      <c r="P73" s="10" t="n">
        <v>177.4</v>
      </c>
      <c r="Q73" s="10" t="n">
        <v>60.2</v>
      </c>
      <c r="R73" s="9" t="n">
        <v>59.4</v>
      </c>
    </row>
    <row r="74">
      <c r="A74" s="13" t="inlineStr">
        <is>
          <t>シエンタ</t>
        </is>
      </c>
      <c r="B74" s="13" t="inlineStr">
        <is>
          <t>170系</t>
        </is>
      </c>
      <c r="C74" s="13" t="n">
        <v>2020</v>
      </c>
      <c r="D74" s="15" t="n">
        <v>2</v>
      </c>
      <c r="E74" s="16" t="n">
        <v>90.3</v>
      </c>
      <c r="F74" s="16" t="n">
        <v>94.5</v>
      </c>
      <c r="G74" s="16" t="n">
        <v>98.7</v>
      </c>
      <c r="H74" s="16" t="n">
        <v>98.7</v>
      </c>
      <c r="I74" s="16" t="n">
        <v>102.8</v>
      </c>
      <c r="J74" s="16" t="n">
        <v>107</v>
      </c>
      <c r="K74" s="15" t="n">
        <v>62000</v>
      </c>
      <c r="L74" s="15" t="n">
        <v>264</v>
      </c>
      <c r="M74" s="16" t="n">
        <v>147.1</v>
      </c>
      <c r="N74" s="16" t="n">
        <v>170.3</v>
      </c>
      <c r="O74" s="16" t="n">
        <v>168.8</v>
      </c>
      <c r="P74" s="16" t="n">
        <v>190.2</v>
      </c>
      <c r="Q74" s="16" t="n">
        <v>71.59999999999999</v>
      </c>
      <c r="R74" s="17" t="n">
        <v>72.5</v>
      </c>
    </row>
    <row r="75">
      <c r="A75" s="8" t="inlineStr">
        <is>
          <t>シエンタ</t>
        </is>
      </c>
      <c r="B75" s="8" t="inlineStr">
        <is>
          <t>170系</t>
        </is>
      </c>
      <c r="C75" s="8" t="n">
        <v>2021</v>
      </c>
      <c r="D75" s="11" t="n">
        <v>1</v>
      </c>
      <c r="E75" s="10" t="n">
        <v>81</v>
      </c>
      <c r="F75" s="10" t="n">
        <v>81</v>
      </c>
      <c r="G75" s="10" t="n">
        <v>81</v>
      </c>
      <c r="H75" s="10" t="n">
        <v>81</v>
      </c>
      <c r="I75" s="10" t="n">
        <v>81</v>
      </c>
      <c r="J75" s="10" t="n">
        <v>81</v>
      </c>
      <c r="K75" s="11" t="n">
        <v>25500</v>
      </c>
      <c r="L75" s="11" t="n">
        <v>421</v>
      </c>
      <c r="M75" s="10" t="n">
        <v>164</v>
      </c>
      <c r="N75" s="10" t="n">
        <v>181.9</v>
      </c>
      <c r="O75" s="10" t="n">
        <v>180.4</v>
      </c>
      <c r="P75" s="10" t="n">
        <v>198.1</v>
      </c>
      <c r="Q75" s="10" t="n">
        <v>100.9</v>
      </c>
      <c r="R75" s="9" t="n">
        <v>124.6</v>
      </c>
    </row>
    <row r="76">
      <c r="A76" s="13" t="inlineStr">
        <is>
          <t>シエンタ</t>
        </is>
      </c>
      <c r="B76" s="13" t="inlineStr">
        <is>
          <t>170系</t>
        </is>
      </c>
      <c r="C76" s="13" t="n">
        <v>2022</v>
      </c>
      <c r="D76" s="15" t="n">
        <v>1</v>
      </c>
      <c r="E76" s="16" t="n">
        <v>120.1</v>
      </c>
      <c r="F76" s="16" t="n">
        <v>120.1</v>
      </c>
      <c r="G76" s="16" t="n">
        <v>120.1</v>
      </c>
      <c r="H76" s="16" t="n">
        <v>120.1</v>
      </c>
      <c r="I76" s="16" t="n">
        <v>120.1</v>
      </c>
      <c r="J76" s="16" t="n">
        <v>120.1</v>
      </c>
      <c r="K76" s="15" t="n"/>
      <c r="L76" s="15" t="n">
        <v>453</v>
      </c>
      <c r="M76" s="16" t="n">
        <v>204.5</v>
      </c>
      <c r="N76" s="16" t="n">
        <v>237.9</v>
      </c>
      <c r="O76" s="16" t="n">
        <v>233.8</v>
      </c>
      <c r="P76" s="16" t="n">
        <v>265.1</v>
      </c>
      <c r="Q76" s="16" t="n">
        <v>117.8</v>
      </c>
      <c r="R76" s="17" t="n">
        <v>98.09999999999999</v>
      </c>
    </row>
    <row r="77">
      <c r="A77" s="8" t="inlineStr">
        <is>
          <t>シエンタ</t>
        </is>
      </c>
      <c r="B77" s="8" t="inlineStr">
        <is>
          <t>10系</t>
        </is>
      </c>
      <c r="C77" s="8" t="n">
        <v>2023</v>
      </c>
      <c r="D77" s="11" t="n">
        <v>2</v>
      </c>
      <c r="E77" s="10" t="n">
        <v>199.9</v>
      </c>
      <c r="F77" s="10" t="n">
        <v>204.9</v>
      </c>
      <c r="G77" s="10" t="n">
        <v>209.9</v>
      </c>
      <c r="H77" s="10" t="n">
        <v>209.9</v>
      </c>
      <c r="I77" s="10" t="n">
        <v>215</v>
      </c>
      <c r="J77" s="10" t="n">
        <v>220</v>
      </c>
      <c r="K77" s="11" t="n">
        <v>35500</v>
      </c>
      <c r="L77" s="11" t="n">
        <v>951</v>
      </c>
      <c r="M77" s="10" t="n">
        <v>241.2</v>
      </c>
      <c r="N77" s="10" t="n">
        <v>264.7</v>
      </c>
      <c r="O77" s="10" t="n">
        <v>261</v>
      </c>
      <c r="P77" s="10" t="n">
        <v>282.9</v>
      </c>
      <c r="Q77" s="10" t="n">
        <v>54.8</v>
      </c>
      <c r="R77" s="9" t="n">
        <v>26.1</v>
      </c>
    </row>
    <row r="78">
      <c r="A78" s="13" t="inlineStr">
        <is>
          <t>シエンタ</t>
        </is>
      </c>
      <c r="B78" s="13" t="inlineStr">
        <is>
          <t>10系</t>
        </is>
      </c>
      <c r="C78" s="13" t="n">
        <v>2024</v>
      </c>
      <c r="D78" s="15" t="n">
        <v>3</v>
      </c>
      <c r="E78" s="16" t="n">
        <v>145.2</v>
      </c>
      <c r="F78" s="16" t="n">
        <v>152.6</v>
      </c>
      <c r="G78" s="16" t="n">
        <v>160.1</v>
      </c>
      <c r="H78" s="16" t="n">
        <v>172.2</v>
      </c>
      <c r="I78" s="16" t="n">
        <v>185.7</v>
      </c>
      <c r="J78" s="16" t="n">
        <v>211.3</v>
      </c>
      <c r="K78" s="15" t="n">
        <v>35130</v>
      </c>
      <c r="L78" s="15" t="n">
        <v>383</v>
      </c>
      <c r="M78" s="16" t="n">
        <v>253</v>
      </c>
      <c r="N78" s="16" t="n">
        <v>279.1</v>
      </c>
      <c r="O78" s="16" t="n">
        <v>274.6</v>
      </c>
      <c r="P78" s="16" t="n">
        <v>298.6</v>
      </c>
      <c r="Q78" s="16" t="n">
        <v>119</v>
      </c>
      <c r="R78" s="17" t="n">
        <v>74.3</v>
      </c>
    </row>
    <row r="79">
      <c r="A79" s="8" t="inlineStr">
        <is>
          <t>シエンタ</t>
        </is>
      </c>
      <c r="B79" s="8" t="inlineStr">
        <is>
          <t>10系</t>
        </is>
      </c>
      <c r="C79" s="8" t="n">
        <v>2025</v>
      </c>
      <c r="D79" s="11" t="n">
        <v>1</v>
      </c>
      <c r="E79" s="10" t="n">
        <v>165.1</v>
      </c>
      <c r="F79" s="10" t="n">
        <v>165.1</v>
      </c>
      <c r="G79" s="10" t="n">
        <v>165.1</v>
      </c>
      <c r="H79" s="10" t="n">
        <v>165.1</v>
      </c>
      <c r="I79" s="10" t="n">
        <v>165.1</v>
      </c>
      <c r="J79" s="10" t="n">
        <v>165.1</v>
      </c>
      <c r="K79" s="11" t="n">
        <v>4200</v>
      </c>
      <c r="L79" s="11" t="n">
        <v>269</v>
      </c>
      <c r="M79" s="10" t="n">
        <v>279</v>
      </c>
      <c r="N79" s="10" t="n">
        <v>303.6</v>
      </c>
      <c r="O79" s="10" t="n">
        <v>297.2</v>
      </c>
      <c r="P79" s="10" t="n">
        <v>318.4</v>
      </c>
      <c r="Q79" s="10" t="n">
        <v>138.5</v>
      </c>
      <c r="R79" s="9" t="n">
        <v>83.90000000000001</v>
      </c>
    </row>
    <row r="80">
      <c r="A80" s="13" t="inlineStr">
        <is>
          <t>シエンタ</t>
        </is>
      </c>
      <c r="B80" s="13" t="inlineStr">
        <is>
          <t>10系</t>
        </is>
      </c>
      <c r="C80" s="13" t="n">
        <v>2026</v>
      </c>
      <c r="D80" s="15" t="n"/>
      <c r="E80" s="16" t="n"/>
      <c r="F80" s="16" t="n"/>
      <c r="G80" s="16" t="n"/>
      <c r="H80" s="16" t="n"/>
      <c r="I80" s="16" t="n"/>
      <c r="J80" s="16" t="n"/>
      <c r="K80" s="15" t="n"/>
      <c r="L80" s="15" t="n">
        <v>372</v>
      </c>
      <c r="M80" s="16" t="n">
        <v>320</v>
      </c>
      <c r="N80" s="16" t="n">
        <v>340.7</v>
      </c>
      <c r="O80" s="16" t="n">
        <v>331.5</v>
      </c>
      <c r="P80" s="16" t="n">
        <v>353.1</v>
      </c>
      <c r="Q80" s="16" t="n"/>
      <c r="R80" s="17" t="n"/>
    </row>
    <row r="81">
      <c r="A81" s="8" t="inlineStr">
        <is>
          <t>エスティマ</t>
        </is>
      </c>
      <c r="B81" s="8" t="inlineStr">
        <is>
          <t>50系</t>
        </is>
      </c>
      <c r="C81" s="8" t="n">
        <v>2013</v>
      </c>
      <c r="D81" s="11" t="n">
        <v>10</v>
      </c>
      <c r="E81" s="10" t="n">
        <v>32.8</v>
      </c>
      <c r="F81" s="10" t="n">
        <v>38.5</v>
      </c>
      <c r="G81" s="10" t="n">
        <v>43.5</v>
      </c>
      <c r="H81" s="10" t="n">
        <v>45.2</v>
      </c>
      <c r="I81" s="10" t="n">
        <v>49.9</v>
      </c>
      <c r="J81" s="10" t="n">
        <v>66.8</v>
      </c>
      <c r="K81" s="11" t="n">
        <v>148827</v>
      </c>
      <c r="L81" s="11" t="n">
        <v>194</v>
      </c>
      <c r="M81" s="10" t="n">
        <v>70.09999999999999</v>
      </c>
      <c r="N81" s="10" t="n">
        <v>93.5</v>
      </c>
      <c r="O81" s="10" t="n">
        <v>101.1</v>
      </c>
      <c r="P81" s="10" t="n">
        <v>123.9</v>
      </c>
      <c r="Q81" s="10" t="n">
        <v>50</v>
      </c>
      <c r="R81" s="9" t="n">
        <v>114.9</v>
      </c>
    </row>
    <row r="82">
      <c r="A82" s="13" t="inlineStr">
        <is>
          <t>エスティマ</t>
        </is>
      </c>
      <c r="B82" s="13" t="inlineStr">
        <is>
          <t>50系</t>
        </is>
      </c>
      <c r="C82" s="13" t="n">
        <v>2014</v>
      </c>
      <c r="D82" s="15" t="n">
        <v>4</v>
      </c>
      <c r="E82" s="16" t="n">
        <v>33.5</v>
      </c>
      <c r="F82" s="16" t="n">
        <v>38.2</v>
      </c>
      <c r="G82" s="16" t="n">
        <v>46.8</v>
      </c>
      <c r="H82" s="16" t="n">
        <v>46.8</v>
      </c>
      <c r="I82" s="16" t="n">
        <v>55.4</v>
      </c>
      <c r="J82" s="16" t="n">
        <v>60.1</v>
      </c>
      <c r="K82" s="15" t="n">
        <v>269500</v>
      </c>
      <c r="L82" s="15" t="n">
        <v>97</v>
      </c>
      <c r="M82" s="16" t="n">
        <v>81.59999999999999</v>
      </c>
      <c r="N82" s="16" t="n">
        <v>114.2</v>
      </c>
      <c r="O82" s="16" t="n">
        <v>117.2</v>
      </c>
      <c r="P82" s="16" t="n">
        <v>148.8</v>
      </c>
      <c r="Q82" s="16" t="n">
        <v>67.40000000000001</v>
      </c>
      <c r="R82" s="17" t="n">
        <v>144</v>
      </c>
    </row>
    <row r="83">
      <c r="A83" s="8" t="inlineStr">
        <is>
          <t>エスティマ</t>
        </is>
      </c>
      <c r="B83" s="8" t="inlineStr">
        <is>
          <t>50系</t>
        </is>
      </c>
      <c r="C83" s="8" t="n">
        <v>2015</v>
      </c>
      <c r="D83" s="11" t="n">
        <v>1</v>
      </c>
      <c r="E83" s="10" t="n">
        <v>85</v>
      </c>
      <c r="F83" s="10" t="n">
        <v>85</v>
      </c>
      <c r="G83" s="10" t="n">
        <v>85</v>
      </c>
      <c r="H83" s="10" t="n">
        <v>85</v>
      </c>
      <c r="I83" s="10" t="n">
        <v>85</v>
      </c>
      <c r="J83" s="10" t="n">
        <v>85</v>
      </c>
      <c r="K83" s="11" t="n">
        <v>180265</v>
      </c>
      <c r="L83" s="11" t="n">
        <v>71</v>
      </c>
      <c r="M83" s="10" t="n">
        <v>101.9</v>
      </c>
      <c r="N83" s="10" t="n">
        <v>134.2</v>
      </c>
      <c r="O83" s="10" t="n">
        <v>138.5</v>
      </c>
      <c r="P83" s="10" t="n">
        <v>173.5</v>
      </c>
      <c r="Q83" s="10" t="n">
        <v>49.2</v>
      </c>
      <c r="R83" s="9" t="n">
        <v>57.9</v>
      </c>
    </row>
    <row r="84">
      <c r="A84" s="13" t="inlineStr">
        <is>
          <t>エスティマ</t>
        </is>
      </c>
      <c r="B84" s="13" t="inlineStr">
        <is>
          <t>50系</t>
        </is>
      </c>
      <c r="C84" s="13" t="n">
        <v>2016</v>
      </c>
      <c r="D84" s="15" t="n">
        <v>1</v>
      </c>
      <c r="E84" s="16" t="n">
        <v>108.8</v>
      </c>
      <c r="F84" s="16" t="n">
        <v>108.8</v>
      </c>
      <c r="G84" s="16" t="n">
        <v>108.8</v>
      </c>
      <c r="H84" s="16" t="n">
        <v>108.8</v>
      </c>
      <c r="I84" s="16" t="n">
        <v>108.8</v>
      </c>
      <c r="J84" s="16" t="n">
        <v>108.8</v>
      </c>
      <c r="K84" s="15" t="n">
        <v>112960</v>
      </c>
      <c r="L84" s="15" t="n">
        <v>126</v>
      </c>
      <c r="M84" s="16" t="n">
        <v>143.8</v>
      </c>
      <c r="N84" s="16" t="n">
        <v>185</v>
      </c>
      <c r="O84" s="16" t="n">
        <v>191</v>
      </c>
      <c r="P84" s="16" t="n">
        <v>220.8</v>
      </c>
      <c r="Q84" s="16" t="n">
        <v>76.2</v>
      </c>
      <c r="R84" s="17" t="n">
        <v>70</v>
      </c>
    </row>
    <row r="85">
      <c r="A85" s="8" t="inlineStr">
        <is>
          <t>エスティマ</t>
        </is>
      </c>
      <c r="B85" s="8" t="inlineStr">
        <is>
          <t>50系</t>
        </is>
      </c>
      <c r="C85" s="8" t="n">
        <v>2017</v>
      </c>
      <c r="D85" s="11" t="n">
        <v>2</v>
      </c>
      <c r="E85" s="10" t="n">
        <v>95.59999999999999</v>
      </c>
      <c r="F85" s="10" t="n">
        <v>95.8</v>
      </c>
      <c r="G85" s="10" t="n">
        <v>96</v>
      </c>
      <c r="H85" s="10" t="n">
        <v>96</v>
      </c>
      <c r="I85" s="10" t="n">
        <v>96.2</v>
      </c>
      <c r="J85" s="10" t="n">
        <v>96.40000000000001</v>
      </c>
      <c r="K85" s="11" t="n">
        <v>218500</v>
      </c>
      <c r="L85" s="11" t="n">
        <v>99</v>
      </c>
      <c r="M85" s="10" t="n">
        <v>164.6</v>
      </c>
      <c r="N85" s="10" t="n">
        <v>205.6</v>
      </c>
      <c r="O85" s="10" t="n">
        <v>216.1</v>
      </c>
      <c r="P85" s="10" t="n">
        <v>256.9</v>
      </c>
      <c r="Q85" s="10" t="n">
        <v>109.6</v>
      </c>
      <c r="R85" s="9" t="n">
        <v>114.2</v>
      </c>
    </row>
    <row r="86">
      <c r="A86" s="13" t="inlineStr">
        <is>
          <t>エスティマ</t>
        </is>
      </c>
      <c r="B86" s="13" t="inlineStr">
        <is>
          <t>50系</t>
        </is>
      </c>
      <c r="C86" s="13" t="n">
        <v>2018</v>
      </c>
      <c r="D86" s="15" t="n"/>
      <c r="E86" s="16" t="n"/>
      <c r="F86" s="16" t="n"/>
      <c r="G86" s="16" t="n"/>
      <c r="H86" s="16" t="n"/>
      <c r="I86" s="16" t="n"/>
      <c r="J86" s="16" t="n"/>
      <c r="K86" s="15" t="n"/>
      <c r="L86" s="15" t="n">
        <v>27</v>
      </c>
      <c r="M86" s="16" t="n">
        <v>193.3</v>
      </c>
      <c r="N86" s="16" t="n">
        <v>230.7</v>
      </c>
      <c r="O86" s="16" t="n">
        <v>233.9</v>
      </c>
      <c r="P86" s="16" t="n">
        <v>268</v>
      </c>
      <c r="Q86" s="16" t="n"/>
      <c r="R86" s="17" t="n"/>
    </row>
    <row r="87">
      <c r="A87" s="8" t="inlineStr">
        <is>
          <t>エスティマ</t>
        </is>
      </c>
      <c r="B87" s="8" t="inlineStr">
        <is>
          <t>50系</t>
        </is>
      </c>
      <c r="C87" s="8" t="n">
        <v>2019</v>
      </c>
      <c r="D87" s="11" t="n"/>
      <c r="E87" s="10" t="n"/>
      <c r="F87" s="10" t="n"/>
      <c r="G87" s="10" t="n"/>
      <c r="H87" s="10" t="n"/>
      <c r="I87" s="10" t="n"/>
      <c r="J87" s="10" t="n"/>
      <c r="K87" s="11" t="n"/>
      <c r="L87" s="11" t="n">
        <v>29</v>
      </c>
      <c r="M87" s="10" t="n">
        <v>205.8</v>
      </c>
      <c r="N87" s="10" t="n">
        <v>233</v>
      </c>
      <c r="O87" s="10" t="n">
        <v>253.3</v>
      </c>
      <c r="P87" s="10" t="n">
        <v>286.7</v>
      </c>
      <c r="Q87" s="10" t="n"/>
      <c r="R87" s="9" t="n"/>
    </row>
    <row r="88">
      <c r="A88" s="13" t="inlineStr">
        <is>
          <t>エスティマ</t>
        </is>
      </c>
      <c r="B88" s="13" t="inlineStr"/>
      <c r="C88" s="13" t="n">
        <v>2020</v>
      </c>
      <c r="D88" s="15" t="n"/>
      <c r="E88" s="16" t="n"/>
      <c r="F88" s="16" t="n"/>
      <c r="G88" s="16" t="n"/>
      <c r="H88" s="16" t="n"/>
      <c r="I88" s="16" t="n"/>
      <c r="J88" s="16" t="n"/>
      <c r="K88" s="15" t="n"/>
      <c r="L88" s="15" t="n">
        <v>1</v>
      </c>
      <c r="M88" s="16" t="n">
        <v>380</v>
      </c>
      <c r="N88" s="16" t="n">
        <v>385</v>
      </c>
      <c r="O88" s="16" t="n">
        <v>385</v>
      </c>
      <c r="P88" s="16" t="n">
        <v>390</v>
      </c>
      <c r="Q88" s="16" t="n"/>
      <c r="R88" s="17" t="n"/>
    </row>
    <row r="89">
      <c r="A89" s="8" t="inlineStr">
        <is>
          <t>ウィッシュ</t>
        </is>
      </c>
      <c r="B89" s="8" t="inlineStr">
        <is>
          <t>20系</t>
        </is>
      </c>
      <c r="C89" s="8" t="n">
        <v>2013</v>
      </c>
      <c r="D89" s="11" t="n"/>
      <c r="E89" s="10" t="n"/>
      <c r="F89" s="10" t="n"/>
      <c r="G89" s="10" t="n"/>
      <c r="H89" s="10" t="n"/>
      <c r="I89" s="10" t="n"/>
      <c r="J89" s="10" t="n"/>
      <c r="K89" s="11" t="n"/>
      <c r="L89" s="11" t="n">
        <v>12</v>
      </c>
      <c r="M89" s="10" t="n">
        <v>85</v>
      </c>
      <c r="N89" s="10" t="n">
        <v>125</v>
      </c>
      <c r="O89" s="10" t="n">
        <v>118.3</v>
      </c>
      <c r="P89" s="10" t="n">
        <v>155</v>
      </c>
      <c r="Q89" s="10" t="n"/>
      <c r="R89" s="9" t="n"/>
    </row>
    <row r="90">
      <c r="A90" s="13" t="inlineStr">
        <is>
          <t>ウィッシュ</t>
        </is>
      </c>
      <c r="B90" s="13" t="inlineStr">
        <is>
          <t>20系</t>
        </is>
      </c>
      <c r="C90" s="13" t="n">
        <v>2014</v>
      </c>
      <c r="D90" s="15" t="n"/>
      <c r="E90" s="16" t="n"/>
      <c r="F90" s="16" t="n"/>
      <c r="G90" s="16" t="n"/>
      <c r="H90" s="16" t="n"/>
      <c r="I90" s="16" t="n"/>
      <c r="J90" s="16" t="n"/>
      <c r="K90" s="15" t="n"/>
      <c r="L90" s="15" t="n">
        <v>4</v>
      </c>
      <c r="M90" s="16" t="n">
        <v>45</v>
      </c>
      <c r="N90" s="16" t="n">
        <v>65</v>
      </c>
      <c r="O90" s="16" t="n">
        <v>80</v>
      </c>
      <c r="P90" s="16" t="n">
        <v>85</v>
      </c>
      <c r="Q90" s="16" t="n"/>
      <c r="R90" s="17" t="n"/>
    </row>
    <row r="91">
      <c r="A91" s="8" t="inlineStr">
        <is>
          <t>ウィッシュ</t>
        </is>
      </c>
      <c r="B91" s="8" t="inlineStr">
        <is>
          <t>20系</t>
        </is>
      </c>
      <c r="C91" s="8" t="n">
        <v>2015</v>
      </c>
      <c r="D91" s="11" t="n"/>
      <c r="E91" s="10" t="n"/>
      <c r="F91" s="10" t="n"/>
      <c r="G91" s="10" t="n"/>
      <c r="H91" s="10" t="n"/>
      <c r="I91" s="10" t="n"/>
      <c r="J91" s="10" t="n"/>
      <c r="K91" s="11" t="n"/>
      <c r="L91" s="11" t="n">
        <v>6</v>
      </c>
      <c r="M91" s="10" t="n">
        <v>115</v>
      </c>
      <c r="N91" s="10" t="n">
        <v>131.7</v>
      </c>
      <c r="O91" s="10" t="n">
        <v>121.7</v>
      </c>
      <c r="P91" s="10" t="n">
        <v>141.7</v>
      </c>
      <c r="Q91" s="10" t="n"/>
      <c r="R91" s="9" t="n"/>
    </row>
    <row r="92">
      <c r="A92" s="13" t="inlineStr">
        <is>
          <t>ウィッシュ</t>
        </is>
      </c>
      <c r="B92" s="13" t="inlineStr">
        <is>
          <t>20系</t>
        </is>
      </c>
      <c r="C92" s="13" t="n">
        <v>2016</v>
      </c>
      <c r="D92" s="15" t="n"/>
      <c r="E92" s="16" t="n"/>
      <c r="F92" s="16" t="n"/>
      <c r="G92" s="16" t="n"/>
      <c r="H92" s="16" t="n"/>
      <c r="I92" s="16" t="n"/>
      <c r="J92" s="16" t="n"/>
      <c r="K92" s="15" t="n"/>
      <c r="L92" s="15" t="n">
        <v>4</v>
      </c>
      <c r="M92" s="16" t="n">
        <v>75</v>
      </c>
      <c r="N92" s="16" t="n">
        <v>85</v>
      </c>
      <c r="O92" s="16" t="n">
        <v>95</v>
      </c>
      <c r="P92" s="16" t="n">
        <v>105</v>
      </c>
      <c r="Q92" s="16" t="n"/>
      <c r="R92" s="17" t="n"/>
    </row>
    <row r="93">
      <c r="A93" s="8" t="inlineStr">
        <is>
          <t>ウィッシュ</t>
        </is>
      </c>
      <c r="B93" s="8" t="inlineStr">
        <is>
          <t>20系</t>
        </is>
      </c>
      <c r="C93" s="8" t="n">
        <v>2017</v>
      </c>
      <c r="D93" s="11" t="n"/>
      <c r="E93" s="10" t="n"/>
      <c r="F93" s="10" t="n"/>
      <c r="G93" s="10" t="n"/>
      <c r="H93" s="10" t="n"/>
      <c r="I93" s="10" t="n"/>
      <c r="J93" s="10" t="n"/>
      <c r="K93" s="11" t="n"/>
      <c r="L93" s="11" t="n">
        <v>6</v>
      </c>
      <c r="M93" s="10" t="n">
        <v>155</v>
      </c>
      <c r="N93" s="10" t="n">
        <v>170</v>
      </c>
      <c r="O93" s="10" t="n">
        <v>155</v>
      </c>
      <c r="P93" s="10" t="n">
        <v>177.5</v>
      </c>
      <c r="Q93" s="10" t="n"/>
      <c r="R93" s="9" t="n"/>
    </row>
    <row r="94">
      <c r="A94" s="13" t="inlineStr">
        <is>
          <t>プリウスα</t>
        </is>
      </c>
      <c r="B94" s="13" t="inlineStr">
        <is>
          <t>40系</t>
        </is>
      </c>
      <c r="C94" s="13" t="n">
        <v>2013</v>
      </c>
      <c r="D94" s="15" t="n">
        <v>6</v>
      </c>
      <c r="E94" s="16" t="n">
        <v>35.8</v>
      </c>
      <c r="F94" s="16" t="n">
        <v>38.5</v>
      </c>
      <c r="G94" s="16" t="n">
        <v>42.4</v>
      </c>
      <c r="H94" s="16" t="n">
        <v>45.3</v>
      </c>
      <c r="I94" s="16" t="n">
        <v>52.5</v>
      </c>
      <c r="J94" s="16" t="n">
        <v>58</v>
      </c>
      <c r="K94" s="15" t="n">
        <v>169000</v>
      </c>
      <c r="L94" s="15" t="n">
        <v>248</v>
      </c>
      <c r="M94" s="16" t="n">
        <v>67.3</v>
      </c>
      <c r="N94" s="16" t="n">
        <v>80.5</v>
      </c>
      <c r="O94" s="16" t="n">
        <v>88.7</v>
      </c>
      <c r="P94" s="16" t="n">
        <v>100.5</v>
      </c>
      <c r="Q94" s="16" t="n">
        <v>38.1</v>
      </c>
      <c r="R94" s="17" t="n">
        <v>89.90000000000001</v>
      </c>
    </row>
    <row r="95">
      <c r="A95" s="8" t="inlineStr">
        <is>
          <t>プリウスα</t>
        </is>
      </c>
      <c r="B95" s="8" t="inlineStr">
        <is>
          <t>40系</t>
        </is>
      </c>
      <c r="C95" s="8" t="n">
        <v>2014</v>
      </c>
      <c r="D95" s="11" t="n">
        <v>4</v>
      </c>
      <c r="E95" s="10" t="n">
        <v>33.7</v>
      </c>
      <c r="F95" s="10" t="n">
        <v>42.2</v>
      </c>
      <c r="G95" s="10" t="n">
        <v>45.6</v>
      </c>
      <c r="H95" s="10" t="n">
        <v>56.2</v>
      </c>
      <c r="I95" s="10" t="n">
        <v>59.7</v>
      </c>
      <c r="J95" s="10" t="n">
        <v>100</v>
      </c>
      <c r="K95" s="11" t="n">
        <v>136000</v>
      </c>
      <c r="L95" s="11" t="n">
        <v>120</v>
      </c>
      <c r="M95" s="10" t="n">
        <v>72.90000000000001</v>
      </c>
      <c r="N95" s="10" t="n">
        <v>92.40000000000001</v>
      </c>
      <c r="O95" s="10" t="n">
        <v>97.3</v>
      </c>
      <c r="P95" s="10" t="n">
        <v>113.9</v>
      </c>
      <c r="Q95" s="10" t="n">
        <v>46.8</v>
      </c>
      <c r="R95" s="9" t="n">
        <v>102.6</v>
      </c>
    </row>
    <row r="96">
      <c r="A96" s="13" t="inlineStr">
        <is>
          <t>プリウスα</t>
        </is>
      </c>
      <c r="B96" s="13" t="inlineStr">
        <is>
          <t>40系</t>
        </is>
      </c>
      <c r="C96" s="13" t="n">
        <v>2015</v>
      </c>
      <c r="D96" s="15" t="n">
        <v>4</v>
      </c>
      <c r="E96" s="16" t="n">
        <v>45</v>
      </c>
      <c r="F96" s="16" t="n">
        <v>45.1</v>
      </c>
      <c r="G96" s="16" t="n">
        <v>57.5</v>
      </c>
      <c r="H96" s="16" t="n">
        <v>67.5</v>
      </c>
      <c r="I96" s="16" t="n">
        <v>80</v>
      </c>
      <c r="J96" s="16" t="n">
        <v>110</v>
      </c>
      <c r="K96" s="15" t="n">
        <v>147860</v>
      </c>
      <c r="L96" s="15" t="n">
        <v>210</v>
      </c>
      <c r="M96" s="16" t="n">
        <v>100.8</v>
      </c>
      <c r="N96" s="16" t="n">
        <v>125.4</v>
      </c>
      <c r="O96" s="16" t="n">
        <v>128.3</v>
      </c>
      <c r="P96" s="16" t="n">
        <v>144.8</v>
      </c>
      <c r="Q96" s="16" t="n">
        <v>67.90000000000001</v>
      </c>
      <c r="R96" s="17" t="n">
        <v>118.1</v>
      </c>
    </row>
    <row r="97">
      <c r="A97" s="8" t="inlineStr">
        <is>
          <t>プリウスα</t>
        </is>
      </c>
      <c r="B97" s="8" t="inlineStr">
        <is>
          <t>40系</t>
        </is>
      </c>
      <c r="C97" s="8" t="n">
        <v>2016</v>
      </c>
      <c r="D97" s="11" t="n">
        <v>1</v>
      </c>
      <c r="E97" s="10" t="n">
        <v>65</v>
      </c>
      <c r="F97" s="10" t="n">
        <v>65</v>
      </c>
      <c r="G97" s="10" t="n">
        <v>65</v>
      </c>
      <c r="H97" s="10" t="n">
        <v>65</v>
      </c>
      <c r="I97" s="10" t="n">
        <v>65</v>
      </c>
      <c r="J97" s="10" t="n">
        <v>65</v>
      </c>
      <c r="K97" s="11" t="n">
        <v>83000</v>
      </c>
      <c r="L97" s="11" t="n">
        <v>72</v>
      </c>
      <c r="M97" s="10" t="n">
        <v>115.5</v>
      </c>
      <c r="N97" s="10" t="n">
        <v>135.6</v>
      </c>
      <c r="O97" s="10" t="n">
        <v>141.7</v>
      </c>
      <c r="P97" s="10" t="n">
        <v>161.7</v>
      </c>
      <c r="Q97" s="10" t="n">
        <v>70.59999999999999</v>
      </c>
      <c r="R97" s="9" t="n">
        <v>108.6</v>
      </c>
    </row>
    <row r="98">
      <c r="A98" s="13" t="inlineStr">
        <is>
          <t>プリウスα</t>
        </is>
      </c>
      <c r="B98" s="13" t="inlineStr">
        <is>
          <t>40系</t>
        </is>
      </c>
      <c r="C98" s="13" t="n">
        <v>2017</v>
      </c>
      <c r="D98" s="15" t="n">
        <v>4</v>
      </c>
      <c r="E98" s="16" t="n">
        <v>61.6</v>
      </c>
      <c r="F98" s="16" t="n">
        <v>82.2</v>
      </c>
      <c r="G98" s="16" t="n">
        <v>93.40000000000001</v>
      </c>
      <c r="H98" s="16" t="n">
        <v>107.1</v>
      </c>
      <c r="I98" s="16" t="n">
        <v>118.3</v>
      </c>
      <c r="J98" s="16" t="n">
        <v>180</v>
      </c>
      <c r="K98" s="15" t="n">
        <v>96000</v>
      </c>
      <c r="L98" s="15" t="n">
        <v>61</v>
      </c>
      <c r="M98" s="16" t="n">
        <v>133.5</v>
      </c>
      <c r="N98" s="16" t="n">
        <v>163.3</v>
      </c>
      <c r="O98" s="16" t="n">
        <v>161.2</v>
      </c>
      <c r="P98" s="16" t="n">
        <v>183.4</v>
      </c>
      <c r="Q98" s="16" t="n">
        <v>69.90000000000001</v>
      </c>
      <c r="R98" s="17" t="n">
        <v>74.8</v>
      </c>
    </row>
    <row r="99">
      <c r="A99" s="8" t="inlineStr">
        <is>
          <t>プリウスα</t>
        </is>
      </c>
      <c r="B99" s="8" t="inlineStr">
        <is>
          <t>40系</t>
        </is>
      </c>
      <c r="C99" s="8" t="n">
        <v>2018</v>
      </c>
      <c r="D99" s="11" t="n"/>
      <c r="E99" s="10" t="n"/>
      <c r="F99" s="10" t="n"/>
      <c r="G99" s="10" t="n"/>
      <c r="H99" s="10" t="n"/>
      <c r="I99" s="10" t="n"/>
      <c r="J99" s="10" t="n"/>
      <c r="K99" s="11" t="n"/>
      <c r="L99" s="11" t="n">
        <v>42</v>
      </c>
      <c r="M99" s="10" t="n">
        <v>152.1</v>
      </c>
      <c r="N99" s="10" t="n">
        <v>178.3</v>
      </c>
      <c r="O99" s="10" t="n">
        <v>179.3</v>
      </c>
      <c r="P99" s="10" t="n">
        <v>203.8</v>
      </c>
      <c r="Q99" s="10" t="n"/>
      <c r="R99" s="9" t="n"/>
    </row>
    <row r="100">
      <c r="A100" s="13" t="inlineStr">
        <is>
          <t>プリウスα</t>
        </is>
      </c>
      <c r="B100" s="13" t="inlineStr">
        <is>
          <t>40系</t>
        </is>
      </c>
      <c r="C100" s="13" t="n">
        <v>2019</v>
      </c>
      <c r="D100" s="15" t="n"/>
      <c r="E100" s="16" t="n"/>
      <c r="F100" s="16" t="n"/>
      <c r="G100" s="16" t="n"/>
      <c r="H100" s="16" t="n"/>
      <c r="I100" s="16" t="n"/>
      <c r="J100" s="16" t="n"/>
      <c r="K100" s="15" t="n"/>
      <c r="L100" s="15" t="n">
        <v>31</v>
      </c>
      <c r="M100" s="16" t="n">
        <v>160.8</v>
      </c>
      <c r="N100" s="16" t="n">
        <v>183.6</v>
      </c>
      <c r="O100" s="16" t="n">
        <v>186</v>
      </c>
      <c r="P100" s="16" t="n">
        <v>201.1</v>
      </c>
      <c r="Q100" s="16" t="n"/>
      <c r="R100" s="17" t="n"/>
    </row>
    <row r="101">
      <c r="A101" s="8" t="inlineStr">
        <is>
          <t>プリウスα</t>
        </is>
      </c>
      <c r="B101" s="8" t="inlineStr">
        <is>
          <t>40系</t>
        </is>
      </c>
      <c r="C101" s="8" t="n">
        <v>2020</v>
      </c>
      <c r="D101" s="11" t="n"/>
      <c r="E101" s="10" t="n"/>
      <c r="F101" s="10" t="n"/>
      <c r="G101" s="10" t="n"/>
      <c r="H101" s="10" t="n"/>
      <c r="I101" s="10" t="n"/>
      <c r="J101" s="10" t="n"/>
      <c r="K101" s="11" t="n"/>
      <c r="L101" s="11" t="n">
        <v>11</v>
      </c>
      <c r="M101" s="10" t="n">
        <v>168.8</v>
      </c>
      <c r="N101" s="10" t="n">
        <v>182.5</v>
      </c>
      <c r="O101" s="10" t="n">
        <v>187.7</v>
      </c>
      <c r="P101" s="10" t="n">
        <v>200</v>
      </c>
      <c r="Q101" s="10" t="n"/>
      <c r="R101" s="9" t="n"/>
    </row>
    <row r="102">
      <c r="A102" s="13" t="inlineStr">
        <is>
          <t>プリウスα</t>
        </is>
      </c>
      <c r="B102" s="13" t="inlineStr"/>
      <c r="C102" s="13" t="n">
        <v>2021</v>
      </c>
      <c r="D102" s="15" t="n"/>
      <c r="E102" s="16" t="n"/>
      <c r="F102" s="16" t="n"/>
      <c r="G102" s="16" t="n"/>
      <c r="H102" s="16" t="n"/>
      <c r="I102" s="16" t="n"/>
      <c r="J102" s="16" t="n"/>
      <c r="K102" s="15" t="n"/>
      <c r="L102" s="15" t="n">
        <v>1</v>
      </c>
      <c r="M102" s="16" t="n">
        <v>190</v>
      </c>
      <c r="N102" s="16" t="n">
        <v>195</v>
      </c>
      <c r="O102" s="16" t="n">
        <v>195</v>
      </c>
      <c r="P102" s="16" t="n">
        <v>200</v>
      </c>
      <c r="Q102" s="16" t="n"/>
      <c r="R102" s="17" t="n"/>
    </row>
    <row r="103">
      <c r="A103" s="8" t="inlineStr">
        <is>
          <t>アイシス</t>
        </is>
      </c>
      <c r="B103" s="8" t="inlineStr">
        <is>
          <t>10系</t>
        </is>
      </c>
      <c r="C103" s="8" t="n">
        <v>2013</v>
      </c>
      <c r="D103" s="11" t="n"/>
      <c r="E103" s="10" t="n"/>
      <c r="F103" s="10" t="n"/>
      <c r="G103" s="10" t="n"/>
      <c r="H103" s="10" t="n"/>
      <c r="I103" s="10" t="n"/>
      <c r="J103" s="10" t="n"/>
      <c r="K103" s="11" t="n"/>
      <c r="L103" s="11" t="n">
        <v>20</v>
      </c>
      <c r="M103" s="10" t="n">
        <v>45</v>
      </c>
      <c r="N103" s="10" t="n">
        <v>66.7</v>
      </c>
      <c r="O103" s="10" t="n">
        <v>66</v>
      </c>
      <c r="P103" s="10" t="n">
        <v>85</v>
      </c>
      <c r="Q103" s="10" t="n"/>
      <c r="R103" s="9" t="n"/>
    </row>
    <row r="104">
      <c r="A104" s="13" t="inlineStr">
        <is>
          <t>アイシス</t>
        </is>
      </c>
      <c r="B104" s="13" t="inlineStr">
        <is>
          <t>10系</t>
        </is>
      </c>
      <c r="C104" s="13" t="n">
        <v>2014</v>
      </c>
      <c r="D104" s="15" t="n"/>
      <c r="E104" s="16" t="n"/>
      <c r="F104" s="16" t="n"/>
      <c r="G104" s="16" t="n"/>
      <c r="H104" s="16" t="n"/>
      <c r="I104" s="16" t="n"/>
      <c r="J104" s="16" t="n"/>
      <c r="K104" s="15" t="n"/>
      <c r="L104" s="15" t="n">
        <v>11</v>
      </c>
      <c r="M104" s="16" t="n">
        <v>57.5</v>
      </c>
      <c r="N104" s="16" t="n">
        <v>83.3</v>
      </c>
      <c r="O104" s="16" t="n">
        <v>88.2</v>
      </c>
      <c r="P104" s="16" t="n">
        <v>105</v>
      </c>
      <c r="Q104" s="16" t="n"/>
      <c r="R104" s="17" t="n"/>
    </row>
    <row r="105">
      <c r="A105" s="8" t="inlineStr">
        <is>
          <t>アイシス</t>
        </is>
      </c>
      <c r="B105" s="8" t="inlineStr">
        <is>
          <t>10系</t>
        </is>
      </c>
      <c r="C105" s="8" t="n">
        <v>2015</v>
      </c>
      <c r="D105" s="11" t="n"/>
      <c r="E105" s="10" t="n"/>
      <c r="F105" s="10" t="n"/>
      <c r="G105" s="10" t="n"/>
      <c r="H105" s="10" t="n"/>
      <c r="I105" s="10" t="n"/>
      <c r="J105" s="10" t="n"/>
      <c r="K105" s="11" t="n"/>
      <c r="L105" s="11" t="n">
        <v>2</v>
      </c>
      <c r="M105" s="10" t="n">
        <v>50</v>
      </c>
      <c r="N105" s="10" t="n">
        <v>60</v>
      </c>
      <c r="O105" s="10" t="n">
        <v>70</v>
      </c>
      <c r="P105" s="10" t="n">
        <v>90</v>
      </c>
      <c r="Q105" s="10" t="n"/>
      <c r="R105" s="9" t="n"/>
    </row>
    <row r="106">
      <c r="A106" s="13" t="inlineStr">
        <is>
          <t>アイシス</t>
        </is>
      </c>
      <c r="B106" s="13" t="inlineStr">
        <is>
          <t>10系</t>
        </is>
      </c>
      <c r="C106" s="13" t="n">
        <v>2016</v>
      </c>
      <c r="D106" s="15" t="n"/>
      <c r="E106" s="16" t="n"/>
      <c r="F106" s="16" t="n"/>
      <c r="G106" s="16" t="n"/>
      <c r="H106" s="16" t="n"/>
      <c r="I106" s="16" t="n"/>
      <c r="J106" s="16" t="n"/>
      <c r="K106" s="15" t="n"/>
      <c r="L106" s="15" t="n">
        <v>4</v>
      </c>
      <c r="M106" s="16" t="n">
        <v>70</v>
      </c>
      <c r="N106" s="16" t="n">
        <v>80</v>
      </c>
      <c r="O106" s="16" t="n">
        <v>85</v>
      </c>
      <c r="P106" s="16" t="n">
        <v>100</v>
      </c>
      <c r="Q106" s="16" t="n"/>
      <c r="R106" s="17" t="n"/>
    </row>
    <row r="107">
      <c r="A107" s="8" t="inlineStr">
        <is>
          <t>グランエース</t>
        </is>
      </c>
      <c r="B107" s="8" t="inlineStr"/>
      <c r="C107" s="8" t="n">
        <v>2019</v>
      </c>
      <c r="D107" s="11" t="n"/>
      <c r="E107" s="10" t="n"/>
      <c r="F107" s="10" t="n"/>
      <c r="G107" s="10" t="n"/>
      <c r="H107" s="10" t="n"/>
      <c r="I107" s="10" t="n"/>
      <c r="J107" s="10" t="n"/>
      <c r="K107" s="11" t="n"/>
      <c r="L107" s="11" t="n">
        <v>3</v>
      </c>
      <c r="M107" s="10" t="n">
        <v>555</v>
      </c>
      <c r="N107" s="10" t="n">
        <v>670</v>
      </c>
      <c r="O107" s="10" t="n">
        <v>643.3</v>
      </c>
      <c r="P107" s="10" t="n">
        <v>705</v>
      </c>
      <c r="Q107" s="10" t="n"/>
      <c r="R107" s="9" t="n"/>
    </row>
    <row r="108">
      <c r="A108" s="13" t="inlineStr">
        <is>
          <t>グランエース</t>
        </is>
      </c>
      <c r="B108" s="13" t="inlineStr">
        <is>
          <t>300系</t>
        </is>
      </c>
      <c r="C108" s="13" t="n">
        <v>2020</v>
      </c>
      <c r="D108" s="15" t="n"/>
      <c r="E108" s="16" t="n"/>
      <c r="F108" s="16" t="n"/>
      <c r="G108" s="16" t="n"/>
      <c r="H108" s="16" t="n"/>
      <c r="I108" s="16" t="n"/>
      <c r="J108" s="16" t="n"/>
      <c r="K108" s="15" t="n"/>
      <c r="L108" s="15" t="n">
        <v>27</v>
      </c>
      <c r="M108" s="16" t="n">
        <v>507</v>
      </c>
      <c r="N108" s="16" t="n">
        <v>556.7</v>
      </c>
      <c r="O108" s="16" t="n">
        <v>554.1</v>
      </c>
      <c r="P108" s="16" t="n">
        <v>601.7</v>
      </c>
      <c r="Q108" s="16" t="n"/>
      <c r="R108" s="17" t="n"/>
    </row>
    <row r="109">
      <c r="A109" s="8" t="inlineStr">
        <is>
          <t>グランエース</t>
        </is>
      </c>
      <c r="B109" s="8" t="inlineStr">
        <is>
          <t>300系</t>
        </is>
      </c>
      <c r="C109" s="8" t="n">
        <v>2021</v>
      </c>
      <c r="D109" s="11" t="n"/>
      <c r="E109" s="10" t="n"/>
      <c r="F109" s="10" t="n"/>
      <c r="G109" s="10" t="n"/>
      <c r="H109" s="10" t="n"/>
      <c r="I109" s="10" t="n"/>
      <c r="J109" s="10" t="n"/>
      <c r="K109" s="11" t="n"/>
      <c r="L109" s="11" t="n">
        <v>11</v>
      </c>
      <c r="M109" s="10" t="n">
        <v>531.7</v>
      </c>
      <c r="N109" s="10" t="n">
        <v>565</v>
      </c>
      <c r="O109" s="10" t="n">
        <v>566.4</v>
      </c>
      <c r="P109" s="10" t="n">
        <v>592.5</v>
      </c>
      <c r="Q109" s="10" t="n"/>
      <c r="R109" s="9" t="n"/>
    </row>
    <row r="110">
      <c r="A110" s="13" t="inlineStr">
        <is>
          <t>グランエース</t>
        </is>
      </c>
      <c r="B110" s="13" t="inlineStr">
        <is>
          <t>300系</t>
        </is>
      </c>
      <c r="C110" s="13" t="n">
        <v>2022</v>
      </c>
      <c r="D110" s="15" t="n"/>
      <c r="E110" s="16" t="n"/>
      <c r="F110" s="16" t="n"/>
      <c r="G110" s="16" t="n"/>
      <c r="H110" s="16" t="n"/>
      <c r="I110" s="16" t="n"/>
      <c r="J110" s="16" t="n"/>
      <c r="K110" s="15" t="n"/>
      <c r="L110" s="15" t="n">
        <v>4</v>
      </c>
      <c r="M110" s="16" t="n">
        <v>460</v>
      </c>
      <c r="N110" s="16" t="n">
        <v>500</v>
      </c>
      <c r="O110" s="16" t="n">
        <v>535</v>
      </c>
      <c r="P110" s="16" t="n">
        <v>560</v>
      </c>
      <c r="Q110" s="16" t="n"/>
      <c r="R110" s="17" t="n"/>
    </row>
    <row r="111">
      <c r="A111" s="8" t="inlineStr">
        <is>
          <t>グランエース</t>
        </is>
      </c>
      <c r="B111" s="8" t="inlineStr">
        <is>
          <t>300系</t>
        </is>
      </c>
      <c r="C111" s="8" t="n">
        <v>2023</v>
      </c>
      <c r="D111" s="11" t="n"/>
      <c r="E111" s="10" t="n"/>
      <c r="F111" s="10" t="n"/>
      <c r="G111" s="10" t="n"/>
      <c r="H111" s="10" t="n"/>
      <c r="I111" s="10" t="n"/>
      <c r="J111" s="10" t="n"/>
      <c r="K111" s="11" t="n"/>
      <c r="L111" s="11" t="n">
        <v>6</v>
      </c>
      <c r="M111" s="10" t="n">
        <v>603.3</v>
      </c>
      <c r="N111" s="10" t="n">
        <v>613.3</v>
      </c>
      <c r="O111" s="10" t="n">
        <v>673.3</v>
      </c>
      <c r="P111" s="10" t="n">
        <v>670</v>
      </c>
      <c r="Q111" s="10" t="n"/>
      <c r="R111" s="9" t="n"/>
    </row>
    <row r="112">
      <c r="A112" s="13" t="inlineStr">
        <is>
          <t>グランエース</t>
        </is>
      </c>
      <c r="B112" s="13" t="inlineStr"/>
      <c r="C112" s="13" t="n">
        <v>2024</v>
      </c>
      <c r="D112" s="15" t="n"/>
      <c r="E112" s="16" t="n"/>
      <c r="F112" s="16" t="n"/>
      <c r="G112" s="16" t="n"/>
      <c r="H112" s="16" t="n"/>
      <c r="I112" s="16" t="n"/>
      <c r="J112" s="16" t="n"/>
      <c r="K112" s="15" t="n"/>
      <c r="L112" s="15" t="n">
        <v>7</v>
      </c>
      <c r="M112" s="16" t="n">
        <v>687.5</v>
      </c>
      <c r="N112" s="16" t="n">
        <v>770</v>
      </c>
      <c r="O112" s="16" t="n">
        <v>830</v>
      </c>
      <c r="P112" s="16" t="n">
        <v>1025</v>
      </c>
      <c r="Q112" s="16" t="n"/>
      <c r="R112" s="17" t="n"/>
    </row>
  </sheetData>
  <autoFilter ref="A1:R1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11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22"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18" customWidth="1" min="13" max="13"/>
    <col width="24" customWidth="1" min="14" max="14"/>
    <col width="24" customWidth="1" min="15" max="15"/>
    <col width="22" customWidth="1" min="16" max="16"/>
    <col width="24" customWidth="1" min="17" max="17"/>
    <col width="24" customWidth="1" min="18" max="18"/>
    <col width="24" customWidth="1" min="19" max="19"/>
  </cols>
  <sheetData>
    <row r="1" ht="32" customHeight="1">
      <c r="A1" s="7" t="inlineStr">
        <is>
          <t>時点</t>
        </is>
      </c>
      <c r="B1" s="7" t="inlineStr">
        <is>
          <t>車種</t>
        </is>
      </c>
      <c r="C1" s="7" t="inlineStr">
        <is>
          <t>世代</t>
        </is>
      </c>
      <c r="D1" s="7" t="inlineStr">
        <is>
          <t>年式</t>
        </is>
      </c>
      <c r="E1" s="7" t="inlineStr">
        <is>
          <t>ヤフオク
落札件数</t>
        </is>
      </c>
      <c r="F1" s="7" t="inlineStr">
        <is>
          <t>ヤフオク
最安(万円)</t>
        </is>
      </c>
      <c r="G1" s="7" t="inlineStr">
        <is>
          <t>ヤフオク
25%(万円)</t>
        </is>
      </c>
      <c r="H1" s="7" t="inlineStr">
        <is>
          <t>ヤフオク
中央値(万円)</t>
        </is>
      </c>
      <c r="I1" s="7" t="inlineStr">
        <is>
          <t>ヤフオク
平均(万円)</t>
        </is>
      </c>
      <c r="J1" s="7" t="inlineStr">
        <is>
          <t>ヤフオク
75%(万円)</t>
        </is>
      </c>
      <c r="K1" s="7" t="inlineStr">
        <is>
          <t>ヤフオク
最高(万円)</t>
        </is>
      </c>
      <c r="L1" s="7" t="inlineStr">
        <is>
          <t>落札車の
中央走行距離(km)</t>
        </is>
      </c>
      <c r="M1" s="7" t="inlineStr">
        <is>
          <t>小売
掲載台数</t>
        </is>
      </c>
      <c r="N1" s="7" t="inlineStr">
        <is>
          <t>小売
25%(万円)</t>
        </is>
      </c>
      <c r="O1" s="7" t="inlineStr">
        <is>
          <t>小売
中央値(万円)</t>
        </is>
      </c>
      <c r="P1" s="7" t="inlineStr">
        <is>
          <t>小売
平均(万円)</t>
        </is>
      </c>
      <c r="Q1" s="7" t="inlineStr">
        <is>
          <t>小売
75%(万円)</t>
        </is>
      </c>
      <c r="R1" s="7" t="inlineStr">
        <is>
          <t>小売−落札
(万円)</t>
        </is>
      </c>
      <c r="S1" s="7" t="inlineStr">
        <is>
          <t>小売プレミアム
(%)</t>
        </is>
      </c>
    </row>
    <row r="2">
      <c r="A2" s="13" t="inlineStr">
        <is>
          <t>2026-08-22</t>
        </is>
      </c>
      <c r="B2" s="13" t="inlineStr">
        <is>
          <t>アルファード</t>
        </is>
      </c>
      <c r="C2" s="13" t="inlineStr">
        <is>
          <t>20系</t>
        </is>
      </c>
      <c r="D2" s="13" t="n">
        <v>2013</v>
      </c>
      <c r="E2" s="15" t="n">
        <v>5</v>
      </c>
      <c r="F2" s="16" t="n">
        <v>59.8</v>
      </c>
      <c r="G2" s="16" t="n">
        <v>60.4</v>
      </c>
      <c r="H2" s="16" t="n">
        <v>62.5</v>
      </c>
      <c r="I2" s="16" t="n">
        <v>67.5</v>
      </c>
      <c r="J2" s="16" t="n">
        <v>74.8</v>
      </c>
      <c r="K2" s="16" t="n">
        <v>80.2</v>
      </c>
      <c r="L2" s="15" t="n">
        <v>128000</v>
      </c>
      <c r="M2" s="15" t="n">
        <v>172</v>
      </c>
      <c r="N2" s="16" t="n">
        <v>95</v>
      </c>
      <c r="O2" s="16" t="n">
        <v>120.8</v>
      </c>
      <c r="P2" s="16" t="n">
        <v>122.6</v>
      </c>
      <c r="Q2" s="16" t="n">
        <v>150</v>
      </c>
      <c r="R2" s="16" t="n">
        <v>58.3</v>
      </c>
      <c r="S2" s="17" t="n">
        <v>93.3</v>
      </c>
    </row>
    <row r="3">
      <c r="A3" s="8" t="inlineStr">
        <is>
          <t>2026-08-22</t>
        </is>
      </c>
      <c r="B3" s="8" t="inlineStr">
        <is>
          <t>アルファード</t>
        </is>
      </c>
      <c r="C3" s="8" t="inlineStr">
        <is>
          <t>20系</t>
        </is>
      </c>
      <c r="D3" s="8" t="n">
        <v>2014</v>
      </c>
      <c r="E3" s="11" t="n">
        <v>2</v>
      </c>
      <c r="F3" s="10" t="n">
        <v>64.09999999999999</v>
      </c>
      <c r="G3" s="10" t="n">
        <v>65.59999999999999</v>
      </c>
      <c r="H3" s="10" t="n">
        <v>67</v>
      </c>
      <c r="I3" s="10" t="n">
        <v>67</v>
      </c>
      <c r="J3" s="10" t="n">
        <v>68.5</v>
      </c>
      <c r="K3" s="10" t="n">
        <v>70</v>
      </c>
      <c r="L3" s="11" t="n">
        <v>190000</v>
      </c>
      <c r="M3" s="11" t="n">
        <v>125</v>
      </c>
      <c r="N3" s="10" t="n">
        <v>100.4</v>
      </c>
      <c r="O3" s="10" t="n">
        <v>128.8</v>
      </c>
      <c r="P3" s="10" t="n">
        <v>130.8</v>
      </c>
      <c r="Q3" s="10" t="n">
        <v>158.7</v>
      </c>
      <c r="R3" s="10" t="n">
        <v>61.8</v>
      </c>
      <c r="S3" s="9" t="n">
        <v>92.2</v>
      </c>
    </row>
    <row r="4">
      <c r="A4" s="13" t="inlineStr">
        <is>
          <t>2026-08-22</t>
        </is>
      </c>
      <c r="B4" s="13" t="inlineStr">
        <is>
          <t>アルファード</t>
        </is>
      </c>
      <c r="C4" s="13" t="inlineStr">
        <is>
          <t>30系前期</t>
        </is>
      </c>
      <c r="D4" s="13" t="n">
        <v>2015</v>
      </c>
      <c r="E4" s="15" t="n">
        <v>4</v>
      </c>
      <c r="F4" s="16" t="n">
        <v>128</v>
      </c>
      <c r="G4" s="16" t="n">
        <v>133.2</v>
      </c>
      <c r="H4" s="16" t="n">
        <v>147.1</v>
      </c>
      <c r="I4" s="16" t="n">
        <v>146.7</v>
      </c>
      <c r="J4" s="16" t="n">
        <v>160.5</v>
      </c>
      <c r="K4" s="16" t="n">
        <v>164.8</v>
      </c>
      <c r="L4" s="15" t="n">
        <v>155000</v>
      </c>
      <c r="M4" s="15" t="n">
        <v>297</v>
      </c>
      <c r="N4" s="16" t="n">
        <v>187.9</v>
      </c>
      <c r="O4" s="16" t="n">
        <v>226.3</v>
      </c>
      <c r="P4" s="16" t="n">
        <v>226.9</v>
      </c>
      <c r="Q4" s="16" t="n">
        <v>261.9</v>
      </c>
      <c r="R4" s="16" t="n">
        <v>79.2</v>
      </c>
      <c r="S4" s="17" t="n">
        <v>53.8</v>
      </c>
    </row>
    <row r="5">
      <c r="A5" s="8" t="inlineStr">
        <is>
          <t>2026-08-22</t>
        </is>
      </c>
      <c r="B5" s="8" t="inlineStr">
        <is>
          <t>アルファード</t>
        </is>
      </c>
      <c r="C5" s="8" t="inlineStr">
        <is>
          <t>30系前期</t>
        </is>
      </c>
      <c r="D5" s="8" t="n">
        <v>2016</v>
      </c>
      <c r="E5" s="11" t="n">
        <v>2</v>
      </c>
      <c r="F5" s="10" t="n">
        <v>139.5</v>
      </c>
      <c r="G5" s="10" t="n">
        <v>179.2</v>
      </c>
      <c r="H5" s="10" t="n">
        <v>218.8</v>
      </c>
      <c r="I5" s="10" t="n">
        <v>218.8</v>
      </c>
      <c r="J5" s="10" t="n">
        <v>258.5</v>
      </c>
      <c r="K5" s="10" t="n">
        <v>298.1</v>
      </c>
      <c r="L5" s="11" t="n">
        <v>148000</v>
      </c>
      <c r="M5" s="11" t="n">
        <v>251</v>
      </c>
      <c r="N5" s="10" t="n">
        <v>211.1</v>
      </c>
      <c r="O5" s="10" t="n">
        <v>243.5</v>
      </c>
      <c r="P5" s="10" t="n">
        <v>260.3</v>
      </c>
      <c r="Q5" s="10" t="n">
        <v>280.7</v>
      </c>
      <c r="R5" s="10" t="n">
        <v>24.7</v>
      </c>
      <c r="S5" s="9" t="n">
        <v>11.3</v>
      </c>
    </row>
    <row r="6">
      <c r="A6" s="13" t="inlineStr">
        <is>
          <t>2026-08-22</t>
        </is>
      </c>
      <c r="B6" s="13" t="inlineStr">
        <is>
          <t>アルファード</t>
        </is>
      </c>
      <c r="C6" s="13" t="inlineStr">
        <is>
          <t>30系前期</t>
        </is>
      </c>
      <c r="D6" s="13" t="n">
        <v>2017</v>
      </c>
      <c r="E6" s="15" t="n">
        <v>5</v>
      </c>
      <c r="F6" s="16" t="n">
        <v>133</v>
      </c>
      <c r="G6" s="16" t="n">
        <v>133</v>
      </c>
      <c r="H6" s="16" t="n">
        <v>150</v>
      </c>
      <c r="I6" s="16" t="n">
        <v>205</v>
      </c>
      <c r="J6" s="16" t="n">
        <v>261.2</v>
      </c>
      <c r="K6" s="16" t="n">
        <v>348</v>
      </c>
      <c r="L6" s="15" t="n">
        <v>138000</v>
      </c>
      <c r="M6" s="15" t="n">
        <v>313</v>
      </c>
      <c r="N6" s="16" t="n">
        <v>218.3</v>
      </c>
      <c r="O6" s="16" t="n">
        <v>253</v>
      </c>
      <c r="P6" s="16" t="n">
        <v>269.2</v>
      </c>
      <c r="Q6" s="16" t="n">
        <v>286</v>
      </c>
      <c r="R6" s="16" t="n">
        <v>103</v>
      </c>
      <c r="S6" s="17" t="n">
        <v>68.7</v>
      </c>
    </row>
    <row r="7">
      <c r="A7" s="8" t="inlineStr">
        <is>
          <t>2026-08-22</t>
        </is>
      </c>
      <c r="B7" s="8" t="inlineStr">
        <is>
          <t>アルファード</t>
        </is>
      </c>
      <c r="C7" s="8" t="inlineStr">
        <is>
          <t>30系後期</t>
        </is>
      </c>
      <c r="D7" s="8" t="n">
        <v>2018</v>
      </c>
      <c r="E7" s="11" t="n">
        <v>6</v>
      </c>
      <c r="F7" s="10" t="n">
        <v>217.4</v>
      </c>
      <c r="G7" s="10" t="n">
        <v>270.9</v>
      </c>
      <c r="H7" s="10" t="n">
        <v>286.6</v>
      </c>
      <c r="I7" s="10" t="n">
        <v>308.7</v>
      </c>
      <c r="J7" s="10" t="n">
        <v>316.4</v>
      </c>
      <c r="K7" s="10" t="n">
        <v>470</v>
      </c>
      <c r="L7" s="11" t="n">
        <v>110848</v>
      </c>
      <c r="M7" s="11" t="n">
        <v>425</v>
      </c>
      <c r="N7" s="10" t="n">
        <v>286.7</v>
      </c>
      <c r="O7" s="10" t="n">
        <v>339</v>
      </c>
      <c r="P7" s="10" t="n">
        <v>343.8</v>
      </c>
      <c r="Q7" s="10" t="n">
        <v>388.1</v>
      </c>
      <c r="R7" s="10" t="n">
        <v>52.4</v>
      </c>
      <c r="S7" s="9" t="n">
        <v>18.3</v>
      </c>
    </row>
    <row r="8">
      <c r="A8" s="13" t="inlineStr">
        <is>
          <t>2026-08-22</t>
        </is>
      </c>
      <c r="B8" s="13" t="inlineStr">
        <is>
          <t>アルファード</t>
        </is>
      </c>
      <c r="C8" s="13" t="inlineStr">
        <is>
          <t>30系後期</t>
        </is>
      </c>
      <c r="D8" s="13" t="n">
        <v>2019</v>
      </c>
      <c r="E8" s="15" t="n">
        <v>3</v>
      </c>
      <c r="F8" s="16" t="n">
        <v>250.2</v>
      </c>
      <c r="G8" s="16" t="n">
        <v>266.1</v>
      </c>
      <c r="H8" s="16" t="n">
        <v>282.1</v>
      </c>
      <c r="I8" s="16" t="n">
        <v>277.5</v>
      </c>
      <c r="J8" s="16" t="n">
        <v>291.2</v>
      </c>
      <c r="K8" s="16" t="n">
        <v>300.3</v>
      </c>
      <c r="L8" s="15" t="n">
        <v>88300</v>
      </c>
      <c r="M8" s="15" t="n">
        <v>502</v>
      </c>
      <c r="N8" s="16" t="n">
        <v>318.2</v>
      </c>
      <c r="O8" s="16" t="n">
        <v>365.6</v>
      </c>
      <c r="P8" s="16" t="n">
        <v>369.2</v>
      </c>
      <c r="Q8" s="16" t="n">
        <v>407.5</v>
      </c>
      <c r="R8" s="16" t="n">
        <v>83.5</v>
      </c>
      <c r="S8" s="17" t="n">
        <v>29.6</v>
      </c>
    </row>
    <row r="9">
      <c r="A9" s="8" t="inlineStr">
        <is>
          <t>2026-08-22</t>
        </is>
      </c>
      <c r="B9" s="8" t="inlineStr">
        <is>
          <t>アルファード</t>
        </is>
      </c>
      <c r="C9" s="8" t="inlineStr">
        <is>
          <t>30系後期</t>
        </is>
      </c>
      <c r="D9" s="8" t="n">
        <v>2020</v>
      </c>
      <c r="E9" s="11" t="n">
        <v>7</v>
      </c>
      <c r="F9" s="10" t="n">
        <v>200.3</v>
      </c>
      <c r="G9" s="10" t="n">
        <v>232.7</v>
      </c>
      <c r="H9" s="10" t="n">
        <v>246</v>
      </c>
      <c r="I9" s="10" t="n">
        <v>258.9</v>
      </c>
      <c r="J9" s="10" t="n">
        <v>267.8</v>
      </c>
      <c r="K9" s="10" t="n">
        <v>365</v>
      </c>
      <c r="L9" s="11" t="n">
        <v>97400</v>
      </c>
      <c r="M9" s="11" t="n">
        <v>710</v>
      </c>
      <c r="N9" s="10" t="n">
        <v>330.5</v>
      </c>
      <c r="O9" s="10" t="n">
        <v>370.4</v>
      </c>
      <c r="P9" s="10" t="n">
        <v>370.3</v>
      </c>
      <c r="Q9" s="10" t="n">
        <v>411.5</v>
      </c>
      <c r="R9" s="10" t="n">
        <v>124.4</v>
      </c>
      <c r="S9" s="9" t="n">
        <v>50.6</v>
      </c>
    </row>
    <row r="10">
      <c r="A10" s="13" t="inlineStr">
        <is>
          <t>2026-08-22</t>
        </is>
      </c>
      <c r="B10" s="13" t="inlineStr">
        <is>
          <t>アルファード</t>
        </is>
      </c>
      <c r="C10" s="13" t="inlineStr">
        <is>
          <t>30系後期</t>
        </is>
      </c>
      <c r="D10" s="13" t="n">
        <v>2021</v>
      </c>
      <c r="E10" s="15" t="n"/>
      <c r="F10" s="16" t="n"/>
      <c r="G10" s="16" t="n"/>
      <c r="H10" s="16" t="n"/>
      <c r="I10" s="16" t="n"/>
      <c r="J10" s="16" t="n"/>
      <c r="K10" s="16" t="n"/>
      <c r="L10" s="15" t="n"/>
      <c r="M10" s="15" t="n">
        <v>1288</v>
      </c>
      <c r="N10" s="16" t="n">
        <v>351.2</v>
      </c>
      <c r="O10" s="16" t="n">
        <v>388.5</v>
      </c>
      <c r="P10" s="16" t="n">
        <v>390.6</v>
      </c>
      <c r="Q10" s="16" t="n">
        <v>427.7</v>
      </c>
      <c r="R10" s="16" t="n"/>
      <c r="S10" s="17" t="n"/>
    </row>
    <row r="11">
      <c r="A11" s="8" t="inlineStr">
        <is>
          <t>2026-08-22</t>
        </is>
      </c>
      <c r="B11" s="8" t="inlineStr">
        <is>
          <t>アルファード</t>
        </is>
      </c>
      <c r="C11" s="8" t="inlineStr">
        <is>
          <t>30系後期</t>
        </is>
      </c>
      <c r="D11" s="8" t="n">
        <v>2022</v>
      </c>
      <c r="E11" s="11" t="n">
        <v>1</v>
      </c>
      <c r="F11" s="10" t="n">
        <v>468</v>
      </c>
      <c r="G11" s="10" t="n">
        <v>468</v>
      </c>
      <c r="H11" s="10" t="n">
        <v>468</v>
      </c>
      <c r="I11" s="10" t="n">
        <v>468</v>
      </c>
      <c r="J11" s="10" t="n">
        <v>468</v>
      </c>
      <c r="K11" s="10" t="n">
        <v>468</v>
      </c>
      <c r="L11" s="11" t="n">
        <v>21000</v>
      </c>
      <c r="M11" s="11" t="n">
        <v>584</v>
      </c>
      <c r="N11" s="10" t="n">
        <v>396.3</v>
      </c>
      <c r="O11" s="10" t="n">
        <v>441.7</v>
      </c>
      <c r="P11" s="10" t="n">
        <v>434.8</v>
      </c>
      <c r="Q11" s="10" t="n">
        <v>474.8</v>
      </c>
      <c r="R11" s="10" t="n">
        <v>-26.3</v>
      </c>
      <c r="S11" s="9" t="n">
        <v>-5.6</v>
      </c>
    </row>
    <row r="12">
      <c r="A12" s="13" t="inlineStr">
        <is>
          <t>2026-08-22</t>
        </is>
      </c>
      <c r="B12" s="13" t="inlineStr">
        <is>
          <t>アルファード</t>
        </is>
      </c>
      <c r="C12" s="13" t="inlineStr">
        <is>
          <t>40系</t>
        </is>
      </c>
      <c r="D12" s="13" t="n">
        <v>2023</v>
      </c>
      <c r="E12" s="15" t="n">
        <v>2</v>
      </c>
      <c r="F12" s="16" t="n">
        <v>522.9</v>
      </c>
      <c r="G12" s="16" t="n">
        <v>577.2</v>
      </c>
      <c r="H12" s="16" t="n">
        <v>631.5</v>
      </c>
      <c r="I12" s="16" t="n">
        <v>631.5</v>
      </c>
      <c r="J12" s="16" t="n">
        <v>685.7</v>
      </c>
      <c r="K12" s="16" t="n">
        <v>740</v>
      </c>
      <c r="L12" s="15" t="n">
        <v>48000</v>
      </c>
      <c r="M12" s="15" t="n">
        <v>804</v>
      </c>
      <c r="N12" s="16" t="n">
        <v>513.6</v>
      </c>
      <c r="O12" s="16" t="n">
        <v>572.9</v>
      </c>
      <c r="P12" s="16" t="n">
        <v>573</v>
      </c>
      <c r="Q12" s="16" t="n">
        <v>619.8</v>
      </c>
      <c r="R12" s="16" t="n">
        <v>-58.6</v>
      </c>
      <c r="S12" s="17" t="n">
        <v>-9.300000000000001</v>
      </c>
    </row>
    <row r="13">
      <c r="A13" s="8" t="inlineStr">
        <is>
          <t>2026-08-22</t>
        </is>
      </c>
      <c r="B13" s="8" t="inlineStr">
        <is>
          <t>アルファード</t>
        </is>
      </c>
      <c r="C13" s="8" t="inlineStr">
        <is>
          <t>40系</t>
        </is>
      </c>
      <c r="D13" s="8" t="n">
        <v>2024</v>
      </c>
      <c r="E13" s="11" t="n">
        <v>2</v>
      </c>
      <c r="F13" s="10" t="n">
        <v>500.1</v>
      </c>
      <c r="G13" s="10" t="n">
        <v>502.1</v>
      </c>
      <c r="H13" s="10" t="n">
        <v>504.1</v>
      </c>
      <c r="I13" s="10" t="n">
        <v>504.1</v>
      </c>
      <c r="J13" s="10" t="n">
        <v>506</v>
      </c>
      <c r="K13" s="10" t="n">
        <v>508</v>
      </c>
      <c r="L13" s="11" t="n">
        <v>55300</v>
      </c>
      <c r="M13" s="11" t="n">
        <v>818</v>
      </c>
      <c r="N13" s="10" t="n">
        <v>585.3</v>
      </c>
      <c r="O13" s="10" t="n">
        <v>617.2</v>
      </c>
      <c r="P13" s="10" t="n">
        <v>633.2</v>
      </c>
      <c r="Q13" s="10" t="n">
        <v>654.9</v>
      </c>
      <c r="R13" s="10" t="n">
        <v>113.1</v>
      </c>
      <c r="S13" s="9" t="n">
        <v>22.4</v>
      </c>
    </row>
    <row r="14">
      <c r="A14" s="13" t="inlineStr">
        <is>
          <t>2026-08-22</t>
        </is>
      </c>
      <c r="B14" s="13" t="inlineStr">
        <is>
          <t>アルファード</t>
        </is>
      </c>
      <c r="C14" s="13" t="inlineStr">
        <is>
          <t>40系</t>
        </is>
      </c>
      <c r="D14" s="13" t="n">
        <v>2025</v>
      </c>
      <c r="E14" s="15" t="n">
        <v>4</v>
      </c>
      <c r="F14" s="16" t="n">
        <v>500.1</v>
      </c>
      <c r="G14" s="16" t="n">
        <v>533.8</v>
      </c>
      <c r="H14" s="16" t="n">
        <v>657.6</v>
      </c>
      <c r="I14" s="16" t="n">
        <v>651.3</v>
      </c>
      <c r="J14" s="16" t="n">
        <v>775.2</v>
      </c>
      <c r="K14" s="16" t="n">
        <v>789.8</v>
      </c>
      <c r="L14" s="15" t="n">
        <v>15000</v>
      </c>
      <c r="M14" s="15" t="n">
        <v>649</v>
      </c>
      <c r="N14" s="16" t="n">
        <v>597.2</v>
      </c>
      <c r="O14" s="16" t="n">
        <v>639.4</v>
      </c>
      <c r="P14" s="16" t="n">
        <v>653.4</v>
      </c>
      <c r="Q14" s="16" t="n">
        <v>691.5</v>
      </c>
      <c r="R14" s="16" t="n">
        <v>-18.2</v>
      </c>
      <c r="S14" s="17" t="n">
        <v>-2.8</v>
      </c>
    </row>
    <row r="15">
      <c r="A15" s="8" t="inlineStr">
        <is>
          <t>2026-08-22</t>
        </is>
      </c>
      <c r="B15" s="8" t="inlineStr">
        <is>
          <t>アルファード</t>
        </is>
      </c>
      <c r="C15" s="8" t="inlineStr">
        <is>
          <t>40系</t>
        </is>
      </c>
      <c r="D15" s="8" t="n">
        <v>2026</v>
      </c>
      <c r="E15" s="11" t="n"/>
      <c r="F15" s="10" t="n"/>
      <c r="G15" s="10" t="n"/>
      <c r="H15" s="10" t="n"/>
      <c r="I15" s="10" t="n"/>
      <c r="J15" s="10" t="n"/>
      <c r="K15" s="10" t="n"/>
      <c r="L15" s="11" t="n"/>
      <c r="M15" s="11" t="n">
        <v>270</v>
      </c>
      <c r="N15" s="10" t="n">
        <v>631.7</v>
      </c>
      <c r="O15" s="10" t="n">
        <v>688.6</v>
      </c>
      <c r="P15" s="10" t="n">
        <v>687.7</v>
      </c>
      <c r="Q15" s="10" t="n">
        <v>747.5</v>
      </c>
      <c r="R15" s="10" t="n"/>
      <c r="S15" s="9" t="n"/>
    </row>
    <row r="16">
      <c r="A16" s="13" t="inlineStr">
        <is>
          <t>2026-08-22</t>
        </is>
      </c>
      <c r="B16" s="13" t="inlineStr">
        <is>
          <t>ヴェルファイア</t>
        </is>
      </c>
      <c r="C16" s="13" t="inlineStr">
        <is>
          <t>20系</t>
        </is>
      </c>
      <c r="D16" s="13" t="n">
        <v>2013</v>
      </c>
      <c r="E16" s="15" t="n">
        <v>10</v>
      </c>
      <c r="F16" s="16" t="n">
        <v>32.1</v>
      </c>
      <c r="G16" s="16" t="n">
        <v>43.5</v>
      </c>
      <c r="H16" s="16" t="n">
        <v>47.5</v>
      </c>
      <c r="I16" s="16" t="n">
        <v>50.7</v>
      </c>
      <c r="J16" s="16" t="n">
        <v>56.1</v>
      </c>
      <c r="K16" s="16" t="n">
        <v>79.8</v>
      </c>
      <c r="L16" s="15" t="n">
        <v>154000</v>
      </c>
      <c r="M16" s="15" t="n">
        <v>244</v>
      </c>
      <c r="N16" s="16" t="n">
        <v>85.2</v>
      </c>
      <c r="O16" s="16" t="n">
        <v>109.2</v>
      </c>
      <c r="P16" s="16" t="n">
        <v>113.3</v>
      </c>
      <c r="Q16" s="16" t="n">
        <v>138.8</v>
      </c>
      <c r="R16" s="16" t="n">
        <v>61.7</v>
      </c>
      <c r="S16" s="17" t="n">
        <v>129.9</v>
      </c>
    </row>
    <row r="17">
      <c r="A17" s="8" t="inlineStr">
        <is>
          <t>2026-08-22</t>
        </is>
      </c>
      <c r="B17" s="8" t="inlineStr">
        <is>
          <t>ヴェルファイア</t>
        </is>
      </c>
      <c r="C17" s="8" t="inlineStr">
        <is>
          <t>20系</t>
        </is>
      </c>
      <c r="D17" s="8" t="n">
        <v>2014</v>
      </c>
      <c r="E17" s="11" t="n">
        <v>2</v>
      </c>
      <c r="F17" s="10" t="n">
        <v>64.09999999999999</v>
      </c>
      <c r="G17" s="10" t="n">
        <v>68.09999999999999</v>
      </c>
      <c r="H17" s="10" t="n">
        <v>72</v>
      </c>
      <c r="I17" s="10" t="n">
        <v>72</v>
      </c>
      <c r="J17" s="10" t="n">
        <v>76</v>
      </c>
      <c r="K17" s="10" t="n">
        <v>80</v>
      </c>
      <c r="L17" s="11" t="n">
        <v>159600</v>
      </c>
      <c r="M17" s="11" t="n">
        <v>151</v>
      </c>
      <c r="N17" s="10" t="n">
        <v>97.3</v>
      </c>
      <c r="O17" s="10" t="n">
        <v>125</v>
      </c>
      <c r="P17" s="10" t="n">
        <v>125.6</v>
      </c>
      <c r="Q17" s="10" t="n">
        <v>146.2</v>
      </c>
      <c r="R17" s="10" t="n">
        <v>53</v>
      </c>
      <c r="S17" s="9" t="n">
        <v>73.59999999999999</v>
      </c>
    </row>
    <row r="18">
      <c r="A18" s="13" t="inlineStr">
        <is>
          <t>2026-08-22</t>
        </is>
      </c>
      <c r="B18" s="13" t="inlineStr">
        <is>
          <t>ヴェルファイア</t>
        </is>
      </c>
      <c r="C18" s="13" t="inlineStr">
        <is>
          <t>30系前期</t>
        </is>
      </c>
      <c r="D18" s="13" t="n">
        <v>2015</v>
      </c>
      <c r="E18" s="15" t="n">
        <v>8</v>
      </c>
      <c r="F18" s="16" t="n">
        <v>86.09999999999999</v>
      </c>
      <c r="G18" s="16" t="n">
        <v>117.4</v>
      </c>
      <c r="H18" s="16" t="n">
        <v>147.9</v>
      </c>
      <c r="I18" s="16" t="n">
        <v>150.6</v>
      </c>
      <c r="J18" s="16" t="n">
        <v>170.9</v>
      </c>
      <c r="K18" s="16" t="n">
        <v>258</v>
      </c>
      <c r="L18" s="15" t="n">
        <v>166225</v>
      </c>
      <c r="M18" s="15" t="n">
        <v>409</v>
      </c>
      <c r="N18" s="16" t="n">
        <v>179.4</v>
      </c>
      <c r="O18" s="16" t="n">
        <v>215.9</v>
      </c>
      <c r="P18" s="16" t="n">
        <v>221.3</v>
      </c>
      <c r="Q18" s="16" t="n">
        <v>251.8</v>
      </c>
      <c r="R18" s="16" t="n">
        <v>68</v>
      </c>
      <c r="S18" s="17" t="n">
        <v>46</v>
      </c>
    </row>
    <row r="19">
      <c r="A19" s="8" t="inlineStr">
        <is>
          <t>2026-08-22</t>
        </is>
      </c>
      <c r="B19" s="8" t="inlineStr">
        <is>
          <t>ヴェルファイア</t>
        </is>
      </c>
      <c r="C19" s="8" t="inlineStr">
        <is>
          <t>30系前期</t>
        </is>
      </c>
      <c r="D19" s="8" t="n">
        <v>2016</v>
      </c>
      <c r="E19" s="11" t="n">
        <v>6</v>
      </c>
      <c r="F19" s="10" t="n">
        <v>99.90000000000001</v>
      </c>
      <c r="G19" s="10" t="n">
        <v>108.8</v>
      </c>
      <c r="H19" s="10" t="n">
        <v>140.1</v>
      </c>
      <c r="I19" s="10" t="n">
        <v>137.6</v>
      </c>
      <c r="J19" s="10" t="n">
        <v>149</v>
      </c>
      <c r="K19" s="10" t="n">
        <v>195</v>
      </c>
      <c r="L19" s="11" t="n">
        <v>150000</v>
      </c>
      <c r="M19" s="11" t="n">
        <v>349</v>
      </c>
      <c r="N19" s="10" t="n">
        <v>197.6</v>
      </c>
      <c r="O19" s="10" t="n">
        <v>230.2</v>
      </c>
      <c r="P19" s="10" t="n">
        <v>235.2</v>
      </c>
      <c r="Q19" s="10" t="n">
        <v>267</v>
      </c>
      <c r="R19" s="10" t="n">
        <v>90.09999999999999</v>
      </c>
      <c r="S19" s="9" t="n">
        <v>64.3</v>
      </c>
    </row>
    <row r="20">
      <c r="A20" s="13" t="inlineStr">
        <is>
          <t>2026-08-22</t>
        </is>
      </c>
      <c r="B20" s="13" t="inlineStr">
        <is>
          <t>ヴェルファイア</t>
        </is>
      </c>
      <c r="C20" s="13" t="inlineStr">
        <is>
          <t>30系前期</t>
        </is>
      </c>
      <c r="D20" s="13" t="n">
        <v>2017</v>
      </c>
      <c r="E20" s="15" t="n">
        <v>1</v>
      </c>
      <c r="F20" s="16" t="n">
        <v>199.6</v>
      </c>
      <c r="G20" s="16" t="n">
        <v>199.6</v>
      </c>
      <c r="H20" s="16" t="n">
        <v>199.6</v>
      </c>
      <c r="I20" s="16" t="n">
        <v>199.6</v>
      </c>
      <c r="J20" s="16" t="n">
        <v>199.6</v>
      </c>
      <c r="K20" s="16" t="n">
        <v>199.6</v>
      </c>
      <c r="L20" s="15" t="n">
        <v>106863</v>
      </c>
      <c r="M20" s="15" t="n">
        <v>352</v>
      </c>
      <c r="N20" s="16" t="n">
        <v>200.4</v>
      </c>
      <c r="O20" s="16" t="n">
        <v>229.7</v>
      </c>
      <c r="P20" s="16" t="n">
        <v>240.8</v>
      </c>
      <c r="Q20" s="16" t="n">
        <v>265.1</v>
      </c>
      <c r="R20" s="16" t="n">
        <v>30.1</v>
      </c>
      <c r="S20" s="17" t="n">
        <v>15.1</v>
      </c>
    </row>
    <row r="21">
      <c r="A21" s="8" t="inlineStr">
        <is>
          <t>2026-08-22</t>
        </is>
      </c>
      <c r="B21" s="8" t="inlineStr">
        <is>
          <t>ヴェルファイア</t>
        </is>
      </c>
      <c r="C21" s="8" t="inlineStr">
        <is>
          <t>30系後期</t>
        </is>
      </c>
      <c r="D21" s="8" t="n">
        <v>2018</v>
      </c>
      <c r="E21" s="11" t="n">
        <v>2</v>
      </c>
      <c r="F21" s="10" t="n">
        <v>153</v>
      </c>
      <c r="G21" s="10" t="n">
        <v>226.8</v>
      </c>
      <c r="H21" s="10" t="n">
        <v>300.5</v>
      </c>
      <c r="I21" s="10" t="n">
        <v>300.5</v>
      </c>
      <c r="J21" s="10" t="n">
        <v>374.2</v>
      </c>
      <c r="K21" s="10" t="n">
        <v>448</v>
      </c>
      <c r="L21" s="11" t="n">
        <v>89200</v>
      </c>
      <c r="M21" s="11" t="n">
        <v>383</v>
      </c>
      <c r="N21" s="10" t="n">
        <v>272.9</v>
      </c>
      <c r="O21" s="10" t="n">
        <v>315.5</v>
      </c>
      <c r="P21" s="10" t="n">
        <v>321.6</v>
      </c>
      <c r="Q21" s="10" t="n">
        <v>360.5</v>
      </c>
      <c r="R21" s="10" t="n">
        <v>15</v>
      </c>
      <c r="S21" s="9" t="n">
        <v>5</v>
      </c>
    </row>
    <row r="22">
      <c r="A22" s="13" t="inlineStr">
        <is>
          <t>2026-08-22</t>
        </is>
      </c>
      <c r="B22" s="13" t="inlineStr">
        <is>
          <t>ヴェルファイア</t>
        </is>
      </c>
      <c r="C22" s="13" t="inlineStr">
        <is>
          <t>30系後期</t>
        </is>
      </c>
      <c r="D22" s="13" t="n">
        <v>2019</v>
      </c>
      <c r="E22" s="15" t="n">
        <v>1</v>
      </c>
      <c r="F22" s="16" t="n">
        <v>238.3</v>
      </c>
      <c r="G22" s="16" t="n">
        <v>238.3</v>
      </c>
      <c r="H22" s="16" t="n">
        <v>238.3</v>
      </c>
      <c r="I22" s="16" t="n">
        <v>238.3</v>
      </c>
      <c r="J22" s="16" t="n">
        <v>238.3</v>
      </c>
      <c r="K22" s="16" t="n">
        <v>238.3</v>
      </c>
      <c r="L22" s="15" t="n">
        <v>103000</v>
      </c>
      <c r="M22" s="15" t="n">
        <v>300</v>
      </c>
      <c r="N22" s="16" t="n">
        <v>279.1</v>
      </c>
      <c r="O22" s="16" t="n">
        <v>329.4</v>
      </c>
      <c r="P22" s="16" t="n">
        <v>332.6</v>
      </c>
      <c r="Q22" s="16" t="n">
        <v>378.3</v>
      </c>
      <c r="R22" s="16" t="n">
        <v>91.09999999999999</v>
      </c>
      <c r="S22" s="17" t="n">
        <v>38.2</v>
      </c>
    </row>
    <row r="23">
      <c r="A23" s="8" t="inlineStr">
        <is>
          <t>2026-08-22</t>
        </is>
      </c>
      <c r="B23" s="8" t="inlineStr">
        <is>
          <t>ヴェルファイア</t>
        </is>
      </c>
      <c r="C23" s="8" t="inlineStr">
        <is>
          <t>30系後期</t>
        </is>
      </c>
      <c r="D23" s="8" t="n">
        <v>2020</v>
      </c>
      <c r="E23" s="11" t="n"/>
      <c r="F23" s="10" t="n"/>
      <c r="G23" s="10" t="n"/>
      <c r="H23" s="10" t="n"/>
      <c r="I23" s="10" t="n"/>
      <c r="J23" s="10" t="n"/>
      <c r="K23" s="10" t="n"/>
      <c r="L23" s="11" t="n"/>
      <c r="M23" s="11" t="n">
        <v>138</v>
      </c>
      <c r="N23" s="10" t="n">
        <v>306.2</v>
      </c>
      <c r="O23" s="10" t="n">
        <v>355.6</v>
      </c>
      <c r="P23" s="10" t="n">
        <v>353.5</v>
      </c>
      <c r="Q23" s="10" t="n">
        <v>389.5</v>
      </c>
      <c r="R23" s="10" t="n"/>
      <c r="S23" s="9" t="n"/>
    </row>
    <row r="24">
      <c r="A24" s="13" t="inlineStr">
        <is>
          <t>2026-08-22</t>
        </is>
      </c>
      <c r="B24" s="13" t="inlineStr">
        <is>
          <t>ヴェルファイア</t>
        </is>
      </c>
      <c r="C24" s="13" t="inlineStr">
        <is>
          <t>30系後期</t>
        </is>
      </c>
      <c r="D24" s="13" t="n">
        <v>2021</v>
      </c>
      <c r="E24" s="15" t="n"/>
      <c r="F24" s="16" t="n"/>
      <c r="G24" s="16" t="n"/>
      <c r="H24" s="16" t="n"/>
      <c r="I24" s="16" t="n"/>
      <c r="J24" s="16" t="n"/>
      <c r="K24" s="16" t="n"/>
      <c r="L24" s="15" t="n"/>
      <c r="M24" s="15" t="n">
        <v>99</v>
      </c>
      <c r="N24" s="16" t="n">
        <v>335</v>
      </c>
      <c r="O24" s="16" t="n">
        <v>371.4</v>
      </c>
      <c r="P24" s="16" t="n">
        <v>366.5</v>
      </c>
      <c r="Q24" s="16" t="n">
        <v>397.7</v>
      </c>
      <c r="R24" s="16" t="n"/>
      <c r="S24" s="17" t="n"/>
    </row>
    <row r="25">
      <c r="A25" s="8" t="inlineStr">
        <is>
          <t>2026-08-22</t>
        </is>
      </c>
      <c r="B25" s="8" t="inlineStr">
        <is>
          <t>ヴェルファイア</t>
        </is>
      </c>
      <c r="C25" s="8" t="inlineStr">
        <is>
          <t>30系後期</t>
        </is>
      </c>
      <c r="D25" s="8" t="n">
        <v>2022</v>
      </c>
      <c r="E25" s="11" t="n">
        <v>1</v>
      </c>
      <c r="F25" s="10" t="n">
        <v>265.3</v>
      </c>
      <c r="G25" s="10" t="n">
        <v>265.3</v>
      </c>
      <c r="H25" s="10" t="n">
        <v>265.3</v>
      </c>
      <c r="I25" s="10" t="n">
        <v>265.3</v>
      </c>
      <c r="J25" s="10" t="n">
        <v>265.3</v>
      </c>
      <c r="K25" s="10" t="n">
        <v>265.3</v>
      </c>
      <c r="L25" s="11" t="n">
        <v>78908</v>
      </c>
      <c r="M25" s="11" t="n">
        <v>17</v>
      </c>
      <c r="N25" s="10" t="n">
        <v>391.2</v>
      </c>
      <c r="O25" s="10" t="n">
        <v>415</v>
      </c>
      <c r="P25" s="10" t="n">
        <v>421.8</v>
      </c>
      <c r="Q25" s="10" t="n">
        <v>457.5</v>
      </c>
      <c r="R25" s="10" t="n">
        <v>149.7</v>
      </c>
      <c r="S25" s="9" t="n">
        <v>56.4</v>
      </c>
    </row>
    <row r="26">
      <c r="A26" s="13" t="inlineStr">
        <is>
          <t>2026-08-22</t>
        </is>
      </c>
      <c r="B26" s="13" t="inlineStr">
        <is>
          <t>ヴェルファイア</t>
        </is>
      </c>
      <c r="C26" s="13" t="inlineStr">
        <is>
          <t>40系</t>
        </is>
      </c>
      <c r="D26" s="13" t="n">
        <v>2023</v>
      </c>
      <c r="E26" s="15" t="n">
        <v>1</v>
      </c>
      <c r="F26" s="16" t="n">
        <v>599</v>
      </c>
      <c r="G26" s="16" t="n">
        <v>599</v>
      </c>
      <c r="H26" s="16" t="n">
        <v>599</v>
      </c>
      <c r="I26" s="16" t="n">
        <v>599</v>
      </c>
      <c r="J26" s="16" t="n">
        <v>599</v>
      </c>
      <c r="K26" s="16" t="n">
        <v>599</v>
      </c>
      <c r="L26" s="15" t="n">
        <v>27000</v>
      </c>
      <c r="M26" s="15" t="n">
        <v>270</v>
      </c>
      <c r="N26" s="16" t="n">
        <v>629.3</v>
      </c>
      <c r="O26" s="16" t="n">
        <v>660.2</v>
      </c>
      <c r="P26" s="16" t="n">
        <v>672.5</v>
      </c>
      <c r="Q26" s="16" t="n">
        <v>695.4</v>
      </c>
      <c r="R26" s="16" t="n">
        <v>61.2</v>
      </c>
      <c r="S26" s="17" t="n">
        <v>10.2</v>
      </c>
    </row>
    <row r="27">
      <c r="A27" s="8" t="inlineStr">
        <is>
          <t>2026-08-22</t>
        </is>
      </c>
      <c r="B27" s="8" t="inlineStr">
        <is>
          <t>ヴェルファイア</t>
        </is>
      </c>
      <c r="C27" s="8" t="inlineStr">
        <is>
          <t>40系</t>
        </is>
      </c>
      <c r="D27" s="8" t="n">
        <v>2024</v>
      </c>
      <c r="E27" s="11" t="n"/>
      <c r="F27" s="10" t="n"/>
      <c r="G27" s="10" t="n"/>
      <c r="H27" s="10" t="n"/>
      <c r="I27" s="10" t="n"/>
      <c r="J27" s="10" t="n"/>
      <c r="K27" s="10" t="n"/>
      <c r="L27" s="11" t="n"/>
      <c r="M27" s="11" t="n">
        <v>324</v>
      </c>
      <c r="N27" s="10" t="n">
        <v>644.6</v>
      </c>
      <c r="O27" s="10" t="n">
        <v>679.1</v>
      </c>
      <c r="P27" s="10" t="n">
        <v>695.5</v>
      </c>
      <c r="Q27" s="10" t="n">
        <v>730</v>
      </c>
      <c r="R27" s="10" t="n"/>
      <c r="S27" s="9" t="n"/>
    </row>
    <row r="28">
      <c r="A28" s="13" t="inlineStr">
        <is>
          <t>2026-08-22</t>
        </is>
      </c>
      <c r="B28" s="13" t="inlineStr">
        <is>
          <t>ヴェルファイア</t>
        </is>
      </c>
      <c r="C28" s="13" t="inlineStr">
        <is>
          <t>40系</t>
        </is>
      </c>
      <c r="D28" s="13" t="n">
        <v>2025</v>
      </c>
      <c r="E28" s="15" t="n"/>
      <c r="F28" s="16" t="n"/>
      <c r="G28" s="16" t="n"/>
      <c r="H28" s="16" t="n"/>
      <c r="I28" s="16" t="n"/>
      <c r="J28" s="16" t="n"/>
      <c r="K28" s="16" t="n"/>
      <c r="L28" s="15" t="n"/>
      <c r="M28" s="15" t="n">
        <v>251</v>
      </c>
      <c r="N28" s="16" t="n">
        <v>710.8</v>
      </c>
      <c r="O28" s="16" t="n">
        <v>765.4</v>
      </c>
      <c r="P28" s="16" t="n">
        <v>768.4</v>
      </c>
      <c r="Q28" s="16" t="n">
        <v>842.3</v>
      </c>
      <c r="R28" s="16" t="n"/>
      <c r="S28" s="17" t="n"/>
    </row>
    <row r="29">
      <c r="A29" s="8" t="inlineStr">
        <is>
          <t>2026-08-22</t>
        </is>
      </c>
      <c r="B29" s="8" t="inlineStr">
        <is>
          <t>ヴェルファイア</t>
        </is>
      </c>
      <c r="C29" s="8" t="inlineStr">
        <is>
          <t>40系</t>
        </is>
      </c>
      <c r="D29" s="8" t="n">
        <v>2026</v>
      </c>
      <c r="E29" s="11" t="n"/>
      <c r="F29" s="10" t="n"/>
      <c r="G29" s="10" t="n"/>
      <c r="H29" s="10" t="n"/>
      <c r="I29" s="10" t="n"/>
      <c r="J29" s="10" t="n"/>
      <c r="K29" s="10" t="n"/>
      <c r="L29" s="11" t="n"/>
      <c r="M29" s="11" t="n">
        <v>106</v>
      </c>
      <c r="N29" s="10" t="n">
        <v>765</v>
      </c>
      <c r="O29" s="10" t="n">
        <v>797.1</v>
      </c>
      <c r="P29" s="10" t="n">
        <v>796</v>
      </c>
      <c r="Q29" s="10" t="n">
        <v>842.1</v>
      </c>
      <c r="R29" s="10" t="n"/>
      <c r="S29" s="9" t="n"/>
    </row>
    <row r="30">
      <c r="A30" s="13" t="inlineStr">
        <is>
          <t>2026-08-22</t>
        </is>
      </c>
      <c r="B30" s="13" t="inlineStr">
        <is>
          <t>ノア</t>
        </is>
      </c>
      <c r="C30" s="13" t="inlineStr">
        <is>
          <t>70系</t>
        </is>
      </c>
      <c r="D30" s="13" t="n">
        <v>2013</v>
      </c>
      <c r="E30" s="15" t="n"/>
      <c r="F30" s="16" t="n"/>
      <c r="G30" s="16" t="n"/>
      <c r="H30" s="16" t="n"/>
      <c r="I30" s="16" t="n"/>
      <c r="J30" s="16" t="n"/>
      <c r="K30" s="16" t="n"/>
      <c r="L30" s="15" t="n"/>
      <c r="M30" s="15" t="n">
        <v>50</v>
      </c>
      <c r="N30" s="16" t="n">
        <v>76.5</v>
      </c>
      <c r="O30" s="16" t="n">
        <v>95</v>
      </c>
      <c r="P30" s="16" t="n">
        <v>100.3</v>
      </c>
      <c r="Q30" s="16" t="n">
        <v>116</v>
      </c>
      <c r="R30" s="16" t="n"/>
      <c r="S30" s="17" t="n"/>
    </row>
    <row r="31">
      <c r="A31" s="8" t="inlineStr">
        <is>
          <t>2026-08-22</t>
        </is>
      </c>
      <c r="B31" s="8" t="inlineStr">
        <is>
          <t>ノア</t>
        </is>
      </c>
      <c r="C31" s="8" t="inlineStr">
        <is>
          <t>80系</t>
        </is>
      </c>
      <c r="D31" s="8" t="n">
        <v>2014</v>
      </c>
      <c r="E31" s="11" t="n">
        <v>6</v>
      </c>
      <c r="F31" s="10" t="n">
        <v>50</v>
      </c>
      <c r="G31" s="10" t="n">
        <v>54.5</v>
      </c>
      <c r="H31" s="10" t="n">
        <v>72.40000000000001</v>
      </c>
      <c r="I31" s="10" t="n">
        <v>82.2</v>
      </c>
      <c r="J31" s="10" t="n">
        <v>112.6</v>
      </c>
      <c r="K31" s="10" t="n">
        <v>123.8</v>
      </c>
      <c r="L31" s="11" t="n">
        <v>159070</v>
      </c>
      <c r="M31" s="11" t="n">
        <v>204</v>
      </c>
      <c r="N31" s="10" t="n">
        <v>94.3</v>
      </c>
      <c r="O31" s="10" t="n">
        <v>121.5</v>
      </c>
      <c r="P31" s="10" t="n">
        <v>124.5</v>
      </c>
      <c r="Q31" s="10" t="n">
        <v>148.2</v>
      </c>
      <c r="R31" s="10" t="n">
        <v>49.1</v>
      </c>
      <c r="S31" s="9" t="n">
        <v>67.8</v>
      </c>
    </row>
    <row r="32">
      <c r="A32" s="13" t="inlineStr">
        <is>
          <t>2026-08-22</t>
        </is>
      </c>
      <c r="B32" s="13" t="inlineStr">
        <is>
          <t>ノア</t>
        </is>
      </c>
      <c r="C32" s="13" t="inlineStr">
        <is>
          <t>80系</t>
        </is>
      </c>
      <c r="D32" s="13" t="n">
        <v>2015</v>
      </c>
      <c r="E32" s="15" t="n">
        <v>6</v>
      </c>
      <c r="F32" s="16" t="n">
        <v>58.3</v>
      </c>
      <c r="G32" s="16" t="n">
        <v>73.59999999999999</v>
      </c>
      <c r="H32" s="16" t="n">
        <v>86.40000000000001</v>
      </c>
      <c r="I32" s="16" t="n">
        <v>89.40000000000001</v>
      </c>
      <c r="J32" s="16" t="n">
        <v>89.90000000000001</v>
      </c>
      <c r="K32" s="16" t="n">
        <v>145</v>
      </c>
      <c r="L32" s="15" t="n">
        <v>127000</v>
      </c>
      <c r="M32" s="15" t="n">
        <v>196</v>
      </c>
      <c r="N32" s="16" t="n">
        <v>105.4</v>
      </c>
      <c r="O32" s="16" t="n">
        <v>126.2</v>
      </c>
      <c r="P32" s="16" t="n">
        <v>132</v>
      </c>
      <c r="Q32" s="16" t="n">
        <v>156.5</v>
      </c>
      <c r="R32" s="16" t="n">
        <v>39.8</v>
      </c>
      <c r="S32" s="17" t="n">
        <v>46.1</v>
      </c>
    </row>
    <row r="33">
      <c r="A33" s="8" t="inlineStr">
        <is>
          <t>2026-08-22</t>
        </is>
      </c>
      <c r="B33" s="8" t="inlineStr">
        <is>
          <t>ノア</t>
        </is>
      </c>
      <c r="C33" s="8" t="inlineStr">
        <is>
          <t>80系</t>
        </is>
      </c>
      <c r="D33" s="8" t="n">
        <v>2016</v>
      </c>
      <c r="E33" s="11" t="n">
        <v>2</v>
      </c>
      <c r="F33" s="10" t="n">
        <v>96.8</v>
      </c>
      <c r="G33" s="10" t="n">
        <v>112.5</v>
      </c>
      <c r="H33" s="10" t="n">
        <v>128.3</v>
      </c>
      <c r="I33" s="10" t="n">
        <v>128.3</v>
      </c>
      <c r="J33" s="10" t="n">
        <v>144.1</v>
      </c>
      <c r="K33" s="10" t="n">
        <v>159.8</v>
      </c>
      <c r="L33" s="11" t="n">
        <v>141360</v>
      </c>
      <c r="M33" s="11" t="n">
        <v>156</v>
      </c>
      <c r="N33" s="10" t="n">
        <v>126.6</v>
      </c>
      <c r="O33" s="10" t="n">
        <v>149.8</v>
      </c>
      <c r="P33" s="10" t="n">
        <v>154.9</v>
      </c>
      <c r="Q33" s="10" t="n">
        <v>180.3</v>
      </c>
      <c r="R33" s="10" t="n">
        <v>21.5</v>
      </c>
      <c r="S33" s="9" t="n">
        <v>16.8</v>
      </c>
    </row>
    <row r="34">
      <c r="A34" s="13" t="inlineStr">
        <is>
          <t>2026-08-22</t>
        </is>
      </c>
      <c r="B34" s="13" t="inlineStr">
        <is>
          <t>ノア</t>
        </is>
      </c>
      <c r="C34" s="13" t="inlineStr">
        <is>
          <t>80系</t>
        </is>
      </c>
      <c r="D34" s="13" t="n">
        <v>2017</v>
      </c>
      <c r="E34" s="15" t="n">
        <v>2</v>
      </c>
      <c r="F34" s="16" t="n">
        <v>166.8</v>
      </c>
      <c r="G34" s="16" t="n">
        <v>168.3</v>
      </c>
      <c r="H34" s="16" t="n">
        <v>169.8</v>
      </c>
      <c r="I34" s="16" t="n">
        <v>169.8</v>
      </c>
      <c r="J34" s="16" t="n">
        <v>171.3</v>
      </c>
      <c r="K34" s="16" t="n">
        <v>172.8</v>
      </c>
      <c r="L34" s="15" t="n">
        <v>77000</v>
      </c>
      <c r="M34" s="15" t="n">
        <v>253</v>
      </c>
      <c r="N34" s="16" t="n">
        <v>150.8</v>
      </c>
      <c r="O34" s="16" t="n">
        <v>178.9</v>
      </c>
      <c r="P34" s="16" t="n">
        <v>181.5</v>
      </c>
      <c r="Q34" s="16" t="n">
        <v>212.1</v>
      </c>
      <c r="R34" s="16" t="n">
        <v>9.1</v>
      </c>
      <c r="S34" s="17" t="n">
        <v>5.4</v>
      </c>
    </row>
    <row r="35">
      <c r="A35" s="8" t="inlineStr">
        <is>
          <t>2026-08-22</t>
        </is>
      </c>
      <c r="B35" s="8" t="inlineStr">
        <is>
          <t>ノア</t>
        </is>
      </c>
      <c r="C35" s="8" t="inlineStr">
        <is>
          <t>80系</t>
        </is>
      </c>
      <c r="D35" s="8" t="n">
        <v>2018</v>
      </c>
      <c r="E35" s="11" t="n">
        <v>1</v>
      </c>
      <c r="F35" s="10" t="n">
        <v>133</v>
      </c>
      <c r="G35" s="10" t="n">
        <v>133</v>
      </c>
      <c r="H35" s="10" t="n">
        <v>133</v>
      </c>
      <c r="I35" s="10" t="n">
        <v>133</v>
      </c>
      <c r="J35" s="10" t="n">
        <v>133</v>
      </c>
      <c r="K35" s="10" t="n">
        <v>133</v>
      </c>
      <c r="L35" s="11" t="n">
        <v>122000</v>
      </c>
      <c r="M35" s="11" t="n">
        <v>257</v>
      </c>
      <c r="N35" s="10" t="n">
        <v>179.4</v>
      </c>
      <c r="O35" s="10" t="n">
        <v>207.7</v>
      </c>
      <c r="P35" s="10" t="n">
        <v>209.6</v>
      </c>
      <c r="Q35" s="10" t="n">
        <v>242</v>
      </c>
      <c r="R35" s="10" t="n">
        <v>74.7</v>
      </c>
      <c r="S35" s="9" t="n">
        <v>56.2</v>
      </c>
    </row>
    <row r="36">
      <c r="A36" s="13" t="inlineStr">
        <is>
          <t>2026-08-22</t>
        </is>
      </c>
      <c r="B36" s="13" t="inlineStr">
        <is>
          <t>ノア</t>
        </is>
      </c>
      <c r="C36" s="13" t="inlineStr">
        <is>
          <t>80系</t>
        </is>
      </c>
      <c r="D36" s="13" t="n">
        <v>2019</v>
      </c>
      <c r="E36" s="15" t="n"/>
      <c r="F36" s="16" t="n"/>
      <c r="G36" s="16" t="n"/>
      <c r="H36" s="16" t="n"/>
      <c r="I36" s="16" t="n"/>
      <c r="J36" s="16" t="n"/>
      <c r="K36" s="16" t="n"/>
      <c r="L36" s="15" t="n"/>
      <c r="M36" s="15" t="n">
        <v>265</v>
      </c>
      <c r="N36" s="16" t="n">
        <v>200.9</v>
      </c>
      <c r="O36" s="16" t="n">
        <v>231.9</v>
      </c>
      <c r="P36" s="16" t="n">
        <v>227.2</v>
      </c>
      <c r="Q36" s="16" t="n">
        <v>255.4</v>
      </c>
      <c r="R36" s="16" t="n"/>
      <c r="S36" s="17" t="n"/>
    </row>
    <row r="37">
      <c r="A37" s="8" t="inlineStr">
        <is>
          <t>2026-08-22</t>
        </is>
      </c>
      <c r="B37" s="8" t="inlineStr">
        <is>
          <t>ノア</t>
        </is>
      </c>
      <c r="C37" s="8" t="inlineStr">
        <is>
          <t>80系</t>
        </is>
      </c>
      <c r="D37" s="8" t="n">
        <v>2020</v>
      </c>
      <c r="E37" s="11" t="n">
        <v>1</v>
      </c>
      <c r="F37" s="10" t="n">
        <v>144.7</v>
      </c>
      <c r="G37" s="10" t="n">
        <v>144.7</v>
      </c>
      <c r="H37" s="10" t="n">
        <v>144.7</v>
      </c>
      <c r="I37" s="10" t="n">
        <v>144.7</v>
      </c>
      <c r="J37" s="10" t="n">
        <v>144.7</v>
      </c>
      <c r="K37" s="10" t="n">
        <v>144.7</v>
      </c>
      <c r="L37" s="11" t="n">
        <v>85000</v>
      </c>
      <c r="M37" s="11" t="n">
        <v>165</v>
      </c>
      <c r="N37" s="10" t="n">
        <v>221.9</v>
      </c>
      <c r="O37" s="10" t="n">
        <v>249</v>
      </c>
      <c r="P37" s="10" t="n">
        <v>243.8</v>
      </c>
      <c r="Q37" s="10" t="n">
        <v>270</v>
      </c>
      <c r="R37" s="10" t="n">
        <v>104.3</v>
      </c>
      <c r="S37" s="9" t="n">
        <v>72.09999999999999</v>
      </c>
    </row>
    <row r="38">
      <c r="A38" s="13" t="inlineStr">
        <is>
          <t>2026-08-22</t>
        </is>
      </c>
      <c r="B38" s="13" t="inlineStr">
        <is>
          <t>ノア</t>
        </is>
      </c>
      <c r="C38" s="13" t="inlineStr">
        <is>
          <t>80系</t>
        </is>
      </c>
      <c r="D38" s="13" t="n">
        <v>2021</v>
      </c>
      <c r="E38" s="15" t="n"/>
      <c r="F38" s="16" t="n"/>
      <c r="G38" s="16" t="n"/>
      <c r="H38" s="16" t="n"/>
      <c r="I38" s="16" t="n"/>
      <c r="J38" s="16" t="n"/>
      <c r="K38" s="16" t="n"/>
      <c r="L38" s="15" t="n"/>
      <c r="M38" s="15" t="n">
        <v>290</v>
      </c>
      <c r="N38" s="16" t="n">
        <v>241.8</v>
      </c>
      <c r="O38" s="16" t="n">
        <v>266.9</v>
      </c>
      <c r="P38" s="16" t="n">
        <v>262.4</v>
      </c>
      <c r="Q38" s="16" t="n">
        <v>287.9</v>
      </c>
      <c r="R38" s="16" t="n"/>
      <c r="S38" s="17" t="n"/>
    </row>
    <row r="39">
      <c r="A39" s="8" t="inlineStr">
        <is>
          <t>2026-08-22</t>
        </is>
      </c>
      <c r="B39" s="8" t="inlineStr">
        <is>
          <t>ノア</t>
        </is>
      </c>
      <c r="C39" s="8" t="inlineStr">
        <is>
          <t>90系</t>
        </is>
      </c>
      <c r="D39" s="8" t="n">
        <v>2022</v>
      </c>
      <c r="E39" s="11" t="n"/>
      <c r="F39" s="10" t="n"/>
      <c r="G39" s="10" t="n"/>
      <c r="H39" s="10" t="n"/>
      <c r="I39" s="10" t="n"/>
      <c r="J39" s="10" t="n"/>
      <c r="K39" s="10" t="n"/>
      <c r="L39" s="11" t="n"/>
      <c r="M39" s="11" t="n">
        <v>547</v>
      </c>
      <c r="N39" s="10" t="n">
        <v>303.5</v>
      </c>
      <c r="O39" s="10" t="n">
        <v>339.6</v>
      </c>
      <c r="P39" s="10" t="n">
        <v>335.3</v>
      </c>
      <c r="Q39" s="10" t="n">
        <v>372.4</v>
      </c>
      <c r="R39" s="10" t="n"/>
      <c r="S39" s="9" t="n"/>
    </row>
    <row r="40">
      <c r="A40" s="13" t="inlineStr">
        <is>
          <t>2026-08-22</t>
        </is>
      </c>
      <c r="B40" s="13" t="inlineStr">
        <is>
          <t>ノア</t>
        </is>
      </c>
      <c r="C40" s="13" t="inlineStr">
        <is>
          <t>90系</t>
        </is>
      </c>
      <c r="D40" s="13" t="n">
        <v>2023</v>
      </c>
      <c r="E40" s="15" t="n">
        <v>1</v>
      </c>
      <c r="F40" s="16" t="n">
        <v>292.1</v>
      </c>
      <c r="G40" s="16" t="n">
        <v>292.1</v>
      </c>
      <c r="H40" s="16" t="n">
        <v>292.1</v>
      </c>
      <c r="I40" s="16" t="n">
        <v>292.1</v>
      </c>
      <c r="J40" s="16" t="n">
        <v>292.1</v>
      </c>
      <c r="K40" s="16" t="n">
        <v>292.1</v>
      </c>
      <c r="L40" s="15" t="n">
        <v>4000</v>
      </c>
      <c r="M40" s="15" t="n">
        <v>782</v>
      </c>
      <c r="N40" s="16" t="n">
        <v>331.6</v>
      </c>
      <c r="O40" s="16" t="n">
        <v>361</v>
      </c>
      <c r="P40" s="16" t="n">
        <v>354.1</v>
      </c>
      <c r="Q40" s="16" t="n">
        <v>383.3</v>
      </c>
      <c r="R40" s="16" t="n">
        <v>68.90000000000001</v>
      </c>
      <c r="S40" s="17" t="n">
        <v>23.6</v>
      </c>
    </row>
    <row r="41">
      <c r="A41" s="8" t="inlineStr">
        <is>
          <t>2026-08-22</t>
        </is>
      </c>
      <c r="B41" s="8" t="inlineStr">
        <is>
          <t>ノア</t>
        </is>
      </c>
      <c r="C41" s="8" t="inlineStr">
        <is>
          <t>90系</t>
        </is>
      </c>
      <c r="D41" s="8" t="n">
        <v>2024</v>
      </c>
      <c r="E41" s="11" t="n"/>
      <c r="F41" s="10" t="n"/>
      <c r="G41" s="10" t="n"/>
      <c r="H41" s="10" t="n"/>
      <c r="I41" s="10" t="n"/>
      <c r="J41" s="10" t="n"/>
      <c r="K41" s="10" t="n"/>
      <c r="L41" s="11" t="n"/>
      <c r="M41" s="11" t="n">
        <v>314</v>
      </c>
      <c r="N41" s="10" t="n">
        <v>338.8</v>
      </c>
      <c r="O41" s="10" t="n">
        <v>371.5</v>
      </c>
      <c r="P41" s="10" t="n">
        <v>364.5</v>
      </c>
      <c r="Q41" s="10" t="n">
        <v>396.6</v>
      </c>
      <c r="R41" s="10" t="n"/>
      <c r="S41" s="9" t="n"/>
    </row>
    <row r="42">
      <c r="A42" s="13" t="inlineStr">
        <is>
          <t>2026-08-22</t>
        </is>
      </c>
      <c r="B42" s="13" t="inlineStr">
        <is>
          <t>ノア</t>
        </is>
      </c>
      <c r="C42" s="13" t="inlineStr">
        <is>
          <t>90系</t>
        </is>
      </c>
      <c r="D42" s="13" t="n">
        <v>2025</v>
      </c>
      <c r="E42" s="15" t="n"/>
      <c r="F42" s="16" t="n"/>
      <c r="G42" s="16" t="n"/>
      <c r="H42" s="16" t="n"/>
      <c r="I42" s="16" t="n"/>
      <c r="J42" s="16" t="n"/>
      <c r="K42" s="16" t="n"/>
      <c r="L42" s="15" t="n"/>
      <c r="M42" s="15" t="n">
        <v>201</v>
      </c>
      <c r="N42" s="16" t="n">
        <v>371.8</v>
      </c>
      <c r="O42" s="16" t="n">
        <v>402.9</v>
      </c>
      <c r="P42" s="16" t="n">
        <v>395.9</v>
      </c>
      <c r="Q42" s="16" t="n">
        <v>432.1</v>
      </c>
      <c r="R42" s="16" t="n"/>
      <c r="S42" s="17" t="n"/>
    </row>
    <row r="43">
      <c r="A43" s="8" t="inlineStr">
        <is>
          <t>2026-08-22</t>
        </is>
      </c>
      <c r="B43" s="8" t="inlineStr">
        <is>
          <t>ノア</t>
        </is>
      </c>
      <c r="C43" s="8" t="inlineStr">
        <is>
          <t>90系</t>
        </is>
      </c>
      <c r="D43" s="8" t="n">
        <v>2026</v>
      </c>
      <c r="E43" s="11" t="n"/>
      <c r="F43" s="10" t="n"/>
      <c r="G43" s="10" t="n"/>
      <c r="H43" s="10" t="n"/>
      <c r="I43" s="10" t="n"/>
      <c r="J43" s="10" t="n"/>
      <c r="K43" s="10" t="n"/>
      <c r="L43" s="11" t="n"/>
      <c r="M43" s="11" t="n">
        <v>113</v>
      </c>
      <c r="N43" s="10" t="n">
        <v>416.2</v>
      </c>
      <c r="O43" s="10" t="n">
        <v>446.8</v>
      </c>
      <c r="P43" s="10" t="n">
        <v>428.3</v>
      </c>
      <c r="Q43" s="10" t="n">
        <v>455.9</v>
      </c>
      <c r="R43" s="10" t="n"/>
      <c r="S43" s="9" t="n"/>
    </row>
    <row r="44">
      <c r="A44" s="13" t="inlineStr">
        <is>
          <t>2026-08-22</t>
        </is>
      </c>
      <c r="B44" s="13" t="inlineStr">
        <is>
          <t>ヴォクシー</t>
        </is>
      </c>
      <c r="C44" s="13" t="inlineStr">
        <is>
          <t>70系</t>
        </is>
      </c>
      <c r="D44" s="13" t="n">
        <v>2013</v>
      </c>
      <c r="E44" s="15" t="n">
        <v>4</v>
      </c>
      <c r="F44" s="16" t="n">
        <v>25.1</v>
      </c>
      <c r="G44" s="16" t="n">
        <v>31.9</v>
      </c>
      <c r="H44" s="16" t="n">
        <v>36.5</v>
      </c>
      <c r="I44" s="16" t="n">
        <v>35.9</v>
      </c>
      <c r="J44" s="16" t="n">
        <v>40.5</v>
      </c>
      <c r="K44" s="16" t="n">
        <v>45.2</v>
      </c>
      <c r="L44" s="15" t="n">
        <v>138111</v>
      </c>
      <c r="M44" s="15" t="n">
        <v>138</v>
      </c>
      <c r="N44" s="16" t="n">
        <v>59</v>
      </c>
      <c r="O44" s="16" t="n">
        <v>74.09999999999999</v>
      </c>
      <c r="P44" s="16" t="n">
        <v>83.3</v>
      </c>
      <c r="Q44" s="16" t="n">
        <v>98.8</v>
      </c>
      <c r="R44" s="16" t="n">
        <v>37.6</v>
      </c>
      <c r="S44" s="17" t="n">
        <v>103</v>
      </c>
    </row>
    <row r="45">
      <c r="A45" s="8" t="inlineStr">
        <is>
          <t>2026-08-22</t>
        </is>
      </c>
      <c r="B45" s="8" t="inlineStr">
        <is>
          <t>ヴォクシー</t>
        </is>
      </c>
      <c r="C45" s="8" t="inlineStr">
        <is>
          <t>80系</t>
        </is>
      </c>
      <c r="D45" s="8" t="n">
        <v>2014</v>
      </c>
      <c r="E45" s="11" t="n">
        <v>17</v>
      </c>
      <c r="F45" s="10" t="n">
        <v>50.2</v>
      </c>
      <c r="G45" s="10" t="n">
        <v>62.1</v>
      </c>
      <c r="H45" s="10" t="n">
        <v>75</v>
      </c>
      <c r="I45" s="10" t="n">
        <v>78.2</v>
      </c>
      <c r="J45" s="10" t="n">
        <v>79.59999999999999</v>
      </c>
      <c r="K45" s="10" t="n">
        <v>138</v>
      </c>
      <c r="L45" s="11" t="n">
        <v>150700</v>
      </c>
      <c r="M45" s="11" t="n">
        <v>395</v>
      </c>
      <c r="N45" s="10" t="n">
        <v>99.3</v>
      </c>
      <c r="O45" s="10" t="n">
        <v>122.6</v>
      </c>
      <c r="P45" s="10" t="n">
        <v>129.6</v>
      </c>
      <c r="Q45" s="10" t="n">
        <v>149.8</v>
      </c>
      <c r="R45" s="10" t="n">
        <v>47.6</v>
      </c>
      <c r="S45" s="9" t="n">
        <v>63.5</v>
      </c>
    </row>
    <row r="46">
      <c r="A46" s="13" t="inlineStr">
        <is>
          <t>2026-08-22</t>
        </is>
      </c>
      <c r="B46" s="13" t="inlineStr">
        <is>
          <t>ヴォクシー</t>
        </is>
      </c>
      <c r="C46" s="13" t="inlineStr">
        <is>
          <t>80系</t>
        </is>
      </c>
      <c r="D46" s="13" t="n">
        <v>2015</v>
      </c>
      <c r="E46" s="15" t="n">
        <v>16</v>
      </c>
      <c r="F46" s="16" t="n">
        <v>45.1</v>
      </c>
      <c r="G46" s="16" t="n">
        <v>57.5</v>
      </c>
      <c r="H46" s="16" t="n">
        <v>68</v>
      </c>
      <c r="I46" s="16" t="n">
        <v>69.40000000000001</v>
      </c>
      <c r="J46" s="16" t="n">
        <v>78.59999999999999</v>
      </c>
      <c r="K46" s="16" t="n">
        <v>95.8</v>
      </c>
      <c r="L46" s="15" t="n">
        <v>152300</v>
      </c>
      <c r="M46" s="15" t="n">
        <v>387</v>
      </c>
      <c r="N46" s="16" t="n">
        <v>110.5</v>
      </c>
      <c r="O46" s="16" t="n">
        <v>137.1</v>
      </c>
      <c r="P46" s="16" t="n">
        <v>138.6</v>
      </c>
      <c r="Q46" s="16" t="n">
        <v>162.9</v>
      </c>
      <c r="R46" s="16" t="n">
        <v>69.09999999999999</v>
      </c>
      <c r="S46" s="17" t="n">
        <v>101.6</v>
      </c>
    </row>
    <row r="47">
      <c r="A47" s="8" t="inlineStr">
        <is>
          <t>2026-08-22</t>
        </is>
      </c>
      <c r="B47" s="8" t="inlineStr">
        <is>
          <t>ヴォクシー</t>
        </is>
      </c>
      <c r="C47" s="8" t="inlineStr">
        <is>
          <t>80系</t>
        </is>
      </c>
      <c r="D47" s="8" t="n">
        <v>2016</v>
      </c>
      <c r="E47" s="11" t="n">
        <v>7</v>
      </c>
      <c r="F47" s="10" t="n">
        <v>60.1</v>
      </c>
      <c r="G47" s="10" t="n">
        <v>98.90000000000001</v>
      </c>
      <c r="H47" s="10" t="n">
        <v>120</v>
      </c>
      <c r="I47" s="10" t="n">
        <v>117.1</v>
      </c>
      <c r="J47" s="10" t="n">
        <v>140.8</v>
      </c>
      <c r="K47" s="10" t="n">
        <v>159.9</v>
      </c>
      <c r="L47" s="11" t="n">
        <v>91000</v>
      </c>
      <c r="M47" s="11" t="n">
        <v>344</v>
      </c>
      <c r="N47" s="10" t="n">
        <v>134.9</v>
      </c>
      <c r="O47" s="10" t="n">
        <v>160.2</v>
      </c>
      <c r="P47" s="10" t="n">
        <v>161</v>
      </c>
      <c r="Q47" s="10" t="n">
        <v>186.1</v>
      </c>
      <c r="R47" s="10" t="n">
        <v>40.2</v>
      </c>
      <c r="S47" s="9" t="n">
        <v>33.5</v>
      </c>
    </row>
    <row r="48">
      <c r="A48" s="13" t="inlineStr">
        <is>
          <t>2026-08-22</t>
        </is>
      </c>
      <c r="B48" s="13" t="inlineStr">
        <is>
          <t>ヴォクシー</t>
        </is>
      </c>
      <c r="C48" s="13" t="inlineStr">
        <is>
          <t>80系</t>
        </is>
      </c>
      <c r="D48" s="13" t="n">
        <v>2017</v>
      </c>
      <c r="E48" s="15" t="n">
        <v>2</v>
      </c>
      <c r="F48" s="16" t="n">
        <v>100</v>
      </c>
      <c r="G48" s="16" t="n">
        <v>111.7</v>
      </c>
      <c r="H48" s="16" t="n">
        <v>123.3</v>
      </c>
      <c r="I48" s="16" t="n">
        <v>123.3</v>
      </c>
      <c r="J48" s="16" t="n">
        <v>135</v>
      </c>
      <c r="K48" s="16" t="n">
        <v>146.7</v>
      </c>
      <c r="L48" s="15" t="n">
        <v>63000</v>
      </c>
      <c r="M48" s="15" t="n">
        <v>502</v>
      </c>
      <c r="N48" s="16" t="n">
        <v>161.1</v>
      </c>
      <c r="O48" s="16" t="n">
        <v>191.1</v>
      </c>
      <c r="P48" s="16" t="n">
        <v>192.1</v>
      </c>
      <c r="Q48" s="16" t="n">
        <v>221.2</v>
      </c>
      <c r="R48" s="16" t="n">
        <v>67.8</v>
      </c>
      <c r="S48" s="17" t="n">
        <v>55</v>
      </c>
    </row>
    <row r="49">
      <c r="A49" s="8" t="inlineStr">
        <is>
          <t>2026-08-22</t>
        </is>
      </c>
      <c r="B49" s="8" t="inlineStr">
        <is>
          <t>ヴォクシー</t>
        </is>
      </c>
      <c r="C49" s="8" t="inlineStr">
        <is>
          <t>80系</t>
        </is>
      </c>
      <c r="D49" s="8" t="n">
        <v>2018</v>
      </c>
      <c r="E49" s="11" t="n">
        <v>2</v>
      </c>
      <c r="F49" s="10" t="n">
        <v>120.3</v>
      </c>
      <c r="G49" s="10" t="n">
        <v>132</v>
      </c>
      <c r="H49" s="10" t="n">
        <v>143.7</v>
      </c>
      <c r="I49" s="10" t="n">
        <v>143.7</v>
      </c>
      <c r="J49" s="10" t="n">
        <v>155.3</v>
      </c>
      <c r="K49" s="10" t="n">
        <v>167</v>
      </c>
      <c r="L49" s="11" t="n">
        <v>102000</v>
      </c>
      <c r="M49" s="11" t="n">
        <v>507</v>
      </c>
      <c r="N49" s="10" t="n">
        <v>186.9</v>
      </c>
      <c r="O49" s="10" t="n">
        <v>214.4</v>
      </c>
      <c r="P49" s="10" t="n">
        <v>214.1</v>
      </c>
      <c r="Q49" s="10" t="n">
        <v>243.6</v>
      </c>
      <c r="R49" s="10" t="n">
        <v>70.7</v>
      </c>
      <c r="S49" s="9" t="n">
        <v>49.2</v>
      </c>
    </row>
    <row r="50">
      <c r="A50" s="13" t="inlineStr">
        <is>
          <t>2026-08-22</t>
        </is>
      </c>
      <c r="B50" s="13" t="inlineStr">
        <is>
          <t>ヴォクシー</t>
        </is>
      </c>
      <c r="C50" s="13" t="inlineStr">
        <is>
          <t>80系</t>
        </is>
      </c>
      <c r="D50" s="13" t="n">
        <v>2019</v>
      </c>
      <c r="E50" s="15" t="n">
        <v>2</v>
      </c>
      <c r="F50" s="16" t="n">
        <v>135</v>
      </c>
      <c r="G50" s="16" t="n">
        <v>143.1</v>
      </c>
      <c r="H50" s="16" t="n">
        <v>151.2</v>
      </c>
      <c r="I50" s="16" t="n">
        <v>151.2</v>
      </c>
      <c r="J50" s="16" t="n">
        <v>159.3</v>
      </c>
      <c r="K50" s="16" t="n">
        <v>167.4</v>
      </c>
      <c r="L50" s="15" t="n">
        <v>108800</v>
      </c>
      <c r="M50" s="15" t="n">
        <v>503</v>
      </c>
      <c r="N50" s="16" t="n">
        <v>204.4</v>
      </c>
      <c r="O50" s="16" t="n">
        <v>236</v>
      </c>
      <c r="P50" s="16" t="n">
        <v>231.8</v>
      </c>
      <c r="Q50" s="16" t="n">
        <v>260.7</v>
      </c>
      <c r="R50" s="16" t="n">
        <v>84.8</v>
      </c>
      <c r="S50" s="17" t="n">
        <v>56.1</v>
      </c>
    </row>
    <row r="51">
      <c r="A51" s="8" t="inlineStr">
        <is>
          <t>2026-08-22</t>
        </is>
      </c>
      <c r="B51" s="8" t="inlineStr">
        <is>
          <t>ヴォクシー</t>
        </is>
      </c>
      <c r="C51" s="8" t="inlineStr">
        <is>
          <t>80系</t>
        </is>
      </c>
      <c r="D51" s="8" t="n">
        <v>2020</v>
      </c>
      <c r="E51" s="11" t="n"/>
      <c r="F51" s="10" t="n"/>
      <c r="G51" s="10" t="n"/>
      <c r="H51" s="10" t="n"/>
      <c r="I51" s="10" t="n"/>
      <c r="J51" s="10" t="n"/>
      <c r="K51" s="10" t="n"/>
      <c r="L51" s="11" t="n"/>
      <c r="M51" s="11" t="n">
        <v>328</v>
      </c>
      <c r="N51" s="10" t="n">
        <v>231.4</v>
      </c>
      <c r="O51" s="10" t="n">
        <v>256.9</v>
      </c>
      <c r="P51" s="10" t="n">
        <v>253.3</v>
      </c>
      <c r="Q51" s="10" t="n">
        <v>277.9</v>
      </c>
      <c r="R51" s="10" t="n"/>
      <c r="S51" s="9" t="n"/>
    </row>
    <row r="52">
      <c r="A52" s="13" t="inlineStr">
        <is>
          <t>2026-08-22</t>
        </is>
      </c>
      <c r="B52" s="13" t="inlineStr">
        <is>
          <t>ヴォクシー</t>
        </is>
      </c>
      <c r="C52" s="13" t="inlineStr">
        <is>
          <t>80系</t>
        </is>
      </c>
      <c r="D52" s="13" t="n">
        <v>2021</v>
      </c>
      <c r="E52" s="15" t="n">
        <v>1</v>
      </c>
      <c r="F52" s="16" t="n">
        <v>178</v>
      </c>
      <c r="G52" s="16" t="n">
        <v>178</v>
      </c>
      <c r="H52" s="16" t="n">
        <v>178</v>
      </c>
      <c r="I52" s="16" t="n">
        <v>178</v>
      </c>
      <c r="J52" s="16" t="n">
        <v>178</v>
      </c>
      <c r="K52" s="16" t="n">
        <v>178</v>
      </c>
      <c r="L52" s="15" t="n">
        <v>58124</v>
      </c>
      <c r="M52" s="15" t="n">
        <v>702</v>
      </c>
      <c r="N52" s="16" t="n">
        <v>255.3</v>
      </c>
      <c r="O52" s="16" t="n">
        <v>275.5</v>
      </c>
      <c r="P52" s="16" t="n">
        <v>275.4</v>
      </c>
      <c r="Q52" s="16" t="n">
        <v>296.4</v>
      </c>
      <c r="R52" s="16" t="n">
        <v>97.5</v>
      </c>
      <c r="S52" s="17" t="n">
        <v>54.8</v>
      </c>
    </row>
    <row r="53">
      <c r="A53" s="8" t="inlineStr">
        <is>
          <t>2026-08-22</t>
        </is>
      </c>
      <c r="B53" s="8" t="inlineStr">
        <is>
          <t>ヴォクシー</t>
        </is>
      </c>
      <c r="C53" s="8" t="inlineStr">
        <is>
          <t>90系</t>
        </is>
      </c>
      <c r="D53" s="8" t="n">
        <v>2022</v>
      </c>
      <c r="E53" s="11" t="n"/>
      <c r="F53" s="10" t="n"/>
      <c r="G53" s="10" t="n"/>
      <c r="H53" s="10" t="n"/>
      <c r="I53" s="10" t="n"/>
      <c r="J53" s="10" t="n"/>
      <c r="K53" s="10" t="n"/>
      <c r="L53" s="11" t="n"/>
      <c r="M53" s="11" t="n">
        <v>652</v>
      </c>
      <c r="N53" s="10" t="n">
        <v>333.1</v>
      </c>
      <c r="O53" s="10" t="n">
        <v>355.5</v>
      </c>
      <c r="P53" s="10" t="n">
        <v>354</v>
      </c>
      <c r="Q53" s="10" t="n">
        <v>378</v>
      </c>
      <c r="R53" s="10" t="n"/>
      <c r="S53" s="9" t="n"/>
    </row>
    <row r="54">
      <c r="A54" s="13" t="inlineStr">
        <is>
          <t>2026-08-22</t>
        </is>
      </c>
      <c r="B54" s="13" t="inlineStr">
        <is>
          <t>ヴォクシー</t>
        </is>
      </c>
      <c r="C54" s="13" t="inlineStr">
        <is>
          <t>90系</t>
        </is>
      </c>
      <c r="D54" s="13" t="n">
        <v>2023</v>
      </c>
      <c r="E54" s="15" t="n">
        <v>3</v>
      </c>
      <c r="F54" s="16" t="n">
        <v>201.2</v>
      </c>
      <c r="G54" s="16" t="n">
        <v>234.6</v>
      </c>
      <c r="H54" s="16" t="n">
        <v>268</v>
      </c>
      <c r="I54" s="16" t="n">
        <v>264.7</v>
      </c>
      <c r="J54" s="16" t="n">
        <v>296.5</v>
      </c>
      <c r="K54" s="16" t="n">
        <v>325</v>
      </c>
      <c r="L54" s="15" t="n">
        <v>21000</v>
      </c>
      <c r="M54" s="15" t="n">
        <v>1019</v>
      </c>
      <c r="N54" s="16" t="n">
        <v>346.4</v>
      </c>
      <c r="O54" s="16" t="n">
        <v>372.4</v>
      </c>
      <c r="P54" s="16" t="n">
        <v>368.4</v>
      </c>
      <c r="Q54" s="16" t="n">
        <v>394.5</v>
      </c>
      <c r="R54" s="16" t="n">
        <v>104.4</v>
      </c>
      <c r="S54" s="17" t="n">
        <v>39</v>
      </c>
    </row>
    <row r="55">
      <c r="A55" s="8" t="inlineStr">
        <is>
          <t>2026-08-22</t>
        </is>
      </c>
      <c r="B55" s="8" t="inlineStr">
        <is>
          <t>ヴォクシー</t>
        </is>
      </c>
      <c r="C55" s="8" t="inlineStr">
        <is>
          <t>90系</t>
        </is>
      </c>
      <c r="D55" s="8" t="n">
        <v>2024</v>
      </c>
      <c r="E55" s="11" t="n">
        <v>1</v>
      </c>
      <c r="F55" s="10" t="n">
        <v>340.3</v>
      </c>
      <c r="G55" s="10" t="n">
        <v>340.3</v>
      </c>
      <c r="H55" s="10" t="n">
        <v>340.3</v>
      </c>
      <c r="I55" s="10" t="n">
        <v>340.3</v>
      </c>
      <c r="J55" s="10" t="n">
        <v>340.3</v>
      </c>
      <c r="K55" s="10" t="n">
        <v>340.3</v>
      </c>
      <c r="L55" s="11" t="n">
        <v>3930</v>
      </c>
      <c r="M55" s="11" t="n">
        <v>438</v>
      </c>
      <c r="N55" s="10" t="n">
        <v>357.1</v>
      </c>
      <c r="O55" s="10" t="n">
        <v>384.1</v>
      </c>
      <c r="P55" s="10" t="n">
        <v>381.4</v>
      </c>
      <c r="Q55" s="10" t="n">
        <v>407.5</v>
      </c>
      <c r="R55" s="10" t="n">
        <v>43.8</v>
      </c>
      <c r="S55" s="9" t="n">
        <v>12.9</v>
      </c>
    </row>
    <row r="56">
      <c r="A56" s="13" t="inlineStr">
        <is>
          <t>2026-08-22</t>
        </is>
      </c>
      <c r="B56" s="13" t="inlineStr">
        <is>
          <t>ヴォクシー</t>
        </is>
      </c>
      <c r="C56" s="13" t="inlineStr">
        <is>
          <t>90系</t>
        </is>
      </c>
      <c r="D56" s="13" t="n">
        <v>2025</v>
      </c>
      <c r="E56" s="15" t="n"/>
      <c r="F56" s="16" t="n"/>
      <c r="G56" s="16" t="n"/>
      <c r="H56" s="16" t="n"/>
      <c r="I56" s="16" t="n"/>
      <c r="J56" s="16" t="n"/>
      <c r="K56" s="16" t="n"/>
      <c r="L56" s="15" t="n"/>
      <c r="M56" s="15" t="n">
        <v>300</v>
      </c>
      <c r="N56" s="16" t="n">
        <v>391.1</v>
      </c>
      <c r="O56" s="16" t="n">
        <v>416.9</v>
      </c>
      <c r="P56" s="16" t="n">
        <v>415.2</v>
      </c>
      <c r="Q56" s="16" t="n">
        <v>440.2</v>
      </c>
      <c r="R56" s="16" t="n"/>
      <c r="S56" s="17" t="n"/>
    </row>
    <row r="57">
      <c r="A57" s="8" t="inlineStr">
        <is>
          <t>2026-08-22</t>
        </is>
      </c>
      <c r="B57" s="8" t="inlineStr">
        <is>
          <t>ヴォクシー</t>
        </is>
      </c>
      <c r="C57" s="8" t="inlineStr">
        <is>
          <t>90系</t>
        </is>
      </c>
      <c r="D57" s="8" t="n">
        <v>2026</v>
      </c>
      <c r="E57" s="11" t="n"/>
      <c r="F57" s="10" t="n"/>
      <c r="G57" s="10" t="n"/>
      <c r="H57" s="10" t="n"/>
      <c r="I57" s="10" t="n"/>
      <c r="J57" s="10" t="n"/>
      <c r="K57" s="10" t="n"/>
      <c r="L57" s="11" t="n"/>
      <c r="M57" s="11" t="n">
        <v>186</v>
      </c>
      <c r="N57" s="10" t="n">
        <v>440</v>
      </c>
      <c r="O57" s="10" t="n">
        <v>469</v>
      </c>
      <c r="P57" s="10" t="n">
        <v>454.8</v>
      </c>
      <c r="Q57" s="10" t="n">
        <v>479.8</v>
      </c>
      <c r="R57" s="10" t="n"/>
      <c r="S57" s="9" t="n"/>
    </row>
    <row r="58">
      <c r="A58" s="13" t="inlineStr">
        <is>
          <t>2026-08-22</t>
        </is>
      </c>
      <c r="B58" s="13" t="inlineStr">
        <is>
          <t>エスクァイア</t>
        </is>
      </c>
      <c r="C58" s="13" t="inlineStr"/>
      <c r="D58" s="13" t="n">
        <v>2014</v>
      </c>
      <c r="E58" s="15" t="n">
        <v>3</v>
      </c>
      <c r="F58" s="16" t="n">
        <v>54.3</v>
      </c>
      <c r="G58" s="16" t="n">
        <v>79.7</v>
      </c>
      <c r="H58" s="16" t="n">
        <v>105</v>
      </c>
      <c r="I58" s="16" t="n">
        <v>104.1</v>
      </c>
      <c r="J58" s="16" t="n">
        <v>129</v>
      </c>
      <c r="K58" s="16" t="n">
        <v>153</v>
      </c>
      <c r="L58" s="15" t="n">
        <v>125435</v>
      </c>
      <c r="M58" s="15" t="n">
        <v>51</v>
      </c>
      <c r="N58" s="16" t="n">
        <v>98.5</v>
      </c>
      <c r="O58" s="16" t="n">
        <v>122</v>
      </c>
      <c r="P58" s="16" t="n">
        <v>126.4</v>
      </c>
      <c r="Q58" s="16" t="n">
        <v>152.2</v>
      </c>
      <c r="R58" s="16" t="n">
        <v>17</v>
      </c>
      <c r="S58" s="17" t="n">
        <v>16.2</v>
      </c>
    </row>
    <row r="59">
      <c r="A59" s="8" t="inlineStr">
        <is>
          <t>2026-08-22</t>
        </is>
      </c>
      <c r="B59" s="8" t="inlineStr">
        <is>
          <t>エスクァイア</t>
        </is>
      </c>
      <c r="C59" s="8" t="inlineStr">
        <is>
          <t>80系</t>
        </is>
      </c>
      <c r="D59" s="8" t="n">
        <v>2015</v>
      </c>
      <c r="E59" s="11" t="n">
        <v>9</v>
      </c>
      <c r="F59" s="10" t="n">
        <v>49.8</v>
      </c>
      <c r="G59" s="10" t="n">
        <v>58.9</v>
      </c>
      <c r="H59" s="10" t="n">
        <v>64.5</v>
      </c>
      <c r="I59" s="10" t="n">
        <v>74.3</v>
      </c>
      <c r="J59" s="10" t="n">
        <v>90</v>
      </c>
      <c r="K59" s="10" t="n">
        <v>110</v>
      </c>
      <c r="L59" s="11" t="n">
        <v>154500</v>
      </c>
      <c r="M59" s="11" t="n">
        <v>232</v>
      </c>
      <c r="N59" s="10" t="n">
        <v>104.5</v>
      </c>
      <c r="O59" s="10" t="n">
        <v>135.9</v>
      </c>
      <c r="P59" s="10" t="n">
        <v>138.4</v>
      </c>
      <c r="Q59" s="10" t="n">
        <v>164.5</v>
      </c>
      <c r="R59" s="10" t="n">
        <v>71.40000000000001</v>
      </c>
      <c r="S59" s="9" t="n">
        <v>110.7</v>
      </c>
    </row>
    <row r="60">
      <c r="A60" s="13" t="inlineStr">
        <is>
          <t>2026-08-22</t>
        </is>
      </c>
      <c r="B60" s="13" t="inlineStr">
        <is>
          <t>エスクァイア</t>
        </is>
      </c>
      <c r="C60" s="13" t="inlineStr">
        <is>
          <t>80系</t>
        </is>
      </c>
      <c r="D60" s="13" t="n">
        <v>2016</v>
      </c>
      <c r="E60" s="15" t="n">
        <v>2</v>
      </c>
      <c r="F60" s="16" t="n">
        <v>61.4</v>
      </c>
      <c r="G60" s="16" t="n">
        <v>83.5</v>
      </c>
      <c r="H60" s="16" t="n">
        <v>105.7</v>
      </c>
      <c r="I60" s="16" t="n">
        <v>105.7</v>
      </c>
      <c r="J60" s="16" t="n">
        <v>127.8</v>
      </c>
      <c r="K60" s="16" t="n">
        <v>150</v>
      </c>
      <c r="L60" s="15" t="n">
        <v>140184</v>
      </c>
      <c r="M60" s="15" t="n">
        <v>139</v>
      </c>
      <c r="N60" s="16" t="n">
        <v>127.7</v>
      </c>
      <c r="O60" s="16" t="n">
        <v>152</v>
      </c>
      <c r="P60" s="16" t="n">
        <v>155.4</v>
      </c>
      <c r="Q60" s="16" t="n">
        <v>179.5</v>
      </c>
      <c r="R60" s="16" t="n">
        <v>46.3</v>
      </c>
      <c r="S60" s="17" t="n">
        <v>43.8</v>
      </c>
    </row>
    <row r="61">
      <c r="A61" s="8" t="inlineStr">
        <is>
          <t>2026-08-22</t>
        </is>
      </c>
      <c r="B61" s="8" t="inlineStr">
        <is>
          <t>エスクァイア</t>
        </is>
      </c>
      <c r="C61" s="8" t="inlineStr">
        <is>
          <t>80系</t>
        </is>
      </c>
      <c r="D61" s="8" t="n">
        <v>2017</v>
      </c>
      <c r="E61" s="11" t="n">
        <v>1</v>
      </c>
      <c r="F61" s="10" t="n">
        <v>58.2</v>
      </c>
      <c r="G61" s="10" t="n">
        <v>58.2</v>
      </c>
      <c r="H61" s="10" t="n">
        <v>58.2</v>
      </c>
      <c r="I61" s="10" t="n">
        <v>58.2</v>
      </c>
      <c r="J61" s="10" t="n">
        <v>58.2</v>
      </c>
      <c r="K61" s="10" t="n">
        <v>58.2</v>
      </c>
      <c r="L61" s="11" t="n">
        <v>284630</v>
      </c>
      <c r="M61" s="11" t="n">
        <v>189</v>
      </c>
      <c r="N61" s="10" t="n">
        <v>150.3</v>
      </c>
      <c r="O61" s="10" t="n">
        <v>180.4</v>
      </c>
      <c r="P61" s="10" t="n">
        <v>185.5</v>
      </c>
      <c r="Q61" s="10" t="n">
        <v>223</v>
      </c>
      <c r="R61" s="10" t="n">
        <v>122.2</v>
      </c>
      <c r="S61" s="9" t="n">
        <v>210</v>
      </c>
    </row>
    <row r="62">
      <c r="A62" s="13" t="inlineStr">
        <is>
          <t>2026-08-22</t>
        </is>
      </c>
      <c r="B62" s="13" t="inlineStr">
        <is>
          <t>エスクァイア</t>
        </is>
      </c>
      <c r="C62" s="13" t="inlineStr">
        <is>
          <t>80系</t>
        </is>
      </c>
      <c r="D62" s="13" t="n">
        <v>2018</v>
      </c>
      <c r="E62" s="15" t="n"/>
      <c r="F62" s="16" t="n"/>
      <c r="G62" s="16" t="n"/>
      <c r="H62" s="16" t="n"/>
      <c r="I62" s="16" t="n"/>
      <c r="J62" s="16" t="n"/>
      <c r="K62" s="16" t="n"/>
      <c r="L62" s="15" t="n"/>
      <c r="M62" s="15" t="n">
        <v>174</v>
      </c>
      <c r="N62" s="16" t="n">
        <v>179.6</v>
      </c>
      <c r="O62" s="16" t="n">
        <v>215</v>
      </c>
      <c r="P62" s="16" t="n">
        <v>212.6</v>
      </c>
      <c r="Q62" s="16" t="n">
        <v>244</v>
      </c>
      <c r="R62" s="16" t="n"/>
      <c r="S62" s="17" t="n"/>
    </row>
    <row r="63">
      <c r="A63" s="8" t="inlineStr">
        <is>
          <t>2026-08-22</t>
        </is>
      </c>
      <c r="B63" s="8" t="inlineStr">
        <is>
          <t>エスクァイア</t>
        </is>
      </c>
      <c r="C63" s="8" t="inlineStr">
        <is>
          <t>80系</t>
        </is>
      </c>
      <c r="D63" s="8" t="n">
        <v>2019</v>
      </c>
      <c r="E63" s="11" t="n"/>
      <c r="F63" s="10" t="n"/>
      <c r="G63" s="10" t="n"/>
      <c r="H63" s="10" t="n"/>
      <c r="I63" s="10" t="n"/>
      <c r="J63" s="10" t="n"/>
      <c r="K63" s="10" t="n"/>
      <c r="L63" s="11" t="n"/>
      <c r="M63" s="11" t="n">
        <v>198</v>
      </c>
      <c r="N63" s="10" t="n">
        <v>209.3</v>
      </c>
      <c r="O63" s="10" t="n">
        <v>239.1</v>
      </c>
      <c r="P63" s="10" t="n">
        <v>235.7</v>
      </c>
      <c r="Q63" s="10" t="n">
        <v>264.2</v>
      </c>
      <c r="R63" s="10" t="n"/>
      <c r="S63" s="9" t="n"/>
    </row>
    <row r="64">
      <c r="A64" s="13" t="inlineStr">
        <is>
          <t>2026-08-22</t>
        </is>
      </c>
      <c r="B64" s="13" t="inlineStr">
        <is>
          <t>エスクァイア</t>
        </is>
      </c>
      <c r="C64" s="13" t="inlineStr">
        <is>
          <t>80系</t>
        </is>
      </c>
      <c r="D64" s="13" t="n">
        <v>2020</v>
      </c>
      <c r="E64" s="15" t="n"/>
      <c r="F64" s="16" t="n"/>
      <c r="G64" s="16" t="n"/>
      <c r="H64" s="16" t="n"/>
      <c r="I64" s="16" t="n"/>
      <c r="J64" s="16" t="n"/>
      <c r="K64" s="16" t="n"/>
      <c r="L64" s="15" t="n"/>
      <c r="M64" s="15" t="n">
        <v>124</v>
      </c>
      <c r="N64" s="16" t="n">
        <v>232</v>
      </c>
      <c r="O64" s="16" t="n">
        <v>253.9</v>
      </c>
      <c r="P64" s="16" t="n">
        <v>250.8</v>
      </c>
      <c r="Q64" s="16" t="n">
        <v>274.6</v>
      </c>
      <c r="R64" s="16" t="n"/>
      <c r="S64" s="17" t="n"/>
    </row>
    <row r="65">
      <c r="A65" s="8" t="inlineStr">
        <is>
          <t>2026-08-22</t>
        </is>
      </c>
      <c r="B65" s="8" t="inlineStr">
        <is>
          <t>エスクァイア</t>
        </is>
      </c>
      <c r="C65" s="8" t="inlineStr">
        <is>
          <t>80系</t>
        </is>
      </c>
      <c r="D65" s="8" t="n">
        <v>2021</v>
      </c>
      <c r="E65" s="11" t="n"/>
      <c r="F65" s="10" t="n"/>
      <c r="G65" s="10" t="n"/>
      <c r="H65" s="10" t="n"/>
      <c r="I65" s="10" t="n"/>
      <c r="J65" s="10" t="n"/>
      <c r="K65" s="10" t="n"/>
      <c r="L65" s="11" t="n"/>
      <c r="M65" s="11" t="n">
        <v>120</v>
      </c>
      <c r="N65" s="10" t="n">
        <v>259.3</v>
      </c>
      <c r="O65" s="10" t="n">
        <v>281.3</v>
      </c>
      <c r="P65" s="10" t="n">
        <v>282.7</v>
      </c>
      <c r="Q65" s="10" t="n">
        <v>300.6</v>
      </c>
      <c r="R65" s="10" t="n"/>
      <c r="S65" s="9" t="n"/>
    </row>
    <row r="66">
      <c r="A66" s="13" t="inlineStr">
        <is>
          <t>2026-08-22</t>
        </is>
      </c>
      <c r="B66" s="13" t="inlineStr">
        <is>
          <t>エスクァイア</t>
        </is>
      </c>
      <c r="C66" s="13" t="inlineStr"/>
      <c r="D66" s="13" t="n">
        <v>2022</v>
      </c>
      <c r="E66" s="15" t="n"/>
      <c r="F66" s="16" t="n"/>
      <c r="G66" s="16" t="n"/>
      <c r="H66" s="16" t="n"/>
      <c r="I66" s="16" t="n"/>
      <c r="J66" s="16" t="n"/>
      <c r="K66" s="16" t="n"/>
      <c r="L66" s="15" t="n"/>
      <c r="M66" s="15" t="n">
        <v>2</v>
      </c>
      <c r="N66" s="16" t="n">
        <v>275</v>
      </c>
      <c r="O66" s="16" t="n">
        <v>285</v>
      </c>
      <c r="P66" s="16" t="n">
        <v>305</v>
      </c>
      <c r="Q66" s="16" t="n">
        <v>335</v>
      </c>
      <c r="R66" s="16" t="n"/>
      <c r="S66" s="17" t="n"/>
    </row>
    <row r="67">
      <c r="A67" s="8" t="inlineStr">
        <is>
          <t>2026-08-22</t>
        </is>
      </c>
      <c r="B67" s="8" t="inlineStr">
        <is>
          <t>シエンタ</t>
        </is>
      </c>
      <c r="C67" s="8" t="inlineStr">
        <is>
          <t>80系</t>
        </is>
      </c>
      <c r="D67" s="8" t="n">
        <v>2013</v>
      </c>
      <c r="E67" s="11" t="n">
        <v>2</v>
      </c>
      <c r="F67" s="10" t="n">
        <v>20</v>
      </c>
      <c r="G67" s="10" t="n">
        <v>26.2</v>
      </c>
      <c r="H67" s="10" t="n">
        <v>32.5</v>
      </c>
      <c r="I67" s="10" t="n">
        <v>32.5</v>
      </c>
      <c r="J67" s="10" t="n">
        <v>38.8</v>
      </c>
      <c r="K67" s="10" t="n">
        <v>45</v>
      </c>
      <c r="L67" s="11" t="n">
        <v>165020</v>
      </c>
      <c r="M67" s="11" t="n">
        <v>50</v>
      </c>
      <c r="N67" s="10" t="n">
        <v>45.4</v>
      </c>
      <c r="O67" s="10" t="n">
        <v>55.8</v>
      </c>
      <c r="P67" s="10" t="n">
        <v>58.8</v>
      </c>
      <c r="Q67" s="10" t="n">
        <v>70</v>
      </c>
      <c r="R67" s="10" t="n">
        <v>23.3</v>
      </c>
      <c r="S67" s="9" t="n">
        <v>71.7</v>
      </c>
    </row>
    <row r="68">
      <c r="A68" s="13" t="inlineStr">
        <is>
          <t>2026-08-22</t>
        </is>
      </c>
      <c r="B68" s="13" t="inlineStr">
        <is>
          <t>シエンタ</t>
        </is>
      </c>
      <c r="C68" s="13" t="inlineStr">
        <is>
          <t>80系</t>
        </is>
      </c>
      <c r="D68" s="13" t="n">
        <v>2014</v>
      </c>
      <c r="E68" s="15" t="n"/>
      <c r="F68" s="16" t="n"/>
      <c r="G68" s="16" t="n"/>
      <c r="H68" s="16" t="n"/>
      <c r="I68" s="16" t="n"/>
      <c r="J68" s="16" t="n"/>
      <c r="K68" s="16" t="n"/>
      <c r="L68" s="15" t="n"/>
      <c r="M68" s="15" t="n">
        <v>31</v>
      </c>
      <c r="N68" s="16" t="n">
        <v>59.2</v>
      </c>
      <c r="O68" s="16" t="n">
        <v>73.59999999999999</v>
      </c>
      <c r="P68" s="16" t="n">
        <v>84.8</v>
      </c>
      <c r="Q68" s="16" t="n">
        <v>89.40000000000001</v>
      </c>
      <c r="R68" s="16" t="n"/>
      <c r="S68" s="17" t="n"/>
    </row>
    <row r="69">
      <c r="A69" s="8" t="inlineStr">
        <is>
          <t>2026-08-22</t>
        </is>
      </c>
      <c r="B69" s="8" t="inlineStr">
        <is>
          <t>シエンタ</t>
        </is>
      </c>
      <c r="C69" s="8" t="inlineStr"/>
      <c r="D69" s="8" t="n">
        <v>2015</v>
      </c>
      <c r="E69" s="11" t="n">
        <v>10</v>
      </c>
      <c r="F69" s="10" t="n">
        <v>40</v>
      </c>
      <c r="G69" s="10" t="n">
        <v>48.4</v>
      </c>
      <c r="H69" s="10" t="n">
        <v>55.5</v>
      </c>
      <c r="I69" s="10" t="n">
        <v>55.8</v>
      </c>
      <c r="J69" s="10" t="n">
        <v>65</v>
      </c>
      <c r="K69" s="10" t="n">
        <v>71.90000000000001</v>
      </c>
      <c r="L69" s="11" t="n">
        <v>102250</v>
      </c>
      <c r="M69" s="11" t="n">
        <v>383</v>
      </c>
      <c r="N69" s="10" t="n">
        <v>80.5</v>
      </c>
      <c r="O69" s="10" t="n">
        <v>99.5</v>
      </c>
      <c r="P69" s="10" t="n">
        <v>100.1</v>
      </c>
      <c r="Q69" s="10" t="n">
        <v>120.4</v>
      </c>
      <c r="R69" s="10" t="n">
        <v>44</v>
      </c>
      <c r="S69" s="9" t="n">
        <v>79.3</v>
      </c>
    </row>
    <row r="70">
      <c r="A70" s="13" t="inlineStr">
        <is>
          <t>2026-08-22</t>
        </is>
      </c>
      <c r="B70" s="13" t="inlineStr">
        <is>
          <t>シエンタ</t>
        </is>
      </c>
      <c r="C70" s="13" t="inlineStr">
        <is>
          <t>170系</t>
        </is>
      </c>
      <c r="D70" s="13" t="n">
        <v>2016</v>
      </c>
      <c r="E70" s="15" t="n">
        <v>6</v>
      </c>
      <c r="F70" s="16" t="n">
        <v>32.8</v>
      </c>
      <c r="G70" s="16" t="n">
        <v>37.5</v>
      </c>
      <c r="H70" s="16" t="n">
        <v>41.4</v>
      </c>
      <c r="I70" s="16" t="n">
        <v>43.3</v>
      </c>
      <c r="J70" s="16" t="n">
        <v>43.8</v>
      </c>
      <c r="K70" s="16" t="n">
        <v>63.5</v>
      </c>
      <c r="L70" s="15" t="n">
        <v>220000</v>
      </c>
      <c r="M70" s="15" t="n">
        <v>547</v>
      </c>
      <c r="N70" s="16" t="n">
        <v>87.40000000000001</v>
      </c>
      <c r="O70" s="16" t="n">
        <v>107.4</v>
      </c>
      <c r="P70" s="16" t="n">
        <v>108.6</v>
      </c>
      <c r="Q70" s="16" t="n">
        <v>128.9</v>
      </c>
      <c r="R70" s="16" t="n">
        <v>66</v>
      </c>
      <c r="S70" s="17" t="n">
        <v>159.4</v>
      </c>
    </row>
    <row r="71">
      <c r="A71" s="8" t="inlineStr">
        <is>
          <t>2026-08-22</t>
        </is>
      </c>
      <c r="B71" s="8" t="inlineStr">
        <is>
          <t>シエンタ</t>
        </is>
      </c>
      <c r="C71" s="8" t="inlineStr">
        <is>
          <t>170系</t>
        </is>
      </c>
      <c r="D71" s="8" t="n">
        <v>2017</v>
      </c>
      <c r="E71" s="11" t="n">
        <v>4</v>
      </c>
      <c r="F71" s="10" t="n">
        <v>25</v>
      </c>
      <c r="G71" s="10" t="n">
        <v>36</v>
      </c>
      <c r="H71" s="10" t="n">
        <v>55</v>
      </c>
      <c r="I71" s="10" t="n">
        <v>54.5</v>
      </c>
      <c r="J71" s="10" t="n">
        <v>73.59999999999999</v>
      </c>
      <c r="K71" s="10" t="n">
        <v>83.09999999999999</v>
      </c>
      <c r="L71" s="11" t="n">
        <v>126000</v>
      </c>
      <c r="M71" s="11" t="n">
        <v>475</v>
      </c>
      <c r="N71" s="10" t="n">
        <v>100.9</v>
      </c>
      <c r="O71" s="10" t="n">
        <v>120.4</v>
      </c>
      <c r="P71" s="10" t="n">
        <v>119.7</v>
      </c>
      <c r="Q71" s="10" t="n">
        <v>138.1</v>
      </c>
      <c r="R71" s="10" t="n">
        <v>65.40000000000001</v>
      </c>
      <c r="S71" s="9" t="n">
        <v>118.9</v>
      </c>
    </row>
    <row r="72">
      <c r="A72" s="13" t="inlineStr">
        <is>
          <t>2026-08-22</t>
        </is>
      </c>
      <c r="B72" s="13" t="inlineStr">
        <is>
          <t>シエンタ</t>
        </is>
      </c>
      <c r="C72" s="13" t="inlineStr">
        <is>
          <t>170系</t>
        </is>
      </c>
      <c r="D72" s="13" t="n">
        <v>2018</v>
      </c>
      <c r="E72" s="15" t="n">
        <v>1</v>
      </c>
      <c r="F72" s="16" t="n">
        <v>165.1</v>
      </c>
      <c r="G72" s="16" t="n">
        <v>165.1</v>
      </c>
      <c r="H72" s="16" t="n">
        <v>165.1</v>
      </c>
      <c r="I72" s="16" t="n">
        <v>165.1</v>
      </c>
      <c r="J72" s="16" t="n">
        <v>165.1</v>
      </c>
      <c r="K72" s="16" t="n">
        <v>165.1</v>
      </c>
      <c r="L72" s="15" t="n">
        <v>43793</v>
      </c>
      <c r="M72" s="15" t="n">
        <v>450</v>
      </c>
      <c r="N72" s="16" t="n">
        <v>121.5</v>
      </c>
      <c r="O72" s="16" t="n">
        <v>141.3</v>
      </c>
      <c r="P72" s="16" t="n">
        <v>140.5</v>
      </c>
      <c r="Q72" s="16" t="n">
        <v>159.9</v>
      </c>
      <c r="R72" s="16" t="n">
        <v>-23.8</v>
      </c>
      <c r="S72" s="17" t="n">
        <v>-14.4</v>
      </c>
    </row>
    <row r="73">
      <c r="A73" s="8" t="inlineStr">
        <is>
          <t>2026-08-22</t>
        </is>
      </c>
      <c r="B73" s="8" t="inlineStr">
        <is>
          <t>シエンタ</t>
        </is>
      </c>
      <c r="C73" s="8" t="inlineStr">
        <is>
          <t>170系</t>
        </is>
      </c>
      <c r="D73" s="8" t="n">
        <v>2019</v>
      </c>
      <c r="E73" s="11" t="n">
        <v>6</v>
      </c>
      <c r="F73" s="10" t="n">
        <v>71.7</v>
      </c>
      <c r="G73" s="10" t="n">
        <v>80.59999999999999</v>
      </c>
      <c r="H73" s="10" t="n">
        <v>101.4</v>
      </c>
      <c r="I73" s="10" t="n">
        <v>112.3</v>
      </c>
      <c r="J73" s="10" t="n">
        <v>120.2</v>
      </c>
      <c r="K73" s="10" t="n">
        <v>198.9</v>
      </c>
      <c r="L73" s="11" t="n">
        <v>75334</v>
      </c>
      <c r="M73" s="11" t="n">
        <v>519</v>
      </c>
      <c r="N73" s="10" t="n">
        <v>142.1</v>
      </c>
      <c r="O73" s="10" t="n">
        <v>161.6</v>
      </c>
      <c r="P73" s="10" t="n">
        <v>160.2</v>
      </c>
      <c r="Q73" s="10" t="n">
        <v>177.4</v>
      </c>
      <c r="R73" s="10" t="n">
        <v>60.2</v>
      </c>
      <c r="S73" s="9" t="n">
        <v>59.4</v>
      </c>
    </row>
    <row r="74">
      <c r="A74" s="13" t="inlineStr">
        <is>
          <t>2026-08-22</t>
        </is>
      </c>
      <c r="B74" s="13" t="inlineStr">
        <is>
          <t>シエンタ</t>
        </is>
      </c>
      <c r="C74" s="13" t="inlineStr">
        <is>
          <t>170系</t>
        </is>
      </c>
      <c r="D74" s="13" t="n">
        <v>2020</v>
      </c>
      <c r="E74" s="15" t="n">
        <v>2</v>
      </c>
      <c r="F74" s="16" t="n">
        <v>90.3</v>
      </c>
      <c r="G74" s="16" t="n">
        <v>94.5</v>
      </c>
      <c r="H74" s="16" t="n">
        <v>98.7</v>
      </c>
      <c r="I74" s="16" t="n">
        <v>98.7</v>
      </c>
      <c r="J74" s="16" t="n">
        <v>102.8</v>
      </c>
      <c r="K74" s="16" t="n">
        <v>107</v>
      </c>
      <c r="L74" s="15" t="n">
        <v>62000</v>
      </c>
      <c r="M74" s="15" t="n">
        <v>264</v>
      </c>
      <c r="N74" s="16" t="n">
        <v>147.1</v>
      </c>
      <c r="O74" s="16" t="n">
        <v>170.3</v>
      </c>
      <c r="P74" s="16" t="n">
        <v>168.8</v>
      </c>
      <c r="Q74" s="16" t="n">
        <v>190.2</v>
      </c>
      <c r="R74" s="16" t="n">
        <v>71.59999999999999</v>
      </c>
      <c r="S74" s="17" t="n">
        <v>72.5</v>
      </c>
    </row>
    <row r="75">
      <c r="A75" s="8" t="inlineStr">
        <is>
          <t>2026-08-22</t>
        </is>
      </c>
      <c r="B75" s="8" t="inlineStr">
        <is>
          <t>シエンタ</t>
        </is>
      </c>
      <c r="C75" s="8" t="inlineStr">
        <is>
          <t>170系</t>
        </is>
      </c>
      <c r="D75" s="8" t="n">
        <v>2021</v>
      </c>
      <c r="E75" s="11" t="n">
        <v>1</v>
      </c>
      <c r="F75" s="10" t="n">
        <v>81</v>
      </c>
      <c r="G75" s="10" t="n">
        <v>81</v>
      </c>
      <c r="H75" s="10" t="n">
        <v>81</v>
      </c>
      <c r="I75" s="10" t="n">
        <v>81</v>
      </c>
      <c r="J75" s="10" t="n">
        <v>81</v>
      </c>
      <c r="K75" s="10" t="n">
        <v>81</v>
      </c>
      <c r="L75" s="11" t="n">
        <v>25500</v>
      </c>
      <c r="M75" s="11" t="n">
        <v>421</v>
      </c>
      <c r="N75" s="10" t="n">
        <v>164</v>
      </c>
      <c r="O75" s="10" t="n">
        <v>181.9</v>
      </c>
      <c r="P75" s="10" t="n">
        <v>180.4</v>
      </c>
      <c r="Q75" s="10" t="n">
        <v>198.1</v>
      </c>
      <c r="R75" s="10" t="n">
        <v>100.9</v>
      </c>
      <c r="S75" s="9" t="n">
        <v>124.6</v>
      </c>
    </row>
    <row r="76">
      <c r="A76" s="13" t="inlineStr">
        <is>
          <t>2026-08-22</t>
        </is>
      </c>
      <c r="B76" s="13" t="inlineStr">
        <is>
          <t>シエンタ</t>
        </is>
      </c>
      <c r="C76" s="13" t="inlineStr">
        <is>
          <t>170系</t>
        </is>
      </c>
      <c r="D76" s="13" t="n">
        <v>2022</v>
      </c>
      <c r="E76" s="15" t="n">
        <v>1</v>
      </c>
      <c r="F76" s="16" t="n">
        <v>120.1</v>
      </c>
      <c r="G76" s="16" t="n">
        <v>120.1</v>
      </c>
      <c r="H76" s="16" t="n">
        <v>120.1</v>
      </c>
      <c r="I76" s="16" t="n">
        <v>120.1</v>
      </c>
      <c r="J76" s="16" t="n">
        <v>120.1</v>
      </c>
      <c r="K76" s="16" t="n">
        <v>120.1</v>
      </c>
      <c r="L76" s="15" t="n"/>
      <c r="M76" s="15" t="n">
        <v>453</v>
      </c>
      <c r="N76" s="16" t="n">
        <v>204.5</v>
      </c>
      <c r="O76" s="16" t="n">
        <v>237.9</v>
      </c>
      <c r="P76" s="16" t="n">
        <v>233.8</v>
      </c>
      <c r="Q76" s="16" t="n">
        <v>265.1</v>
      </c>
      <c r="R76" s="16" t="n">
        <v>117.8</v>
      </c>
      <c r="S76" s="17" t="n">
        <v>98.09999999999999</v>
      </c>
    </row>
    <row r="77">
      <c r="A77" s="8" t="inlineStr">
        <is>
          <t>2026-08-22</t>
        </is>
      </c>
      <c r="B77" s="8" t="inlineStr">
        <is>
          <t>シエンタ</t>
        </is>
      </c>
      <c r="C77" s="8" t="inlineStr">
        <is>
          <t>10系</t>
        </is>
      </c>
      <c r="D77" s="8" t="n">
        <v>2023</v>
      </c>
      <c r="E77" s="11" t="n">
        <v>2</v>
      </c>
      <c r="F77" s="10" t="n">
        <v>199.9</v>
      </c>
      <c r="G77" s="10" t="n">
        <v>204.9</v>
      </c>
      <c r="H77" s="10" t="n">
        <v>209.9</v>
      </c>
      <c r="I77" s="10" t="n">
        <v>209.9</v>
      </c>
      <c r="J77" s="10" t="n">
        <v>215</v>
      </c>
      <c r="K77" s="10" t="n">
        <v>220</v>
      </c>
      <c r="L77" s="11" t="n">
        <v>35500</v>
      </c>
      <c r="M77" s="11" t="n">
        <v>951</v>
      </c>
      <c r="N77" s="10" t="n">
        <v>241.2</v>
      </c>
      <c r="O77" s="10" t="n">
        <v>264.7</v>
      </c>
      <c r="P77" s="10" t="n">
        <v>261</v>
      </c>
      <c r="Q77" s="10" t="n">
        <v>282.9</v>
      </c>
      <c r="R77" s="10" t="n">
        <v>54.8</v>
      </c>
      <c r="S77" s="9" t="n">
        <v>26.1</v>
      </c>
    </row>
    <row r="78">
      <c r="A78" s="13" t="inlineStr">
        <is>
          <t>2026-08-22</t>
        </is>
      </c>
      <c r="B78" s="13" t="inlineStr">
        <is>
          <t>シエンタ</t>
        </is>
      </c>
      <c r="C78" s="13" t="inlineStr">
        <is>
          <t>10系</t>
        </is>
      </c>
      <c r="D78" s="13" t="n">
        <v>2024</v>
      </c>
      <c r="E78" s="15" t="n">
        <v>3</v>
      </c>
      <c r="F78" s="16" t="n">
        <v>145.2</v>
      </c>
      <c r="G78" s="16" t="n">
        <v>152.6</v>
      </c>
      <c r="H78" s="16" t="n">
        <v>160.1</v>
      </c>
      <c r="I78" s="16" t="n">
        <v>172.2</v>
      </c>
      <c r="J78" s="16" t="n">
        <v>185.7</v>
      </c>
      <c r="K78" s="16" t="n">
        <v>211.3</v>
      </c>
      <c r="L78" s="15" t="n">
        <v>35130</v>
      </c>
      <c r="M78" s="15" t="n">
        <v>383</v>
      </c>
      <c r="N78" s="16" t="n">
        <v>253</v>
      </c>
      <c r="O78" s="16" t="n">
        <v>279.1</v>
      </c>
      <c r="P78" s="16" t="n">
        <v>274.6</v>
      </c>
      <c r="Q78" s="16" t="n">
        <v>298.6</v>
      </c>
      <c r="R78" s="16" t="n">
        <v>119</v>
      </c>
      <c r="S78" s="17" t="n">
        <v>74.3</v>
      </c>
    </row>
    <row r="79">
      <c r="A79" s="8" t="inlineStr">
        <is>
          <t>2026-08-22</t>
        </is>
      </c>
      <c r="B79" s="8" t="inlineStr">
        <is>
          <t>シエンタ</t>
        </is>
      </c>
      <c r="C79" s="8" t="inlineStr">
        <is>
          <t>10系</t>
        </is>
      </c>
      <c r="D79" s="8" t="n">
        <v>2025</v>
      </c>
      <c r="E79" s="11" t="n">
        <v>1</v>
      </c>
      <c r="F79" s="10" t="n">
        <v>165.1</v>
      </c>
      <c r="G79" s="10" t="n">
        <v>165.1</v>
      </c>
      <c r="H79" s="10" t="n">
        <v>165.1</v>
      </c>
      <c r="I79" s="10" t="n">
        <v>165.1</v>
      </c>
      <c r="J79" s="10" t="n">
        <v>165.1</v>
      </c>
      <c r="K79" s="10" t="n">
        <v>165.1</v>
      </c>
      <c r="L79" s="11" t="n">
        <v>4200</v>
      </c>
      <c r="M79" s="11" t="n">
        <v>269</v>
      </c>
      <c r="N79" s="10" t="n">
        <v>279</v>
      </c>
      <c r="O79" s="10" t="n">
        <v>303.6</v>
      </c>
      <c r="P79" s="10" t="n">
        <v>297.2</v>
      </c>
      <c r="Q79" s="10" t="n">
        <v>318.4</v>
      </c>
      <c r="R79" s="10" t="n">
        <v>138.5</v>
      </c>
      <c r="S79" s="9" t="n">
        <v>83.90000000000001</v>
      </c>
    </row>
    <row r="80">
      <c r="A80" s="13" t="inlineStr">
        <is>
          <t>2026-08-22</t>
        </is>
      </c>
      <c r="B80" s="13" t="inlineStr">
        <is>
          <t>シエンタ</t>
        </is>
      </c>
      <c r="C80" s="13" t="inlineStr">
        <is>
          <t>10系</t>
        </is>
      </c>
      <c r="D80" s="13" t="n">
        <v>2026</v>
      </c>
      <c r="E80" s="15" t="n"/>
      <c r="F80" s="16" t="n"/>
      <c r="G80" s="16" t="n"/>
      <c r="H80" s="16" t="n"/>
      <c r="I80" s="16" t="n"/>
      <c r="J80" s="16" t="n"/>
      <c r="K80" s="16" t="n"/>
      <c r="L80" s="15" t="n"/>
      <c r="M80" s="15" t="n">
        <v>372</v>
      </c>
      <c r="N80" s="16" t="n">
        <v>320</v>
      </c>
      <c r="O80" s="16" t="n">
        <v>340.7</v>
      </c>
      <c r="P80" s="16" t="n">
        <v>331.5</v>
      </c>
      <c r="Q80" s="16" t="n">
        <v>353.1</v>
      </c>
      <c r="R80" s="16" t="n"/>
      <c r="S80" s="17" t="n"/>
    </row>
    <row r="81">
      <c r="A81" s="8" t="inlineStr">
        <is>
          <t>2026-08-22</t>
        </is>
      </c>
      <c r="B81" s="8" t="inlineStr">
        <is>
          <t>エスティマ</t>
        </is>
      </c>
      <c r="C81" s="8" t="inlineStr">
        <is>
          <t>50系</t>
        </is>
      </c>
      <c r="D81" s="8" t="n">
        <v>2013</v>
      </c>
      <c r="E81" s="11" t="n">
        <v>10</v>
      </c>
      <c r="F81" s="10" t="n">
        <v>32.8</v>
      </c>
      <c r="G81" s="10" t="n">
        <v>38.5</v>
      </c>
      <c r="H81" s="10" t="n">
        <v>43.5</v>
      </c>
      <c r="I81" s="10" t="n">
        <v>45.2</v>
      </c>
      <c r="J81" s="10" t="n">
        <v>49.9</v>
      </c>
      <c r="K81" s="10" t="n">
        <v>66.8</v>
      </c>
      <c r="L81" s="11" t="n">
        <v>148827</v>
      </c>
      <c r="M81" s="11" t="n">
        <v>194</v>
      </c>
      <c r="N81" s="10" t="n">
        <v>70.09999999999999</v>
      </c>
      <c r="O81" s="10" t="n">
        <v>93.5</v>
      </c>
      <c r="P81" s="10" t="n">
        <v>101.1</v>
      </c>
      <c r="Q81" s="10" t="n">
        <v>123.9</v>
      </c>
      <c r="R81" s="10" t="n">
        <v>50</v>
      </c>
      <c r="S81" s="9" t="n">
        <v>114.9</v>
      </c>
    </row>
    <row r="82">
      <c r="A82" s="13" t="inlineStr">
        <is>
          <t>2026-08-22</t>
        </is>
      </c>
      <c r="B82" s="13" t="inlineStr">
        <is>
          <t>エスティマ</t>
        </is>
      </c>
      <c r="C82" s="13" t="inlineStr">
        <is>
          <t>50系</t>
        </is>
      </c>
      <c r="D82" s="13" t="n">
        <v>2014</v>
      </c>
      <c r="E82" s="15" t="n">
        <v>4</v>
      </c>
      <c r="F82" s="16" t="n">
        <v>33.5</v>
      </c>
      <c r="G82" s="16" t="n">
        <v>38.2</v>
      </c>
      <c r="H82" s="16" t="n">
        <v>46.8</v>
      </c>
      <c r="I82" s="16" t="n">
        <v>46.8</v>
      </c>
      <c r="J82" s="16" t="n">
        <v>55.4</v>
      </c>
      <c r="K82" s="16" t="n">
        <v>60.1</v>
      </c>
      <c r="L82" s="15" t="n">
        <v>269500</v>
      </c>
      <c r="M82" s="15" t="n">
        <v>97</v>
      </c>
      <c r="N82" s="16" t="n">
        <v>81.59999999999999</v>
      </c>
      <c r="O82" s="16" t="n">
        <v>114.2</v>
      </c>
      <c r="P82" s="16" t="n">
        <v>117.2</v>
      </c>
      <c r="Q82" s="16" t="n">
        <v>148.8</v>
      </c>
      <c r="R82" s="16" t="n">
        <v>67.40000000000001</v>
      </c>
      <c r="S82" s="17" t="n">
        <v>144</v>
      </c>
    </row>
    <row r="83">
      <c r="A83" s="8" t="inlineStr">
        <is>
          <t>2026-08-22</t>
        </is>
      </c>
      <c r="B83" s="8" t="inlineStr">
        <is>
          <t>エスティマ</t>
        </is>
      </c>
      <c r="C83" s="8" t="inlineStr">
        <is>
          <t>50系</t>
        </is>
      </c>
      <c r="D83" s="8" t="n">
        <v>2015</v>
      </c>
      <c r="E83" s="11" t="n">
        <v>1</v>
      </c>
      <c r="F83" s="10" t="n">
        <v>85</v>
      </c>
      <c r="G83" s="10" t="n">
        <v>85</v>
      </c>
      <c r="H83" s="10" t="n">
        <v>85</v>
      </c>
      <c r="I83" s="10" t="n">
        <v>85</v>
      </c>
      <c r="J83" s="10" t="n">
        <v>85</v>
      </c>
      <c r="K83" s="10" t="n">
        <v>85</v>
      </c>
      <c r="L83" s="11" t="n">
        <v>180265</v>
      </c>
      <c r="M83" s="11" t="n">
        <v>71</v>
      </c>
      <c r="N83" s="10" t="n">
        <v>101.9</v>
      </c>
      <c r="O83" s="10" t="n">
        <v>134.2</v>
      </c>
      <c r="P83" s="10" t="n">
        <v>138.5</v>
      </c>
      <c r="Q83" s="10" t="n">
        <v>173.5</v>
      </c>
      <c r="R83" s="10" t="n">
        <v>49.2</v>
      </c>
      <c r="S83" s="9" t="n">
        <v>57.9</v>
      </c>
    </row>
    <row r="84">
      <c r="A84" s="13" t="inlineStr">
        <is>
          <t>2026-08-22</t>
        </is>
      </c>
      <c r="B84" s="13" t="inlineStr">
        <is>
          <t>エスティマ</t>
        </is>
      </c>
      <c r="C84" s="13" t="inlineStr">
        <is>
          <t>50系</t>
        </is>
      </c>
      <c r="D84" s="13" t="n">
        <v>2016</v>
      </c>
      <c r="E84" s="15" t="n">
        <v>1</v>
      </c>
      <c r="F84" s="16" t="n">
        <v>108.8</v>
      </c>
      <c r="G84" s="16" t="n">
        <v>108.8</v>
      </c>
      <c r="H84" s="16" t="n">
        <v>108.8</v>
      </c>
      <c r="I84" s="16" t="n">
        <v>108.8</v>
      </c>
      <c r="J84" s="16" t="n">
        <v>108.8</v>
      </c>
      <c r="K84" s="16" t="n">
        <v>108.8</v>
      </c>
      <c r="L84" s="15" t="n">
        <v>112960</v>
      </c>
      <c r="M84" s="15" t="n">
        <v>126</v>
      </c>
      <c r="N84" s="16" t="n">
        <v>143.8</v>
      </c>
      <c r="O84" s="16" t="n">
        <v>185</v>
      </c>
      <c r="P84" s="16" t="n">
        <v>191</v>
      </c>
      <c r="Q84" s="16" t="n">
        <v>220.8</v>
      </c>
      <c r="R84" s="16" t="n">
        <v>76.2</v>
      </c>
      <c r="S84" s="17" t="n">
        <v>70</v>
      </c>
    </row>
    <row r="85">
      <c r="A85" s="8" t="inlineStr">
        <is>
          <t>2026-08-22</t>
        </is>
      </c>
      <c r="B85" s="8" t="inlineStr">
        <is>
          <t>エスティマ</t>
        </is>
      </c>
      <c r="C85" s="8" t="inlineStr">
        <is>
          <t>50系</t>
        </is>
      </c>
      <c r="D85" s="8" t="n">
        <v>2017</v>
      </c>
      <c r="E85" s="11" t="n">
        <v>2</v>
      </c>
      <c r="F85" s="10" t="n">
        <v>95.59999999999999</v>
      </c>
      <c r="G85" s="10" t="n">
        <v>95.8</v>
      </c>
      <c r="H85" s="10" t="n">
        <v>96</v>
      </c>
      <c r="I85" s="10" t="n">
        <v>96</v>
      </c>
      <c r="J85" s="10" t="n">
        <v>96.2</v>
      </c>
      <c r="K85" s="10" t="n">
        <v>96.40000000000001</v>
      </c>
      <c r="L85" s="11" t="n">
        <v>218500</v>
      </c>
      <c r="M85" s="11" t="n">
        <v>99</v>
      </c>
      <c r="N85" s="10" t="n">
        <v>164.6</v>
      </c>
      <c r="O85" s="10" t="n">
        <v>205.6</v>
      </c>
      <c r="P85" s="10" t="n">
        <v>216.1</v>
      </c>
      <c r="Q85" s="10" t="n">
        <v>256.9</v>
      </c>
      <c r="R85" s="10" t="n">
        <v>109.6</v>
      </c>
      <c r="S85" s="9" t="n">
        <v>114.2</v>
      </c>
    </row>
    <row r="86">
      <c r="A86" s="13" t="inlineStr">
        <is>
          <t>2026-08-22</t>
        </is>
      </c>
      <c r="B86" s="13" t="inlineStr">
        <is>
          <t>エスティマ</t>
        </is>
      </c>
      <c r="C86" s="13" t="inlineStr">
        <is>
          <t>50系</t>
        </is>
      </c>
      <c r="D86" s="13" t="n">
        <v>2018</v>
      </c>
      <c r="E86" s="15" t="n"/>
      <c r="F86" s="16" t="n"/>
      <c r="G86" s="16" t="n"/>
      <c r="H86" s="16" t="n"/>
      <c r="I86" s="16" t="n"/>
      <c r="J86" s="16" t="n"/>
      <c r="K86" s="16" t="n"/>
      <c r="L86" s="15" t="n"/>
      <c r="M86" s="15" t="n">
        <v>27</v>
      </c>
      <c r="N86" s="16" t="n">
        <v>193.3</v>
      </c>
      <c r="O86" s="16" t="n">
        <v>230.7</v>
      </c>
      <c r="P86" s="16" t="n">
        <v>233.9</v>
      </c>
      <c r="Q86" s="16" t="n">
        <v>268</v>
      </c>
      <c r="R86" s="16" t="n"/>
      <c r="S86" s="17" t="n"/>
    </row>
    <row r="87">
      <c r="A87" s="8" t="inlineStr">
        <is>
          <t>2026-08-22</t>
        </is>
      </c>
      <c r="B87" s="8" t="inlineStr">
        <is>
          <t>エスティマ</t>
        </is>
      </c>
      <c r="C87" s="8" t="inlineStr">
        <is>
          <t>50系</t>
        </is>
      </c>
      <c r="D87" s="8" t="n">
        <v>2019</v>
      </c>
      <c r="E87" s="11" t="n"/>
      <c r="F87" s="10" t="n"/>
      <c r="G87" s="10" t="n"/>
      <c r="H87" s="10" t="n"/>
      <c r="I87" s="10" t="n"/>
      <c r="J87" s="10" t="n"/>
      <c r="K87" s="10" t="n"/>
      <c r="L87" s="11" t="n"/>
      <c r="M87" s="11" t="n">
        <v>29</v>
      </c>
      <c r="N87" s="10" t="n">
        <v>205.8</v>
      </c>
      <c r="O87" s="10" t="n">
        <v>233</v>
      </c>
      <c r="P87" s="10" t="n">
        <v>253.3</v>
      </c>
      <c r="Q87" s="10" t="n">
        <v>286.7</v>
      </c>
      <c r="R87" s="10" t="n"/>
      <c r="S87" s="9" t="n"/>
    </row>
    <row r="88">
      <c r="A88" s="13" t="inlineStr">
        <is>
          <t>2026-08-22</t>
        </is>
      </c>
      <c r="B88" s="13" t="inlineStr">
        <is>
          <t>エスティマ</t>
        </is>
      </c>
      <c r="C88" s="13" t="inlineStr"/>
      <c r="D88" s="13" t="n">
        <v>2020</v>
      </c>
      <c r="E88" s="15" t="n"/>
      <c r="F88" s="16" t="n"/>
      <c r="G88" s="16" t="n"/>
      <c r="H88" s="16" t="n"/>
      <c r="I88" s="16" t="n"/>
      <c r="J88" s="16" t="n"/>
      <c r="K88" s="16" t="n"/>
      <c r="L88" s="15" t="n"/>
      <c r="M88" s="15" t="n">
        <v>1</v>
      </c>
      <c r="N88" s="16" t="n">
        <v>380</v>
      </c>
      <c r="O88" s="16" t="n">
        <v>385</v>
      </c>
      <c r="P88" s="16" t="n">
        <v>385</v>
      </c>
      <c r="Q88" s="16" t="n">
        <v>390</v>
      </c>
      <c r="R88" s="16" t="n"/>
      <c r="S88" s="17" t="n"/>
    </row>
    <row r="89">
      <c r="A89" s="8" t="inlineStr">
        <is>
          <t>2026-08-22</t>
        </is>
      </c>
      <c r="B89" s="8" t="inlineStr">
        <is>
          <t>ウィッシュ</t>
        </is>
      </c>
      <c r="C89" s="8" t="inlineStr">
        <is>
          <t>20系</t>
        </is>
      </c>
      <c r="D89" s="8" t="n">
        <v>2013</v>
      </c>
      <c r="E89" s="11" t="n"/>
      <c r="F89" s="10" t="n"/>
      <c r="G89" s="10" t="n"/>
      <c r="H89" s="10" t="n"/>
      <c r="I89" s="10" t="n"/>
      <c r="J89" s="10" t="n"/>
      <c r="K89" s="10" t="n"/>
      <c r="L89" s="11" t="n"/>
      <c r="M89" s="11" t="n">
        <v>12</v>
      </c>
      <c r="N89" s="10" t="n">
        <v>85</v>
      </c>
      <c r="O89" s="10" t="n">
        <v>125</v>
      </c>
      <c r="P89" s="10" t="n">
        <v>118.3</v>
      </c>
      <c r="Q89" s="10" t="n">
        <v>155</v>
      </c>
      <c r="R89" s="10" t="n"/>
      <c r="S89" s="9" t="n"/>
    </row>
    <row r="90">
      <c r="A90" s="13" t="inlineStr">
        <is>
          <t>2026-08-22</t>
        </is>
      </c>
      <c r="B90" s="13" t="inlineStr">
        <is>
          <t>ウィッシュ</t>
        </is>
      </c>
      <c r="C90" s="13" t="inlineStr">
        <is>
          <t>20系</t>
        </is>
      </c>
      <c r="D90" s="13" t="n">
        <v>2014</v>
      </c>
      <c r="E90" s="15" t="n"/>
      <c r="F90" s="16" t="n"/>
      <c r="G90" s="16" t="n"/>
      <c r="H90" s="16" t="n"/>
      <c r="I90" s="16" t="n"/>
      <c r="J90" s="16" t="n"/>
      <c r="K90" s="16" t="n"/>
      <c r="L90" s="15" t="n"/>
      <c r="M90" s="15" t="n">
        <v>4</v>
      </c>
      <c r="N90" s="16" t="n">
        <v>45</v>
      </c>
      <c r="O90" s="16" t="n">
        <v>65</v>
      </c>
      <c r="P90" s="16" t="n">
        <v>80</v>
      </c>
      <c r="Q90" s="16" t="n">
        <v>85</v>
      </c>
      <c r="R90" s="16" t="n"/>
      <c r="S90" s="17" t="n"/>
    </row>
    <row r="91">
      <c r="A91" s="8" t="inlineStr">
        <is>
          <t>2026-08-22</t>
        </is>
      </c>
      <c r="B91" s="8" t="inlineStr">
        <is>
          <t>ウィッシュ</t>
        </is>
      </c>
      <c r="C91" s="8" t="inlineStr">
        <is>
          <t>20系</t>
        </is>
      </c>
      <c r="D91" s="8" t="n">
        <v>2015</v>
      </c>
      <c r="E91" s="11" t="n"/>
      <c r="F91" s="10" t="n"/>
      <c r="G91" s="10" t="n"/>
      <c r="H91" s="10" t="n"/>
      <c r="I91" s="10" t="n"/>
      <c r="J91" s="10" t="n"/>
      <c r="K91" s="10" t="n"/>
      <c r="L91" s="11" t="n"/>
      <c r="M91" s="11" t="n">
        <v>6</v>
      </c>
      <c r="N91" s="10" t="n">
        <v>115</v>
      </c>
      <c r="O91" s="10" t="n">
        <v>131.7</v>
      </c>
      <c r="P91" s="10" t="n">
        <v>121.7</v>
      </c>
      <c r="Q91" s="10" t="n">
        <v>141.7</v>
      </c>
      <c r="R91" s="10" t="n"/>
      <c r="S91" s="9" t="n"/>
    </row>
    <row r="92">
      <c r="A92" s="13" t="inlineStr">
        <is>
          <t>2026-08-22</t>
        </is>
      </c>
      <c r="B92" s="13" t="inlineStr">
        <is>
          <t>ウィッシュ</t>
        </is>
      </c>
      <c r="C92" s="13" t="inlineStr">
        <is>
          <t>20系</t>
        </is>
      </c>
      <c r="D92" s="13" t="n">
        <v>2016</v>
      </c>
      <c r="E92" s="15" t="n"/>
      <c r="F92" s="16" t="n"/>
      <c r="G92" s="16" t="n"/>
      <c r="H92" s="16" t="n"/>
      <c r="I92" s="16" t="n"/>
      <c r="J92" s="16" t="n"/>
      <c r="K92" s="16" t="n"/>
      <c r="L92" s="15" t="n"/>
      <c r="M92" s="15" t="n">
        <v>4</v>
      </c>
      <c r="N92" s="16" t="n">
        <v>75</v>
      </c>
      <c r="O92" s="16" t="n">
        <v>85</v>
      </c>
      <c r="P92" s="16" t="n">
        <v>95</v>
      </c>
      <c r="Q92" s="16" t="n">
        <v>105</v>
      </c>
      <c r="R92" s="16" t="n"/>
      <c r="S92" s="17" t="n"/>
    </row>
    <row r="93">
      <c r="A93" s="8" t="inlineStr">
        <is>
          <t>2026-08-22</t>
        </is>
      </c>
      <c r="B93" s="8" t="inlineStr">
        <is>
          <t>ウィッシュ</t>
        </is>
      </c>
      <c r="C93" s="8" t="inlineStr">
        <is>
          <t>20系</t>
        </is>
      </c>
      <c r="D93" s="8" t="n">
        <v>2017</v>
      </c>
      <c r="E93" s="11" t="n"/>
      <c r="F93" s="10" t="n"/>
      <c r="G93" s="10" t="n"/>
      <c r="H93" s="10" t="n"/>
      <c r="I93" s="10" t="n"/>
      <c r="J93" s="10" t="n"/>
      <c r="K93" s="10" t="n"/>
      <c r="L93" s="11" t="n"/>
      <c r="M93" s="11" t="n">
        <v>6</v>
      </c>
      <c r="N93" s="10" t="n">
        <v>155</v>
      </c>
      <c r="O93" s="10" t="n">
        <v>170</v>
      </c>
      <c r="P93" s="10" t="n">
        <v>155</v>
      </c>
      <c r="Q93" s="10" t="n">
        <v>177.5</v>
      </c>
      <c r="R93" s="10" t="n"/>
      <c r="S93" s="9" t="n"/>
    </row>
    <row r="94">
      <c r="A94" s="13" t="inlineStr">
        <is>
          <t>2026-08-22</t>
        </is>
      </c>
      <c r="B94" s="13" t="inlineStr">
        <is>
          <t>プリウスα</t>
        </is>
      </c>
      <c r="C94" s="13" t="inlineStr">
        <is>
          <t>40系</t>
        </is>
      </c>
      <c r="D94" s="13" t="n">
        <v>2013</v>
      </c>
      <c r="E94" s="15" t="n">
        <v>6</v>
      </c>
      <c r="F94" s="16" t="n">
        <v>35.8</v>
      </c>
      <c r="G94" s="16" t="n">
        <v>38.5</v>
      </c>
      <c r="H94" s="16" t="n">
        <v>42.4</v>
      </c>
      <c r="I94" s="16" t="n">
        <v>45.3</v>
      </c>
      <c r="J94" s="16" t="n">
        <v>52.5</v>
      </c>
      <c r="K94" s="16" t="n">
        <v>58</v>
      </c>
      <c r="L94" s="15" t="n">
        <v>169000</v>
      </c>
      <c r="M94" s="15" t="n">
        <v>248</v>
      </c>
      <c r="N94" s="16" t="n">
        <v>67.3</v>
      </c>
      <c r="O94" s="16" t="n">
        <v>80.5</v>
      </c>
      <c r="P94" s="16" t="n">
        <v>88.7</v>
      </c>
      <c r="Q94" s="16" t="n">
        <v>100.5</v>
      </c>
      <c r="R94" s="16" t="n">
        <v>38.1</v>
      </c>
      <c r="S94" s="17" t="n">
        <v>89.90000000000001</v>
      </c>
    </row>
    <row r="95">
      <c r="A95" s="8" t="inlineStr">
        <is>
          <t>2026-08-22</t>
        </is>
      </c>
      <c r="B95" s="8" t="inlineStr">
        <is>
          <t>プリウスα</t>
        </is>
      </c>
      <c r="C95" s="8" t="inlineStr">
        <is>
          <t>40系</t>
        </is>
      </c>
      <c r="D95" s="8" t="n">
        <v>2014</v>
      </c>
      <c r="E95" s="11" t="n">
        <v>4</v>
      </c>
      <c r="F95" s="10" t="n">
        <v>33.7</v>
      </c>
      <c r="G95" s="10" t="n">
        <v>42.2</v>
      </c>
      <c r="H95" s="10" t="n">
        <v>45.6</v>
      </c>
      <c r="I95" s="10" t="n">
        <v>56.2</v>
      </c>
      <c r="J95" s="10" t="n">
        <v>59.7</v>
      </c>
      <c r="K95" s="10" t="n">
        <v>100</v>
      </c>
      <c r="L95" s="11" t="n">
        <v>136000</v>
      </c>
      <c r="M95" s="11" t="n">
        <v>120</v>
      </c>
      <c r="N95" s="10" t="n">
        <v>72.90000000000001</v>
      </c>
      <c r="O95" s="10" t="n">
        <v>92.40000000000001</v>
      </c>
      <c r="P95" s="10" t="n">
        <v>97.3</v>
      </c>
      <c r="Q95" s="10" t="n">
        <v>113.9</v>
      </c>
      <c r="R95" s="10" t="n">
        <v>46.8</v>
      </c>
      <c r="S95" s="9" t="n">
        <v>102.6</v>
      </c>
    </row>
    <row r="96">
      <c r="A96" s="13" t="inlineStr">
        <is>
          <t>2026-08-22</t>
        </is>
      </c>
      <c r="B96" s="13" t="inlineStr">
        <is>
          <t>プリウスα</t>
        </is>
      </c>
      <c r="C96" s="13" t="inlineStr">
        <is>
          <t>40系</t>
        </is>
      </c>
      <c r="D96" s="13" t="n">
        <v>2015</v>
      </c>
      <c r="E96" s="15" t="n">
        <v>4</v>
      </c>
      <c r="F96" s="16" t="n">
        <v>45</v>
      </c>
      <c r="G96" s="16" t="n">
        <v>45.1</v>
      </c>
      <c r="H96" s="16" t="n">
        <v>57.5</v>
      </c>
      <c r="I96" s="16" t="n">
        <v>67.5</v>
      </c>
      <c r="J96" s="16" t="n">
        <v>80</v>
      </c>
      <c r="K96" s="16" t="n">
        <v>110</v>
      </c>
      <c r="L96" s="15" t="n">
        <v>147860</v>
      </c>
      <c r="M96" s="15" t="n">
        <v>210</v>
      </c>
      <c r="N96" s="16" t="n">
        <v>100.8</v>
      </c>
      <c r="O96" s="16" t="n">
        <v>125.4</v>
      </c>
      <c r="P96" s="16" t="n">
        <v>128.3</v>
      </c>
      <c r="Q96" s="16" t="n">
        <v>144.8</v>
      </c>
      <c r="R96" s="16" t="n">
        <v>67.90000000000001</v>
      </c>
      <c r="S96" s="17" t="n">
        <v>118.1</v>
      </c>
    </row>
    <row r="97">
      <c r="A97" s="8" t="inlineStr">
        <is>
          <t>2026-08-22</t>
        </is>
      </c>
      <c r="B97" s="8" t="inlineStr">
        <is>
          <t>プリウスα</t>
        </is>
      </c>
      <c r="C97" s="8" t="inlineStr">
        <is>
          <t>40系</t>
        </is>
      </c>
      <c r="D97" s="8" t="n">
        <v>2016</v>
      </c>
      <c r="E97" s="11" t="n">
        <v>1</v>
      </c>
      <c r="F97" s="10" t="n">
        <v>65</v>
      </c>
      <c r="G97" s="10" t="n">
        <v>65</v>
      </c>
      <c r="H97" s="10" t="n">
        <v>65</v>
      </c>
      <c r="I97" s="10" t="n">
        <v>65</v>
      </c>
      <c r="J97" s="10" t="n">
        <v>65</v>
      </c>
      <c r="K97" s="10" t="n">
        <v>65</v>
      </c>
      <c r="L97" s="11" t="n">
        <v>83000</v>
      </c>
      <c r="M97" s="11" t="n">
        <v>72</v>
      </c>
      <c r="N97" s="10" t="n">
        <v>115.5</v>
      </c>
      <c r="O97" s="10" t="n">
        <v>135.6</v>
      </c>
      <c r="P97" s="10" t="n">
        <v>141.7</v>
      </c>
      <c r="Q97" s="10" t="n">
        <v>161.7</v>
      </c>
      <c r="R97" s="10" t="n">
        <v>70.59999999999999</v>
      </c>
      <c r="S97" s="9" t="n">
        <v>108.6</v>
      </c>
    </row>
    <row r="98">
      <c r="A98" s="13" t="inlineStr">
        <is>
          <t>2026-08-22</t>
        </is>
      </c>
      <c r="B98" s="13" t="inlineStr">
        <is>
          <t>プリウスα</t>
        </is>
      </c>
      <c r="C98" s="13" t="inlineStr">
        <is>
          <t>40系</t>
        </is>
      </c>
      <c r="D98" s="13" t="n">
        <v>2017</v>
      </c>
      <c r="E98" s="15" t="n">
        <v>4</v>
      </c>
      <c r="F98" s="16" t="n">
        <v>61.6</v>
      </c>
      <c r="G98" s="16" t="n">
        <v>82.2</v>
      </c>
      <c r="H98" s="16" t="n">
        <v>93.40000000000001</v>
      </c>
      <c r="I98" s="16" t="n">
        <v>107.1</v>
      </c>
      <c r="J98" s="16" t="n">
        <v>118.3</v>
      </c>
      <c r="K98" s="16" t="n">
        <v>180</v>
      </c>
      <c r="L98" s="15" t="n">
        <v>96000</v>
      </c>
      <c r="M98" s="15" t="n">
        <v>61</v>
      </c>
      <c r="N98" s="16" t="n">
        <v>133.5</v>
      </c>
      <c r="O98" s="16" t="n">
        <v>163.3</v>
      </c>
      <c r="P98" s="16" t="n">
        <v>161.2</v>
      </c>
      <c r="Q98" s="16" t="n">
        <v>183.4</v>
      </c>
      <c r="R98" s="16" t="n">
        <v>69.90000000000001</v>
      </c>
      <c r="S98" s="17" t="n">
        <v>74.8</v>
      </c>
    </row>
    <row r="99">
      <c r="A99" s="8" t="inlineStr">
        <is>
          <t>2026-08-22</t>
        </is>
      </c>
      <c r="B99" s="8" t="inlineStr">
        <is>
          <t>プリウスα</t>
        </is>
      </c>
      <c r="C99" s="8" t="inlineStr">
        <is>
          <t>40系</t>
        </is>
      </c>
      <c r="D99" s="8" t="n">
        <v>2018</v>
      </c>
      <c r="E99" s="11" t="n"/>
      <c r="F99" s="10" t="n"/>
      <c r="G99" s="10" t="n"/>
      <c r="H99" s="10" t="n"/>
      <c r="I99" s="10" t="n"/>
      <c r="J99" s="10" t="n"/>
      <c r="K99" s="10" t="n"/>
      <c r="L99" s="11" t="n"/>
      <c r="M99" s="11" t="n">
        <v>42</v>
      </c>
      <c r="N99" s="10" t="n">
        <v>152.1</v>
      </c>
      <c r="O99" s="10" t="n">
        <v>178.3</v>
      </c>
      <c r="P99" s="10" t="n">
        <v>179.3</v>
      </c>
      <c r="Q99" s="10" t="n">
        <v>203.8</v>
      </c>
      <c r="R99" s="10" t="n"/>
      <c r="S99" s="9" t="n"/>
    </row>
    <row r="100">
      <c r="A100" s="13" t="inlineStr">
        <is>
          <t>2026-08-22</t>
        </is>
      </c>
      <c r="B100" s="13" t="inlineStr">
        <is>
          <t>プリウスα</t>
        </is>
      </c>
      <c r="C100" s="13" t="inlineStr">
        <is>
          <t>40系</t>
        </is>
      </c>
      <c r="D100" s="13" t="n">
        <v>2019</v>
      </c>
      <c r="E100" s="15" t="n"/>
      <c r="F100" s="16" t="n"/>
      <c r="G100" s="16" t="n"/>
      <c r="H100" s="16" t="n"/>
      <c r="I100" s="16" t="n"/>
      <c r="J100" s="16" t="n"/>
      <c r="K100" s="16" t="n"/>
      <c r="L100" s="15" t="n"/>
      <c r="M100" s="15" t="n">
        <v>31</v>
      </c>
      <c r="N100" s="16" t="n">
        <v>160.8</v>
      </c>
      <c r="O100" s="16" t="n">
        <v>183.6</v>
      </c>
      <c r="P100" s="16" t="n">
        <v>186</v>
      </c>
      <c r="Q100" s="16" t="n">
        <v>201.1</v>
      </c>
      <c r="R100" s="16" t="n"/>
      <c r="S100" s="17" t="n"/>
    </row>
    <row r="101">
      <c r="A101" s="8" t="inlineStr">
        <is>
          <t>2026-08-22</t>
        </is>
      </c>
      <c r="B101" s="8" t="inlineStr">
        <is>
          <t>プリウスα</t>
        </is>
      </c>
      <c r="C101" s="8" t="inlineStr">
        <is>
          <t>40系</t>
        </is>
      </c>
      <c r="D101" s="8" t="n">
        <v>2020</v>
      </c>
      <c r="E101" s="11" t="n"/>
      <c r="F101" s="10" t="n"/>
      <c r="G101" s="10" t="n"/>
      <c r="H101" s="10" t="n"/>
      <c r="I101" s="10" t="n"/>
      <c r="J101" s="10" t="n"/>
      <c r="K101" s="10" t="n"/>
      <c r="L101" s="11" t="n"/>
      <c r="M101" s="11" t="n">
        <v>11</v>
      </c>
      <c r="N101" s="10" t="n">
        <v>168.8</v>
      </c>
      <c r="O101" s="10" t="n">
        <v>182.5</v>
      </c>
      <c r="P101" s="10" t="n">
        <v>187.7</v>
      </c>
      <c r="Q101" s="10" t="n">
        <v>200</v>
      </c>
      <c r="R101" s="10" t="n"/>
      <c r="S101" s="9" t="n"/>
    </row>
    <row r="102">
      <c r="A102" s="13" t="inlineStr">
        <is>
          <t>2026-08-22</t>
        </is>
      </c>
      <c r="B102" s="13" t="inlineStr">
        <is>
          <t>プリウスα</t>
        </is>
      </c>
      <c r="C102" s="13" t="inlineStr"/>
      <c r="D102" s="13" t="n">
        <v>2021</v>
      </c>
      <c r="E102" s="15" t="n"/>
      <c r="F102" s="16" t="n"/>
      <c r="G102" s="16" t="n"/>
      <c r="H102" s="16" t="n"/>
      <c r="I102" s="16" t="n"/>
      <c r="J102" s="16" t="n"/>
      <c r="K102" s="16" t="n"/>
      <c r="L102" s="15" t="n"/>
      <c r="M102" s="15" t="n">
        <v>1</v>
      </c>
      <c r="N102" s="16" t="n">
        <v>190</v>
      </c>
      <c r="O102" s="16" t="n">
        <v>195</v>
      </c>
      <c r="P102" s="16" t="n">
        <v>195</v>
      </c>
      <c r="Q102" s="16" t="n">
        <v>200</v>
      </c>
      <c r="R102" s="16" t="n"/>
      <c r="S102" s="17" t="n"/>
    </row>
    <row r="103">
      <c r="A103" s="8" t="inlineStr">
        <is>
          <t>2026-08-22</t>
        </is>
      </c>
      <c r="B103" s="8" t="inlineStr">
        <is>
          <t>アイシス</t>
        </is>
      </c>
      <c r="C103" s="8" t="inlineStr">
        <is>
          <t>10系</t>
        </is>
      </c>
      <c r="D103" s="8" t="n">
        <v>2013</v>
      </c>
      <c r="E103" s="11" t="n"/>
      <c r="F103" s="10" t="n"/>
      <c r="G103" s="10" t="n"/>
      <c r="H103" s="10" t="n"/>
      <c r="I103" s="10" t="n"/>
      <c r="J103" s="10" t="n"/>
      <c r="K103" s="10" t="n"/>
      <c r="L103" s="11" t="n"/>
      <c r="M103" s="11" t="n">
        <v>20</v>
      </c>
      <c r="N103" s="10" t="n">
        <v>45</v>
      </c>
      <c r="O103" s="10" t="n">
        <v>66.7</v>
      </c>
      <c r="P103" s="10" t="n">
        <v>66</v>
      </c>
      <c r="Q103" s="10" t="n">
        <v>85</v>
      </c>
      <c r="R103" s="10" t="n"/>
      <c r="S103" s="9" t="n"/>
    </row>
    <row r="104">
      <c r="A104" s="13" t="inlineStr">
        <is>
          <t>2026-08-22</t>
        </is>
      </c>
      <c r="B104" s="13" t="inlineStr">
        <is>
          <t>アイシス</t>
        </is>
      </c>
      <c r="C104" s="13" t="inlineStr">
        <is>
          <t>10系</t>
        </is>
      </c>
      <c r="D104" s="13" t="n">
        <v>2014</v>
      </c>
      <c r="E104" s="15" t="n"/>
      <c r="F104" s="16" t="n"/>
      <c r="G104" s="16" t="n"/>
      <c r="H104" s="16" t="n"/>
      <c r="I104" s="16" t="n"/>
      <c r="J104" s="16" t="n"/>
      <c r="K104" s="16" t="n"/>
      <c r="L104" s="15" t="n"/>
      <c r="M104" s="15" t="n">
        <v>11</v>
      </c>
      <c r="N104" s="16" t="n">
        <v>57.5</v>
      </c>
      <c r="O104" s="16" t="n">
        <v>83.3</v>
      </c>
      <c r="P104" s="16" t="n">
        <v>88.2</v>
      </c>
      <c r="Q104" s="16" t="n">
        <v>105</v>
      </c>
      <c r="R104" s="16" t="n"/>
      <c r="S104" s="17" t="n"/>
    </row>
    <row r="105">
      <c r="A105" s="8" t="inlineStr">
        <is>
          <t>2026-08-22</t>
        </is>
      </c>
      <c r="B105" s="8" t="inlineStr">
        <is>
          <t>アイシス</t>
        </is>
      </c>
      <c r="C105" s="8" t="inlineStr">
        <is>
          <t>10系</t>
        </is>
      </c>
      <c r="D105" s="8" t="n">
        <v>2015</v>
      </c>
      <c r="E105" s="11" t="n"/>
      <c r="F105" s="10" t="n"/>
      <c r="G105" s="10" t="n"/>
      <c r="H105" s="10" t="n"/>
      <c r="I105" s="10" t="n"/>
      <c r="J105" s="10" t="n"/>
      <c r="K105" s="10" t="n"/>
      <c r="L105" s="11" t="n"/>
      <c r="M105" s="11" t="n">
        <v>2</v>
      </c>
      <c r="N105" s="10" t="n">
        <v>50</v>
      </c>
      <c r="O105" s="10" t="n">
        <v>60</v>
      </c>
      <c r="P105" s="10" t="n">
        <v>70</v>
      </c>
      <c r="Q105" s="10" t="n">
        <v>90</v>
      </c>
      <c r="R105" s="10" t="n"/>
      <c r="S105" s="9" t="n"/>
    </row>
    <row r="106">
      <c r="A106" s="13" t="inlineStr">
        <is>
          <t>2026-08-22</t>
        </is>
      </c>
      <c r="B106" s="13" t="inlineStr">
        <is>
          <t>アイシス</t>
        </is>
      </c>
      <c r="C106" s="13" t="inlineStr">
        <is>
          <t>10系</t>
        </is>
      </c>
      <c r="D106" s="13" t="n">
        <v>2016</v>
      </c>
      <c r="E106" s="15" t="n"/>
      <c r="F106" s="16" t="n"/>
      <c r="G106" s="16" t="n"/>
      <c r="H106" s="16" t="n"/>
      <c r="I106" s="16" t="n"/>
      <c r="J106" s="16" t="n"/>
      <c r="K106" s="16" t="n"/>
      <c r="L106" s="15" t="n"/>
      <c r="M106" s="15" t="n">
        <v>4</v>
      </c>
      <c r="N106" s="16" t="n">
        <v>70</v>
      </c>
      <c r="O106" s="16" t="n">
        <v>80</v>
      </c>
      <c r="P106" s="16" t="n">
        <v>85</v>
      </c>
      <c r="Q106" s="16" t="n">
        <v>100</v>
      </c>
      <c r="R106" s="16" t="n"/>
      <c r="S106" s="17" t="n"/>
    </row>
    <row r="107">
      <c r="A107" s="8" t="inlineStr">
        <is>
          <t>2026-08-22</t>
        </is>
      </c>
      <c r="B107" s="8" t="inlineStr">
        <is>
          <t>グランエース</t>
        </is>
      </c>
      <c r="C107" s="8" t="inlineStr"/>
      <c r="D107" s="8" t="n">
        <v>2019</v>
      </c>
      <c r="E107" s="11" t="n"/>
      <c r="F107" s="10" t="n"/>
      <c r="G107" s="10" t="n"/>
      <c r="H107" s="10" t="n"/>
      <c r="I107" s="10" t="n"/>
      <c r="J107" s="10" t="n"/>
      <c r="K107" s="10" t="n"/>
      <c r="L107" s="11" t="n"/>
      <c r="M107" s="11" t="n">
        <v>3</v>
      </c>
      <c r="N107" s="10" t="n">
        <v>555</v>
      </c>
      <c r="O107" s="10" t="n">
        <v>670</v>
      </c>
      <c r="P107" s="10" t="n">
        <v>643.3</v>
      </c>
      <c r="Q107" s="10" t="n">
        <v>705</v>
      </c>
      <c r="R107" s="10" t="n"/>
      <c r="S107" s="9" t="n"/>
    </row>
    <row r="108">
      <c r="A108" s="13" t="inlineStr">
        <is>
          <t>2026-08-22</t>
        </is>
      </c>
      <c r="B108" s="13" t="inlineStr">
        <is>
          <t>グランエース</t>
        </is>
      </c>
      <c r="C108" s="13" t="inlineStr">
        <is>
          <t>300系</t>
        </is>
      </c>
      <c r="D108" s="13" t="n">
        <v>2020</v>
      </c>
      <c r="E108" s="15" t="n"/>
      <c r="F108" s="16" t="n"/>
      <c r="G108" s="16" t="n"/>
      <c r="H108" s="16" t="n"/>
      <c r="I108" s="16" t="n"/>
      <c r="J108" s="16" t="n"/>
      <c r="K108" s="16" t="n"/>
      <c r="L108" s="15" t="n"/>
      <c r="M108" s="15" t="n">
        <v>27</v>
      </c>
      <c r="N108" s="16" t="n">
        <v>507</v>
      </c>
      <c r="O108" s="16" t="n">
        <v>556.7</v>
      </c>
      <c r="P108" s="16" t="n">
        <v>554.1</v>
      </c>
      <c r="Q108" s="16" t="n">
        <v>601.7</v>
      </c>
      <c r="R108" s="16" t="n"/>
      <c r="S108" s="17" t="n"/>
    </row>
    <row r="109">
      <c r="A109" s="8" t="inlineStr">
        <is>
          <t>2026-08-22</t>
        </is>
      </c>
      <c r="B109" s="8" t="inlineStr">
        <is>
          <t>グランエース</t>
        </is>
      </c>
      <c r="C109" s="8" t="inlineStr">
        <is>
          <t>300系</t>
        </is>
      </c>
      <c r="D109" s="8" t="n">
        <v>2021</v>
      </c>
      <c r="E109" s="11" t="n"/>
      <c r="F109" s="10" t="n"/>
      <c r="G109" s="10" t="n"/>
      <c r="H109" s="10" t="n"/>
      <c r="I109" s="10" t="n"/>
      <c r="J109" s="10" t="n"/>
      <c r="K109" s="10" t="n"/>
      <c r="L109" s="11" t="n"/>
      <c r="M109" s="11" t="n">
        <v>11</v>
      </c>
      <c r="N109" s="10" t="n">
        <v>531.7</v>
      </c>
      <c r="O109" s="10" t="n">
        <v>565</v>
      </c>
      <c r="P109" s="10" t="n">
        <v>566.4</v>
      </c>
      <c r="Q109" s="10" t="n">
        <v>592.5</v>
      </c>
      <c r="R109" s="10" t="n"/>
      <c r="S109" s="9" t="n"/>
    </row>
    <row r="110">
      <c r="A110" s="13" t="inlineStr">
        <is>
          <t>2026-08-22</t>
        </is>
      </c>
      <c r="B110" s="13" t="inlineStr">
        <is>
          <t>グランエース</t>
        </is>
      </c>
      <c r="C110" s="13" t="inlineStr">
        <is>
          <t>300系</t>
        </is>
      </c>
      <c r="D110" s="13" t="n">
        <v>2022</v>
      </c>
      <c r="E110" s="15" t="n"/>
      <c r="F110" s="16" t="n"/>
      <c r="G110" s="16" t="n"/>
      <c r="H110" s="16" t="n"/>
      <c r="I110" s="16" t="n"/>
      <c r="J110" s="16" t="n"/>
      <c r="K110" s="16" t="n"/>
      <c r="L110" s="15" t="n"/>
      <c r="M110" s="15" t="n">
        <v>4</v>
      </c>
      <c r="N110" s="16" t="n">
        <v>460</v>
      </c>
      <c r="O110" s="16" t="n">
        <v>500</v>
      </c>
      <c r="P110" s="16" t="n">
        <v>535</v>
      </c>
      <c r="Q110" s="16" t="n">
        <v>560</v>
      </c>
      <c r="R110" s="16" t="n"/>
      <c r="S110" s="17" t="n"/>
    </row>
    <row r="111">
      <c r="A111" s="8" t="inlineStr">
        <is>
          <t>2026-08-22</t>
        </is>
      </c>
      <c r="B111" s="8" t="inlineStr">
        <is>
          <t>グランエース</t>
        </is>
      </c>
      <c r="C111" s="8" t="inlineStr">
        <is>
          <t>300系</t>
        </is>
      </c>
      <c r="D111" s="8" t="n">
        <v>2023</v>
      </c>
      <c r="E111" s="11" t="n"/>
      <c r="F111" s="10" t="n"/>
      <c r="G111" s="10" t="n"/>
      <c r="H111" s="10" t="n"/>
      <c r="I111" s="10" t="n"/>
      <c r="J111" s="10" t="n"/>
      <c r="K111" s="10" t="n"/>
      <c r="L111" s="11" t="n"/>
      <c r="M111" s="11" t="n">
        <v>6</v>
      </c>
      <c r="N111" s="10" t="n">
        <v>603.3</v>
      </c>
      <c r="O111" s="10" t="n">
        <v>613.3</v>
      </c>
      <c r="P111" s="10" t="n">
        <v>673.3</v>
      </c>
      <c r="Q111" s="10" t="n">
        <v>670</v>
      </c>
      <c r="R111" s="10" t="n"/>
      <c r="S111" s="9" t="n"/>
    </row>
    <row r="112">
      <c r="A112" s="13" t="inlineStr">
        <is>
          <t>2026-08-22</t>
        </is>
      </c>
      <c r="B112" s="13" t="inlineStr">
        <is>
          <t>グランエース</t>
        </is>
      </c>
      <c r="C112" s="13" t="inlineStr"/>
      <c r="D112" s="13" t="n">
        <v>2024</v>
      </c>
      <c r="E112" s="15" t="n"/>
      <c r="F112" s="16" t="n"/>
      <c r="G112" s="16" t="n"/>
      <c r="H112" s="16" t="n"/>
      <c r="I112" s="16" t="n"/>
      <c r="J112" s="16" t="n"/>
      <c r="K112" s="16" t="n"/>
      <c r="L112" s="15" t="n"/>
      <c r="M112" s="15" t="n">
        <v>7</v>
      </c>
      <c r="N112" s="16" t="n">
        <v>687.5</v>
      </c>
      <c r="O112" s="16" t="n">
        <v>770</v>
      </c>
      <c r="P112" s="16" t="n">
        <v>830</v>
      </c>
      <c r="Q112" s="16" t="n">
        <v>1025</v>
      </c>
      <c r="R112" s="16" t="n"/>
      <c r="S112" s="17" t="n"/>
    </row>
  </sheetData>
  <autoFilter ref="A1:S1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s>
  <sheetData>
    <row r="1">
      <c r="A1" s="18" t="inlineStr">
        <is>
          <t>車種</t>
        </is>
      </c>
      <c r="B1" s="18" t="inlineStr">
        <is>
          <t>世代</t>
        </is>
      </c>
      <c r="C1" s="18" t="inlineStr">
        <is>
          <t>年式</t>
        </is>
      </c>
      <c r="D1" s="18" t="inlineStr">
        <is>
          <t>2026-08-22</t>
        </is>
      </c>
      <c r="E1" s="18" t="inlineStr">
        <is>
          <t>初回比(%)</t>
        </is>
      </c>
    </row>
    <row r="2">
      <c r="A2" s="8" t="inlineStr">
        <is>
          <t>アイシス</t>
        </is>
      </c>
      <c r="B2" s="8" t="inlineStr">
        <is>
          <t>10系</t>
        </is>
      </c>
      <c r="C2" s="8" t="n">
        <v>2016</v>
      </c>
      <c r="D2" s="10" t="n"/>
    </row>
    <row r="3">
      <c r="A3" s="8" t="inlineStr">
        <is>
          <t>アイシス</t>
        </is>
      </c>
      <c r="B3" s="8" t="inlineStr">
        <is>
          <t>10系</t>
        </is>
      </c>
      <c r="C3" s="8" t="n">
        <v>2015</v>
      </c>
      <c r="D3" s="10" t="n"/>
    </row>
    <row r="4">
      <c r="A4" s="8" t="inlineStr">
        <is>
          <t>アイシス</t>
        </is>
      </c>
      <c r="B4" s="8" t="inlineStr">
        <is>
          <t>10系</t>
        </is>
      </c>
      <c r="C4" s="8" t="n">
        <v>2014</v>
      </c>
      <c r="D4" s="10" t="n"/>
    </row>
    <row r="5">
      <c r="A5" s="8" t="inlineStr">
        <is>
          <t>アイシス</t>
        </is>
      </c>
      <c r="B5" s="8" t="inlineStr">
        <is>
          <t>10系</t>
        </is>
      </c>
      <c r="C5" s="8" t="n">
        <v>2013</v>
      </c>
      <c r="D5" s="10" t="n"/>
    </row>
    <row r="6">
      <c r="A6" s="8" t="inlineStr">
        <is>
          <t>アルファード</t>
        </is>
      </c>
      <c r="B6" s="8" t="inlineStr">
        <is>
          <t>40系</t>
        </is>
      </c>
      <c r="C6" s="8" t="n">
        <v>2026</v>
      </c>
      <c r="D6" s="10" t="n"/>
    </row>
    <row r="7">
      <c r="A7" s="8" t="inlineStr">
        <is>
          <t>アルファード</t>
        </is>
      </c>
      <c r="B7" s="8" t="inlineStr">
        <is>
          <t>40系</t>
        </is>
      </c>
      <c r="C7" s="8" t="n">
        <v>2025</v>
      </c>
      <c r="D7" s="10" t="n">
        <v>657.6</v>
      </c>
    </row>
    <row r="8">
      <c r="A8" s="8" t="inlineStr">
        <is>
          <t>アルファード</t>
        </is>
      </c>
      <c r="B8" s="8" t="inlineStr">
        <is>
          <t>40系</t>
        </is>
      </c>
      <c r="C8" s="8" t="n">
        <v>2024</v>
      </c>
      <c r="D8" s="10" t="n">
        <v>504.1</v>
      </c>
    </row>
    <row r="9">
      <c r="A9" s="8" t="inlineStr">
        <is>
          <t>アルファード</t>
        </is>
      </c>
      <c r="B9" s="8" t="inlineStr">
        <is>
          <t>40系</t>
        </is>
      </c>
      <c r="C9" s="8" t="n">
        <v>2023</v>
      </c>
      <c r="D9" s="10" t="n">
        <v>631.5</v>
      </c>
    </row>
    <row r="10">
      <c r="A10" s="8" t="inlineStr">
        <is>
          <t>アルファード</t>
        </is>
      </c>
      <c r="B10" s="8" t="inlineStr">
        <is>
          <t>30系後期</t>
        </is>
      </c>
      <c r="C10" s="8" t="n">
        <v>2022</v>
      </c>
      <c r="D10" s="10" t="n">
        <v>468</v>
      </c>
    </row>
    <row r="11">
      <c r="A11" s="8" t="inlineStr">
        <is>
          <t>アルファード</t>
        </is>
      </c>
      <c r="B11" s="8" t="inlineStr">
        <is>
          <t>30系後期</t>
        </is>
      </c>
      <c r="C11" s="8" t="n">
        <v>2021</v>
      </c>
      <c r="D11" s="10" t="n"/>
    </row>
    <row r="12">
      <c r="A12" s="8" t="inlineStr">
        <is>
          <t>アルファード</t>
        </is>
      </c>
      <c r="B12" s="8" t="inlineStr">
        <is>
          <t>30系後期</t>
        </is>
      </c>
      <c r="C12" s="8" t="n">
        <v>2020</v>
      </c>
      <c r="D12" s="10" t="n">
        <v>246</v>
      </c>
    </row>
    <row r="13">
      <c r="A13" s="8" t="inlineStr">
        <is>
          <t>アルファード</t>
        </is>
      </c>
      <c r="B13" s="8" t="inlineStr">
        <is>
          <t>30系後期</t>
        </is>
      </c>
      <c r="C13" s="8" t="n">
        <v>2019</v>
      </c>
      <c r="D13" s="10" t="n">
        <v>282.1</v>
      </c>
    </row>
    <row r="14">
      <c r="A14" s="8" t="inlineStr">
        <is>
          <t>アルファード</t>
        </is>
      </c>
      <c r="B14" s="8" t="inlineStr">
        <is>
          <t>30系後期</t>
        </is>
      </c>
      <c r="C14" s="8" t="n">
        <v>2018</v>
      </c>
      <c r="D14" s="10" t="n">
        <v>286.6</v>
      </c>
    </row>
    <row r="15">
      <c r="A15" s="8" t="inlineStr">
        <is>
          <t>アルファード</t>
        </is>
      </c>
      <c r="B15" s="8" t="inlineStr">
        <is>
          <t>30系前期</t>
        </is>
      </c>
      <c r="C15" s="8" t="n">
        <v>2017</v>
      </c>
      <c r="D15" s="10" t="n">
        <v>150</v>
      </c>
    </row>
    <row r="16">
      <c r="A16" s="8" t="inlineStr">
        <is>
          <t>アルファード</t>
        </is>
      </c>
      <c r="B16" s="8" t="inlineStr">
        <is>
          <t>30系前期</t>
        </is>
      </c>
      <c r="C16" s="8" t="n">
        <v>2016</v>
      </c>
      <c r="D16" s="10" t="n">
        <v>218.8</v>
      </c>
    </row>
    <row r="17">
      <c r="A17" s="8" t="inlineStr">
        <is>
          <t>アルファード</t>
        </is>
      </c>
      <c r="B17" s="8" t="inlineStr">
        <is>
          <t>30系前期</t>
        </is>
      </c>
      <c r="C17" s="8" t="n">
        <v>2015</v>
      </c>
      <c r="D17" s="10" t="n">
        <v>147.1</v>
      </c>
    </row>
    <row r="18">
      <c r="A18" s="8" t="inlineStr">
        <is>
          <t>アルファード</t>
        </is>
      </c>
      <c r="B18" s="8" t="inlineStr">
        <is>
          <t>20系</t>
        </is>
      </c>
      <c r="C18" s="8" t="n">
        <v>2014</v>
      </c>
      <c r="D18" s="10" t="n">
        <v>67</v>
      </c>
    </row>
    <row r="19">
      <c r="A19" s="8" t="inlineStr">
        <is>
          <t>アルファード</t>
        </is>
      </c>
      <c r="B19" s="8" t="inlineStr">
        <is>
          <t>20系</t>
        </is>
      </c>
      <c r="C19" s="8" t="n">
        <v>2013</v>
      </c>
      <c r="D19" s="10" t="n">
        <v>62.5</v>
      </c>
    </row>
    <row r="20">
      <c r="A20" s="8" t="inlineStr">
        <is>
          <t>ウィッシュ</t>
        </is>
      </c>
      <c r="B20" s="8" t="inlineStr">
        <is>
          <t>20系</t>
        </is>
      </c>
      <c r="C20" s="8" t="n">
        <v>2017</v>
      </c>
      <c r="D20" s="10" t="n"/>
    </row>
    <row r="21">
      <c r="A21" s="8" t="inlineStr">
        <is>
          <t>ウィッシュ</t>
        </is>
      </c>
      <c r="B21" s="8" t="inlineStr">
        <is>
          <t>20系</t>
        </is>
      </c>
      <c r="C21" s="8" t="n">
        <v>2016</v>
      </c>
      <c r="D21" s="10" t="n"/>
    </row>
    <row r="22">
      <c r="A22" s="8" t="inlineStr">
        <is>
          <t>ウィッシュ</t>
        </is>
      </c>
      <c r="B22" s="8" t="inlineStr">
        <is>
          <t>20系</t>
        </is>
      </c>
      <c r="C22" s="8" t="n">
        <v>2015</v>
      </c>
      <c r="D22" s="10" t="n"/>
    </row>
    <row r="23">
      <c r="A23" s="8" t="inlineStr">
        <is>
          <t>ウィッシュ</t>
        </is>
      </c>
      <c r="B23" s="8" t="inlineStr">
        <is>
          <t>20系</t>
        </is>
      </c>
      <c r="C23" s="8" t="n">
        <v>2014</v>
      </c>
      <c r="D23" s="10" t="n"/>
    </row>
    <row r="24">
      <c r="A24" s="8" t="inlineStr">
        <is>
          <t>ウィッシュ</t>
        </is>
      </c>
      <c r="B24" s="8" t="inlineStr">
        <is>
          <t>20系</t>
        </is>
      </c>
      <c r="C24" s="8" t="n">
        <v>2013</v>
      </c>
      <c r="D24" s="10" t="n"/>
    </row>
    <row r="25">
      <c r="A25" s="8" t="inlineStr">
        <is>
          <t>エスクァイア</t>
        </is>
      </c>
      <c r="B25" s="8" t="inlineStr"/>
      <c r="C25" s="8" t="n">
        <v>2022</v>
      </c>
      <c r="D25" s="10" t="n"/>
    </row>
    <row r="26">
      <c r="A26" s="8" t="inlineStr">
        <is>
          <t>エスクァイア</t>
        </is>
      </c>
      <c r="B26" s="8" t="inlineStr">
        <is>
          <t>80系</t>
        </is>
      </c>
      <c r="C26" s="8" t="n">
        <v>2021</v>
      </c>
      <c r="D26" s="10" t="n"/>
    </row>
    <row r="27">
      <c r="A27" s="8" t="inlineStr">
        <is>
          <t>エスクァイア</t>
        </is>
      </c>
      <c r="B27" s="8" t="inlineStr">
        <is>
          <t>80系</t>
        </is>
      </c>
      <c r="C27" s="8" t="n">
        <v>2020</v>
      </c>
      <c r="D27" s="10" t="n"/>
    </row>
    <row r="28">
      <c r="A28" s="8" t="inlineStr">
        <is>
          <t>エスクァイア</t>
        </is>
      </c>
      <c r="B28" s="8" t="inlineStr">
        <is>
          <t>80系</t>
        </is>
      </c>
      <c r="C28" s="8" t="n">
        <v>2019</v>
      </c>
      <c r="D28" s="10" t="n"/>
    </row>
    <row r="29">
      <c r="A29" s="8" t="inlineStr">
        <is>
          <t>エスクァイア</t>
        </is>
      </c>
      <c r="B29" s="8" t="inlineStr">
        <is>
          <t>80系</t>
        </is>
      </c>
      <c r="C29" s="8" t="n">
        <v>2018</v>
      </c>
      <c r="D29" s="10" t="n"/>
    </row>
    <row r="30">
      <c r="A30" s="8" t="inlineStr">
        <is>
          <t>エスクァイア</t>
        </is>
      </c>
      <c r="B30" s="8" t="inlineStr">
        <is>
          <t>80系</t>
        </is>
      </c>
      <c r="C30" s="8" t="n">
        <v>2017</v>
      </c>
      <c r="D30" s="10" t="n">
        <v>58.2</v>
      </c>
    </row>
    <row r="31">
      <c r="A31" s="8" t="inlineStr">
        <is>
          <t>エスクァイア</t>
        </is>
      </c>
      <c r="B31" s="8" t="inlineStr">
        <is>
          <t>80系</t>
        </is>
      </c>
      <c r="C31" s="8" t="n">
        <v>2016</v>
      </c>
      <c r="D31" s="10" t="n">
        <v>105.7</v>
      </c>
    </row>
    <row r="32">
      <c r="A32" s="8" t="inlineStr">
        <is>
          <t>エスクァイア</t>
        </is>
      </c>
      <c r="B32" s="8" t="inlineStr">
        <is>
          <t>80系</t>
        </is>
      </c>
      <c r="C32" s="8" t="n">
        <v>2015</v>
      </c>
      <c r="D32" s="10" t="n">
        <v>64.5</v>
      </c>
    </row>
    <row r="33">
      <c r="A33" s="8" t="inlineStr">
        <is>
          <t>エスクァイア</t>
        </is>
      </c>
      <c r="B33" s="8" t="inlineStr"/>
      <c r="C33" s="8" t="n">
        <v>2014</v>
      </c>
      <c r="D33" s="10" t="n">
        <v>105</v>
      </c>
    </row>
    <row r="34">
      <c r="A34" s="8" t="inlineStr">
        <is>
          <t>エスティマ</t>
        </is>
      </c>
      <c r="B34" s="8" t="inlineStr"/>
      <c r="C34" s="8" t="n">
        <v>2020</v>
      </c>
      <c r="D34" s="10" t="n"/>
    </row>
    <row r="35">
      <c r="A35" s="8" t="inlineStr">
        <is>
          <t>エスティマ</t>
        </is>
      </c>
      <c r="B35" s="8" t="inlineStr">
        <is>
          <t>50系</t>
        </is>
      </c>
      <c r="C35" s="8" t="n">
        <v>2019</v>
      </c>
      <c r="D35" s="10" t="n"/>
    </row>
    <row r="36">
      <c r="A36" s="8" t="inlineStr">
        <is>
          <t>エスティマ</t>
        </is>
      </c>
      <c r="B36" s="8" t="inlineStr">
        <is>
          <t>50系</t>
        </is>
      </c>
      <c r="C36" s="8" t="n">
        <v>2018</v>
      </c>
      <c r="D36" s="10" t="n"/>
    </row>
    <row r="37">
      <c r="A37" s="8" t="inlineStr">
        <is>
          <t>エスティマ</t>
        </is>
      </c>
      <c r="B37" s="8" t="inlineStr">
        <is>
          <t>50系</t>
        </is>
      </c>
      <c r="C37" s="8" t="n">
        <v>2017</v>
      </c>
      <c r="D37" s="10" t="n">
        <v>96</v>
      </c>
    </row>
    <row r="38">
      <c r="A38" s="8" t="inlineStr">
        <is>
          <t>エスティマ</t>
        </is>
      </c>
      <c r="B38" s="8" t="inlineStr">
        <is>
          <t>50系</t>
        </is>
      </c>
      <c r="C38" s="8" t="n">
        <v>2016</v>
      </c>
      <c r="D38" s="10" t="n">
        <v>108.8</v>
      </c>
    </row>
    <row r="39">
      <c r="A39" s="8" t="inlineStr">
        <is>
          <t>エスティマ</t>
        </is>
      </c>
      <c r="B39" s="8" t="inlineStr">
        <is>
          <t>50系</t>
        </is>
      </c>
      <c r="C39" s="8" t="n">
        <v>2015</v>
      </c>
      <c r="D39" s="10" t="n">
        <v>85</v>
      </c>
    </row>
    <row r="40">
      <c r="A40" s="8" t="inlineStr">
        <is>
          <t>エスティマ</t>
        </is>
      </c>
      <c r="B40" s="8" t="inlineStr">
        <is>
          <t>50系</t>
        </is>
      </c>
      <c r="C40" s="8" t="n">
        <v>2014</v>
      </c>
      <c r="D40" s="10" t="n">
        <v>46.8</v>
      </c>
    </row>
    <row r="41">
      <c r="A41" s="8" t="inlineStr">
        <is>
          <t>エスティマ</t>
        </is>
      </c>
      <c r="B41" s="8" t="inlineStr">
        <is>
          <t>50系</t>
        </is>
      </c>
      <c r="C41" s="8" t="n">
        <v>2013</v>
      </c>
      <c r="D41" s="10" t="n">
        <v>43.5</v>
      </c>
    </row>
    <row r="42">
      <c r="A42" s="8" t="inlineStr">
        <is>
          <t>グランエース</t>
        </is>
      </c>
      <c r="B42" s="8" t="inlineStr"/>
      <c r="C42" s="8" t="n">
        <v>2024</v>
      </c>
      <c r="D42" s="10" t="n"/>
    </row>
    <row r="43">
      <c r="A43" s="8" t="inlineStr">
        <is>
          <t>グランエース</t>
        </is>
      </c>
      <c r="B43" s="8" t="inlineStr">
        <is>
          <t>300系</t>
        </is>
      </c>
      <c r="C43" s="8" t="n">
        <v>2023</v>
      </c>
      <c r="D43" s="10" t="n"/>
    </row>
    <row r="44">
      <c r="A44" s="8" t="inlineStr">
        <is>
          <t>グランエース</t>
        </is>
      </c>
      <c r="B44" s="8" t="inlineStr">
        <is>
          <t>300系</t>
        </is>
      </c>
      <c r="C44" s="8" t="n">
        <v>2022</v>
      </c>
      <c r="D44" s="10" t="n"/>
    </row>
    <row r="45">
      <c r="A45" s="8" t="inlineStr">
        <is>
          <t>グランエース</t>
        </is>
      </c>
      <c r="B45" s="8" t="inlineStr">
        <is>
          <t>300系</t>
        </is>
      </c>
      <c r="C45" s="8" t="n">
        <v>2021</v>
      </c>
      <c r="D45" s="10" t="n"/>
    </row>
    <row r="46">
      <c r="A46" s="8" t="inlineStr">
        <is>
          <t>グランエース</t>
        </is>
      </c>
      <c r="B46" s="8" t="inlineStr">
        <is>
          <t>300系</t>
        </is>
      </c>
      <c r="C46" s="8" t="n">
        <v>2020</v>
      </c>
      <c r="D46" s="10" t="n"/>
    </row>
    <row r="47">
      <c r="A47" s="8" t="inlineStr">
        <is>
          <t>グランエース</t>
        </is>
      </c>
      <c r="B47" s="8" t="inlineStr"/>
      <c r="C47" s="8" t="n">
        <v>2019</v>
      </c>
      <c r="D47" s="10" t="n"/>
    </row>
    <row r="48">
      <c r="A48" s="8" t="inlineStr">
        <is>
          <t>シエンタ</t>
        </is>
      </c>
      <c r="B48" s="8" t="inlineStr">
        <is>
          <t>10系</t>
        </is>
      </c>
      <c r="C48" s="8" t="n">
        <v>2026</v>
      </c>
      <c r="D48" s="10" t="n"/>
    </row>
    <row r="49">
      <c r="A49" s="8" t="inlineStr">
        <is>
          <t>シエンタ</t>
        </is>
      </c>
      <c r="B49" s="8" t="inlineStr">
        <is>
          <t>10系</t>
        </is>
      </c>
      <c r="C49" s="8" t="n">
        <v>2025</v>
      </c>
      <c r="D49" s="10" t="n">
        <v>165.1</v>
      </c>
    </row>
    <row r="50">
      <c r="A50" s="8" t="inlineStr">
        <is>
          <t>シエンタ</t>
        </is>
      </c>
      <c r="B50" s="8" t="inlineStr">
        <is>
          <t>10系</t>
        </is>
      </c>
      <c r="C50" s="8" t="n">
        <v>2024</v>
      </c>
      <c r="D50" s="10" t="n">
        <v>160.1</v>
      </c>
    </row>
    <row r="51">
      <c r="A51" s="8" t="inlineStr">
        <is>
          <t>シエンタ</t>
        </is>
      </c>
      <c r="B51" s="8" t="inlineStr">
        <is>
          <t>10系</t>
        </is>
      </c>
      <c r="C51" s="8" t="n">
        <v>2023</v>
      </c>
      <c r="D51" s="10" t="n">
        <v>209.9</v>
      </c>
    </row>
    <row r="52">
      <c r="A52" s="8" t="inlineStr">
        <is>
          <t>シエンタ</t>
        </is>
      </c>
      <c r="B52" s="8" t="inlineStr">
        <is>
          <t>170系</t>
        </is>
      </c>
      <c r="C52" s="8" t="n">
        <v>2022</v>
      </c>
      <c r="D52" s="10" t="n">
        <v>120.1</v>
      </c>
    </row>
    <row r="53">
      <c r="A53" s="8" t="inlineStr">
        <is>
          <t>シエンタ</t>
        </is>
      </c>
      <c r="B53" s="8" t="inlineStr">
        <is>
          <t>170系</t>
        </is>
      </c>
      <c r="C53" s="8" t="n">
        <v>2021</v>
      </c>
      <c r="D53" s="10" t="n">
        <v>81</v>
      </c>
    </row>
    <row r="54">
      <c r="A54" s="8" t="inlineStr">
        <is>
          <t>シエンタ</t>
        </is>
      </c>
      <c r="B54" s="8" t="inlineStr">
        <is>
          <t>170系</t>
        </is>
      </c>
      <c r="C54" s="8" t="n">
        <v>2020</v>
      </c>
      <c r="D54" s="10" t="n">
        <v>98.7</v>
      </c>
    </row>
    <row r="55">
      <c r="A55" s="8" t="inlineStr">
        <is>
          <t>シエンタ</t>
        </is>
      </c>
      <c r="B55" s="8" t="inlineStr">
        <is>
          <t>170系</t>
        </is>
      </c>
      <c r="C55" s="8" t="n">
        <v>2019</v>
      </c>
      <c r="D55" s="10" t="n">
        <v>101.4</v>
      </c>
    </row>
    <row r="56">
      <c r="A56" s="8" t="inlineStr">
        <is>
          <t>シエンタ</t>
        </is>
      </c>
      <c r="B56" s="8" t="inlineStr">
        <is>
          <t>170系</t>
        </is>
      </c>
      <c r="C56" s="8" t="n">
        <v>2018</v>
      </c>
      <c r="D56" s="10" t="n">
        <v>165.1</v>
      </c>
    </row>
    <row r="57">
      <c r="A57" s="8" t="inlineStr">
        <is>
          <t>シエンタ</t>
        </is>
      </c>
      <c r="B57" s="8" t="inlineStr">
        <is>
          <t>170系</t>
        </is>
      </c>
      <c r="C57" s="8" t="n">
        <v>2017</v>
      </c>
      <c r="D57" s="10" t="n">
        <v>55</v>
      </c>
    </row>
    <row r="58">
      <c r="A58" s="8" t="inlineStr">
        <is>
          <t>シエンタ</t>
        </is>
      </c>
      <c r="B58" s="8" t="inlineStr">
        <is>
          <t>170系</t>
        </is>
      </c>
      <c r="C58" s="8" t="n">
        <v>2016</v>
      </c>
      <c r="D58" s="10" t="n">
        <v>41.4</v>
      </c>
    </row>
    <row r="59">
      <c r="A59" s="8" t="inlineStr">
        <is>
          <t>シエンタ</t>
        </is>
      </c>
      <c r="B59" s="8" t="inlineStr"/>
      <c r="C59" s="8" t="n">
        <v>2015</v>
      </c>
      <c r="D59" s="10" t="n">
        <v>55.5</v>
      </c>
    </row>
    <row r="60">
      <c r="A60" s="8" t="inlineStr">
        <is>
          <t>シエンタ</t>
        </is>
      </c>
      <c r="B60" s="8" t="inlineStr">
        <is>
          <t>80系</t>
        </is>
      </c>
      <c r="C60" s="8" t="n">
        <v>2014</v>
      </c>
      <c r="D60" s="10" t="n"/>
    </row>
    <row r="61">
      <c r="A61" s="8" t="inlineStr">
        <is>
          <t>シエンタ</t>
        </is>
      </c>
      <c r="B61" s="8" t="inlineStr">
        <is>
          <t>80系</t>
        </is>
      </c>
      <c r="C61" s="8" t="n">
        <v>2013</v>
      </c>
      <c r="D61" s="10" t="n">
        <v>32.5</v>
      </c>
    </row>
    <row r="62">
      <c r="A62" s="8" t="inlineStr">
        <is>
          <t>ノア</t>
        </is>
      </c>
      <c r="B62" s="8" t="inlineStr">
        <is>
          <t>90系</t>
        </is>
      </c>
      <c r="C62" s="8" t="n">
        <v>2026</v>
      </c>
      <c r="D62" s="10" t="n"/>
    </row>
    <row r="63">
      <c r="A63" s="8" t="inlineStr">
        <is>
          <t>ノア</t>
        </is>
      </c>
      <c r="B63" s="8" t="inlineStr">
        <is>
          <t>90系</t>
        </is>
      </c>
      <c r="C63" s="8" t="n">
        <v>2025</v>
      </c>
      <c r="D63" s="10" t="n"/>
    </row>
    <row r="64">
      <c r="A64" s="8" t="inlineStr">
        <is>
          <t>ノア</t>
        </is>
      </c>
      <c r="B64" s="8" t="inlineStr">
        <is>
          <t>90系</t>
        </is>
      </c>
      <c r="C64" s="8" t="n">
        <v>2024</v>
      </c>
      <c r="D64" s="10" t="n"/>
    </row>
    <row r="65">
      <c r="A65" s="8" t="inlineStr">
        <is>
          <t>ノア</t>
        </is>
      </c>
      <c r="B65" s="8" t="inlineStr">
        <is>
          <t>90系</t>
        </is>
      </c>
      <c r="C65" s="8" t="n">
        <v>2023</v>
      </c>
      <c r="D65" s="10" t="n">
        <v>292.1</v>
      </c>
    </row>
    <row r="66">
      <c r="A66" s="8" t="inlineStr">
        <is>
          <t>ノア</t>
        </is>
      </c>
      <c r="B66" s="8" t="inlineStr">
        <is>
          <t>90系</t>
        </is>
      </c>
      <c r="C66" s="8" t="n">
        <v>2022</v>
      </c>
      <c r="D66" s="10" t="n"/>
    </row>
    <row r="67">
      <c r="A67" s="8" t="inlineStr">
        <is>
          <t>ノア</t>
        </is>
      </c>
      <c r="B67" s="8" t="inlineStr">
        <is>
          <t>80系</t>
        </is>
      </c>
      <c r="C67" s="8" t="n">
        <v>2021</v>
      </c>
      <c r="D67" s="10" t="n"/>
    </row>
    <row r="68">
      <c r="A68" s="8" t="inlineStr">
        <is>
          <t>ノア</t>
        </is>
      </c>
      <c r="B68" s="8" t="inlineStr">
        <is>
          <t>80系</t>
        </is>
      </c>
      <c r="C68" s="8" t="n">
        <v>2020</v>
      </c>
      <c r="D68" s="10" t="n">
        <v>144.7</v>
      </c>
    </row>
    <row r="69">
      <c r="A69" s="8" t="inlineStr">
        <is>
          <t>ノア</t>
        </is>
      </c>
      <c r="B69" s="8" t="inlineStr">
        <is>
          <t>80系</t>
        </is>
      </c>
      <c r="C69" s="8" t="n">
        <v>2019</v>
      </c>
      <c r="D69" s="10" t="n"/>
    </row>
    <row r="70">
      <c r="A70" s="8" t="inlineStr">
        <is>
          <t>ノア</t>
        </is>
      </c>
      <c r="B70" s="8" t="inlineStr">
        <is>
          <t>80系</t>
        </is>
      </c>
      <c r="C70" s="8" t="n">
        <v>2018</v>
      </c>
      <c r="D70" s="10" t="n">
        <v>133</v>
      </c>
    </row>
    <row r="71">
      <c r="A71" s="8" t="inlineStr">
        <is>
          <t>ノア</t>
        </is>
      </c>
      <c r="B71" s="8" t="inlineStr">
        <is>
          <t>80系</t>
        </is>
      </c>
      <c r="C71" s="8" t="n">
        <v>2017</v>
      </c>
      <c r="D71" s="10" t="n">
        <v>169.8</v>
      </c>
    </row>
    <row r="72">
      <c r="A72" s="8" t="inlineStr">
        <is>
          <t>ノア</t>
        </is>
      </c>
      <c r="B72" s="8" t="inlineStr">
        <is>
          <t>80系</t>
        </is>
      </c>
      <c r="C72" s="8" t="n">
        <v>2016</v>
      </c>
      <c r="D72" s="10" t="n">
        <v>128.3</v>
      </c>
    </row>
    <row r="73">
      <c r="A73" s="8" t="inlineStr">
        <is>
          <t>ノア</t>
        </is>
      </c>
      <c r="B73" s="8" t="inlineStr">
        <is>
          <t>80系</t>
        </is>
      </c>
      <c r="C73" s="8" t="n">
        <v>2015</v>
      </c>
      <c r="D73" s="10" t="n">
        <v>86.40000000000001</v>
      </c>
    </row>
    <row r="74">
      <c r="A74" s="8" t="inlineStr">
        <is>
          <t>ノア</t>
        </is>
      </c>
      <c r="B74" s="8" t="inlineStr">
        <is>
          <t>80系</t>
        </is>
      </c>
      <c r="C74" s="8" t="n">
        <v>2014</v>
      </c>
      <c r="D74" s="10" t="n">
        <v>72.40000000000001</v>
      </c>
    </row>
    <row r="75">
      <c r="A75" s="8" t="inlineStr">
        <is>
          <t>ノア</t>
        </is>
      </c>
      <c r="B75" s="8" t="inlineStr">
        <is>
          <t>70系</t>
        </is>
      </c>
      <c r="C75" s="8" t="n">
        <v>2013</v>
      </c>
      <c r="D75" s="10" t="n"/>
    </row>
    <row r="76">
      <c r="A76" s="8" t="inlineStr">
        <is>
          <t>プリウスα</t>
        </is>
      </c>
      <c r="B76" s="8" t="inlineStr"/>
      <c r="C76" s="8" t="n">
        <v>2021</v>
      </c>
      <c r="D76" s="10" t="n"/>
    </row>
    <row r="77">
      <c r="A77" s="8" t="inlineStr">
        <is>
          <t>プリウスα</t>
        </is>
      </c>
      <c r="B77" s="8" t="inlineStr">
        <is>
          <t>40系</t>
        </is>
      </c>
      <c r="C77" s="8" t="n">
        <v>2020</v>
      </c>
      <c r="D77" s="10" t="n"/>
    </row>
    <row r="78">
      <c r="A78" s="8" t="inlineStr">
        <is>
          <t>プリウスα</t>
        </is>
      </c>
      <c r="B78" s="8" t="inlineStr">
        <is>
          <t>40系</t>
        </is>
      </c>
      <c r="C78" s="8" t="n">
        <v>2019</v>
      </c>
      <c r="D78" s="10" t="n"/>
    </row>
    <row r="79">
      <c r="A79" s="8" t="inlineStr">
        <is>
          <t>プリウスα</t>
        </is>
      </c>
      <c r="B79" s="8" t="inlineStr">
        <is>
          <t>40系</t>
        </is>
      </c>
      <c r="C79" s="8" t="n">
        <v>2018</v>
      </c>
      <c r="D79" s="10" t="n"/>
    </row>
    <row r="80">
      <c r="A80" s="8" t="inlineStr">
        <is>
          <t>プリウスα</t>
        </is>
      </c>
      <c r="B80" s="8" t="inlineStr">
        <is>
          <t>40系</t>
        </is>
      </c>
      <c r="C80" s="8" t="n">
        <v>2017</v>
      </c>
      <c r="D80" s="10" t="n">
        <v>93.40000000000001</v>
      </c>
    </row>
    <row r="81">
      <c r="A81" s="8" t="inlineStr">
        <is>
          <t>プリウスα</t>
        </is>
      </c>
      <c r="B81" s="8" t="inlineStr">
        <is>
          <t>40系</t>
        </is>
      </c>
      <c r="C81" s="8" t="n">
        <v>2016</v>
      </c>
      <c r="D81" s="10" t="n">
        <v>65</v>
      </c>
    </row>
    <row r="82">
      <c r="A82" s="8" t="inlineStr">
        <is>
          <t>プリウスα</t>
        </is>
      </c>
      <c r="B82" s="8" t="inlineStr">
        <is>
          <t>40系</t>
        </is>
      </c>
      <c r="C82" s="8" t="n">
        <v>2015</v>
      </c>
      <c r="D82" s="10" t="n">
        <v>57.5</v>
      </c>
    </row>
    <row r="83">
      <c r="A83" s="8" t="inlineStr">
        <is>
          <t>プリウスα</t>
        </is>
      </c>
      <c r="B83" s="8" t="inlineStr">
        <is>
          <t>40系</t>
        </is>
      </c>
      <c r="C83" s="8" t="n">
        <v>2014</v>
      </c>
      <c r="D83" s="10" t="n">
        <v>45.6</v>
      </c>
    </row>
    <row r="84">
      <c r="A84" s="8" t="inlineStr">
        <is>
          <t>プリウスα</t>
        </is>
      </c>
      <c r="B84" s="8" t="inlineStr">
        <is>
          <t>40系</t>
        </is>
      </c>
      <c r="C84" s="8" t="n">
        <v>2013</v>
      </c>
      <c r="D84" s="10" t="n">
        <v>42.4</v>
      </c>
    </row>
    <row r="85">
      <c r="A85" s="8" t="inlineStr">
        <is>
          <t>ヴェルファイア</t>
        </is>
      </c>
      <c r="B85" s="8" t="inlineStr">
        <is>
          <t>40系</t>
        </is>
      </c>
      <c r="C85" s="8" t="n">
        <v>2026</v>
      </c>
      <c r="D85" s="10" t="n"/>
    </row>
    <row r="86">
      <c r="A86" s="8" t="inlineStr">
        <is>
          <t>ヴェルファイア</t>
        </is>
      </c>
      <c r="B86" s="8" t="inlineStr">
        <is>
          <t>40系</t>
        </is>
      </c>
      <c r="C86" s="8" t="n">
        <v>2025</v>
      </c>
      <c r="D86" s="10" t="n"/>
    </row>
    <row r="87">
      <c r="A87" s="8" t="inlineStr">
        <is>
          <t>ヴェルファイア</t>
        </is>
      </c>
      <c r="B87" s="8" t="inlineStr">
        <is>
          <t>40系</t>
        </is>
      </c>
      <c r="C87" s="8" t="n">
        <v>2024</v>
      </c>
      <c r="D87" s="10" t="n"/>
    </row>
    <row r="88">
      <c r="A88" s="8" t="inlineStr">
        <is>
          <t>ヴェルファイア</t>
        </is>
      </c>
      <c r="B88" s="8" t="inlineStr">
        <is>
          <t>40系</t>
        </is>
      </c>
      <c r="C88" s="8" t="n">
        <v>2023</v>
      </c>
      <c r="D88" s="10" t="n">
        <v>599</v>
      </c>
    </row>
    <row r="89">
      <c r="A89" s="8" t="inlineStr">
        <is>
          <t>ヴェルファイア</t>
        </is>
      </c>
      <c r="B89" s="8" t="inlineStr">
        <is>
          <t>30系後期</t>
        </is>
      </c>
      <c r="C89" s="8" t="n">
        <v>2022</v>
      </c>
      <c r="D89" s="10" t="n">
        <v>265.3</v>
      </c>
    </row>
    <row r="90">
      <c r="A90" s="8" t="inlineStr">
        <is>
          <t>ヴェルファイア</t>
        </is>
      </c>
      <c r="B90" s="8" t="inlineStr">
        <is>
          <t>30系後期</t>
        </is>
      </c>
      <c r="C90" s="8" t="n">
        <v>2021</v>
      </c>
      <c r="D90" s="10" t="n"/>
    </row>
    <row r="91">
      <c r="A91" s="8" t="inlineStr">
        <is>
          <t>ヴェルファイア</t>
        </is>
      </c>
      <c r="B91" s="8" t="inlineStr">
        <is>
          <t>30系後期</t>
        </is>
      </c>
      <c r="C91" s="8" t="n">
        <v>2020</v>
      </c>
      <c r="D91" s="10" t="n"/>
    </row>
    <row r="92">
      <c r="A92" s="8" t="inlineStr">
        <is>
          <t>ヴェルファイア</t>
        </is>
      </c>
      <c r="B92" s="8" t="inlineStr">
        <is>
          <t>30系後期</t>
        </is>
      </c>
      <c r="C92" s="8" t="n">
        <v>2019</v>
      </c>
      <c r="D92" s="10" t="n">
        <v>238.3</v>
      </c>
    </row>
    <row r="93">
      <c r="A93" s="8" t="inlineStr">
        <is>
          <t>ヴェルファイア</t>
        </is>
      </c>
      <c r="B93" s="8" t="inlineStr">
        <is>
          <t>30系後期</t>
        </is>
      </c>
      <c r="C93" s="8" t="n">
        <v>2018</v>
      </c>
      <c r="D93" s="10" t="n">
        <v>300.5</v>
      </c>
    </row>
    <row r="94">
      <c r="A94" s="8" t="inlineStr">
        <is>
          <t>ヴェルファイア</t>
        </is>
      </c>
      <c r="B94" s="8" t="inlineStr">
        <is>
          <t>30系前期</t>
        </is>
      </c>
      <c r="C94" s="8" t="n">
        <v>2017</v>
      </c>
      <c r="D94" s="10" t="n">
        <v>199.6</v>
      </c>
    </row>
    <row r="95">
      <c r="A95" s="8" t="inlineStr">
        <is>
          <t>ヴェルファイア</t>
        </is>
      </c>
      <c r="B95" s="8" t="inlineStr">
        <is>
          <t>30系前期</t>
        </is>
      </c>
      <c r="C95" s="8" t="n">
        <v>2016</v>
      </c>
      <c r="D95" s="10" t="n">
        <v>140.1</v>
      </c>
    </row>
    <row r="96">
      <c r="A96" s="8" t="inlineStr">
        <is>
          <t>ヴェルファイア</t>
        </is>
      </c>
      <c r="B96" s="8" t="inlineStr">
        <is>
          <t>30系前期</t>
        </is>
      </c>
      <c r="C96" s="8" t="n">
        <v>2015</v>
      </c>
      <c r="D96" s="10" t="n">
        <v>147.9</v>
      </c>
    </row>
    <row r="97">
      <c r="A97" s="8" t="inlineStr">
        <is>
          <t>ヴェルファイア</t>
        </is>
      </c>
      <c r="B97" s="8" t="inlineStr">
        <is>
          <t>20系</t>
        </is>
      </c>
      <c r="C97" s="8" t="n">
        <v>2014</v>
      </c>
      <c r="D97" s="10" t="n">
        <v>72</v>
      </c>
    </row>
    <row r="98">
      <c r="A98" s="8" t="inlineStr">
        <is>
          <t>ヴェルファイア</t>
        </is>
      </c>
      <c r="B98" s="8" t="inlineStr">
        <is>
          <t>20系</t>
        </is>
      </c>
      <c r="C98" s="8" t="n">
        <v>2013</v>
      </c>
      <c r="D98" s="10" t="n">
        <v>47.5</v>
      </c>
    </row>
    <row r="99">
      <c r="A99" s="8" t="inlineStr">
        <is>
          <t>ヴォクシー</t>
        </is>
      </c>
      <c r="B99" s="8" t="inlineStr">
        <is>
          <t>90系</t>
        </is>
      </c>
      <c r="C99" s="8" t="n">
        <v>2026</v>
      </c>
      <c r="D99" s="10" t="n"/>
    </row>
    <row r="100">
      <c r="A100" s="8" t="inlineStr">
        <is>
          <t>ヴォクシー</t>
        </is>
      </c>
      <c r="B100" s="8" t="inlineStr">
        <is>
          <t>90系</t>
        </is>
      </c>
      <c r="C100" s="8" t="n">
        <v>2025</v>
      </c>
      <c r="D100" s="10" t="n"/>
    </row>
    <row r="101">
      <c r="A101" s="8" t="inlineStr">
        <is>
          <t>ヴォクシー</t>
        </is>
      </c>
      <c r="B101" s="8" t="inlineStr">
        <is>
          <t>90系</t>
        </is>
      </c>
      <c r="C101" s="8" t="n">
        <v>2024</v>
      </c>
      <c r="D101" s="10" t="n">
        <v>340.3</v>
      </c>
    </row>
    <row r="102">
      <c r="A102" s="8" t="inlineStr">
        <is>
          <t>ヴォクシー</t>
        </is>
      </c>
      <c r="B102" s="8" t="inlineStr">
        <is>
          <t>90系</t>
        </is>
      </c>
      <c r="C102" s="8" t="n">
        <v>2023</v>
      </c>
      <c r="D102" s="10" t="n">
        <v>268</v>
      </c>
    </row>
    <row r="103">
      <c r="A103" s="8" t="inlineStr">
        <is>
          <t>ヴォクシー</t>
        </is>
      </c>
      <c r="B103" s="8" t="inlineStr">
        <is>
          <t>90系</t>
        </is>
      </c>
      <c r="C103" s="8" t="n">
        <v>2022</v>
      </c>
      <c r="D103" s="10" t="n"/>
    </row>
    <row r="104">
      <c r="A104" s="8" t="inlineStr">
        <is>
          <t>ヴォクシー</t>
        </is>
      </c>
      <c r="B104" s="8" t="inlineStr">
        <is>
          <t>80系</t>
        </is>
      </c>
      <c r="C104" s="8" t="n">
        <v>2021</v>
      </c>
      <c r="D104" s="10" t="n">
        <v>178</v>
      </c>
    </row>
    <row r="105">
      <c r="A105" s="8" t="inlineStr">
        <is>
          <t>ヴォクシー</t>
        </is>
      </c>
      <c r="B105" s="8" t="inlineStr">
        <is>
          <t>80系</t>
        </is>
      </c>
      <c r="C105" s="8" t="n">
        <v>2020</v>
      </c>
      <c r="D105" s="10" t="n"/>
    </row>
    <row r="106">
      <c r="A106" s="8" t="inlineStr">
        <is>
          <t>ヴォクシー</t>
        </is>
      </c>
      <c r="B106" s="8" t="inlineStr">
        <is>
          <t>80系</t>
        </is>
      </c>
      <c r="C106" s="8" t="n">
        <v>2019</v>
      </c>
      <c r="D106" s="10" t="n">
        <v>151.2</v>
      </c>
    </row>
    <row r="107">
      <c r="A107" s="8" t="inlineStr">
        <is>
          <t>ヴォクシー</t>
        </is>
      </c>
      <c r="B107" s="8" t="inlineStr">
        <is>
          <t>80系</t>
        </is>
      </c>
      <c r="C107" s="8" t="n">
        <v>2018</v>
      </c>
      <c r="D107" s="10" t="n">
        <v>143.7</v>
      </c>
    </row>
    <row r="108">
      <c r="A108" s="8" t="inlineStr">
        <is>
          <t>ヴォクシー</t>
        </is>
      </c>
      <c r="B108" s="8" t="inlineStr">
        <is>
          <t>80系</t>
        </is>
      </c>
      <c r="C108" s="8" t="n">
        <v>2017</v>
      </c>
      <c r="D108" s="10" t="n">
        <v>123.3</v>
      </c>
    </row>
    <row r="109">
      <c r="A109" s="8" t="inlineStr">
        <is>
          <t>ヴォクシー</t>
        </is>
      </c>
      <c r="B109" s="8" t="inlineStr">
        <is>
          <t>80系</t>
        </is>
      </c>
      <c r="C109" s="8" t="n">
        <v>2016</v>
      </c>
      <c r="D109" s="10" t="n">
        <v>120</v>
      </c>
    </row>
    <row r="110">
      <c r="A110" s="8" t="inlineStr">
        <is>
          <t>ヴォクシー</t>
        </is>
      </c>
      <c r="B110" s="8" t="inlineStr">
        <is>
          <t>80系</t>
        </is>
      </c>
      <c r="C110" s="8" t="n">
        <v>2015</v>
      </c>
      <c r="D110" s="10" t="n">
        <v>68</v>
      </c>
    </row>
    <row r="111">
      <c r="A111" s="8" t="inlineStr">
        <is>
          <t>ヴォクシー</t>
        </is>
      </c>
      <c r="B111" s="8" t="inlineStr">
        <is>
          <t>80系</t>
        </is>
      </c>
      <c r="C111" s="8" t="n">
        <v>2014</v>
      </c>
      <c r="D111" s="10" t="n">
        <v>75</v>
      </c>
    </row>
    <row r="112">
      <c r="A112" s="8" t="inlineStr">
        <is>
          <t>ヴォクシー</t>
        </is>
      </c>
      <c r="B112" s="8" t="inlineStr">
        <is>
          <t>70系</t>
        </is>
      </c>
      <c r="C112" s="8" t="n">
        <v>2013</v>
      </c>
      <c r="D112" s="10" t="n">
        <v>36.5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3" customWidth="1" min="4" max="4"/>
    <col width="13" customWidth="1" min="5" max="5"/>
  </cols>
  <sheetData>
    <row r="1">
      <c r="A1" s="18" t="inlineStr">
        <is>
          <t>車種</t>
        </is>
      </c>
      <c r="B1" s="18" t="inlineStr">
        <is>
          <t>世代</t>
        </is>
      </c>
      <c r="C1" s="18" t="inlineStr">
        <is>
          <t>年式</t>
        </is>
      </c>
      <c r="D1" s="18" t="inlineStr">
        <is>
          <t>2026-08-22</t>
        </is>
      </c>
      <c r="E1" s="18" t="inlineStr">
        <is>
          <t>初回比(%)</t>
        </is>
      </c>
    </row>
    <row r="2">
      <c r="A2" s="8" t="inlineStr">
        <is>
          <t>アイシス</t>
        </is>
      </c>
      <c r="B2" s="8" t="inlineStr">
        <is>
          <t>10系</t>
        </is>
      </c>
      <c r="C2" s="8" t="n">
        <v>2016</v>
      </c>
      <c r="D2" s="10" t="n">
        <v>80</v>
      </c>
    </row>
    <row r="3">
      <c r="A3" s="8" t="inlineStr">
        <is>
          <t>アイシス</t>
        </is>
      </c>
      <c r="B3" s="8" t="inlineStr">
        <is>
          <t>10系</t>
        </is>
      </c>
      <c r="C3" s="8" t="n">
        <v>2015</v>
      </c>
      <c r="D3" s="10" t="n">
        <v>60</v>
      </c>
    </row>
    <row r="4">
      <c r="A4" s="8" t="inlineStr">
        <is>
          <t>アイシス</t>
        </is>
      </c>
      <c r="B4" s="8" t="inlineStr">
        <is>
          <t>10系</t>
        </is>
      </c>
      <c r="C4" s="8" t="n">
        <v>2014</v>
      </c>
      <c r="D4" s="10" t="n">
        <v>83.3</v>
      </c>
    </row>
    <row r="5">
      <c r="A5" s="8" t="inlineStr">
        <is>
          <t>アイシス</t>
        </is>
      </c>
      <c r="B5" s="8" t="inlineStr">
        <is>
          <t>10系</t>
        </is>
      </c>
      <c r="C5" s="8" t="n">
        <v>2013</v>
      </c>
      <c r="D5" s="10" t="n">
        <v>66.7</v>
      </c>
    </row>
    <row r="6">
      <c r="A6" s="8" t="inlineStr">
        <is>
          <t>アルファード</t>
        </is>
      </c>
      <c r="B6" s="8" t="inlineStr">
        <is>
          <t>40系</t>
        </is>
      </c>
      <c r="C6" s="8" t="n">
        <v>2026</v>
      </c>
      <c r="D6" s="10" t="n">
        <v>688.6</v>
      </c>
    </row>
    <row r="7">
      <c r="A7" s="8" t="inlineStr">
        <is>
          <t>アルファード</t>
        </is>
      </c>
      <c r="B7" s="8" t="inlineStr">
        <is>
          <t>40系</t>
        </is>
      </c>
      <c r="C7" s="8" t="n">
        <v>2025</v>
      </c>
      <c r="D7" s="10" t="n">
        <v>639.4</v>
      </c>
    </row>
    <row r="8">
      <c r="A8" s="8" t="inlineStr">
        <is>
          <t>アルファード</t>
        </is>
      </c>
      <c r="B8" s="8" t="inlineStr">
        <is>
          <t>40系</t>
        </is>
      </c>
      <c r="C8" s="8" t="n">
        <v>2024</v>
      </c>
      <c r="D8" s="10" t="n">
        <v>617.2</v>
      </c>
    </row>
    <row r="9">
      <c r="A9" s="8" t="inlineStr">
        <is>
          <t>アルファード</t>
        </is>
      </c>
      <c r="B9" s="8" t="inlineStr">
        <is>
          <t>40系</t>
        </is>
      </c>
      <c r="C9" s="8" t="n">
        <v>2023</v>
      </c>
      <c r="D9" s="10" t="n">
        <v>572.9</v>
      </c>
    </row>
    <row r="10">
      <c r="A10" s="8" t="inlineStr">
        <is>
          <t>アルファード</t>
        </is>
      </c>
      <c r="B10" s="8" t="inlineStr">
        <is>
          <t>30系後期</t>
        </is>
      </c>
      <c r="C10" s="8" t="n">
        <v>2022</v>
      </c>
      <c r="D10" s="10" t="n">
        <v>441.7</v>
      </c>
    </row>
    <row r="11">
      <c r="A11" s="8" t="inlineStr">
        <is>
          <t>アルファード</t>
        </is>
      </c>
      <c r="B11" s="8" t="inlineStr">
        <is>
          <t>30系後期</t>
        </is>
      </c>
      <c r="C11" s="8" t="n">
        <v>2021</v>
      </c>
      <c r="D11" s="10" t="n">
        <v>388.5</v>
      </c>
    </row>
    <row r="12">
      <c r="A12" s="8" t="inlineStr">
        <is>
          <t>アルファード</t>
        </is>
      </c>
      <c r="B12" s="8" t="inlineStr">
        <is>
          <t>30系後期</t>
        </is>
      </c>
      <c r="C12" s="8" t="n">
        <v>2020</v>
      </c>
      <c r="D12" s="10" t="n">
        <v>370.4</v>
      </c>
    </row>
    <row r="13">
      <c r="A13" s="8" t="inlineStr">
        <is>
          <t>アルファード</t>
        </is>
      </c>
      <c r="B13" s="8" t="inlineStr">
        <is>
          <t>30系後期</t>
        </is>
      </c>
      <c r="C13" s="8" t="n">
        <v>2019</v>
      </c>
      <c r="D13" s="10" t="n">
        <v>365.6</v>
      </c>
    </row>
    <row r="14">
      <c r="A14" s="8" t="inlineStr">
        <is>
          <t>アルファード</t>
        </is>
      </c>
      <c r="B14" s="8" t="inlineStr">
        <is>
          <t>30系後期</t>
        </is>
      </c>
      <c r="C14" s="8" t="n">
        <v>2018</v>
      </c>
      <c r="D14" s="10" t="n">
        <v>339</v>
      </c>
    </row>
    <row r="15">
      <c r="A15" s="8" t="inlineStr">
        <is>
          <t>アルファード</t>
        </is>
      </c>
      <c r="B15" s="8" t="inlineStr">
        <is>
          <t>30系前期</t>
        </is>
      </c>
      <c r="C15" s="8" t="n">
        <v>2017</v>
      </c>
      <c r="D15" s="10" t="n">
        <v>253</v>
      </c>
    </row>
    <row r="16">
      <c r="A16" s="8" t="inlineStr">
        <is>
          <t>アルファード</t>
        </is>
      </c>
      <c r="B16" s="8" t="inlineStr">
        <is>
          <t>30系前期</t>
        </is>
      </c>
      <c r="C16" s="8" t="n">
        <v>2016</v>
      </c>
      <c r="D16" s="10" t="n">
        <v>243.5</v>
      </c>
    </row>
    <row r="17">
      <c r="A17" s="8" t="inlineStr">
        <is>
          <t>アルファード</t>
        </is>
      </c>
      <c r="B17" s="8" t="inlineStr">
        <is>
          <t>30系前期</t>
        </is>
      </c>
      <c r="C17" s="8" t="n">
        <v>2015</v>
      </c>
      <c r="D17" s="10" t="n">
        <v>226.3</v>
      </c>
    </row>
    <row r="18">
      <c r="A18" s="8" t="inlineStr">
        <is>
          <t>アルファード</t>
        </is>
      </c>
      <c r="B18" s="8" t="inlineStr">
        <is>
          <t>20系</t>
        </is>
      </c>
      <c r="C18" s="8" t="n">
        <v>2014</v>
      </c>
      <c r="D18" s="10" t="n">
        <v>128.8</v>
      </c>
    </row>
    <row r="19">
      <c r="A19" s="8" t="inlineStr">
        <is>
          <t>アルファード</t>
        </is>
      </c>
      <c r="B19" s="8" t="inlineStr">
        <is>
          <t>20系</t>
        </is>
      </c>
      <c r="C19" s="8" t="n">
        <v>2013</v>
      </c>
      <c r="D19" s="10" t="n">
        <v>120.8</v>
      </c>
    </row>
    <row r="20">
      <c r="A20" s="8" t="inlineStr">
        <is>
          <t>ウィッシュ</t>
        </is>
      </c>
      <c r="B20" s="8" t="inlineStr">
        <is>
          <t>20系</t>
        </is>
      </c>
      <c r="C20" s="8" t="n">
        <v>2017</v>
      </c>
      <c r="D20" s="10" t="n">
        <v>170</v>
      </c>
    </row>
    <row r="21">
      <c r="A21" s="8" t="inlineStr">
        <is>
          <t>ウィッシュ</t>
        </is>
      </c>
      <c r="B21" s="8" t="inlineStr">
        <is>
          <t>20系</t>
        </is>
      </c>
      <c r="C21" s="8" t="n">
        <v>2016</v>
      </c>
      <c r="D21" s="10" t="n">
        <v>85</v>
      </c>
    </row>
    <row r="22">
      <c r="A22" s="8" t="inlineStr">
        <is>
          <t>ウィッシュ</t>
        </is>
      </c>
      <c r="B22" s="8" t="inlineStr">
        <is>
          <t>20系</t>
        </is>
      </c>
      <c r="C22" s="8" t="n">
        <v>2015</v>
      </c>
      <c r="D22" s="10" t="n">
        <v>131.7</v>
      </c>
    </row>
    <row r="23">
      <c r="A23" s="8" t="inlineStr">
        <is>
          <t>ウィッシュ</t>
        </is>
      </c>
      <c r="B23" s="8" t="inlineStr">
        <is>
          <t>20系</t>
        </is>
      </c>
      <c r="C23" s="8" t="n">
        <v>2014</v>
      </c>
      <c r="D23" s="10" t="n">
        <v>65</v>
      </c>
    </row>
    <row r="24">
      <c r="A24" s="8" t="inlineStr">
        <is>
          <t>ウィッシュ</t>
        </is>
      </c>
      <c r="B24" s="8" t="inlineStr">
        <is>
          <t>20系</t>
        </is>
      </c>
      <c r="C24" s="8" t="n">
        <v>2013</v>
      </c>
      <c r="D24" s="10" t="n">
        <v>125</v>
      </c>
    </row>
    <row r="25">
      <c r="A25" s="8" t="inlineStr">
        <is>
          <t>エスクァイア</t>
        </is>
      </c>
      <c r="B25" s="8" t="inlineStr"/>
      <c r="C25" s="8" t="n">
        <v>2022</v>
      </c>
      <c r="D25" s="10" t="n">
        <v>285</v>
      </c>
    </row>
    <row r="26">
      <c r="A26" s="8" t="inlineStr">
        <is>
          <t>エスクァイア</t>
        </is>
      </c>
      <c r="B26" s="8" t="inlineStr">
        <is>
          <t>80系</t>
        </is>
      </c>
      <c r="C26" s="8" t="n">
        <v>2021</v>
      </c>
      <c r="D26" s="10" t="n">
        <v>281.3</v>
      </c>
    </row>
    <row r="27">
      <c r="A27" s="8" t="inlineStr">
        <is>
          <t>エスクァイア</t>
        </is>
      </c>
      <c r="B27" s="8" t="inlineStr">
        <is>
          <t>80系</t>
        </is>
      </c>
      <c r="C27" s="8" t="n">
        <v>2020</v>
      </c>
      <c r="D27" s="10" t="n">
        <v>253.9</v>
      </c>
    </row>
    <row r="28">
      <c r="A28" s="8" t="inlineStr">
        <is>
          <t>エスクァイア</t>
        </is>
      </c>
      <c r="B28" s="8" t="inlineStr">
        <is>
          <t>80系</t>
        </is>
      </c>
      <c r="C28" s="8" t="n">
        <v>2019</v>
      </c>
      <c r="D28" s="10" t="n">
        <v>239.1</v>
      </c>
    </row>
    <row r="29">
      <c r="A29" s="8" t="inlineStr">
        <is>
          <t>エスクァイア</t>
        </is>
      </c>
      <c r="B29" s="8" t="inlineStr">
        <is>
          <t>80系</t>
        </is>
      </c>
      <c r="C29" s="8" t="n">
        <v>2018</v>
      </c>
      <c r="D29" s="10" t="n">
        <v>215</v>
      </c>
    </row>
    <row r="30">
      <c r="A30" s="8" t="inlineStr">
        <is>
          <t>エスクァイア</t>
        </is>
      </c>
      <c r="B30" s="8" t="inlineStr">
        <is>
          <t>80系</t>
        </is>
      </c>
      <c r="C30" s="8" t="n">
        <v>2017</v>
      </c>
      <c r="D30" s="10" t="n">
        <v>180.4</v>
      </c>
    </row>
    <row r="31">
      <c r="A31" s="8" t="inlineStr">
        <is>
          <t>エスクァイア</t>
        </is>
      </c>
      <c r="B31" s="8" t="inlineStr">
        <is>
          <t>80系</t>
        </is>
      </c>
      <c r="C31" s="8" t="n">
        <v>2016</v>
      </c>
      <c r="D31" s="10" t="n">
        <v>152</v>
      </c>
    </row>
    <row r="32">
      <c r="A32" s="8" t="inlineStr">
        <is>
          <t>エスクァイア</t>
        </is>
      </c>
      <c r="B32" s="8" t="inlineStr">
        <is>
          <t>80系</t>
        </is>
      </c>
      <c r="C32" s="8" t="n">
        <v>2015</v>
      </c>
      <c r="D32" s="10" t="n">
        <v>135.9</v>
      </c>
    </row>
    <row r="33">
      <c r="A33" s="8" t="inlineStr">
        <is>
          <t>エスクァイア</t>
        </is>
      </c>
      <c r="B33" s="8" t="inlineStr"/>
      <c r="C33" s="8" t="n">
        <v>2014</v>
      </c>
      <c r="D33" s="10" t="n">
        <v>122</v>
      </c>
    </row>
    <row r="34">
      <c r="A34" s="8" t="inlineStr">
        <is>
          <t>エスティマ</t>
        </is>
      </c>
      <c r="B34" s="8" t="inlineStr"/>
      <c r="C34" s="8" t="n">
        <v>2020</v>
      </c>
      <c r="D34" s="10" t="n">
        <v>385</v>
      </c>
    </row>
    <row r="35">
      <c r="A35" s="8" t="inlineStr">
        <is>
          <t>エスティマ</t>
        </is>
      </c>
      <c r="B35" s="8" t="inlineStr">
        <is>
          <t>50系</t>
        </is>
      </c>
      <c r="C35" s="8" t="n">
        <v>2019</v>
      </c>
      <c r="D35" s="10" t="n">
        <v>233</v>
      </c>
    </row>
    <row r="36">
      <c r="A36" s="8" t="inlineStr">
        <is>
          <t>エスティマ</t>
        </is>
      </c>
      <c r="B36" s="8" t="inlineStr">
        <is>
          <t>50系</t>
        </is>
      </c>
      <c r="C36" s="8" t="n">
        <v>2018</v>
      </c>
      <c r="D36" s="10" t="n">
        <v>230.7</v>
      </c>
    </row>
    <row r="37">
      <c r="A37" s="8" t="inlineStr">
        <is>
          <t>エスティマ</t>
        </is>
      </c>
      <c r="B37" s="8" t="inlineStr">
        <is>
          <t>50系</t>
        </is>
      </c>
      <c r="C37" s="8" t="n">
        <v>2017</v>
      </c>
      <c r="D37" s="10" t="n">
        <v>205.6</v>
      </c>
    </row>
    <row r="38">
      <c r="A38" s="8" t="inlineStr">
        <is>
          <t>エスティマ</t>
        </is>
      </c>
      <c r="B38" s="8" t="inlineStr">
        <is>
          <t>50系</t>
        </is>
      </c>
      <c r="C38" s="8" t="n">
        <v>2016</v>
      </c>
      <c r="D38" s="10" t="n">
        <v>185</v>
      </c>
    </row>
    <row r="39">
      <c r="A39" s="8" t="inlineStr">
        <is>
          <t>エスティマ</t>
        </is>
      </c>
      <c r="B39" s="8" t="inlineStr">
        <is>
          <t>50系</t>
        </is>
      </c>
      <c r="C39" s="8" t="n">
        <v>2015</v>
      </c>
      <c r="D39" s="10" t="n">
        <v>134.2</v>
      </c>
    </row>
    <row r="40">
      <c r="A40" s="8" t="inlineStr">
        <is>
          <t>エスティマ</t>
        </is>
      </c>
      <c r="B40" s="8" t="inlineStr">
        <is>
          <t>50系</t>
        </is>
      </c>
      <c r="C40" s="8" t="n">
        <v>2014</v>
      </c>
      <c r="D40" s="10" t="n">
        <v>114.2</v>
      </c>
    </row>
    <row r="41">
      <c r="A41" s="8" t="inlineStr">
        <is>
          <t>エスティマ</t>
        </is>
      </c>
      <c r="B41" s="8" t="inlineStr">
        <is>
          <t>50系</t>
        </is>
      </c>
      <c r="C41" s="8" t="n">
        <v>2013</v>
      </c>
      <c r="D41" s="10" t="n">
        <v>93.5</v>
      </c>
    </row>
    <row r="42">
      <c r="A42" s="8" t="inlineStr">
        <is>
          <t>グランエース</t>
        </is>
      </c>
      <c r="B42" s="8" t="inlineStr"/>
      <c r="C42" s="8" t="n">
        <v>2024</v>
      </c>
      <c r="D42" s="10" t="n">
        <v>770</v>
      </c>
    </row>
    <row r="43">
      <c r="A43" s="8" t="inlineStr">
        <is>
          <t>グランエース</t>
        </is>
      </c>
      <c r="B43" s="8" t="inlineStr">
        <is>
          <t>300系</t>
        </is>
      </c>
      <c r="C43" s="8" t="n">
        <v>2023</v>
      </c>
      <c r="D43" s="10" t="n">
        <v>613.3</v>
      </c>
    </row>
    <row r="44">
      <c r="A44" s="8" t="inlineStr">
        <is>
          <t>グランエース</t>
        </is>
      </c>
      <c r="B44" s="8" t="inlineStr">
        <is>
          <t>300系</t>
        </is>
      </c>
      <c r="C44" s="8" t="n">
        <v>2022</v>
      </c>
      <c r="D44" s="10" t="n">
        <v>500</v>
      </c>
    </row>
    <row r="45">
      <c r="A45" s="8" t="inlineStr">
        <is>
          <t>グランエース</t>
        </is>
      </c>
      <c r="B45" s="8" t="inlineStr">
        <is>
          <t>300系</t>
        </is>
      </c>
      <c r="C45" s="8" t="n">
        <v>2021</v>
      </c>
      <c r="D45" s="10" t="n">
        <v>565</v>
      </c>
    </row>
    <row r="46">
      <c r="A46" s="8" t="inlineStr">
        <is>
          <t>グランエース</t>
        </is>
      </c>
      <c r="B46" s="8" t="inlineStr">
        <is>
          <t>300系</t>
        </is>
      </c>
      <c r="C46" s="8" t="n">
        <v>2020</v>
      </c>
      <c r="D46" s="10" t="n">
        <v>556.7</v>
      </c>
    </row>
    <row r="47">
      <c r="A47" s="8" t="inlineStr">
        <is>
          <t>グランエース</t>
        </is>
      </c>
      <c r="B47" s="8" t="inlineStr"/>
      <c r="C47" s="8" t="n">
        <v>2019</v>
      </c>
      <c r="D47" s="10" t="n">
        <v>670</v>
      </c>
    </row>
    <row r="48">
      <c r="A48" s="8" t="inlineStr">
        <is>
          <t>シエンタ</t>
        </is>
      </c>
      <c r="B48" s="8" t="inlineStr">
        <is>
          <t>10系</t>
        </is>
      </c>
      <c r="C48" s="8" t="n">
        <v>2026</v>
      </c>
      <c r="D48" s="10" t="n">
        <v>340.7</v>
      </c>
    </row>
    <row r="49">
      <c r="A49" s="8" t="inlineStr">
        <is>
          <t>シエンタ</t>
        </is>
      </c>
      <c r="B49" s="8" t="inlineStr">
        <is>
          <t>10系</t>
        </is>
      </c>
      <c r="C49" s="8" t="n">
        <v>2025</v>
      </c>
      <c r="D49" s="10" t="n">
        <v>303.6</v>
      </c>
    </row>
    <row r="50">
      <c r="A50" s="8" t="inlineStr">
        <is>
          <t>シエンタ</t>
        </is>
      </c>
      <c r="B50" s="8" t="inlineStr">
        <is>
          <t>10系</t>
        </is>
      </c>
      <c r="C50" s="8" t="n">
        <v>2024</v>
      </c>
      <c r="D50" s="10" t="n">
        <v>279.1</v>
      </c>
    </row>
    <row r="51">
      <c r="A51" s="8" t="inlineStr">
        <is>
          <t>シエンタ</t>
        </is>
      </c>
      <c r="B51" s="8" t="inlineStr">
        <is>
          <t>10系</t>
        </is>
      </c>
      <c r="C51" s="8" t="n">
        <v>2023</v>
      </c>
      <c r="D51" s="10" t="n">
        <v>264.7</v>
      </c>
    </row>
    <row r="52">
      <c r="A52" s="8" t="inlineStr">
        <is>
          <t>シエンタ</t>
        </is>
      </c>
      <c r="B52" s="8" t="inlineStr">
        <is>
          <t>170系</t>
        </is>
      </c>
      <c r="C52" s="8" t="n">
        <v>2022</v>
      </c>
      <c r="D52" s="10" t="n">
        <v>237.9</v>
      </c>
    </row>
    <row r="53">
      <c r="A53" s="8" t="inlineStr">
        <is>
          <t>シエンタ</t>
        </is>
      </c>
      <c r="B53" s="8" t="inlineStr">
        <is>
          <t>170系</t>
        </is>
      </c>
      <c r="C53" s="8" t="n">
        <v>2021</v>
      </c>
      <c r="D53" s="10" t="n">
        <v>181.9</v>
      </c>
    </row>
    <row r="54">
      <c r="A54" s="8" t="inlineStr">
        <is>
          <t>シエンタ</t>
        </is>
      </c>
      <c r="B54" s="8" t="inlineStr">
        <is>
          <t>170系</t>
        </is>
      </c>
      <c r="C54" s="8" t="n">
        <v>2020</v>
      </c>
      <c r="D54" s="10" t="n">
        <v>170.3</v>
      </c>
    </row>
    <row r="55">
      <c r="A55" s="8" t="inlineStr">
        <is>
          <t>シエンタ</t>
        </is>
      </c>
      <c r="B55" s="8" t="inlineStr">
        <is>
          <t>170系</t>
        </is>
      </c>
      <c r="C55" s="8" t="n">
        <v>2019</v>
      </c>
      <c r="D55" s="10" t="n">
        <v>161.6</v>
      </c>
    </row>
    <row r="56">
      <c r="A56" s="8" t="inlineStr">
        <is>
          <t>シエンタ</t>
        </is>
      </c>
      <c r="B56" s="8" t="inlineStr">
        <is>
          <t>170系</t>
        </is>
      </c>
      <c r="C56" s="8" t="n">
        <v>2018</v>
      </c>
      <c r="D56" s="10" t="n">
        <v>141.3</v>
      </c>
    </row>
    <row r="57">
      <c r="A57" s="8" t="inlineStr">
        <is>
          <t>シエンタ</t>
        </is>
      </c>
      <c r="B57" s="8" t="inlineStr">
        <is>
          <t>170系</t>
        </is>
      </c>
      <c r="C57" s="8" t="n">
        <v>2017</v>
      </c>
      <c r="D57" s="10" t="n">
        <v>120.4</v>
      </c>
    </row>
    <row r="58">
      <c r="A58" s="8" t="inlineStr">
        <is>
          <t>シエンタ</t>
        </is>
      </c>
      <c r="B58" s="8" t="inlineStr">
        <is>
          <t>170系</t>
        </is>
      </c>
      <c r="C58" s="8" t="n">
        <v>2016</v>
      </c>
      <c r="D58" s="10" t="n">
        <v>107.4</v>
      </c>
    </row>
    <row r="59">
      <c r="A59" s="8" t="inlineStr">
        <is>
          <t>シエンタ</t>
        </is>
      </c>
      <c r="B59" s="8" t="inlineStr"/>
      <c r="C59" s="8" t="n">
        <v>2015</v>
      </c>
      <c r="D59" s="10" t="n">
        <v>99.5</v>
      </c>
    </row>
    <row r="60">
      <c r="A60" s="8" t="inlineStr">
        <is>
          <t>シエンタ</t>
        </is>
      </c>
      <c r="B60" s="8" t="inlineStr">
        <is>
          <t>80系</t>
        </is>
      </c>
      <c r="C60" s="8" t="n">
        <v>2014</v>
      </c>
      <c r="D60" s="10" t="n">
        <v>73.59999999999999</v>
      </c>
    </row>
    <row r="61">
      <c r="A61" s="8" t="inlineStr">
        <is>
          <t>シエンタ</t>
        </is>
      </c>
      <c r="B61" s="8" t="inlineStr">
        <is>
          <t>80系</t>
        </is>
      </c>
      <c r="C61" s="8" t="n">
        <v>2013</v>
      </c>
      <c r="D61" s="10" t="n">
        <v>55.8</v>
      </c>
    </row>
    <row r="62">
      <c r="A62" s="8" t="inlineStr">
        <is>
          <t>ノア</t>
        </is>
      </c>
      <c r="B62" s="8" t="inlineStr">
        <is>
          <t>90系</t>
        </is>
      </c>
      <c r="C62" s="8" t="n">
        <v>2026</v>
      </c>
      <c r="D62" s="10" t="n">
        <v>446.8</v>
      </c>
    </row>
    <row r="63">
      <c r="A63" s="8" t="inlineStr">
        <is>
          <t>ノア</t>
        </is>
      </c>
      <c r="B63" s="8" t="inlineStr">
        <is>
          <t>90系</t>
        </is>
      </c>
      <c r="C63" s="8" t="n">
        <v>2025</v>
      </c>
      <c r="D63" s="10" t="n">
        <v>402.9</v>
      </c>
    </row>
    <row r="64">
      <c r="A64" s="8" t="inlineStr">
        <is>
          <t>ノア</t>
        </is>
      </c>
      <c r="B64" s="8" t="inlineStr">
        <is>
          <t>90系</t>
        </is>
      </c>
      <c r="C64" s="8" t="n">
        <v>2024</v>
      </c>
      <c r="D64" s="10" t="n">
        <v>371.5</v>
      </c>
    </row>
    <row r="65">
      <c r="A65" s="8" t="inlineStr">
        <is>
          <t>ノア</t>
        </is>
      </c>
      <c r="B65" s="8" t="inlineStr">
        <is>
          <t>90系</t>
        </is>
      </c>
      <c r="C65" s="8" t="n">
        <v>2023</v>
      </c>
      <c r="D65" s="10" t="n">
        <v>361</v>
      </c>
    </row>
    <row r="66">
      <c r="A66" s="8" t="inlineStr">
        <is>
          <t>ノア</t>
        </is>
      </c>
      <c r="B66" s="8" t="inlineStr">
        <is>
          <t>90系</t>
        </is>
      </c>
      <c r="C66" s="8" t="n">
        <v>2022</v>
      </c>
      <c r="D66" s="10" t="n">
        <v>339.6</v>
      </c>
    </row>
    <row r="67">
      <c r="A67" s="8" t="inlineStr">
        <is>
          <t>ノア</t>
        </is>
      </c>
      <c r="B67" s="8" t="inlineStr">
        <is>
          <t>80系</t>
        </is>
      </c>
      <c r="C67" s="8" t="n">
        <v>2021</v>
      </c>
      <c r="D67" s="10" t="n">
        <v>266.9</v>
      </c>
    </row>
    <row r="68">
      <c r="A68" s="8" t="inlineStr">
        <is>
          <t>ノア</t>
        </is>
      </c>
      <c r="B68" s="8" t="inlineStr">
        <is>
          <t>80系</t>
        </is>
      </c>
      <c r="C68" s="8" t="n">
        <v>2020</v>
      </c>
      <c r="D68" s="10" t="n">
        <v>249</v>
      </c>
    </row>
    <row r="69">
      <c r="A69" s="8" t="inlineStr">
        <is>
          <t>ノア</t>
        </is>
      </c>
      <c r="B69" s="8" t="inlineStr">
        <is>
          <t>80系</t>
        </is>
      </c>
      <c r="C69" s="8" t="n">
        <v>2019</v>
      </c>
      <c r="D69" s="10" t="n">
        <v>231.9</v>
      </c>
    </row>
    <row r="70">
      <c r="A70" s="8" t="inlineStr">
        <is>
          <t>ノア</t>
        </is>
      </c>
      <c r="B70" s="8" t="inlineStr">
        <is>
          <t>80系</t>
        </is>
      </c>
      <c r="C70" s="8" t="n">
        <v>2018</v>
      </c>
      <c r="D70" s="10" t="n">
        <v>207.7</v>
      </c>
    </row>
    <row r="71">
      <c r="A71" s="8" t="inlineStr">
        <is>
          <t>ノア</t>
        </is>
      </c>
      <c r="B71" s="8" t="inlineStr">
        <is>
          <t>80系</t>
        </is>
      </c>
      <c r="C71" s="8" t="n">
        <v>2017</v>
      </c>
      <c r="D71" s="10" t="n">
        <v>178.9</v>
      </c>
    </row>
    <row r="72">
      <c r="A72" s="8" t="inlineStr">
        <is>
          <t>ノア</t>
        </is>
      </c>
      <c r="B72" s="8" t="inlineStr">
        <is>
          <t>80系</t>
        </is>
      </c>
      <c r="C72" s="8" t="n">
        <v>2016</v>
      </c>
      <c r="D72" s="10" t="n">
        <v>149.8</v>
      </c>
    </row>
    <row r="73">
      <c r="A73" s="8" t="inlineStr">
        <is>
          <t>ノア</t>
        </is>
      </c>
      <c r="B73" s="8" t="inlineStr">
        <is>
          <t>80系</t>
        </is>
      </c>
      <c r="C73" s="8" t="n">
        <v>2015</v>
      </c>
      <c r="D73" s="10" t="n">
        <v>126.2</v>
      </c>
    </row>
    <row r="74">
      <c r="A74" s="8" t="inlineStr">
        <is>
          <t>ノア</t>
        </is>
      </c>
      <c r="B74" s="8" t="inlineStr">
        <is>
          <t>80系</t>
        </is>
      </c>
      <c r="C74" s="8" t="n">
        <v>2014</v>
      </c>
      <c r="D74" s="10" t="n">
        <v>121.5</v>
      </c>
    </row>
    <row r="75">
      <c r="A75" s="8" t="inlineStr">
        <is>
          <t>ノア</t>
        </is>
      </c>
      <c r="B75" s="8" t="inlineStr">
        <is>
          <t>70系</t>
        </is>
      </c>
      <c r="C75" s="8" t="n">
        <v>2013</v>
      </c>
      <c r="D75" s="10" t="n">
        <v>95</v>
      </c>
    </row>
    <row r="76">
      <c r="A76" s="8" t="inlineStr">
        <is>
          <t>プリウスα</t>
        </is>
      </c>
      <c r="B76" s="8" t="inlineStr"/>
      <c r="C76" s="8" t="n">
        <v>2021</v>
      </c>
      <c r="D76" s="10" t="n">
        <v>195</v>
      </c>
    </row>
    <row r="77">
      <c r="A77" s="8" t="inlineStr">
        <is>
          <t>プリウスα</t>
        </is>
      </c>
      <c r="B77" s="8" t="inlineStr">
        <is>
          <t>40系</t>
        </is>
      </c>
      <c r="C77" s="8" t="n">
        <v>2020</v>
      </c>
      <c r="D77" s="10" t="n">
        <v>182.5</v>
      </c>
    </row>
    <row r="78">
      <c r="A78" s="8" t="inlineStr">
        <is>
          <t>プリウスα</t>
        </is>
      </c>
      <c r="B78" s="8" t="inlineStr">
        <is>
          <t>40系</t>
        </is>
      </c>
      <c r="C78" s="8" t="n">
        <v>2019</v>
      </c>
      <c r="D78" s="10" t="n">
        <v>183.6</v>
      </c>
    </row>
    <row r="79">
      <c r="A79" s="8" t="inlineStr">
        <is>
          <t>プリウスα</t>
        </is>
      </c>
      <c r="B79" s="8" t="inlineStr">
        <is>
          <t>40系</t>
        </is>
      </c>
      <c r="C79" s="8" t="n">
        <v>2018</v>
      </c>
      <c r="D79" s="10" t="n">
        <v>178.3</v>
      </c>
    </row>
    <row r="80">
      <c r="A80" s="8" t="inlineStr">
        <is>
          <t>プリウスα</t>
        </is>
      </c>
      <c r="B80" s="8" t="inlineStr">
        <is>
          <t>40系</t>
        </is>
      </c>
      <c r="C80" s="8" t="n">
        <v>2017</v>
      </c>
      <c r="D80" s="10" t="n">
        <v>163.3</v>
      </c>
    </row>
    <row r="81">
      <c r="A81" s="8" t="inlineStr">
        <is>
          <t>プリウスα</t>
        </is>
      </c>
      <c r="B81" s="8" t="inlineStr">
        <is>
          <t>40系</t>
        </is>
      </c>
      <c r="C81" s="8" t="n">
        <v>2016</v>
      </c>
      <c r="D81" s="10" t="n">
        <v>135.6</v>
      </c>
    </row>
    <row r="82">
      <c r="A82" s="8" t="inlineStr">
        <is>
          <t>プリウスα</t>
        </is>
      </c>
      <c r="B82" s="8" t="inlineStr">
        <is>
          <t>40系</t>
        </is>
      </c>
      <c r="C82" s="8" t="n">
        <v>2015</v>
      </c>
      <c r="D82" s="10" t="n">
        <v>125.4</v>
      </c>
    </row>
    <row r="83">
      <c r="A83" s="8" t="inlineStr">
        <is>
          <t>プリウスα</t>
        </is>
      </c>
      <c r="B83" s="8" t="inlineStr">
        <is>
          <t>40系</t>
        </is>
      </c>
      <c r="C83" s="8" t="n">
        <v>2014</v>
      </c>
      <c r="D83" s="10" t="n">
        <v>92.40000000000001</v>
      </c>
    </row>
    <row r="84">
      <c r="A84" s="8" t="inlineStr">
        <is>
          <t>プリウスα</t>
        </is>
      </c>
      <c r="B84" s="8" t="inlineStr">
        <is>
          <t>40系</t>
        </is>
      </c>
      <c r="C84" s="8" t="n">
        <v>2013</v>
      </c>
      <c r="D84" s="10" t="n">
        <v>80.5</v>
      </c>
    </row>
    <row r="85">
      <c r="A85" s="8" t="inlineStr">
        <is>
          <t>ヴェルファイア</t>
        </is>
      </c>
      <c r="B85" s="8" t="inlineStr">
        <is>
          <t>40系</t>
        </is>
      </c>
      <c r="C85" s="8" t="n">
        <v>2026</v>
      </c>
      <c r="D85" s="10" t="n">
        <v>797.1</v>
      </c>
    </row>
    <row r="86">
      <c r="A86" s="8" t="inlineStr">
        <is>
          <t>ヴェルファイア</t>
        </is>
      </c>
      <c r="B86" s="8" t="inlineStr">
        <is>
          <t>40系</t>
        </is>
      </c>
      <c r="C86" s="8" t="n">
        <v>2025</v>
      </c>
      <c r="D86" s="10" t="n">
        <v>765.4</v>
      </c>
    </row>
    <row r="87">
      <c r="A87" s="8" t="inlineStr">
        <is>
          <t>ヴェルファイア</t>
        </is>
      </c>
      <c r="B87" s="8" t="inlineStr">
        <is>
          <t>40系</t>
        </is>
      </c>
      <c r="C87" s="8" t="n">
        <v>2024</v>
      </c>
      <c r="D87" s="10" t="n">
        <v>679.1</v>
      </c>
    </row>
    <row r="88">
      <c r="A88" s="8" t="inlineStr">
        <is>
          <t>ヴェルファイア</t>
        </is>
      </c>
      <c r="B88" s="8" t="inlineStr">
        <is>
          <t>40系</t>
        </is>
      </c>
      <c r="C88" s="8" t="n">
        <v>2023</v>
      </c>
      <c r="D88" s="10" t="n">
        <v>660.2</v>
      </c>
    </row>
    <row r="89">
      <c r="A89" s="8" t="inlineStr">
        <is>
          <t>ヴェルファイア</t>
        </is>
      </c>
      <c r="B89" s="8" t="inlineStr">
        <is>
          <t>30系後期</t>
        </is>
      </c>
      <c r="C89" s="8" t="n">
        <v>2022</v>
      </c>
      <c r="D89" s="10" t="n">
        <v>415</v>
      </c>
    </row>
    <row r="90">
      <c r="A90" s="8" t="inlineStr">
        <is>
          <t>ヴェルファイア</t>
        </is>
      </c>
      <c r="B90" s="8" t="inlineStr">
        <is>
          <t>30系後期</t>
        </is>
      </c>
      <c r="C90" s="8" t="n">
        <v>2021</v>
      </c>
      <c r="D90" s="10" t="n">
        <v>371.4</v>
      </c>
    </row>
    <row r="91">
      <c r="A91" s="8" t="inlineStr">
        <is>
          <t>ヴェルファイア</t>
        </is>
      </c>
      <c r="B91" s="8" t="inlineStr">
        <is>
          <t>30系後期</t>
        </is>
      </c>
      <c r="C91" s="8" t="n">
        <v>2020</v>
      </c>
      <c r="D91" s="10" t="n">
        <v>355.6</v>
      </c>
    </row>
    <row r="92">
      <c r="A92" s="8" t="inlineStr">
        <is>
          <t>ヴェルファイア</t>
        </is>
      </c>
      <c r="B92" s="8" t="inlineStr">
        <is>
          <t>30系後期</t>
        </is>
      </c>
      <c r="C92" s="8" t="n">
        <v>2019</v>
      </c>
      <c r="D92" s="10" t="n">
        <v>329.4</v>
      </c>
    </row>
    <row r="93">
      <c r="A93" s="8" t="inlineStr">
        <is>
          <t>ヴェルファイア</t>
        </is>
      </c>
      <c r="B93" s="8" t="inlineStr">
        <is>
          <t>30系後期</t>
        </is>
      </c>
      <c r="C93" s="8" t="n">
        <v>2018</v>
      </c>
      <c r="D93" s="10" t="n">
        <v>315.5</v>
      </c>
    </row>
    <row r="94">
      <c r="A94" s="8" t="inlineStr">
        <is>
          <t>ヴェルファイア</t>
        </is>
      </c>
      <c r="B94" s="8" t="inlineStr">
        <is>
          <t>30系前期</t>
        </is>
      </c>
      <c r="C94" s="8" t="n">
        <v>2017</v>
      </c>
      <c r="D94" s="10" t="n">
        <v>229.7</v>
      </c>
    </row>
    <row r="95">
      <c r="A95" s="8" t="inlineStr">
        <is>
          <t>ヴェルファイア</t>
        </is>
      </c>
      <c r="B95" s="8" t="inlineStr">
        <is>
          <t>30系前期</t>
        </is>
      </c>
      <c r="C95" s="8" t="n">
        <v>2016</v>
      </c>
      <c r="D95" s="10" t="n">
        <v>230.2</v>
      </c>
    </row>
    <row r="96">
      <c r="A96" s="8" t="inlineStr">
        <is>
          <t>ヴェルファイア</t>
        </is>
      </c>
      <c r="B96" s="8" t="inlineStr">
        <is>
          <t>30系前期</t>
        </is>
      </c>
      <c r="C96" s="8" t="n">
        <v>2015</v>
      </c>
      <c r="D96" s="10" t="n">
        <v>215.9</v>
      </c>
    </row>
    <row r="97">
      <c r="A97" s="8" t="inlineStr">
        <is>
          <t>ヴェルファイア</t>
        </is>
      </c>
      <c r="B97" s="8" t="inlineStr">
        <is>
          <t>20系</t>
        </is>
      </c>
      <c r="C97" s="8" t="n">
        <v>2014</v>
      </c>
      <c r="D97" s="10" t="n">
        <v>125</v>
      </c>
    </row>
    <row r="98">
      <c r="A98" s="8" t="inlineStr">
        <is>
          <t>ヴェルファイア</t>
        </is>
      </c>
      <c r="B98" s="8" t="inlineStr">
        <is>
          <t>20系</t>
        </is>
      </c>
      <c r="C98" s="8" t="n">
        <v>2013</v>
      </c>
      <c r="D98" s="10" t="n">
        <v>109.2</v>
      </c>
    </row>
    <row r="99">
      <c r="A99" s="8" t="inlineStr">
        <is>
          <t>ヴォクシー</t>
        </is>
      </c>
      <c r="B99" s="8" t="inlineStr">
        <is>
          <t>90系</t>
        </is>
      </c>
      <c r="C99" s="8" t="n">
        <v>2026</v>
      </c>
      <c r="D99" s="10" t="n">
        <v>469</v>
      </c>
    </row>
    <row r="100">
      <c r="A100" s="8" t="inlineStr">
        <is>
          <t>ヴォクシー</t>
        </is>
      </c>
      <c r="B100" s="8" t="inlineStr">
        <is>
          <t>90系</t>
        </is>
      </c>
      <c r="C100" s="8" t="n">
        <v>2025</v>
      </c>
      <c r="D100" s="10" t="n">
        <v>416.9</v>
      </c>
    </row>
    <row r="101">
      <c r="A101" s="8" t="inlineStr">
        <is>
          <t>ヴォクシー</t>
        </is>
      </c>
      <c r="B101" s="8" t="inlineStr">
        <is>
          <t>90系</t>
        </is>
      </c>
      <c r="C101" s="8" t="n">
        <v>2024</v>
      </c>
      <c r="D101" s="10" t="n">
        <v>384.1</v>
      </c>
    </row>
    <row r="102">
      <c r="A102" s="8" t="inlineStr">
        <is>
          <t>ヴォクシー</t>
        </is>
      </c>
      <c r="B102" s="8" t="inlineStr">
        <is>
          <t>90系</t>
        </is>
      </c>
      <c r="C102" s="8" t="n">
        <v>2023</v>
      </c>
      <c r="D102" s="10" t="n">
        <v>372.4</v>
      </c>
    </row>
    <row r="103">
      <c r="A103" s="8" t="inlineStr">
        <is>
          <t>ヴォクシー</t>
        </is>
      </c>
      <c r="B103" s="8" t="inlineStr">
        <is>
          <t>90系</t>
        </is>
      </c>
      <c r="C103" s="8" t="n">
        <v>2022</v>
      </c>
      <c r="D103" s="10" t="n">
        <v>355.5</v>
      </c>
    </row>
    <row r="104">
      <c r="A104" s="8" t="inlineStr">
        <is>
          <t>ヴォクシー</t>
        </is>
      </c>
      <c r="B104" s="8" t="inlineStr">
        <is>
          <t>80系</t>
        </is>
      </c>
      <c r="C104" s="8" t="n">
        <v>2021</v>
      </c>
      <c r="D104" s="10" t="n">
        <v>275.5</v>
      </c>
    </row>
    <row r="105">
      <c r="A105" s="8" t="inlineStr">
        <is>
          <t>ヴォクシー</t>
        </is>
      </c>
      <c r="B105" s="8" t="inlineStr">
        <is>
          <t>80系</t>
        </is>
      </c>
      <c r="C105" s="8" t="n">
        <v>2020</v>
      </c>
      <c r="D105" s="10" t="n">
        <v>256.9</v>
      </c>
    </row>
    <row r="106">
      <c r="A106" s="8" t="inlineStr">
        <is>
          <t>ヴォクシー</t>
        </is>
      </c>
      <c r="B106" s="8" t="inlineStr">
        <is>
          <t>80系</t>
        </is>
      </c>
      <c r="C106" s="8" t="n">
        <v>2019</v>
      </c>
      <c r="D106" s="10" t="n">
        <v>236</v>
      </c>
    </row>
    <row r="107">
      <c r="A107" s="8" t="inlineStr">
        <is>
          <t>ヴォクシー</t>
        </is>
      </c>
      <c r="B107" s="8" t="inlineStr">
        <is>
          <t>80系</t>
        </is>
      </c>
      <c r="C107" s="8" t="n">
        <v>2018</v>
      </c>
      <c r="D107" s="10" t="n">
        <v>214.4</v>
      </c>
    </row>
    <row r="108">
      <c r="A108" s="8" t="inlineStr">
        <is>
          <t>ヴォクシー</t>
        </is>
      </c>
      <c r="B108" s="8" t="inlineStr">
        <is>
          <t>80系</t>
        </is>
      </c>
      <c r="C108" s="8" t="n">
        <v>2017</v>
      </c>
      <c r="D108" s="10" t="n">
        <v>191.1</v>
      </c>
    </row>
    <row r="109">
      <c r="A109" s="8" t="inlineStr">
        <is>
          <t>ヴォクシー</t>
        </is>
      </c>
      <c r="B109" s="8" t="inlineStr">
        <is>
          <t>80系</t>
        </is>
      </c>
      <c r="C109" s="8" t="n">
        <v>2016</v>
      </c>
      <c r="D109" s="10" t="n">
        <v>160.2</v>
      </c>
    </row>
    <row r="110">
      <c r="A110" s="8" t="inlineStr">
        <is>
          <t>ヴォクシー</t>
        </is>
      </c>
      <c r="B110" s="8" t="inlineStr">
        <is>
          <t>80系</t>
        </is>
      </c>
      <c r="C110" s="8" t="n">
        <v>2015</v>
      </c>
      <c r="D110" s="10" t="n">
        <v>137.1</v>
      </c>
    </row>
    <row r="111">
      <c r="A111" s="8" t="inlineStr">
        <is>
          <t>ヴォクシー</t>
        </is>
      </c>
      <c r="B111" s="8" t="inlineStr">
        <is>
          <t>80系</t>
        </is>
      </c>
      <c r="C111" s="8" t="n">
        <v>2014</v>
      </c>
      <c r="D111" s="10" t="n">
        <v>122.6</v>
      </c>
    </row>
    <row r="112">
      <c r="A112" s="8" t="inlineStr">
        <is>
          <t>ヴォクシー</t>
        </is>
      </c>
      <c r="B112" s="8" t="inlineStr">
        <is>
          <t>70系</t>
        </is>
      </c>
      <c r="C112" s="8" t="n">
        <v>2013</v>
      </c>
      <c r="D112" s="10" t="n">
        <v>74.09999999999999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1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24" customWidth="1" min="4" max="4"/>
    <col width="22" customWidth="1" min="5" max="5"/>
    <col width="22" customWidth="1" min="6" max="6"/>
    <col width="24" customWidth="1" min="7" max="7"/>
    <col width="14" customWidth="1" min="8" max="8"/>
    <col width="24" customWidth="1" min="9" max="9"/>
    <col width="24" customWidth="1" min="10" max="10"/>
    <col width="24" customWidth="1" min="11" max="11"/>
    <col width="24" customWidth="1" min="12" max="12"/>
    <col width="24" customWidth="1" min="13" max="13"/>
    <col width="24" customWidth="1" min="14" max="14"/>
    <col width="12" customWidth="1" min="15" max="15"/>
    <col width="10" customWidth="1" min="16" max="16"/>
    <col width="10" customWidth="1" min="17" max="17"/>
    <col width="16" customWidth="1" min="18" max="18"/>
    <col width="10" customWidth="1" min="19" max="19"/>
    <col width="10" customWidth="1" min="20" max="20"/>
    <col width="24" customWidth="1" min="21" max="21"/>
  </cols>
  <sheetData>
    <row r="1" ht="32" customHeight="1">
      <c r="A1" s="7" t="inlineStr">
        <is>
          <t>車種</t>
        </is>
      </c>
      <c r="B1" s="7" t="inlineStr">
        <is>
          <t>世代</t>
        </is>
      </c>
      <c r="C1" s="7" t="inlineStr">
        <is>
          <t>新車価格
下限(万円)</t>
        </is>
      </c>
      <c r="D1" s="7" t="inlineStr">
        <is>
          <t>新車価格
上限(万円)</t>
        </is>
      </c>
      <c r="E1" s="7" t="inlineStr">
        <is>
          <t>中古下限
(万円)</t>
        </is>
      </c>
      <c r="F1" s="7" t="inlineStr">
        <is>
          <t>中古上限
(万円)</t>
        </is>
      </c>
      <c r="G1" s="7" t="inlineStr">
        <is>
          <t>掲載台数
(カーセンサー)</t>
        </is>
      </c>
      <c r="H1" s="7" t="inlineStr">
        <is>
          <t>取扱店舗数</t>
        </is>
      </c>
      <c r="I1" s="7" t="inlineStr">
        <is>
          <t>掲載台数
(価格.com)</t>
        </is>
      </c>
      <c r="J1" s="7" t="inlineStr">
        <is>
          <t>総合評価
(カーセンサー)</t>
        </is>
      </c>
      <c r="K1" s="7" t="inlineStr">
        <is>
          <t>口コミ件数
(カーセンサー)</t>
        </is>
      </c>
      <c r="L1" s="7" t="inlineStr">
        <is>
          <t>満足度
(価格.com)</t>
        </is>
      </c>
      <c r="M1" s="7" t="inlineStr">
        <is>
          <t>レビュー数
(価格.com)</t>
        </is>
      </c>
      <c r="N1" s="7" t="inlineStr">
        <is>
          <t>クチコミ数
(価格.com)</t>
        </is>
      </c>
      <c r="O1" s="7" t="inlineStr">
        <is>
          <t>デザイン</t>
        </is>
      </c>
      <c r="P1" s="7" t="inlineStr">
        <is>
          <t>走行性</t>
        </is>
      </c>
      <c r="Q1" s="7" t="inlineStr">
        <is>
          <t>居住性</t>
        </is>
      </c>
      <c r="R1" s="7" t="inlineStr">
        <is>
          <t>運転しやすさ</t>
        </is>
      </c>
      <c r="S1" s="7" t="inlineStr">
        <is>
          <t>積載性</t>
        </is>
      </c>
      <c r="T1" s="7" t="inlineStr">
        <is>
          <t>維持費</t>
        </is>
      </c>
      <c r="U1" s="7" t="inlineStr">
        <is>
          <t>ミニバン
ランキング</t>
        </is>
      </c>
    </row>
    <row r="2">
      <c r="A2" s="13" t="inlineStr">
        <is>
          <t>アルファード</t>
        </is>
      </c>
      <c r="B2" s="14" t="inlineStr">
        <is>
          <t>20系 (2008/05〜2015/01) / 30系前期 (2015/01〜2017/12) / 30系後期 (2017/12〜2023/06) / 40系 (2023/06〜)</t>
        </is>
      </c>
      <c r="C2" s="13" t="n">
        <v>510</v>
      </c>
      <c r="D2" s="13" t="n">
        <v>1069</v>
      </c>
      <c r="E2" s="13" t="n">
        <v>79</v>
      </c>
      <c r="F2" s="13" t="n">
        <v>1365</v>
      </c>
      <c r="G2" s="15" t="n">
        <v>7673</v>
      </c>
      <c r="H2" s="15" t="n">
        <v>2884</v>
      </c>
      <c r="I2" s="15" t="n">
        <v>9442</v>
      </c>
      <c r="J2" s="13" t="n">
        <v>5</v>
      </c>
      <c r="K2" s="15" t="n">
        <v>171</v>
      </c>
      <c r="L2" s="13" t="n">
        <v>3.93</v>
      </c>
      <c r="M2" s="15" t="n">
        <v>67</v>
      </c>
      <c r="N2" s="15" t="n">
        <v>99678</v>
      </c>
      <c r="O2" s="13" t="n">
        <v>5</v>
      </c>
      <c r="P2" s="13" t="n">
        <v>5</v>
      </c>
      <c r="Q2" s="13" t="n">
        <v>5</v>
      </c>
      <c r="R2" s="13" t="n">
        <v>5</v>
      </c>
      <c r="S2" s="13" t="n">
        <v>5</v>
      </c>
      <c r="T2" s="13" t="n">
        <v>5</v>
      </c>
      <c r="U2" s="13" t="n">
        <v>2</v>
      </c>
    </row>
    <row r="3">
      <c r="A3" s="8" t="inlineStr">
        <is>
          <t>ヴェルファイア</t>
        </is>
      </c>
      <c r="B3" s="14" t="inlineStr">
        <is>
          <t>20系 (2008/05〜2015/01) / 30系前期 (2015/01〜2017/12) / 30系後期 (2017/12〜2023/06) / 40系 (2023/06〜)</t>
        </is>
      </c>
      <c r="C3" s="8" t="n">
        <v>674</v>
      </c>
      <c r="D3" s="8" t="n">
        <v>1089</v>
      </c>
      <c r="E3" s="8" t="n">
        <v>66</v>
      </c>
      <c r="F3" s="8" t="n">
        <v>1280</v>
      </c>
      <c r="G3" s="11" t="n">
        <v>4068</v>
      </c>
      <c r="H3" s="11" t="n">
        <v>2129</v>
      </c>
      <c r="I3" s="11" t="n">
        <v>5093</v>
      </c>
      <c r="J3" s="8" t="n">
        <v>5</v>
      </c>
      <c r="K3" s="11" t="n">
        <v>108</v>
      </c>
      <c r="L3" s="8" t="n">
        <v>4.18</v>
      </c>
      <c r="M3" s="11" t="n">
        <v>34</v>
      </c>
      <c r="N3" s="11" t="n">
        <v>115712</v>
      </c>
      <c r="O3" s="8" t="n">
        <v>4</v>
      </c>
      <c r="P3" s="8" t="n">
        <v>5</v>
      </c>
      <c r="Q3" s="8" t="n">
        <v>5</v>
      </c>
      <c r="R3" s="8" t="n">
        <v>5</v>
      </c>
      <c r="S3" s="8" t="n">
        <v>5</v>
      </c>
      <c r="T3" s="8" t="n">
        <v>3</v>
      </c>
      <c r="U3" s="8" t="n">
        <v>8</v>
      </c>
    </row>
    <row r="4">
      <c r="A4" s="13" t="inlineStr">
        <is>
          <t>ノア</t>
        </is>
      </c>
      <c r="B4" s="14" t="inlineStr">
        <is>
          <t>70系 (2007/06〜2014/01) / 80系 (2014/01〜2022/01) / 90系 (2022/01〜)</t>
        </is>
      </c>
      <c r="C4" s="13" t="n">
        <v>283</v>
      </c>
      <c r="D4" s="13" t="n">
        <v>430</v>
      </c>
      <c r="E4" s="13" t="n">
        <v>153</v>
      </c>
      <c r="F4" s="13" t="n">
        <v>674</v>
      </c>
      <c r="G4" s="15" t="n">
        <v>3969</v>
      </c>
      <c r="H4" s="15" t="n">
        <v>2111</v>
      </c>
      <c r="I4" s="15" t="n">
        <v>4611</v>
      </c>
      <c r="J4" s="13" t="n">
        <v>5</v>
      </c>
      <c r="K4" s="15" t="n">
        <v>1</v>
      </c>
      <c r="L4" s="13" t="n">
        <v>4</v>
      </c>
      <c r="M4" s="15" t="n">
        <v>68</v>
      </c>
      <c r="N4" s="15" t="n">
        <v>24862</v>
      </c>
      <c r="O4" s="13" t="n">
        <v>5</v>
      </c>
      <c r="P4" s="13" t="n">
        <v>5</v>
      </c>
      <c r="Q4" s="13" t="n">
        <v>5</v>
      </c>
      <c r="R4" s="13" t="n">
        <v>5</v>
      </c>
      <c r="S4" s="13" t="n">
        <v>5</v>
      </c>
      <c r="T4" s="13" t="n">
        <v>5</v>
      </c>
      <c r="U4" s="13" t="n">
        <v>9</v>
      </c>
    </row>
    <row r="5">
      <c r="A5" s="8" t="inlineStr">
        <is>
          <t>ヴォクシー</t>
        </is>
      </c>
      <c r="B5" s="14" t="inlineStr">
        <is>
          <t>70系 (2007/06〜2014/01) / 80系 (2014/01〜2022/01) / 90系 (2022/01〜)</t>
        </is>
      </c>
      <c r="C5" s="8" t="n">
        <v>324</v>
      </c>
      <c r="D5" s="8" t="n">
        <v>438</v>
      </c>
      <c r="E5" s="8" t="n">
        <v>210</v>
      </c>
      <c r="F5" s="8" t="n">
        <v>639</v>
      </c>
      <c r="G5" s="11" t="n">
        <v>6885</v>
      </c>
      <c r="H5" s="11" t="n">
        <v>3003</v>
      </c>
      <c r="I5" s="11" t="n">
        <v>8071</v>
      </c>
      <c r="J5" s="8" t="n">
        <v>5</v>
      </c>
      <c r="K5" s="11" t="n">
        <v>1</v>
      </c>
      <c r="L5" s="8" t="n">
        <v>4.17</v>
      </c>
      <c r="M5" s="11" t="n">
        <v>34</v>
      </c>
      <c r="N5" s="11" t="n">
        <v>68837</v>
      </c>
      <c r="O5" s="8" t="n">
        <v>5</v>
      </c>
      <c r="P5" s="8" t="n">
        <v>5</v>
      </c>
      <c r="Q5" s="8" t="n">
        <v>5</v>
      </c>
      <c r="R5" s="8" t="n">
        <v>5</v>
      </c>
      <c r="S5" s="8" t="n">
        <v>5</v>
      </c>
      <c r="T5" s="8" t="n">
        <v>5</v>
      </c>
      <c r="U5" s="8" t="n">
        <v>4</v>
      </c>
    </row>
    <row r="6">
      <c r="A6" s="13" t="inlineStr">
        <is>
          <t>エスクァイア</t>
        </is>
      </c>
      <c r="B6" s="14" t="inlineStr">
        <is>
          <t>80系 (2014/10〜2021/12)</t>
        </is>
      </c>
      <c r="C6" s="13" t="n"/>
      <c r="D6" s="13" t="n"/>
      <c r="E6" s="13" t="n">
        <v>56</v>
      </c>
      <c r="F6" s="13" t="n">
        <v>398</v>
      </c>
      <c r="G6" s="15" t="n">
        <v>1229</v>
      </c>
      <c r="H6" s="15" t="n">
        <v>868</v>
      </c>
      <c r="I6" s="15" t="n"/>
      <c r="J6" s="13" t="n">
        <v>4.4</v>
      </c>
      <c r="K6" s="15" t="n">
        <v>33</v>
      </c>
      <c r="L6" s="13" t="n"/>
      <c r="M6" s="15" t="n"/>
      <c r="N6" s="15" t="n"/>
      <c r="O6" s="13" t="n">
        <v>4.2</v>
      </c>
      <c r="P6" s="13" t="n">
        <v>3.9</v>
      </c>
      <c r="Q6" s="13" t="n">
        <v>4.4</v>
      </c>
      <c r="R6" s="13" t="n">
        <v>4.2</v>
      </c>
      <c r="S6" s="13" t="n">
        <v>4.4</v>
      </c>
      <c r="T6" s="13" t="n">
        <v>3.6</v>
      </c>
      <c r="U6" s="13" t="n">
        <v>14</v>
      </c>
    </row>
    <row r="7">
      <c r="A7" s="8" t="inlineStr">
        <is>
          <t>シエンタ</t>
        </is>
      </c>
      <c r="B7" s="14" t="inlineStr">
        <is>
          <t>80系 (2003/09〜2015/06) / 170系 (2015/07〜2022/08) / 10系 (2022/08〜)</t>
        </is>
      </c>
      <c r="C7" s="8" t="n">
        <v>214</v>
      </c>
      <c r="D7" s="8" t="n">
        <v>339</v>
      </c>
      <c r="E7" s="8" t="n">
        <v>120</v>
      </c>
      <c r="F7" s="8" t="n">
        <v>395</v>
      </c>
      <c r="G7" s="11" t="n">
        <v>5675</v>
      </c>
      <c r="H7" s="11" t="n">
        <v>2648</v>
      </c>
      <c r="I7" s="11" t="n">
        <v>6445</v>
      </c>
      <c r="J7" s="8" t="n">
        <v>4.5</v>
      </c>
      <c r="K7" s="11" t="n">
        <v>6</v>
      </c>
      <c r="L7" s="8" t="n">
        <v>4.16</v>
      </c>
      <c r="M7" s="11" t="n">
        <v>123</v>
      </c>
      <c r="N7" s="11" t="n">
        <v>27235</v>
      </c>
      <c r="O7" s="8" t="n">
        <v>4</v>
      </c>
      <c r="P7" s="8" t="n">
        <v>4</v>
      </c>
      <c r="Q7" s="8" t="n">
        <v>4.2</v>
      </c>
      <c r="R7" s="8" t="n">
        <v>4.3</v>
      </c>
      <c r="S7" s="8" t="n">
        <v>3.8</v>
      </c>
      <c r="T7" s="8" t="n">
        <v>4.3</v>
      </c>
      <c r="U7" s="8" t="n">
        <v>6</v>
      </c>
    </row>
    <row r="8">
      <c r="A8" s="13" t="inlineStr">
        <is>
          <t>エスティマ</t>
        </is>
      </c>
      <c r="B8" s="14" t="inlineStr">
        <is>
          <t>50系 (2006/01〜2019/10)</t>
        </is>
      </c>
      <c r="C8" s="13" t="n">
        <v>266</v>
      </c>
      <c r="D8" s="13" t="n">
        <v>523</v>
      </c>
      <c r="E8" s="13" t="n">
        <v>19</v>
      </c>
      <c r="F8" s="13" t="n">
        <v>469</v>
      </c>
      <c r="G8" s="15" t="n">
        <v>1202</v>
      </c>
      <c r="H8" s="15" t="n">
        <v>865</v>
      </c>
      <c r="I8" s="15" t="n">
        <v>1362</v>
      </c>
      <c r="J8" s="13" t="n">
        <v>4</v>
      </c>
      <c r="K8" s="15" t="n">
        <v>683</v>
      </c>
      <c r="L8" s="13" t="n">
        <v>4.25</v>
      </c>
      <c r="M8" s="15" t="n">
        <v>95</v>
      </c>
      <c r="N8" s="15" t="n">
        <v>18466</v>
      </c>
      <c r="O8" s="13" t="n">
        <v>4</v>
      </c>
      <c r="P8" s="13" t="n">
        <v>3.8</v>
      </c>
      <c r="Q8" s="13" t="n">
        <v>4.2</v>
      </c>
      <c r="R8" s="13" t="n">
        <v>3.7</v>
      </c>
      <c r="S8" s="13" t="n">
        <v>4.2</v>
      </c>
      <c r="T8" s="13" t="n">
        <v>3.1</v>
      </c>
      <c r="U8" s="13" t="n">
        <v>15</v>
      </c>
    </row>
    <row r="9">
      <c r="A9" s="8" t="inlineStr">
        <is>
          <t>ウィッシュ</t>
        </is>
      </c>
      <c r="B9" s="14" t="inlineStr">
        <is>
          <t>20系 (2009/04〜2017/10)</t>
        </is>
      </c>
      <c r="C9" s="8" t="n">
        <v>184</v>
      </c>
      <c r="D9" s="8" t="n">
        <v>259</v>
      </c>
      <c r="E9" s="8" t="n">
        <v>30</v>
      </c>
      <c r="F9" s="8" t="n">
        <v>185</v>
      </c>
      <c r="G9" s="11" t="n">
        <v>95</v>
      </c>
      <c r="H9" s="11" t="n">
        <v>90</v>
      </c>
      <c r="I9" s="11" t="n">
        <v>105</v>
      </c>
      <c r="J9" s="8" t="n">
        <v>4</v>
      </c>
      <c r="K9" s="11" t="n">
        <v>402</v>
      </c>
      <c r="L9" s="8" t="n">
        <v>4.15</v>
      </c>
      <c r="M9" s="11" t="n">
        <v>57</v>
      </c>
      <c r="N9" s="11" t="n">
        <v>11912</v>
      </c>
      <c r="O9" s="8" t="n">
        <v>3.8</v>
      </c>
      <c r="P9" s="8" t="n">
        <v>3.7</v>
      </c>
      <c r="Q9" s="8" t="n">
        <v>3.8</v>
      </c>
      <c r="R9" s="8" t="n">
        <v>3.8</v>
      </c>
      <c r="S9" s="8" t="n">
        <v>3.8</v>
      </c>
      <c r="T9" s="8" t="n">
        <v>3.5</v>
      </c>
      <c r="U9" s="8" t="n">
        <v>42</v>
      </c>
    </row>
    <row r="10">
      <c r="A10" s="13" t="inlineStr">
        <is>
          <t>プリウスα</t>
        </is>
      </c>
      <c r="B10" s="14" t="inlineStr">
        <is>
          <t>40系 (2011/05〜2021/03)</t>
        </is>
      </c>
      <c r="C10" s="13" t="n"/>
      <c r="D10" s="13" t="n"/>
      <c r="E10" s="13" t="n">
        <v>24</v>
      </c>
      <c r="F10" s="13" t="n">
        <v>278</v>
      </c>
      <c r="G10" s="15" t="n">
        <v>1151</v>
      </c>
      <c r="H10" s="15" t="n">
        <v>913</v>
      </c>
      <c r="I10" s="15" t="n"/>
      <c r="J10" s="13" t="n">
        <v>4.2</v>
      </c>
      <c r="K10" s="15" t="n">
        <v>363</v>
      </c>
      <c r="L10" s="13" t="n"/>
      <c r="M10" s="15" t="n"/>
      <c r="N10" s="15" t="n"/>
      <c r="O10" s="13" t="n">
        <v>4</v>
      </c>
      <c r="P10" s="13" t="n">
        <v>4.1</v>
      </c>
      <c r="Q10" s="13" t="n">
        <v>4</v>
      </c>
      <c r="R10" s="13" t="n">
        <v>4.1</v>
      </c>
      <c r="S10" s="13" t="n">
        <v>3.9</v>
      </c>
      <c r="T10" s="13" t="n">
        <v>4.2</v>
      </c>
      <c r="U10" s="13" t="n">
        <v>17</v>
      </c>
    </row>
    <row r="11">
      <c r="A11" s="8" t="inlineStr">
        <is>
          <t>アイシス</t>
        </is>
      </c>
      <c r="B11" s="14" t="inlineStr">
        <is>
          <t>10系 (2004/09〜2017/12)</t>
        </is>
      </c>
      <c r="C11" s="8" t="n">
        <v>178</v>
      </c>
      <c r="D11" s="8" t="n">
        <v>277</v>
      </c>
      <c r="E11" s="8" t="n">
        <v>13</v>
      </c>
      <c r="F11" s="8" t="n">
        <v>195</v>
      </c>
      <c r="G11" s="11" t="n">
        <v>137</v>
      </c>
      <c r="H11" s="11" t="n">
        <v>121</v>
      </c>
      <c r="I11" s="11" t="n">
        <v>157</v>
      </c>
      <c r="J11" s="8" t="n">
        <v>3.8</v>
      </c>
      <c r="K11" s="11" t="n">
        <v>630</v>
      </c>
      <c r="L11" s="8" t="n">
        <v>4.17</v>
      </c>
      <c r="M11" s="11" t="n">
        <v>86</v>
      </c>
      <c r="N11" s="11" t="n">
        <v>2605</v>
      </c>
      <c r="O11" s="8" t="n">
        <v>3.6</v>
      </c>
      <c r="P11" s="8" t="n">
        <v>3.6</v>
      </c>
      <c r="Q11" s="8" t="n">
        <v>3.9</v>
      </c>
      <c r="R11" s="8" t="n">
        <v>3.7</v>
      </c>
      <c r="S11" s="8" t="n">
        <v>3.8</v>
      </c>
      <c r="T11" s="8" t="n">
        <v>3.4</v>
      </c>
      <c r="U11" s="8" t="n">
        <v>33</v>
      </c>
    </row>
    <row r="12">
      <c r="A12" s="13" t="inlineStr">
        <is>
          <t>グランエース</t>
        </is>
      </c>
      <c r="B12" s="14" t="inlineStr">
        <is>
          <t>300系 (2019/12〜2024/06)</t>
        </is>
      </c>
      <c r="C12" s="13" t="n"/>
      <c r="D12" s="13" t="n"/>
      <c r="E12" s="13" t="n">
        <v>398</v>
      </c>
      <c r="F12" s="13" t="n">
        <v>1140</v>
      </c>
      <c r="G12" s="15" t="n">
        <v>58</v>
      </c>
      <c r="H12" s="15" t="n">
        <v>50</v>
      </c>
      <c r="I12" s="15" t="n"/>
      <c r="J12" s="13" t="n">
        <v>3.6</v>
      </c>
      <c r="K12" s="15" t="n">
        <v>5</v>
      </c>
      <c r="L12" s="13" t="n"/>
      <c r="M12" s="15" t="n"/>
      <c r="N12" s="15" t="n"/>
      <c r="O12" s="13" t="n">
        <v>4</v>
      </c>
      <c r="P12" s="13" t="n">
        <v>3.8</v>
      </c>
      <c r="Q12" s="13" t="n">
        <v>4.8</v>
      </c>
      <c r="R12" s="13" t="n">
        <v>4.8</v>
      </c>
      <c r="S12" s="13" t="n">
        <v>3.8</v>
      </c>
      <c r="T12" s="13" t="n">
        <v>4.5</v>
      </c>
      <c r="U12" s="13" t="n">
        <v>51</v>
      </c>
    </row>
  </sheetData>
  <autoFilter ref="A1:U12"/>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8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0" customWidth="1" min="4" max="4"/>
    <col width="14" customWidth="1" min="5" max="5"/>
    <col width="12" customWidth="1" min="6" max="6"/>
    <col width="12" customWidth="1" min="7" max="7"/>
    <col width="12" customWidth="1" min="8" max="8"/>
    <col width="10" customWidth="1" min="9" max="9"/>
    <col width="10" customWidth="1" min="10" max="10"/>
    <col width="10" customWidth="1" min="11" max="11"/>
    <col width="34" customWidth="1" min="12" max="12"/>
    <col width="34" customWidth="1" min="13" max="13"/>
  </cols>
  <sheetData>
    <row r="1" ht="32" customHeight="1">
      <c r="A1" s="7" t="inlineStr">
        <is>
          <t>車種</t>
        </is>
      </c>
      <c r="B1" s="7" t="inlineStr">
        <is>
          <t>世代</t>
        </is>
      </c>
      <c r="C1" s="7" t="inlineStr">
        <is>
          <t>年式</t>
        </is>
      </c>
      <c r="D1" s="7" t="inlineStr">
        <is>
          <t>件数</t>
        </is>
      </c>
      <c r="E1" s="7" t="inlineStr">
        <is>
          <t>おすすめ度</t>
        </is>
      </c>
      <c r="F1" s="7" t="inlineStr">
        <is>
          <t>デザイン</t>
        </is>
      </c>
      <c r="G1" s="7" t="inlineStr">
        <is>
          <t>走行性能</t>
        </is>
      </c>
      <c r="H1" s="7" t="inlineStr">
        <is>
          <t>乗り心地</t>
        </is>
      </c>
      <c r="I1" s="7" t="inlineStr">
        <is>
          <t>積載性</t>
        </is>
      </c>
      <c r="J1" s="7" t="inlineStr">
        <is>
          <t>燃費</t>
        </is>
      </c>
      <c r="K1" s="7" t="inlineStr">
        <is>
          <t>価格</t>
        </is>
      </c>
      <c r="L1" s="7" t="inlineStr">
        <is>
          <t>満足している点</t>
        </is>
      </c>
      <c r="M1" s="7" t="inlineStr">
        <is>
          <t>不満な点</t>
        </is>
      </c>
    </row>
    <row r="2">
      <c r="A2" s="13" t="inlineStr">
        <is>
          <t>アルファード</t>
        </is>
      </c>
      <c r="B2" s="13" t="inlineStr">
        <is>
          <t>20系</t>
        </is>
      </c>
      <c r="C2" s="13" t="n">
        <v>2011</v>
      </c>
      <c r="D2" s="13" t="n">
        <v>1</v>
      </c>
      <c r="E2" s="13" t="n">
        <v>4</v>
      </c>
      <c r="F2" s="13" t="n">
        <v>4</v>
      </c>
      <c r="G2" s="13" t="n">
        <v>2</v>
      </c>
      <c r="H2" s="13" t="n">
        <v>3</v>
      </c>
      <c r="I2" s="13" t="n">
        <v>5</v>
      </c>
      <c r="J2" s="13" t="n">
        <v>2</v>
      </c>
      <c r="K2" s="13" t="n">
        <v>4</v>
      </c>
      <c r="L2" s="14" t="inlineStr">
        <is>
          <t>シュッとした顔つき、目線が高い、室内が広い、どんな用途でも使える</t>
        </is>
      </c>
      <c r="M2" s="14" t="inlineStr">
        <is>
          <t>剛性がない、安定感がない、高級ミニバンなのにドアを閉めると”バン”と鳴る、燃費がめちゃ悪い</t>
        </is>
      </c>
    </row>
    <row r="3">
      <c r="A3" s="8" t="inlineStr">
        <is>
          <t>アルファード</t>
        </is>
      </c>
      <c r="B3" s="8" t="inlineStr">
        <is>
          <t>20系</t>
        </is>
      </c>
      <c r="C3" s="8" t="n">
        <v>2012</v>
      </c>
      <c r="D3" s="8" t="n">
        <v>2</v>
      </c>
      <c r="E3" s="8" t="n">
        <v>4</v>
      </c>
      <c r="F3" s="8" t="n">
        <v>4.5</v>
      </c>
      <c r="G3" s="8" t="n">
        <v>4.5</v>
      </c>
      <c r="H3" s="8" t="n">
        <v>3.5</v>
      </c>
      <c r="I3" s="8" t="n">
        <v>2.5</v>
      </c>
      <c r="J3" s="8" t="n">
        <v>3.5</v>
      </c>
      <c r="K3" s="8" t="n">
        <v>2</v>
      </c>
      <c r="L3" s="14" t="inlineStr">
        <is>
          <t>静か、重量を感じさせない加速。燃費も思ったより良い。 特別仕様車なのも有り内装が豪華。 子供達は大好きみたい</t>
        </is>
      </c>
      <c r="M3" s="14" t="inlineStr">
        <is>
          <t>作りは凄く良いんだけど、運転してて楽しいのは正直ホンダ車かなぁって感じです。 そしてこの年代の白系の色の色ハゲ。 2.4リッターエンジンの当り外れ問題。 自分のは対策済みエンジンでした。</t>
        </is>
      </c>
    </row>
    <row r="4">
      <c r="A4" s="13" t="inlineStr">
        <is>
          <t>アルファード</t>
        </is>
      </c>
      <c r="B4" s="13" t="inlineStr">
        <is>
          <t>20系</t>
        </is>
      </c>
      <c r="C4" s="13" t="n">
        <v>2013</v>
      </c>
      <c r="D4" s="13" t="n">
        <v>1</v>
      </c>
      <c r="E4" s="13" t="n">
        <v>4</v>
      </c>
      <c r="F4" s="13" t="n"/>
      <c r="G4" s="13" t="n"/>
      <c r="H4" s="13" t="n"/>
      <c r="I4" s="13" t="n"/>
      <c r="J4" s="13" t="n"/>
      <c r="K4" s="13" t="n"/>
      <c r="L4"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t>
        </is>
      </c>
      <c r="M4" s="14" t="inlineStr">
        <is>
          <t>移動のための最高のツールだけど、正直運転は楽しくない。</t>
        </is>
      </c>
    </row>
    <row r="5">
      <c r="A5" s="8" t="inlineStr">
        <is>
          <t>アルファード</t>
        </is>
      </c>
      <c r="B5" s="8" t="inlineStr">
        <is>
          <t>30系前期</t>
        </is>
      </c>
      <c r="C5" s="8" t="n">
        <v>2015</v>
      </c>
      <c r="D5" s="8" t="n">
        <v>1</v>
      </c>
      <c r="E5" s="8" t="n">
        <v>4</v>
      </c>
      <c r="F5" s="8" t="n">
        <v>4</v>
      </c>
      <c r="G5" s="8" t="n">
        <v>5</v>
      </c>
      <c r="H5" s="8" t="n">
        <v>4</v>
      </c>
      <c r="I5" s="8" t="n">
        <v>4</v>
      </c>
      <c r="J5" s="8" t="n">
        <v>3</v>
      </c>
      <c r="K5" s="8" t="n">
        <v>3</v>
      </c>
      <c r="L5" s="14" t="inlineStr"/>
      <c r="M5" s="14" t="inlineStr"/>
    </row>
    <row r="6">
      <c r="A6" s="13" t="inlineStr">
        <is>
          <t>アルファード</t>
        </is>
      </c>
      <c r="B6" s="13" t="inlineStr">
        <is>
          <t>30系前期</t>
        </is>
      </c>
      <c r="C6" s="13" t="n">
        <v>2016</v>
      </c>
      <c r="D6" s="13" t="n">
        <v>1</v>
      </c>
      <c r="E6" s="13" t="n">
        <v>5</v>
      </c>
      <c r="F6" s="13" t="n">
        <v>5</v>
      </c>
      <c r="G6" s="13" t="n">
        <v>5</v>
      </c>
      <c r="H6" s="13" t="n">
        <v>4</v>
      </c>
      <c r="I6" s="13" t="n">
        <v>3</v>
      </c>
      <c r="J6" s="13" t="n">
        <v>3</v>
      </c>
      <c r="K6" s="13" t="n"/>
      <c r="L6" s="14" t="inlineStr">
        <is>
          <t>最低限のカスタム</t>
        </is>
      </c>
      <c r="M6" s="14" t="inlineStr">
        <is>
          <t>勾配角度に弱い</t>
        </is>
      </c>
    </row>
    <row r="7">
      <c r="A7" s="8" t="inlineStr">
        <is>
          <t>アルファード</t>
        </is>
      </c>
      <c r="B7" s="8" t="inlineStr">
        <is>
          <t>30系後期</t>
        </is>
      </c>
      <c r="C7" s="8" t="n">
        <v>2018</v>
      </c>
      <c r="D7" s="8" t="n">
        <v>2</v>
      </c>
      <c r="E7" s="8" t="n">
        <v>4</v>
      </c>
      <c r="F7" s="8" t="n">
        <v>3.5</v>
      </c>
      <c r="G7" s="8" t="n">
        <v>3</v>
      </c>
      <c r="H7" s="8" t="n">
        <v>3.5</v>
      </c>
      <c r="I7" s="8" t="n">
        <v>3.5</v>
      </c>
      <c r="J7" s="8" t="n">
        <v>1.5</v>
      </c>
      <c r="K7" s="8" t="n">
        <v>3</v>
      </c>
      <c r="L7" s="14" t="inlineStr"/>
      <c r="M7" s="14" t="inlineStr"/>
    </row>
    <row r="8">
      <c r="A8" s="13" t="inlineStr">
        <is>
          <t>アルファード</t>
        </is>
      </c>
      <c r="B8" s="13" t="inlineStr">
        <is>
          <t>30系後期</t>
        </is>
      </c>
      <c r="C8" s="13" t="n">
        <v>2021</v>
      </c>
      <c r="D8" s="13" t="n">
        <v>2</v>
      </c>
      <c r="E8" s="13" t="n">
        <v>4</v>
      </c>
      <c r="F8" s="13" t="n">
        <v>4.5</v>
      </c>
      <c r="G8" s="13" t="n">
        <v>3</v>
      </c>
      <c r="H8" s="13" t="n">
        <v>3</v>
      </c>
      <c r="I8" s="13" t="n">
        <v>4.5</v>
      </c>
      <c r="J8" s="13" t="n">
        <v>2.5</v>
      </c>
      <c r="K8" s="13" t="n">
        <v>3</v>
      </c>
      <c r="L8" s="14" t="inlineStr">
        <is>
          <t>内装や装備 / 乗車人数</t>
        </is>
      </c>
      <c r="M8" s="14" t="inlineStr">
        <is>
          <t>3列目への移動と跳ね上げ式格納 / パワー、音</t>
        </is>
      </c>
    </row>
    <row r="9">
      <c r="A9" s="8" t="inlineStr">
        <is>
          <t>アルファード</t>
        </is>
      </c>
      <c r="B9" s="8" t="inlineStr">
        <is>
          <t>40系</t>
        </is>
      </c>
      <c r="C9" s="8" t="n">
        <v>2023</v>
      </c>
      <c r="D9" s="8" t="n">
        <v>2</v>
      </c>
      <c r="E9" s="8" t="n">
        <v>3.5</v>
      </c>
      <c r="F9" s="8" t="n">
        <v>1</v>
      </c>
      <c r="G9" s="8" t="n">
        <v>2</v>
      </c>
      <c r="H9" s="8" t="n">
        <v>3</v>
      </c>
      <c r="I9" s="8" t="n">
        <v>2</v>
      </c>
      <c r="J9" s="8" t="n">
        <v>3</v>
      </c>
      <c r="K9" s="8" t="n">
        <v>2</v>
      </c>
      <c r="L9" s="14" t="inlineStr">
        <is>
          <t>リセールバリューは良さそうですね。</t>
        </is>
      </c>
      <c r="M9"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t>
        </is>
      </c>
    </row>
    <row r="10">
      <c r="A10" s="13" t="inlineStr">
        <is>
          <t>アルファード</t>
        </is>
      </c>
      <c r="B10" s="13" t="inlineStr">
        <is>
          <t>40系</t>
        </is>
      </c>
      <c r="C10" s="13" t="n">
        <v>2025</v>
      </c>
      <c r="D10" s="13" t="n">
        <v>13</v>
      </c>
      <c r="E10" s="13" t="n">
        <v>4.38</v>
      </c>
      <c r="F10" s="13" t="n">
        <v>4.31</v>
      </c>
      <c r="G10" s="13" t="n">
        <v>3.46</v>
      </c>
      <c r="H10" s="13" t="n">
        <v>4</v>
      </c>
      <c r="I10" s="13" t="n">
        <v>4.31</v>
      </c>
      <c r="J10" s="13" t="n">
        <v>3.69</v>
      </c>
      <c r="K10" s="13" t="n">
        <v>3.64</v>
      </c>
      <c r="L10" s="14" t="inlineStr">
        <is>
          <t>Ｚであってもキャプテンシートは電動リクライニングと電動フットレスト､シートヒーター､ベンチレーションも付いて静止時は充分です。 / 家族が喜ぶ車。 普段､家族から酷評のジムニーノマドに乗っているので､（これでもJB64よりは評価が上がった） たまにアルヴェルに乗せると､大喜びになる点。 / 見た目は豪華さ満載ですので 所有満足度は高いと思います</t>
        </is>
      </c>
      <c r="M10" s="14" t="inlineStr">
        <is>
          <t>直前､エグゼクティブラウンジを借りていたので、あまりの走行性能の違いに『流石トヨタ車❗️差ツケ過ぎだって❗️』って思ってしまいました。 / フロア剛性など､あげればキリがないのですが、このカテゴリーではメルセデスも真似をするくらいですから、ほぼ無しにします。 / 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t>
        </is>
      </c>
    </row>
    <row r="11">
      <c r="A11" s="8" t="inlineStr">
        <is>
          <t>アルファード</t>
        </is>
      </c>
      <c r="B11" s="8" t="inlineStr">
        <is>
          <t>40系</t>
        </is>
      </c>
      <c r="C11" s="8" t="n">
        <v>2026</v>
      </c>
      <c r="D11" s="8" t="n">
        <v>5</v>
      </c>
      <c r="E11" s="8" t="n">
        <v>4.8</v>
      </c>
      <c r="F11" s="8" t="n">
        <v>4.75</v>
      </c>
      <c r="G11" s="8" t="n">
        <v>4.4</v>
      </c>
      <c r="H11" s="8" t="n">
        <v>4.4</v>
      </c>
      <c r="I11" s="8" t="n">
        <v>4</v>
      </c>
      <c r="J11" s="8" t="n">
        <v>4.4</v>
      </c>
      <c r="K11" s="8" t="n">
        <v>3.8</v>
      </c>
      <c r="L11" s="14" t="inlineStr">
        <is>
          <t>やはり見た目！ アルファードにモデリスタエアロは駐車場で思わず振り返ってニヤニヤ😍 夜のテールランプもかっこいい... / 30より静かになった。 パワーも上がった気がします / バルクヘッド周りの静音がされている。 重心が低く揺れが少ない</t>
        </is>
      </c>
      <c r="M11" s="14" t="inlineStr">
        <is>
          <t>合成皮革のシートが滑るので2列目でオットマン使用時になんだかしっくり来ない(ダイソーの滑り止めマットで解決) / 前シートがフワフワしすぎ セカンドシートがやっぱり小さい TVキャンセラーが改良版の情報が無くて、オットキャストを買っちゃいました。 / 100キロ以上で走るときのトルク不足 エンジン音がやかましくなる 直4だからしかたない</t>
        </is>
      </c>
    </row>
    <row r="12">
      <c r="A12" s="13" t="inlineStr">
        <is>
          <t>ヴェルファイア</t>
        </is>
      </c>
      <c r="B12" s="13" t="inlineStr">
        <is>
          <t>20系</t>
        </is>
      </c>
      <c r="C12" s="13" t="n">
        <v>2008</v>
      </c>
      <c r="D12" s="13" t="n">
        <v>2</v>
      </c>
      <c r="E12" s="13" t="n">
        <v>5</v>
      </c>
      <c r="F12" s="13" t="n">
        <v>5</v>
      </c>
      <c r="G12" s="13" t="n">
        <v>1</v>
      </c>
      <c r="H12" s="13" t="n">
        <v>5</v>
      </c>
      <c r="I12" s="13" t="n">
        <v>5</v>
      </c>
      <c r="J12" s="13" t="n">
        <v>1</v>
      </c>
      <c r="K12" s="13" t="n">
        <v>2</v>
      </c>
      <c r="L12" s="14" t="inlineStr"/>
      <c r="M12" s="14" t="inlineStr"/>
    </row>
    <row r="13">
      <c r="A13" s="8" t="inlineStr">
        <is>
          <t>ヴェルファイア</t>
        </is>
      </c>
      <c r="B13" s="8" t="inlineStr">
        <is>
          <t>20系</t>
        </is>
      </c>
      <c r="C13" s="8" t="n">
        <v>2014</v>
      </c>
      <c r="D13" s="8" t="n">
        <v>1</v>
      </c>
      <c r="E13" s="8" t="n">
        <v>5</v>
      </c>
      <c r="F13" s="8" t="n">
        <v>5</v>
      </c>
      <c r="G13" s="8" t="n">
        <v>5</v>
      </c>
      <c r="H13" s="8" t="n">
        <v>5</v>
      </c>
      <c r="I13" s="8" t="n">
        <v>4</v>
      </c>
      <c r="J13" s="8" t="n">
        <v>4</v>
      </c>
      <c r="K13" s="8" t="n">
        <v>3</v>
      </c>
      <c r="L13" s="14" t="inlineStr">
        <is>
          <t>3.5なのでそこそこ力があり、ストレスなく走れる</t>
        </is>
      </c>
      <c r="M13" s="14" t="inlineStr">
        <is>
          <t>特になし</t>
        </is>
      </c>
    </row>
    <row r="14">
      <c r="A14" s="13" t="inlineStr">
        <is>
          <t>ヴェルファイア</t>
        </is>
      </c>
      <c r="B14" s="13" t="inlineStr">
        <is>
          <t>30系前期</t>
        </is>
      </c>
      <c r="C14" s="13" t="n">
        <v>2015</v>
      </c>
      <c r="D14" s="13" t="n">
        <v>4</v>
      </c>
      <c r="E14" s="13" t="n">
        <v>5</v>
      </c>
      <c r="F14" s="13" t="n">
        <v>4.75</v>
      </c>
      <c r="G14" s="13" t="n">
        <v>4.25</v>
      </c>
      <c r="H14" s="13" t="n">
        <v>4.5</v>
      </c>
      <c r="I14" s="13" t="n">
        <v>4.5</v>
      </c>
      <c r="J14" s="13" t="n">
        <v>2.75</v>
      </c>
      <c r="K14" s="13" t="n">
        <v>3</v>
      </c>
      <c r="L14" s="14" t="inlineStr">
        <is>
          <t>静粛性、内装、さすがはトヨタと思える車です。 / 外観内観満足しております / 広くてゆったり乗れる😊</t>
        </is>
      </c>
      <c r="M14" s="14" t="inlineStr">
        <is>
          <t>2500CCガソリンで2t超えなので仕方ないですが 燃費が残念 / 車両周りが見づらい､､､ 中古車なのでSRを優先したから全方位📸が無い､､､😑</t>
        </is>
      </c>
    </row>
    <row r="15">
      <c r="A15" s="8" t="inlineStr">
        <is>
          <t>ヴェルファイア</t>
        </is>
      </c>
      <c r="B15" s="8" t="inlineStr">
        <is>
          <t>30系前期</t>
        </is>
      </c>
      <c r="C15" s="8" t="n">
        <v>2016</v>
      </c>
      <c r="D15" s="8" t="n">
        <v>3</v>
      </c>
      <c r="E15" s="8" t="n">
        <v>5</v>
      </c>
      <c r="F15" s="8" t="n">
        <v>4</v>
      </c>
      <c r="G15" s="8" t="n">
        <v>4</v>
      </c>
      <c r="H15" s="8" t="n">
        <v>4</v>
      </c>
      <c r="I15" s="8" t="n">
        <v>5</v>
      </c>
      <c r="J15" s="8" t="n">
        <v>3</v>
      </c>
      <c r="K15" s="8" t="n">
        <v>3</v>
      </c>
      <c r="L15" s="14" t="inlineStr">
        <is>
          <t>乗り心地が最高。乗り降りは少し大変でも視野が高いので運転は楽。 / 以前は8人乗りで3列目への移動が大変でしたが、今は7人乗りで移動が楽（みたい）です。 / ①3〜4人乗車でほぼ使用、乗り心地はTHEトヨタ、ふわふわ。 ②燃費は思ったより良くメーター読みでリッター10kmは超えています。 ③意外や小さなフェンダーミラーはしっかりと前方下の死角も見えて便利です。</t>
        </is>
      </c>
      <c r="M15" s="14" t="inlineStr">
        <is>
          <t>燃費をなんとかして欲しい。 / 燃費が20系より悪い / 高級車ではないです、高額車です。 乗ればギシギシミシミシ、 大きい普通なミニバンです。 逆に道具として使い倒せるのはいい所。 街中ではでっかいので立駐NGの場所が多いです。 レーダークルコン付いてますが同一車線に車が無いのに車を把握して急ブ</t>
        </is>
      </c>
    </row>
    <row r="16">
      <c r="A16" s="13" t="inlineStr">
        <is>
          <t>ヴェルファイア</t>
        </is>
      </c>
      <c r="B16" s="13" t="inlineStr">
        <is>
          <t>30系後期</t>
        </is>
      </c>
      <c r="C16" s="13" t="n">
        <v>2018</v>
      </c>
      <c r="D16" s="13" t="n">
        <v>1</v>
      </c>
      <c r="E16" s="13" t="n">
        <v>5</v>
      </c>
      <c r="F16" s="13" t="n">
        <v>5</v>
      </c>
      <c r="G16" s="13" t="n">
        <v>4</v>
      </c>
      <c r="H16" s="13" t="n">
        <v>4</v>
      </c>
      <c r="I16" s="13" t="n">
        <v>5</v>
      </c>
      <c r="J16" s="13" t="n">
        <v>3</v>
      </c>
      <c r="K16" s="13" t="n">
        <v>3</v>
      </c>
      <c r="L16" s="14" t="inlineStr"/>
      <c r="M16" s="14" t="inlineStr"/>
    </row>
    <row r="17">
      <c r="A17" s="8" t="inlineStr">
        <is>
          <t>ヴェルファイア</t>
        </is>
      </c>
      <c r="B17" s="8" t="inlineStr">
        <is>
          <t>40系</t>
        </is>
      </c>
      <c r="C17" s="8" t="n">
        <v>2023</v>
      </c>
      <c r="D17" s="8" t="n">
        <v>5</v>
      </c>
      <c r="E17" s="8" t="n">
        <v>4.8</v>
      </c>
      <c r="F17" s="8" t="n">
        <v>4.67</v>
      </c>
      <c r="G17" s="8" t="n">
        <v>3.33</v>
      </c>
      <c r="H17" s="8" t="n">
        <v>4.33</v>
      </c>
      <c r="I17" s="8" t="n">
        <v>3.33</v>
      </c>
      <c r="J17" s="8" t="n">
        <v>4</v>
      </c>
      <c r="K17" s="8" t="n">
        <v>3.33</v>
      </c>
      <c r="L17" s="14" t="inlineStr">
        <is>
          <t>家族が後席でくつろげること / 価格が高いだけあってしっかりした造りになってます。 パネル剥がしても至る所に静音材が入っている。</t>
        </is>
      </c>
      <c r="M17" s="14" t="inlineStr">
        <is>
          <t>三列目のシートの動きが悪い時がある。 ディーラーにて入院中。 / 盗難車ランキングTOP10に入ってるのでハンドルロック等気を使う。</t>
        </is>
      </c>
    </row>
    <row r="18">
      <c r="A18" s="13" t="inlineStr">
        <is>
          <t>ヴェルファイア</t>
        </is>
      </c>
      <c r="B18" s="13" t="inlineStr">
        <is>
          <t>40系</t>
        </is>
      </c>
      <c r="C18" s="13" t="n">
        <v>2025</v>
      </c>
      <c r="D18" s="13" t="n">
        <v>7</v>
      </c>
      <c r="E18" s="13" t="n">
        <v>3.71</v>
      </c>
      <c r="F18" s="13" t="n">
        <v>3.57</v>
      </c>
      <c r="G18" s="13" t="n">
        <v>3.43</v>
      </c>
      <c r="H18" s="13" t="n">
        <v>4.14</v>
      </c>
      <c r="I18" s="13" t="n">
        <v>3.14</v>
      </c>
      <c r="J18" s="13" t="n">
        <v>3.86</v>
      </c>
      <c r="K18" s="13" t="n">
        <v>3.2</v>
      </c>
      <c r="L18" s="14" t="inlineStr">
        <is>
          <t>燃費がいいのと、とにかく乗り心地が良い。 / イキリ度 マイルドヤンキー度 残価高め / 道具として使いながら、リセールが見込める。多少下がったとて、かすり傷程度。</t>
        </is>
      </c>
      <c r="M18" s="14" t="inlineStr">
        <is>
          <t>助手席にもオットマンが欲しかった。 / 運転席横足元のスペース空けろや！ 残クレ金利ぼったくりすぎ！ 燃費超絶悪いwハイオクぶちまけマシン 街中を走ってると羨望の眼差しで残クレと思われる / 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t>
        </is>
      </c>
    </row>
    <row r="19">
      <c r="A19" s="8" t="inlineStr">
        <is>
          <t>ヴェルファイア</t>
        </is>
      </c>
      <c r="B19" s="8" t="inlineStr">
        <is>
          <t>40系</t>
        </is>
      </c>
      <c r="C19" s="8" t="n">
        <v>2026</v>
      </c>
      <c r="D19" s="8" t="n">
        <v>7</v>
      </c>
      <c r="E19" s="8" t="n">
        <v>4.57</v>
      </c>
      <c r="F19" s="8" t="n">
        <v>5</v>
      </c>
      <c r="G19" s="8" t="n">
        <v>4.14</v>
      </c>
      <c r="H19" s="8" t="n">
        <v>4.57</v>
      </c>
      <c r="I19" s="8" t="n">
        <v>4.29</v>
      </c>
      <c r="J19" s="8" t="n">
        <v>3.14</v>
      </c>
      <c r="K19" s="8" t="n">
        <v>3.29</v>
      </c>
      <c r="L19" s="14" t="inlineStr">
        <is>
          <t>26年6月～改良型です。エンジンの静粛性が高くなりました。 / 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 / この室内の広さ、燃費、走りは大変満足です。</t>
        </is>
      </c>
      <c r="M19" s="14"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 / 加速時エンジン音が若干うるさい。 / オプションでもDVDプレーヤーがないこと。 ※社外品でBlu-rayプレーヤーを取付て対応しました。</t>
        </is>
      </c>
    </row>
    <row r="20">
      <c r="A20" s="13" t="inlineStr">
        <is>
          <t>ノア</t>
        </is>
      </c>
      <c r="B20" s="13" t="inlineStr"/>
      <c r="C20" s="13" t="n">
        <v>2003</v>
      </c>
      <c r="D20" s="13" t="n">
        <v>1</v>
      </c>
      <c r="E20" s="13" t="n">
        <v>5</v>
      </c>
      <c r="F20" s="13" t="n">
        <v>4</v>
      </c>
      <c r="G20" s="13" t="n">
        <v>4</v>
      </c>
      <c r="H20" s="13" t="n">
        <v>3</v>
      </c>
      <c r="I20" s="13" t="n">
        <v>5</v>
      </c>
      <c r="J20" s="13" t="n">
        <v>2</v>
      </c>
      <c r="K20" s="13" t="n">
        <v>5</v>
      </c>
      <c r="L20" s="14" t="inlineStr"/>
      <c r="M20" s="14" t="inlineStr"/>
    </row>
    <row r="21">
      <c r="A21" s="8" t="inlineStr">
        <is>
          <t>ノア</t>
        </is>
      </c>
      <c r="B21" s="8" t="inlineStr"/>
      <c r="C21" s="8" t="n">
        <v>2006</v>
      </c>
      <c r="D21" s="8" t="n">
        <v>1</v>
      </c>
      <c r="E21" s="8" t="n">
        <v>5</v>
      </c>
      <c r="F21" s="8" t="n">
        <v>4</v>
      </c>
      <c r="G21" s="8" t="n">
        <v>4</v>
      </c>
      <c r="H21" s="8" t="n">
        <v>4</v>
      </c>
      <c r="I21" s="8" t="n">
        <v>4</v>
      </c>
      <c r="J21" s="8" t="n">
        <v>3</v>
      </c>
      <c r="K21" s="8" t="n">
        <v>3</v>
      </c>
      <c r="L21" s="14" t="inlineStr"/>
      <c r="M21" s="14" t="inlineStr"/>
    </row>
    <row r="22">
      <c r="A22" s="13" t="inlineStr">
        <is>
          <t>ノア</t>
        </is>
      </c>
      <c r="B22" s="13" t="inlineStr">
        <is>
          <t>70系</t>
        </is>
      </c>
      <c r="C22" s="13" t="n">
        <v>2007</v>
      </c>
      <c r="D22" s="13" t="n">
        <v>1</v>
      </c>
      <c r="E22" s="13" t="n">
        <v>5</v>
      </c>
      <c r="F22" s="13" t="n">
        <v>5</v>
      </c>
      <c r="G22" s="13" t="n">
        <v>5</v>
      </c>
      <c r="H22" s="13" t="n">
        <v>5</v>
      </c>
      <c r="I22" s="13" t="n">
        <v>5</v>
      </c>
      <c r="J22" s="13" t="n">
        <v>5</v>
      </c>
      <c r="K22" s="13" t="n">
        <v>5</v>
      </c>
      <c r="L22" s="14" t="inlineStr"/>
      <c r="M22" s="14" t="inlineStr"/>
    </row>
    <row r="23">
      <c r="A23" s="8" t="inlineStr">
        <is>
          <t>ノア</t>
        </is>
      </c>
      <c r="B23" s="8" t="inlineStr">
        <is>
          <t>70系</t>
        </is>
      </c>
      <c r="C23" s="8" t="n">
        <v>2010</v>
      </c>
      <c r="D23" s="8" t="n">
        <v>2</v>
      </c>
      <c r="E23" s="8" t="n">
        <v>5</v>
      </c>
      <c r="F23" s="8" t="n">
        <v>4</v>
      </c>
      <c r="G23" s="8" t="n">
        <v>3</v>
      </c>
      <c r="H23" s="8" t="n">
        <v>4</v>
      </c>
      <c r="I23" s="8" t="n">
        <v>4</v>
      </c>
      <c r="J23" s="8" t="n">
        <v>3</v>
      </c>
      <c r="K23" s="8" t="n">
        <v>3</v>
      </c>
      <c r="L23" s="14" t="inlineStr">
        <is>
          <t>流石５ナンバーですから取り回しが良い / 旧車ですが実に丈夫で故障知らず👌</t>
        </is>
      </c>
      <c r="M23" s="14" t="inlineStr">
        <is>
          <t>なし / 80系、90系に比べるとスタイリッシュさが足りない</t>
        </is>
      </c>
    </row>
    <row r="24">
      <c r="A24" s="13" t="inlineStr">
        <is>
          <t>ノア</t>
        </is>
      </c>
      <c r="B24" s="13" t="inlineStr">
        <is>
          <t>80系</t>
        </is>
      </c>
      <c r="C24" s="13" t="n">
        <v>2014</v>
      </c>
      <c r="D24" s="13" t="n">
        <v>3</v>
      </c>
      <c r="E24" s="13" t="n">
        <v>4.33</v>
      </c>
      <c r="F24" s="13" t="n">
        <v>4</v>
      </c>
      <c r="G24" s="13" t="n">
        <v>4</v>
      </c>
      <c r="H24" s="13" t="n">
        <v>3.67</v>
      </c>
      <c r="I24" s="13" t="n">
        <v>4</v>
      </c>
      <c r="J24" s="13" t="n">
        <v>3.33</v>
      </c>
      <c r="K24" s="13" t="n">
        <v>3</v>
      </c>
      <c r="L24"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 / 重量のある１BOX車の割に、しっかりとしたハンドリングでボディ剛性が高そう。</t>
        </is>
      </c>
      <c r="M24" s="14" t="inlineStr">
        <is>
          <t>前席はウォークスルーでなくてよいのかな、と 物が入らない！ / トヨタ車に共通い言える事だが、小回りが効かない。 また、１BOX車にありがちな走行中のドアバタつきはこの車にもある。</t>
        </is>
      </c>
    </row>
    <row r="25">
      <c r="A25" s="8" t="inlineStr">
        <is>
          <t>ノア</t>
        </is>
      </c>
      <c r="B25" s="8" t="inlineStr">
        <is>
          <t>80系</t>
        </is>
      </c>
      <c r="C25" s="8" t="n">
        <v>2017</v>
      </c>
      <c r="D25" s="8" t="n">
        <v>2</v>
      </c>
      <c r="E25" s="8" t="n">
        <v>3.5</v>
      </c>
      <c r="F25" s="8" t="n">
        <v>4.5</v>
      </c>
      <c r="G25" s="8" t="n">
        <v>4</v>
      </c>
      <c r="H25" s="8" t="n">
        <v>3</v>
      </c>
      <c r="I25" s="8" t="n">
        <v>4</v>
      </c>
      <c r="J25" s="8" t="n">
        <v>3</v>
      </c>
      <c r="K25" s="8" t="n">
        <v>3</v>
      </c>
      <c r="L25" s="14" t="inlineStr">
        <is>
          <t>まあ、乗りやすい車だと思っています。 / 後継の90もビックマイチェンの噂？ それくらい経つのにまだまだ衰えを感じさせないデザインや使い勝手 完成度の高いクルマだと思います</t>
        </is>
      </c>
      <c r="M25" s="14" t="inlineStr">
        <is>
          <t>いろいろ装備が⤵︎なのでまあ、できる範囲で快適に出来ればと思います。 / とは言え、やはり８年の技術の進化には逆らえない 特に安全装備や燃費面 ８年前は「スゲー」って思ったけれど、今の水準ではやはり時代遅れ感が出てきています</t>
        </is>
      </c>
    </row>
    <row r="26">
      <c r="A26" s="13" t="inlineStr">
        <is>
          <t>ノア</t>
        </is>
      </c>
      <c r="B26" s="13" t="inlineStr">
        <is>
          <t>80系</t>
        </is>
      </c>
      <c r="C26" s="13" t="n">
        <v>2019</v>
      </c>
      <c r="D26" s="13" t="n">
        <v>1</v>
      </c>
      <c r="E26" s="13" t="n">
        <v>5</v>
      </c>
      <c r="F26" s="13" t="n">
        <v>5</v>
      </c>
      <c r="G26" s="13" t="n">
        <v>4</v>
      </c>
      <c r="H26" s="13" t="n">
        <v>5</v>
      </c>
      <c r="I26" s="13" t="n">
        <v>5</v>
      </c>
      <c r="J26" s="13" t="n">
        <v>4</v>
      </c>
      <c r="K26" s="13" t="n"/>
      <c r="L26"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t>
        </is>
      </c>
      <c r="M26" s="14" t="inlineStr">
        <is>
          <t>・車速ドアロックがついててほしかった ・アイドリングストップが煩わしい。キャンセラーつけようか考え中 その他特に不満無し</t>
        </is>
      </c>
    </row>
    <row r="27">
      <c r="A27" s="8" t="inlineStr">
        <is>
          <t>ノア</t>
        </is>
      </c>
      <c r="B27" s="8" t="inlineStr">
        <is>
          <t>80系</t>
        </is>
      </c>
      <c r="C27" s="8" t="n">
        <v>2020</v>
      </c>
      <c r="D27" s="8" t="n">
        <v>5</v>
      </c>
      <c r="E27" s="8" t="n">
        <v>4.2</v>
      </c>
      <c r="F27" s="8" t="n">
        <v>4.4</v>
      </c>
      <c r="G27" s="8" t="n">
        <v>4.6</v>
      </c>
      <c r="H27" s="8" t="n">
        <v>4.2</v>
      </c>
      <c r="I27" s="8" t="n">
        <v>4.4</v>
      </c>
      <c r="J27" s="8" t="n">
        <v>3.25</v>
      </c>
      <c r="K27" s="8" t="n">
        <v>2.25</v>
      </c>
      <c r="L27" s="14" t="inlineStr">
        <is>
          <t>車内が広い。 / ヴォクシーよりノアの方が見た目が好きで購入！中も広く、運転もしやすい。 / 多分当たりの車体やと思うし 仮にこの状態で売ったとしても 何の問題も無いし 自分が買いたいくらい そう思うと、この車は残したい</t>
        </is>
      </c>
      <c r="M27" s="14" t="inlineStr">
        <is>
          <t>あまり感じない。 / まだ計算してないですが思ったよりも燃費が悪いような気がします。 / 次の車も気になりますが 今の所、欲しいと思う車も無いし このまま行けば１０万ｋｍオーバーは確実</t>
        </is>
      </c>
    </row>
    <row r="28">
      <c r="A28" s="13" t="inlineStr">
        <is>
          <t>ノア</t>
        </is>
      </c>
      <c r="B28" s="13" t="inlineStr">
        <is>
          <t>90系</t>
        </is>
      </c>
      <c r="C28" s="13" t="n">
        <v>2022</v>
      </c>
      <c r="D28" s="13" t="n">
        <v>9</v>
      </c>
      <c r="E28" s="13" t="n">
        <v>4.67</v>
      </c>
      <c r="F28" s="13" t="n">
        <v>4.75</v>
      </c>
      <c r="G28" s="13" t="n">
        <v>4.12</v>
      </c>
      <c r="H28" s="13" t="n">
        <v>4.25</v>
      </c>
      <c r="I28" s="13" t="n">
        <v>4.62</v>
      </c>
      <c r="J28" s="13" t="n">
        <v>4.12</v>
      </c>
      <c r="K28" s="13" t="n">
        <v>4</v>
      </c>
      <c r="L28" s="14" t="inlineStr">
        <is>
          <t>コスパ最強 / 室内が広い / 安全装備が充実してます。</t>
        </is>
      </c>
      <c r="M28" s="14" t="inlineStr">
        <is>
          <t>前車のヴォクシー75と比較しトルクが薄い。 特に加速時、低回転で感じる。 / あったら買ってない / 以前乗っていたX1に比べると車の性能としてはだいぶ落ちるが、そもそも比べるものではない。</t>
        </is>
      </c>
    </row>
    <row r="29">
      <c r="A29" s="8" t="inlineStr">
        <is>
          <t>ノア</t>
        </is>
      </c>
      <c r="B29" s="8" t="inlineStr">
        <is>
          <t>90系</t>
        </is>
      </c>
      <c r="C29" s="8" t="n">
        <v>2025</v>
      </c>
      <c r="D29" s="8" t="n">
        <v>5</v>
      </c>
      <c r="E29" s="8" t="n">
        <v>5</v>
      </c>
      <c r="F29" s="8" t="n">
        <v>5</v>
      </c>
      <c r="G29" s="8" t="n">
        <v>4.6</v>
      </c>
      <c r="H29" s="8" t="n">
        <v>4.4</v>
      </c>
      <c r="I29" s="8" t="n">
        <v>4.8</v>
      </c>
      <c r="J29" s="8" t="n">
        <v>3.6</v>
      </c>
      <c r="K29" s="8" t="n">
        <v>3</v>
      </c>
      <c r="L29" s="14" t="inlineStr">
        <is>
          <t>前の車と比較すると、広くなって荷物も入れられるし、7人乗ることもあるので少し快適になってくれたかと思います / 加速力良い / 乗りやすいし広いし使い勝手がすごく良い！！</t>
        </is>
      </c>
      <c r="M29" s="14" t="inlineStr">
        <is>
          <t>洗車に時間がかかる / S-Zを買わないとゲートテールが光らない</t>
        </is>
      </c>
    </row>
    <row r="30">
      <c r="A30" s="13" t="inlineStr">
        <is>
          <t>ヴォクシー</t>
        </is>
      </c>
      <c r="B30" s="13" t="inlineStr"/>
      <c r="C30" s="13" t="n">
        <v>2004</v>
      </c>
      <c r="D30" s="13" t="n">
        <v>1</v>
      </c>
      <c r="E30" s="13" t="n">
        <v>5</v>
      </c>
      <c r="F30" s="13" t="n">
        <v>3</v>
      </c>
      <c r="G30" s="13" t="n">
        <v>3</v>
      </c>
      <c r="H30" s="13" t="n">
        <v>3</v>
      </c>
      <c r="I30" s="13" t="n">
        <v>5</v>
      </c>
      <c r="J30" s="13" t="n">
        <v>4</v>
      </c>
      <c r="K30" s="13" t="n"/>
      <c r="L30"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M30" s="14" t="inlineStr">
        <is>
          <t>ロールが大きい 横風にとてつもなく弱い</t>
        </is>
      </c>
    </row>
    <row r="31">
      <c r="A31" s="8" t="inlineStr">
        <is>
          <t>ヴォクシー</t>
        </is>
      </c>
      <c r="B31" s="8" t="inlineStr"/>
      <c r="C31" s="8" t="n">
        <v>2005</v>
      </c>
      <c r="D31" s="8" t="n">
        <v>1</v>
      </c>
      <c r="E31" s="8" t="n">
        <v>5</v>
      </c>
      <c r="F31" s="8" t="n">
        <v>5</v>
      </c>
      <c r="G31" s="8" t="n">
        <v>5</v>
      </c>
      <c r="H31" s="8" t="n">
        <v>5</v>
      </c>
      <c r="I31" s="8" t="n">
        <v>5</v>
      </c>
      <c r="J31" s="8" t="n">
        <v>5</v>
      </c>
      <c r="K31" s="8" t="n">
        <v>5</v>
      </c>
      <c r="L31" s="14" t="inlineStr">
        <is>
          <t>8年近く乗ったけど、右のフロントブレーキだけが2度ほど引きずる、そんなトラブルだけで、エンジン絶好調！</t>
        </is>
      </c>
      <c r="M31" s="14" t="inlineStr">
        <is>
          <t>やはりエアロが欲しかった。煌はかっこいいね。Xだとエアロは煌と違うのがオプションでついているんだけど、やっぱりエアロ欲しいね。</t>
        </is>
      </c>
    </row>
    <row r="32">
      <c r="A32" s="13" t="inlineStr">
        <is>
          <t>ヴォクシー</t>
        </is>
      </c>
      <c r="B32" s="13" t="inlineStr">
        <is>
          <t>70系</t>
        </is>
      </c>
      <c r="C32" s="13" t="n">
        <v>2007</v>
      </c>
      <c r="D32" s="13" t="n">
        <v>5</v>
      </c>
      <c r="E32" s="13" t="n">
        <v>5</v>
      </c>
      <c r="F32" s="13" t="n">
        <v>4.5</v>
      </c>
      <c r="G32" s="13" t="n">
        <v>4.5</v>
      </c>
      <c r="H32" s="13" t="n">
        <v>4.25</v>
      </c>
      <c r="I32" s="13" t="n">
        <v>5</v>
      </c>
      <c r="J32" s="13" t="n">
        <v>3.75</v>
      </c>
      <c r="K32" s="13" t="n">
        <v>4.75</v>
      </c>
      <c r="L32" s="14" t="inlineStr">
        <is>
          <t>ずっと乗り続けられる / サイドリフトアップ付きの福祉車両なので、足腰の弱い親の介護でも送迎に活躍しました。福祉車両は取得の際の消費税がかかりません。 / ８人乗りなので、家族５人で乗っても結構荷物が詰めるので便利です。 燃費も気を付けて乗れば14.5km/L位出るので満足です。</t>
        </is>
      </c>
      <c r="M32" s="14" t="inlineStr">
        <is>
          <t>サードシートが狭い / 小回りが効かない、重くて燃費悪い 腰高なので仕方ない。 / フロントピラーが太く、視界が気になってしまいます。 家内には車体が大きいようで、チョイチョイ擦られてしまう…。</t>
        </is>
      </c>
    </row>
    <row r="33">
      <c r="A33" s="8" t="inlineStr">
        <is>
          <t>ヴォクシー</t>
        </is>
      </c>
      <c r="B33" s="8" t="inlineStr">
        <is>
          <t>70系</t>
        </is>
      </c>
      <c r="C33" s="8" t="n">
        <v>2010</v>
      </c>
      <c r="D33" s="8" t="n">
        <v>1</v>
      </c>
      <c r="E33" s="8" t="n">
        <v>5</v>
      </c>
      <c r="F33" s="8" t="n">
        <v>4</v>
      </c>
      <c r="G33" s="8" t="n">
        <v>4</v>
      </c>
      <c r="H33" s="8" t="n">
        <v>4</v>
      </c>
      <c r="I33" s="8" t="n">
        <v>5</v>
      </c>
      <c r="J33" s="8" t="n">
        <v>3</v>
      </c>
      <c r="K33" s="8" t="n">
        <v>3</v>
      </c>
      <c r="L33" s="14" t="inlineStr"/>
      <c r="M33" s="14" t="inlineStr"/>
    </row>
    <row r="34">
      <c r="A34" s="13" t="inlineStr">
        <is>
          <t>ヴォクシー</t>
        </is>
      </c>
      <c r="B34" s="13" t="inlineStr">
        <is>
          <t>70系</t>
        </is>
      </c>
      <c r="C34" s="13" t="n">
        <v>2011</v>
      </c>
      <c r="D34" s="13" t="n">
        <v>1</v>
      </c>
      <c r="E34" s="13" t="n">
        <v>4</v>
      </c>
      <c r="F34" s="13" t="n">
        <v>3</v>
      </c>
      <c r="G34" s="13" t="n">
        <v>3</v>
      </c>
      <c r="H34" s="13" t="n">
        <v>3</v>
      </c>
      <c r="I34" s="13" t="n">
        <v>4</v>
      </c>
      <c r="J34" s="13" t="n">
        <v>3</v>
      </c>
      <c r="K34" s="13" t="n">
        <v>3</v>
      </c>
      <c r="L34" s="14" t="inlineStr">
        <is>
          <t>大きからず 小さからず ちょうど良い大きさの車ですね</t>
        </is>
      </c>
      <c r="M34" s="14" t="inlineStr">
        <is>
          <t>高速道路での燃費悪く 60キロ走行の方が燃費が良いのはなぜ?</t>
        </is>
      </c>
    </row>
    <row r="35">
      <c r="A35" s="8" t="inlineStr">
        <is>
          <t>ヴォクシー</t>
        </is>
      </c>
      <c r="B35" s="8" t="inlineStr">
        <is>
          <t>70系</t>
        </is>
      </c>
      <c r="C35" s="8" t="n">
        <v>2013</v>
      </c>
      <c r="D35" s="8" t="n">
        <v>1</v>
      </c>
      <c r="E35" s="8" t="n">
        <v>5</v>
      </c>
      <c r="F35" s="8" t="n">
        <v>5</v>
      </c>
      <c r="G35" s="8" t="n">
        <v>5</v>
      </c>
      <c r="H35" s="8" t="n">
        <v>5</v>
      </c>
      <c r="I35" s="8" t="n">
        <v>5</v>
      </c>
      <c r="J35" s="8" t="n">
        <v>5</v>
      </c>
      <c r="K35" s="8" t="n">
        <v>5</v>
      </c>
      <c r="L35" s="14" t="inlineStr"/>
      <c r="M35" s="14" t="inlineStr"/>
    </row>
    <row r="36">
      <c r="A36" s="13" t="inlineStr">
        <is>
          <t>ヴォクシー</t>
        </is>
      </c>
      <c r="B36" s="13" t="inlineStr">
        <is>
          <t>80系</t>
        </is>
      </c>
      <c r="C36" s="13" t="n">
        <v>2014</v>
      </c>
      <c r="D36" s="13" t="n">
        <v>4</v>
      </c>
      <c r="E36" s="13" t="n">
        <v>4.5</v>
      </c>
      <c r="F36" s="13" t="n">
        <v>4.5</v>
      </c>
      <c r="G36" s="13" t="n">
        <v>4.5</v>
      </c>
      <c r="H36" s="13" t="n">
        <v>4</v>
      </c>
      <c r="I36" s="13" t="n">
        <v>4.5</v>
      </c>
      <c r="J36" s="13" t="n">
        <v>3.5</v>
      </c>
      <c r="K36" s="13" t="n">
        <v>4.33</v>
      </c>
      <c r="L36" s="14" t="inlineStr">
        <is>
          <t>全体的な見た目はスッキリかつキリッとして良い！ 運転に関しても取り回しやすい！ 積載容量もGOOD！</t>
        </is>
      </c>
      <c r="M36" s="14" t="inlineStr">
        <is>
          <t>ドアが薄い / ミドルサイズミニバンで街乗りで燃費が約9L/km前後</t>
        </is>
      </c>
    </row>
    <row r="37">
      <c r="A37" s="8" t="inlineStr">
        <is>
          <t>ヴォクシー</t>
        </is>
      </c>
      <c r="B37" s="8" t="inlineStr">
        <is>
          <t>80系</t>
        </is>
      </c>
      <c r="C37" s="8" t="n">
        <v>2016</v>
      </c>
      <c r="D37" s="8" t="n">
        <v>3</v>
      </c>
      <c r="E37" s="8" t="n">
        <v>5</v>
      </c>
      <c r="F37" s="8" t="n">
        <v>4.33</v>
      </c>
      <c r="G37" s="8" t="n">
        <v>4.33</v>
      </c>
      <c r="H37" s="8" t="n">
        <v>4</v>
      </c>
      <c r="I37" s="8" t="n">
        <v>4.33</v>
      </c>
      <c r="J37" s="8" t="n">
        <v>2.67</v>
      </c>
      <c r="K37" s="8" t="n">
        <v>4</v>
      </c>
      <c r="L37" s="14" t="inlineStr">
        <is>
          <t>60ノアから中古で買った80ヴォクシー前期です。 60ノアがそろそろ限界だったので中古車を見に行った先で一目ぼれ。内装も外装も、かなり綺麗だったので即決してしまいました。</t>
        </is>
      </c>
      <c r="M37" s="14" t="inlineStr">
        <is>
          <t>思ったほど燃費はよくないです。</t>
        </is>
      </c>
    </row>
    <row r="38">
      <c r="A38" s="13" t="inlineStr">
        <is>
          <t>ヴォクシー</t>
        </is>
      </c>
      <c r="B38" s="13" t="inlineStr">
        <is>
          <t>80系</t>
        </is>
      </c>
      <c r="C38" s="13" t="n">
        <v>2017</v>
      </c>
      <c r="D38" s="13" t="n">
        <v>1</v>
      </c>
      <c r="E38" s="13" t="n">
        <v>5</v>
      </c>
      <c r="F38" s="13" t="n">
        <v>4</v>
      </c>
      <c r="G38" s="13" t="n">
        <v>4</v>
      </c>
      <c r="H38" s="13" t="n">
        <v>5</v>
      </c>
      <c r="I38" s="13" t="n">
        <v>5</v>
      </c>
      <c r="J38" s="13" t="n">
        <v>3</v>
      </c>
      <c r="K38" s="13" t="n">
        <v>3</v>
      </c>
      <c r="L38" s="14" t="inlineStr"/>
      <c r="M38" s="14" t="inlineStr"/>
    </row>
    <row r="39">
      <c r="A39" s="8" t="inlineStr">
        <is>
          <t>ヴォクシー</t>
        </is>
      </c>
      <c r="B39" s="8" t="inlineStr">
        <is>
          <t>80系</t>
        </is>
      </c>
      <c r="C39" s="8" t="n">
        <v>2019</v>
      </c>
      <c r="D39" s="8" t="n">
        <v>3</v>
      </c>
      <c r="E39" s="8" t="n">
        <v>4.67</v>
      </c>
      <c r="F39" s="8" t="n">
        <v>5</v>
      </c>
      <c r="G39" s="8" t="n">
        <v>4.33</v>
      </c>
      <c r="H39" s="8" t="n">
        <v>4.33</v>
      </c>
      <c r="I39" s="8" t="n">
        <v>5</v>
      </c>
      <c r="J39" s="8" t="n">
        <v>2.67</v>
      </c>
      <c r="K39" s="8" t="n">
        <v>4</v>
      </c>
      <c r="L39" s="14" t="inlineStr">
        <is>
          <t>視界が広く車内も広い</t>
        </is>
      </c>
      <c r="M39" s="14" t="inlineStr">
        <is>
          <t>自分の車だけかもしれないですが、足回り異音、イナズマスパーキング屋根塗装剥がれです</t>
        </is>
      </c>
    </row>
    <row r="40">
      <c r="A40" s="13" t="inlineStr">
        <is>
          <t>ヴォクシー</t>
        </is>
      </c>
      <c r="B40" s="13" t="inlineStr">
        <is>
          <t>80系</t>
        </is>
      </c>
      <c r="C40" s="13" t="n">
        <v>2020</v>
      </c>
      <c r="D40" s="13" t="n">
        <v>2</v>
      </c>
      <c r="E40" s="13" t="n">
        <v>4</v>
      </c>
      <c r="F40" s="13" t="n">
        <v>5</v>
      </c>
      <c r="G40" s="13" t="n">
        <v>4</v>
      </c>
      <c r="H40" s="13" t="n">
        <v>3</v>
      </c>
      <c r="I40" s="13" t="n">
        <v>5</v>
      </c>
      <c r="J40" s="13" t="n">
        <v>4</v>
      </c>
      <c r="K40" s="13" t="n">
        <v>1</v>
      </c>
      <c r="L40" s="14" t="inlineStr">
        <is>
          <t>多人数乗れて物も積める。 日本の道路や店舗駐車場にちょうど良いサイズ感</t>
        </is>
      </c>
      <c r="M40" s="14" t="inlineStr">
        <is>
          <t>やはり運転していて楽しくない。 「乗る」じゃなくて「乗せられる」車 五年前の車にしては装備が古い</t>
        </is>
      </c>
    </row>
    <row r="41">
      <c r="A41" s="8" t="inlineStr">
        <is>
          <t>ヴォクシー</t>
        </is>
      </c>
      <c r="B41" s="8" t="inlineStr">
        <is>
          <t>90系</t>
        </is>
      </c>
      <c r="C41" s="8" t="n">
        <v>2022</v>
      </c>
      <c r="D41" s="8" t="n">
        <v>4</v>
      </c>
      <c r="E41" s="8" t="n">
        <v>4.5</v>
      </c>
      <c r="F41" s="8" t="n">
        <v>4.5</v>
      </c>
      <c r="G41" s="8" t="n">
        <v>4</v>
      </c>
      <c r="H41" s="8" t="n">
        <v>4.25</v>
      </c>
      <c r="I41" s="8" t="n">
        <v>4.75</v>
      </c>
      <c r="J41" s="8" t="n">
        <v>3</v>
      </c>
      <c r="K41" s="8" t="n">
        <v>4</v>
      </c>
      <c r="L41" s="14" t="inlineStr">
        <is>
          <t>車内が広い / ・ボディサイズが大きすぎないため取り回し性がいい ・前モデルと比較したらボディ剛性やサスペンション、静粛性が向上していて上質感がある。 / ・背がが高くても広々 ・横幅が広くないので狭い道も楽々 ・6人乗れて1泊2日の荷物も乗る ・スーパーラゲージボックス（床下収納）にゴルフバッグが入る ・自転車を乗せられる</t>
        </is>
      </c>
      <c r="M41" s="14" t="inlineStr">
        <is>
          <t>燃費が悪い / 前車エスティマと比較すると ・加速が悪い ・ロールが大きい ・風の影響が大きい ・乗り心地が悪い / ・</t>
        </is>
      </c>
    </row>
    <row r="42">
      <c r="A42" s="13" t="inlineStr">
        <is>
          <t>ヴォクシー</t>
        </is>
      </c>
      <c r="B42" s="13" t="inlineStr">
        <is>
          <t>90系</t>
        </is>
      </c>
      <c r="C42" s="13" t="n">
        <v>2025</v>
      </c>
      <c r="D42" s="13" t="n">
        <v>3</v>
      </c>
      <c r="E42" s="13" t="n">
        <v>4.33</v>
      </c>
      <c r="F42" s="13" t="n">
        <v>5</v>
      </c>
      <c r="G42" s="13" t="n">
        <v>5</v>
      </c>
      <c r="H42" s="13" t="n">
        <v>4</v>
      </c>
      <c r="I42" s="13" t="n">
        <v>4.5</v>
      </c>
      <c r="J42" s="13" t="n">
        <v>3.5</v>
      </c>
      <c r="K42" s="13" t="n">
        <v>4</v>
      </c>
      <c r="L42" s="14" t="inlineStr">
        <is>
          <t>初ファミリーカーになります。 車内は広くて、そのうえよく走って、いい車ですね。荷物が詰みやすく、キャンプも行きやすいです。 / ストロングハイブリッドなので、静かです。 / オプション設定がいくつか標準装備になった</t>
        </is>
      </c>
      <c r="M42" s="14" t="inlineStr">
        <is>
          <t>足回りが硬く、段差は感じられやすいです。運転席から後ろへ行かれる様になったらいいなと思いました。 / パワーがない。ハイブリッド特有の回生協調ブレーキのカックンブレーキがひどい。 / まだ納車されたばかりで特になし納車までの期間が長すぎる アドバンストパークが思ったより利用できない</t>
        </is>
      </c>
    </row>
    <row r="43">
      <c r="A43" s="8" t="inlineStr">
        <is>
          <t>エスクァイア</t>
        </is>
      </c>
      <c r="B43" s="8" t="inlineStr"/>
      <c r="C43" s="8" t="n">
        <v>2014</v>
      </c>
      <c r="D43" s="8" t="n">
        <v>11</v>
      </c>
      <c r="E43" s="8" t="n">
        <v>4.36</v>
      </c>
      <c r="F43" s="8" t="n">
        <v>3.38</v>
      </c>
      <c r="G43" s="8" t="n">
        <v>3</v>
      </c>
      <c r="H43" s="8" t="n">
        <v>3.5</v>
      </c>
      <c r="I43" s="8" t="n">
        <v>4.38</v>
      </c>
      <c r="J43" s="8" t="n">
        <v>2.88</v>
      </c>
      <c r="K43" s="8" t="n">
        <v>3.5</v>
      </c>
      <c r="L43" s="14" t="inlineStr">
        <is>
          <t>人荷物載ります / 乗り降りしやすい。 / 燃費がいい</t>
        </is>
      </c>
      <c r="M43" s="14" t="inlineStr">
        <is>
          <t>キビキビではない / 少々パワー不足、純正グリルが好みではない。 / 特になし</t>
        </is>
      </c>
    </row>
    <row r="44">
      <c r="A44" s="13" t="inlineStr">
        <is>
          <t>エスクァイア</t>
        </is>
      </c>
      <c r="B44" s="13" t="inlineStr">
        <is>
          <t>80系</t>
        </is>
      </c>
      <c r="C44" s="13" t="n">
        <v>2016</v>
      </c>
      <c r="D44" s="13" t="n">
        <v>3</v>
      </c>
      <c r="E44" s="13" t="n">
        <v>4.33</v>
      </c>
      <c r="F44" s="13" t="n">
        <v>3.67</v>
      </c>
      <c r="G44" s="13" t="n">
        <v>3.67</v>
      </c>
      <c r="H44" s="13" t="n">
        <v>3.33</v>
      </c>
      <c r="I44" s="13" t="n">
        <v>4.67</v>
      </c>
      <c r="J44" s="13" t="n">
        <v>4</v>
      </c>
      <c r="K44" s="13" t="n">
        <v>3.5</v>
      </c>
      <c r="L44" s="14" t="inlineStr">
        <is>
          <t>子供が小さいときにはとても便利でした。チャイルドシートの設置もしやすかった。 / オールOK / 運転しやすいです。 加速も悪くないです。 サードシートを跳ね上げたスペースが思った以上にあり以前のミニバンより積み込めます！</t>
        </is>
      </c>
      <c r="M44" s="14" t="inlineStr">
        <is>
          <t>あまり速くないところ・・・。 タイヤ圧の管理をしっかりしないと、ふにゃふにゃして酔いやすかった。 / とくに、 / シフト周りの出っ張りが微妙に足に当たって少し窮屈かと。 あと燃料メーターの把握が分かりづらいです。</t>
        </is>
      </c>
    </row>
    <row r="45">
      <c r="A45" s="8" t="inlineStr">
        <is>
          <t>エスクァイア</t>
        </is>
      </c>
      <c r="B45" s="8" t="inlineStr">
        <is>
          <t>80系</t>
        </is>
      </c>
      <c r="C45" s="8" t="n">
        <v>2017</v>
      </c>
      <c r="D45" s="8" t="n">
        <v>6</v>
      </c>
      <c r="E45" s="8" t="n">
        <v>4.83</v>
      </c>
      <c r="F45" s="8" t="n">
        <v>4.33</v>
      </c>
      <c r="G45" s="8" t="n">
        <v>4</v>
      </c>
      <c r="H45" s="8" t="n">
        <v>4.5</v>
      </c>
      <c r="I45" s="8" t="n">
        <v>4.75</v>
      </c>
      <c r="J45" s="8" t="n">
        <v>3.75</v>
      </c>
      <c r="K45" s="8" t="n">
        <v>3.75</v>
      </c>
      <c r="L45" s="14" t="inlineStr">
        <is>
          <t>大人6人は余裕で乗れる(サードシートは少し快適性が…) 荷物もたくさん積めるところかな / 高めのアイポイント / サーフボードのロング9フィートが車内に収まる</t>
        </is>
      </c>
      <c r="M45" s="14" t="inlineStr">
        <is>
          <t>スライドドアの車は大体あるあるだけど… 走行中のスライドドアからの異音が出る事。 後、サードシートにスライド機能が欲しかった。 / パワー / ダッシュボードがUVの影響で10年過ぎた頃からベタつきはじめた。 後方ナンバープレートがバンパーより下に有ること(バックカメラ対応)</t>
        </is>
      </c>
    </row>
    <row r="46">
      <c r="A46" s="13" t="inlineStr">
        <is>
          <t>エスクァイア</t>
        </is>
      </c>
      <c r="B46" s="13" t="inlineStr">
        <is>
          <t>80系</t>
        </is>
      </c>
      <c r="C46" s="13" t="n">
        <v>2019</v>
      </c>
      <c r="D46" s="13" t="n">
        <v>10</v>
      </c>
      <c r="E46" s="13" t="n">
        <v>4.1</v>
      </c>
      <c r="F46" s="13" t="n">
        <v>3.8</v>
      </c>
      <c r="G46" s="13" t="n">
        <v>3.2</v>
      </c>
      <c r="H46" s="13" t="n">
        <v>3.3</v>
      </c>
      <c r="I46" s="13" t="n">
        <v>4.3</v>
      </c>
      <c r="J46" s="13" t="n">
        <v>2.9</v>
      </c>
      <c r="K46" s="13" t="n">
        <v>3.22</v>
      </c>
      <c r="L46" s="14" t="inlineStr">
        <is>
          <t>・不人気なので他人と被りにくい ・ショッピングモールの駐車場では比較的簡単に自分の車を見つけることができます / 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 / バンの割に燃費いい。コーナーランプ。5ナンバーだけどイカツイ。皮シートの匂いが良い。</t>
        </is>
      </c>
      <c r="M46"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 / ・3列目をスッキリたためるせいか少し座面が薄い。（70系との比較）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 / 揺れる。長いので良く横を擦る。アドバンスオートクルーズではない。TSSが古い</t>
        </is>
      </c>
    </row>
    <row r="47">
      <c r="A47" s="8" t="inlineStr">
        <is>
          <t>シエンタ</t>
        </is>
      </c>
      <c r="B47" s="8" t="inlineStr">
        <is>
          <t>80系</t>
        </is>
      </c>
      <c r="C47" s="8" t="n">
        <v>2007</v>
      </c>
      <c r="D47" s="8" t="n">
        <v>1</v>
      </c>
      <c r="E47" s="8" t="n">
        <v>5</v>
      </c>
      <c r="F47" s="8" t="n">
        <v>5</v>
      </c>
      <c r="G47" s="8" t="n">
        <v>5</v>
      </c>
      <c r="H47" s="8" t="n">
        <v>3</v>
      </c>
      <c r="I47" s="8" t="n">
        <v>5</v>
      </c>
      <c r="J47" s="8" t="n">
        <v>2</v>
      </c>
      <c r="K47" s="8" t="n">
        <v>5</v>
      </c>
      <c r="L47" s="14" t="inlineStr">
        <is>
          <t>ホワイトパールの車体が綺麗で洗車が楽チンな処</t>
        </is>
      </c>
      <c r="M47" s="14" t="inlineStr">
        <is>
          <t>アームレストが欲しいです(´･ω･`)</t>
        </is>
      </c>
    </row>
    <row r="48">
      <c r="A48" s="13" t="inlineStr">
        <is>
          <t>シエンタ</t>
        </is>
      </c>
      <c r="B48" s="13" t="inlineStr"/>
      <c r="C48" s="13" t="n">
        <v>2015</v>
      </c>
      <c r="D48" s="13" t="n">
        <v>1</v>
      </c>
      <c r="E48" s="13" t="n">
        <v>5</v>
      </c>
      <c r="F48" s="13" t="n">
        <v>3</v>
      </c>
      <c r="G48" s="13" t="n">
        <v>3</v>
      </c>
      <c r="H48" s="13" t="n">
        <v>3</v>
      </c>
      <c r="I48" s="13" t="n">
        <v>5</v>
      </c>
      <c r="J48" s="13" t="n">
        <v>5</v>
      </c>
      <c r="K48" s="13" t="n">
        <v>5</v>
      </c>
      <c r="L48" s="14" t="inlineStr">
        <is>
          <t>小型でスライドドア</t>
        </is>
      </c>
      <c r="M48" s="14" t="inlineStr">
        <is>
          <t>遮音性が低い、フワフワして気持ち悪い</t>
        </is>
      </c>
    </row>
    <row r="49">
      <c r="A49" s="8" t="inlineStr">
        <is>
          <t>シエンタ</t>
        </is>
      </c>
      <c r="B49" s="8" t="inlineStr">
        <is>
          <t>170系</t>
        </is>
      </c>
      <c r="C49" s="8" t="n">
        <v>2018</v>
      </c>
      <c r="D49" s="8" t="n">
        <v>1</v>
      </c>
      <c r="E49" s="8" t="n">
        <v>5</v>
      </c>
      <c r="F49" s="8" t="n">
        <v>5</v>
      </c>
      <c r="G49" s="8" t="n">
        <v>3</v>
      </c>
      <c r="H49" s="8" t="n">
        <v>4</v>
      </c>
      <c r="I49" s="8" t="n">
        <v>5</v>
      </c>
      <c r="J49" s="8" t="n">
        <v>3</v>
      </c>
      <c r="K49" s="8" t="n">
        <v>3</v>
      </c>
      <c r="L49" s="14" t="inlineStr">
        <is>
          <t>5ナンバーサイズの取り回しの良さ、積載量の多さ。</t>
        </is>
      </c>
      <c r="M49" s="14" t="inlineStr">
        <is>
          <t>分かって購入しましたが、クルーズコントロールがハイブリッドの上級グレードにしか設定が無い。</t>
        </is>
      </c>
    </row>
    <row r="50">
      <c r="A50" s="13" t="inlineStr">
        <is>
          <t>シエンタ</t>
        </is>
      </c>
      <c r="B50" s="13" t="inlineStr">
        <is>
          <t>170系</t>
        </is>
      </c>
      <c r="C50" s="13" t="n">
        <v>2022</v>
      </c>
      <c r="D50" s="13" t="n">
        <v>10</v>
      </c>
      <c r="E50" s="13" t="n">
        <v>4.2</v>
      </c>
      <c r="F50" s="13" t="n">
        <v>4.11</v>
      </c>
      <c r="G50" s="13" t="n">
        <v>4</v>
      </c>
      <c r="H50" s="13" t="n">
        <v>3.5</v>
      </c>
      <c r="I50" s="13" t="n">
        <v>4.12</v>
      </c>
      <c r="J50" s="13" t="n">
        <v>4.62</v>
      </c>
      <c r="K50" s="13" t="n">
        <v>3.75</v>
      </c>
      <c r="L50" s="14" t="inlineStr">
        <is>
          <t>運転者支援と燃費が素晴らしい / 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 / 燃費</t>
        </is>
      </c>
      <c r="M50" s="14" t="inlineStr">
        <is>
          <t>エンジンの振動が少し気になる / 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 / どこでも見かける車</t>
        </is>
      </c>
    </row>
    <row r="51">
      <c r="A51" s="8" t="inlineStr">
        <is>
          <t>シエンタ</t>
        </is>
      </c>
      <c r="B51" s="8" t="inlineStr">
        <is>
          <t>10系</t>
        </is>
      </c>
      <c r="C51" s="8" t="n">
        <v>2024</v>
      </c>
      <c r="D51" s="8" t="n">
        <v>3</v>
      </c>
      <c r="E51" s="8" t="n">
        <v>4.67</v>
      </c>
      <c r="F51" s="8" t="n">
        <v>4</v>
      </c>
      <c r="G51" s="8" t="n">
        <v>4</v>
      </c>
      <c r="H51" s="8" t="n">
        <v>3</v>
      </c>
      <c r="I51" s="8" t="n">
        <v>3.67</v>
      </c>
      <c r="J51" s="8" t="n">
        <v>4.67</v>
      </c>
      <c r="K51" s="8" t="n">
        <v>3.67</v>
      </c>
      <c r="L51" s="14" t="inlineStr">
        <is>
          <t>どんなものでも積める大きなラゲッジと力強い加速感 / 大き過ぎず使い勝手も良く燃費が良い / ハイブリットなので燃費は良くて当たり前なのですが、このシエンタは、街乗りでも燃費の悪化が少ないと思います。</t>
        </is>
      </c>
      <c r="M51" s="14" t="inlineStr">
        <is>
          <t>電動パーキングブレーキとブレーキホールドがないところ。それと、バックドアを閉めたとき音がなんとも悲しげなところ笑 / 内装の質感はもっと頑張ってほしい ステアリングがアシスト強過ぎ / ワイパーのビビり、、ガラスへの接圧が強い感じです。。Assy交換もしたけど、、びびりそうな感じがします。。。</t>
        </is>
      </c>
    </row>
    <row r="52">
      <c r="A52" s="13" t="inlineStr">
        <is>
          <t>シエンタ</t>
        </is>
      </c>
      <c r="B52" s="13" t="inlineStr">
        <is>
          <t>10系</t>
        </is>
      </c>
      <c r="C52" s="13" t="n">
        <v>2025</v>
      </c>
      <c r="D52" s="13" t="n">
        <v>14</v>
      </c>
      <c r="E52" s="13" t="n">
        <v>4.71</v>
      </c>
      <c r="F52" s="13" t="n">
        <v>3.92</v>
      </c>
      <c r="G52" s="13" t="n">
        <v>3.83</v>
      </c>
      <c r="H52" s="13" t="n">
        <v>4.08</v>
      </c>
      <c r="I52" s="13" t="n">
        <v>4.58</v>
      </c>
      <c r="J52" s="13" t="n">
        <v>4.17</v>
      </c>
      <c r="K52" s="13" t="n">
        <v>3.42</v>
      </c>
      <c r="L52" s="14" t="inlineStr">
        <is>
          <t>そのうち書きます / 夫婦2人たまに後席に1〜2人乗車乗り降りしやすく荷物も沢山乗る。 ボディサイズも5ナンバーでコンパクト狭い道でも気にならない。 / 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t>
        </is>
      </c>
      <c r="M52" s="14" t="inlineStr">
        <is>
          <t>そのうち書きます / 3気筒ならではの振動 ファミリーカーならではのチープな部分 良い車なので街中に溢れている。なので個性を出すためカスタムしたくなる🤭 / 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t>
        </is>
      </c>
    </row>
    <row r="53">
      <c r="A53" s="8" t="inlineStr">
        <is>
          <t>エスティマ</t>
        </is>
      </c>
      <c r="B53" s="8" t="inlineStr"/>
      <c r="C53" s="8" t="n">
        <v>1998</v>
      </c>
      <c r="D53" s="8" t="n">
        <v>1</v>
      </c>
      <c r="E53" s="8" t="n">
        <v>5</v>
      </c>
      <c r="F53" s="8" t="n">
        <v>5</v>
      </c>
      <c r="G53" s="8" t="n">
        <v>5</v>
      </c>
      <c r="H53" s="8" t="n">
        <v>3</v>
      </c>
      <c r="I53" s="8" t="n">
        <v>3</v>
      </c>
      <c r="J53" s="8" t="n">
        <v>1</v>
      </c>
      <c r="K53" s="8" t="n">
        <v>2</v>
      </c>
      <c r="L53" s="14" t="inlineStr">
        <is>
          <t>全て</t>
        </is>
      </c>
      <c r="M53" s="14" t="inlineStr">
        <is>
          <t>部品がない</t>
        </is>
      </c>
    </row>
    <row r="54">
      <c r="A54" s="13" t="inlineStr">
        <is>
          <t>エスティマ</t>
        </is>
      </c>
      <c r="B54" s="13" t="inlineStr"/>
      <c r="C54" s="13" t="n">
        <v>2001</v>
      </c>
      <c r="D54" s="13" t="n">
        <v>1</v>
      </c>
      <c r="E54" s="13" t="n">
        <v>5</v>
      </c>
      <c r="F54" s="13" t="n">
        <v>5</v>
      </c>
      <c r="G54" s="13" t="n">
        <v>4</v>
      </c>
      <c r="H54" s="13" t="n">
        <v>4</v>
      </c>
      <c r="I54" s="13" t="n">
        <v>4</v>
      </c>
      <c r="J54" s="13" t="n">
        <v>4</v>
      </c>
      <c r="K54" s="13" t="n">
        <v>3</v>
      </c>
      <c r="L54" s="14" t="inlineStr">
        <is>
          <t>低重心で安定した走り</t>
        </is>
      </c>
      <c r="M54" s="14" t="inlineStr">
        <is>
          <t>安全装備</t>
        </is>
      </c>
    </row>
    <row r="55">
      <c r="A55" s="8" t="inlineStr">
        <is>
          <t>エスティマ</t>
        </is>
      </c>
      <c r="B55" s="8" t="inlineStr">
        <is>
          <t>50系</t>
        </is>
      </c>
      <c r="C55" s="8" t="n">
        <v>2006</v>
      </c>
      <c r="D55" s="8" t="n">
        <v>8</v>
      </c>
      <c r="E55" s="8" t="n">
        <v>4.62</v>
      </c>
      <c r="F55" s="8" t="n">
        <v>5</v>
      </c>
      <c r="G55" s="8" t="n">
        <v>4.43</v>
      </c>
      <c r="H55" s="8" t="n">
        <v>4.43</v>
      </c>
      <c r="I55" s="8" t="n">
        <v>4.29</v>
      </c>
      <c r="J55" s="8" t="n">
        <v>3.86</v>
      </c>
      <c r="K55" s="8" t="n">
        <v>4.67</v>
      </c>
      <c r="L55"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 / パワー / 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t>
        </is>
      </c>
      <c r="M55"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 / 整備で後悔する箇所、プラグ交換 エアクリーナーフィルター交換 冷却水交換 制動距離が長い / 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row>
    <row r="56">
      <c r="A56" s="13" t="inlineStr">
        <is>
          <t>エスティマ</t>
        </is>
      </c>
      <c r="B56" s="13" t="inlineStr">
        <is>
          <t>50系</t>
        </is>
      </c>
      <c r="C56" s="13" t="n">
        <v>2007</v>
      </c>
      <c r="D56" s="13" t="n">
        <v>2</v>
      </c>
      <c r="E56" s="13" t="n">
        <v>5</v>
      </c>
      <c r="F56" s="13" t="n">
        <v>5</v>
      </c>
      <c r="G56" s="13" t="n">
        <v>5</v>
      </c>
      <c r="H56" s="13" t="n">
        <v>5</v>
      </c>
      <c r="I56" s="13" t="n">
        <v>5</v>
      </c>
      <c r="J56" s="13" t="n">
        <v>2.5</v>
      </c>
      <c r="K56" s="13" t="n">
        <v>4.5</v>
      </c>
      <c r="L56" s="14" t="inlineStr">
        <is>
          <t>とても大きな車ですので遠出も楽ちんで荷物が増えてもへっちゃらです。</t>
        </is>
      </c>
      <c r="M56" s="14" t="inlineStr">
        <is>
          <t>燃費が多少悪いことくらいです。</t>
        </is>
      </c>
    </row>
    <row r="57">
      <c r="A57" s="8" t="inlineStr">
        <is>
          <t>エスティマ</t>
        </is>
      </c>
      <c r="B57" s="8" t="inlineStr">
        <is>
          <t>50系</t>
        </is>
      </c>
      <c r="C57" s="8" t="n">
        <v>2008</v>
      </c>
      <c r="D57" s="8" t="n">
        <v>3</v>
      </c>
      <c r="E57" s="8" t="n">
        <v>5</v>
      </c>
      <c r="F57" s="8" t="n">
        <v>4.33</v>
      </c>
      <c r="G57" s="8" t="n">
        <v>3.67</v>
      </c>
      <c r="H57" s="8" t="n">
        <v>3.33</v>
      </c>
      <c r="I57" s="8" t="n">
        <v>4.33</v>
      </c>
      <c r="J57" s="8" t="n">
        <v>2.67</v>
      </c>
      <c r="K57" s="8" t="n">
        <v>4.33</v>
      </c>
      <c r="L57" s="14" t="inlineStr">
        <is>
          <t>車内広く使える / 3列目シートが床下収納になる点が大変満足してます。 V6 3.5 のパワーユニットも申し分ないですね</t>
        </is>
      </c>
      <c r="M57" s="14" t="inlineStr">
        <is>
          <t>燃費かな</t>
        </is>
      </c>
    </row>
    <row r="58">
      <c r="A58" s="13" t="inlineStr">
        <is>
          <t>エスティマ</t>
        </is>
      </c>
      <c r="B58" s="13" t="inlineStr">
        <is>
          <t>50系</t>
        </is>
      </c>
      <c r="C58" s="13" t="n">
        <v>2009</v>
      </c>
      <c r="D58" s="13" t="n">
        <v>2</v>
      </c>
      <c r="E58" s="13" t="n">
        <v>4</v>
      </c>
      <c r="F58" s="13" t="n">
        <v>4</v>
      </c>
      <c r="G58" s="13" t="n">
        <v>3.5</v>
      </c>
      <c r="H58" s="13" t="n">
        <v>3.5</v>
      </c>
      <c r="I58" s="13" t="n">
        <v>3.5</v>
      </c>
      <c r="J58" s="13" t="n">
        <v>4</v>
      </c>
      <c r="K58" s="13" t="n">
        <v>2.5</v>
      </c>
      <c r="L58"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 / 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M58" s="14" t="inlineStr">
        <is>
          <t>燃料タンクが小さい。（これ以上のスペースがないのは承知してます。） ルーフに弾く雨音が凄い。 悪名高きヘッドライト、噂には聞いていたがこんなに暗いとは。 / 車中泊をするので室内が狭いこと。運転では アルファードとかの様に大きくないので運転がしやすいです、</t>
        </is>
      </c>
    </row>
    <row r="59">
      <c r="A59" s="8" t="inlineStr">
        <is>
          <t>エスティマ</t>
        </is>
      </c>
      <c r="B59" s="8" t="inlineStr">
        <is>
          <t>50系</t>
        </is>
      </c>
      <c r="C59" s="8" t="n">
        <v>2010</v>
      </c>
      <c r="D59" s="8" t="n">
        <v>2</v>
      </c>
      <c r="E59" s="8" t="n">
        <v>4.5</v>
      </c>
      <c r="F59" s="8" t="n">
        <v>4</v>
      </c>
      <c r="G59" s="8" t="n">
        <v>3</v>
      </c>
      <c r="H59" s="8" t="n">
        <v>3</v>
      </c>
      <c r="I59" s="8" t="n">
        <v>3</v>
      </c>
      <c r="J59" s="8" t="n">
        <v>3</v>
      </c>
      <c r="K59" s="8" t="n">
        <v>3</v>
      </c>
      <c r="L59" s="14" t="inlineStr">
        <is>
          <t>正直特に無いが、洗車した後の姿見たらまぁ良いかって思う。 / 運転のしやすさ</t>
        </is>
      </c>
      <c r="M59" s="14" t="inlineStr">
        <is>
          <t>最近塗装が剥がれてきた</t>
        </is>
      </c>
    </row>
    <row r="60">
      <c r="A60" s="13" t="inlineStr">
        <is>
          <t>エスティマ</t>
        </is>
      </c>
      <c r="B60" s="13" t="inlineStr">
        <is>
          <t>50系</t>
        </is>
      </c>
      <c r="C60" s="13" t="n">
        <v>2012</v>
      </c>
      <c r="D60" s="13" t="n">
        <v>1</v>
      </c>
      <c r="E60" s="13" t="n">
        <v>4</v>
      </c>
      <c r="F60" s="13" t="n">
        <v>4</v>
      </c>
      <c r="G60" s="13" t="n">
        <v>4</v>
      </c>
      <c r="H60" s="13" t="n">
        <v>4</v>
      </c>
      <c r="I60" s="13" t="n">
        <v>4</v>
      </c>
      <c r="J60" s="13" t="n">
        <v>3</v>
      </c>
      <c r="K60" s="13" t="n">
        <v>3</v>
      </c>
      <c r="L60" s="14" t="inlineStr">
        <is>
          <t>4人乗りレイアウトにすることで、室内空間に ゆとりがあること。</t>
        </is>
      </c>
      <c r="M60" s="14" t="inlineStr">
        <is>
          <t>認定中古車の保証が切れたとたんに、エアコンコンプレッサー故障…</t>
        </is>
      </c>
    </row>
    <row r="61">
      <c r="A61" s="8" t="inlineStr">
        <is>
          <t>エスティマ</t>
        </is>
      </c>
      <c r="B61" s="8" t="inlineStr">
        <is>
          <t>50系</t>
        </is>
      </c>
      <c r="C61" s="8" t="n">
        <v>2013</v>
      </c>
      <c r="D61" s="8" t="n">
        <v>4</v>
      </c>
      <c r="E61" s="8" t="n">
        <v>4.5</v>
      </c>
      <c r="F61" s="8" t="n">
        <v>5</v>
      </c>
      <c r="G61" s="8" t="n">
        <v>4.67</v>
      </c>
      <c r="H61" s="8" t="n">
        <v>3.67</v>
      </c>
      <c r="I61" s="8" t="n">
        <v>4.33</v>
      </c>
      <c r="J61" s="8" t="n">
        <v>3.67</v>
      </c>
      <c r="K61" s="8" t="n">
        <v>4.67</v>
      </c>
      <c r="L61" s="14" t="inlineStr">
        <is>
          <t>扱いやすい、丁度良い大きさ / なんと言っても3.5リッター280馬力による圧倒的な動力性能。 / 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M61" s="14" t="inlineStr">
        <is>
          <t>ナビがダメ マップ更新が10年で終了するのに、社外品へ交換するのに取り付け断られた / 中古車市場でのV6 3.5 4WDに球数が極端に少ないこと・・・。 / 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t>
        </is>
      </c>
    </row>
    <row r="62">
      <c r="A62" s="13" t="inlineStr">
        <is>
          <t>エスティマ</t>
        </is>
      </c>
      <c r="B62" s="13" t="inlineStr">
        <is>
          <t>50系</t>
        </is>
      </c>
      <c r="C62" s="13" t="n">
        <v>2014</v>
      </c>
      <c r="D62" s="13" t="n">
        <v>2</v>
      </c>
      <c r="E62" s="13" t="n">
        <v>5</v>
      </c>
      <c r="F62" s="13" t="n">
        <v>5</v>
      </c>
      <c r="G62" s="13" t="n">
        <v>4</v>
      </c>
      <c r="H62" s="13" t="n">
        <v>4</v>
      </c>
      <c r="I62" s="13" t="n">
        <v>5</v>
      </c>
      <c r="J62" s="13" t="n">
        <v>4</v>
      </c>
      <c r="K62" s="13" t="n">
        <v>5</v>
      </c>
      <c r="L62" s="14" t="inlineStr">
        <is>
          <t>高速道路でも風の抵抗を受けにくくとても運転しやすい。見た目もエスティマの中でも圧倒的にいいと思う</t>
        </is>
      </c>
      <c r="M62" s="14" t="inlineStr">
        <is>
          <t>年式が古いので最近の車と比較すると相場面は劣る</t>
        </is>
      </c>
    </row>
    <row r="63">
      <c r="A63" s="8" t="inlineStr">
        <is>
          <t>エスティマ</t>
        </is>
      </c>
      <c r="B63" s="8" t="inlineStr">
        <is>
          <t>50系</t>
        </is>
      </c>
      <c r="C63" s="8" t="n">
        <v>2016</v>
      </c>
      <c r="D63" s="8" t="n">
        <v>4</v>
      </c>
      <c r="E63" s="8" t="n">
        <v>5</v>
      </c>
      <c r="F63" s="8" t="n">
        <v>4.5</v>
      </c>
      <c r="G63" s="8" t="n">
        <v>3.5</v>
      </c>
      <c r="H63" s="8" t="n">
        <v>3</v>
      </c>
      <c r="I63" s="8" t="n">
        <v>4</v>
      </c>
      <c r="J63" s="8" t="n">
        <v>2.5</v>
      </c>
      <c r="K63" s="8" t="n">
        <v>2.5</v>
      </c>
      <c r="L63" s="14" t="inlineStr">
        <is>
          <t>乗れば分かる / エスティマ最終型 満足です</t>
        </is>
      </c>
      <c r="M63" s="14" t="inlineStr">
        <is>
          <t>内装にもう少し高級感を持たせたい / 燃費が悪い ウチの車庫に入れるために2㎝ローダウン（ドレスアップ目的ではなく）</t>
        </is>
      </c>
    </row>
    <row r="64">
      <c r="A64" s="13" t="inlineStr">
        <is>
          <t>ウィッシュ</t>
        </is>
      </c>
      <c r="B64" s="13" t="inlineStr"/>
      <c r="C64" s="13" t="n">
        <v>2003</v>
      </c>
      <c r="D64" s="13" t="n">
        <v>2</v>
      </c>
      <c r="E64" s="13" t="n">
        <v>4.5</v>
      </c>
      <c r="F64" s="13" t="n">
        <v>4</v>
      </c>
      <c r="G64" s="13" t="n">
        <v>4.5</v>
      </c>
      <c r="H64" s="13" t="n">
        <v>4.5</v>
      </c>
      <c r="I64" s="13" t="n">
        <v>4.5</v>
      </c>
      <c r="J64" s="13" t="n">
        <v>4</v>
      </c>
      <c r="K64" s="13" t="n">
        <v>4</v>
      </c>
      <c r="L64" s="14" t="inlineStr">
        <is>
          <t>運転しやすいし燃費も良く荷物も沢山積めるから文句無し</t>
        </is>
      </c>
      <c r="M64" s="14" t="inlineStr">
        <is>
          <t>なし</t>
        </is>
      </c>
    </row>
    <row r="65">
      <c r="A65" s="8" t="inlineStr">
        <is>
          <t>ウィッシュ</t>
        </is>
      </c>
      <c r="B65" s="8" t="inlineStr"/>
      <c r="C65" s="8" t="n">
        <v>2005</v>
      </c>
      <c r="D65" s="8" t="n">
        <v>5</v>
      </c>
      <c r="E65" s="8" t="n">
        <v>4.4</v>
      </c>
      <c r="F65" s="8" t="n">
        <v>4</v>
      </c>
      <c r="G65" s="8" t="n">
        <v>3.67</v>
      </c>
      <c r="H65" s="8" t="n">
        <v>3.33</v>
      </c>
      <c r="I65" s="8" t="n">
        <v>3.67</v>
      </c>
      <c r="J65" s="8" t="n">
        <v>3.67</v>
      </c>
      <c r="K65" s="8" t="n">
        <v>4</v>
      </c>
      <c r="L65" s="14" t="inlineStr">
        <is>
          <t>外観が好みだった。 人も物も十分に乗せられ、子供が小さい頃はこれで車内泊旅行にもいけた。 / 壊れない。 スタイリッシュ 荷物がたくさん積める 非常時7人のり / エンジンは1.8リッターNAですが十分パワーもあり、ワインディングでも走りやすい個体。</t>
        </is>
      </c>
      <c r="M65" s="14" t="inlineStr">
        <is>
          <t>不満と言う不満は無かった / 特にありません / リアのネジレがあり、リアゲート、Aピラーからきしみが聞こえるのは今年で20年目のせいかも（笑）</t>
        </is>
      </c>
    </row>
    <row r="66">
      <c r="A66" s="13" t="inlineStr">
        <is>
          <t>ウィッシュ</t>
        </is>
      </c>
      <c r="B66" s="13" t="inlineStr"/>
      <c r="C66" s="13" t="n">
        <v>2007</v>
      </c>
      <c r="D66" s="13" t="n">
        <v>2</v>
      </c>
      <c r="E66" s="13" t="n">
        <v>3</v>
      </c>
      <c r="F66" s="13" t="n"/>
      <c r="G66" s="13" t="n"/>
      <c r="H66" s="13" t="n"/>
      <c r="I66" s="13" t="n"/>
      <c r="J66" s="13" t="n"/>
      <c r="K66" s="13" t="n"/>
      <c r="L66" s="14" t="inlineStr">
        <is>
          <t>とにかく壊れない。積載量が必要十分。</t>
        </is>
      </c>
      <c r="M66" s="14" t="inlineStr">
        <is>
          <t>現行の車両と比較すると燃費が悪い。</t>
        </is>
      </c>
    </row>
    <row r="67">
      <c r="A67" s="8" t="inlineStr">
        <is>
          <t>ウィッシュ</t>
        </is>
      </c>
      <c r="B67" s="8" t="inlineStr">
        <is>
          <t>20系</t>
        </is>
      </c>
      <c r="C67" s="8" t="n">
        <v>2009</v>
      </c>
      <c r="D67" s="8" t="n">
        <v>7</v>
      </c>
      <c r="E67" s="8" t="n">
        <v>4.71</v>
      </c>
      <c r="F67" s="8" t="n">
        <v>4</v>
      </c>
      <c r="G67" s="8" t="n">
        <v>3.83</v>
      </c>
      <c r="H67" s="8" t="n">
        <v>2.83</v>
      </c>
      <c r="I67" s="8" t="n">
        <v>4.83</v>
      </c>
      <c r="J67" s="8" t="n">
        <v>4</v>
      </c>
      <c r="K67" s="8" t="n">
        <v>3.8</v>
      </c>
      <c r="L67" s="14" t="inlineStr">
        <is>
          <t>通常の使用ではどんな場面でも気にせず加速できるトルク感。 / 色々あったが15年21万キロ持ってくれた事。 いじりやすかった。 / ヴェルファイア(20系)と比べると加速が良い 思っていたより室内が広い 緊急用の3列目シート 3列目を収納すればトランク広々使える</t>
        </is>
      </c>
      <c r="M67"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 / マフラーが錆びやすかった。 / せめてポジション球くらいは交換しようと思いましたが、作業スペースが全くなく手がキズだらけになり断念 トランク下収納スペースの雨漏り…</t>
        </is>
      </c>
    </row>
    <row r="68">
      <c r="A68" s="13" t="inlineStr">
        <is>
          <t>ウィッシュ</t>
        </is>
      </c>
      <c r="B68" s="13" t="inlineStr">
        <is>
          <t>20系</t>
        </is>
      </c>
      <c r="C68" s="13" t="n">
        <v>2010</v>
      </c>
      <c r="D68" s="13" t="n">
        <v>5</v>
      </c>
      <c r="E68" s="13" t="n">
        <v>4.6</v>
      </c>
      <c r="F68" s="13" t="n">
        <v>4</v>
      </c>
      <c r="G68" s="13" t="n">
        <v>3.67</v>
      </c>
      <c r="H68" s="13" t="n">
        <v>4</v>
      </c>
      <c r="I68" s="13" t="n">
        <v>4</v>
      </c>
      <c r="J68" s="13" t="n">
        <v>3.67</v>
      </c>
      <c r="K68" s="13" t="n">
        <v>4</v>
      </c>
      <c r="L68" s="14" t="inlineStr">
        <is>
          <t>車中泊できるくらい広い 壊れない シンプルなデザイン 中古が安い グリルがぶつぶつしてないから洗車しやすい / 乗りやすくて室内が広い / 落ち着く</t>
        </is>
      </c>
      <c r="M68"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 / 10系より小物入れが少ない / ちょっと狭い</t>
        </is>
      </c>
    </row>
    <row r="69">
      <c r="A69" s="8" t="inlineStr">
        <is>
          <t>ウィッシュ</t>
        </is>
      </c>
      <c r="B69" s="8" t="inlineStr">
        <is>
          <t>20系</t>
        </is>
      </c>
      <c r="C69" s="8" t="n">
        <v>2012</v>
      </c>
      <c r="D69" s="8" t="n">
        <v>2</v>
      </c>
      <c r="E69" s="8" t="n">
        <v>4.5</v>
      </c>
      <c r="F69" s="8" t="n">
        <v>3</v>
      </c>
      <c r="G69" s="8" t="n">
        <v>3</v>
      </c>
      <c r="H69" s="8" t="n">
        <v>3</v>
      </c>
      <c r="I69" s="8" t="n">
        <v>3</v>
      </c>
      <c r="J69" s="8" t="n">
        <v>4</v>
      </c>
      <c r="K69" s="8" t="n">
        <v>4</v>
      </c>
      <c r="L69" s="14" t="inlineStr">
        <is>
          <t>使い勝手が良い / 燃費が遠出18くらい出て、車中泊もできるので満足</t>
        </is>
      </c>
      <c r="M69" s="14" t="inlineStr">
        <is>
          <t>ない / シートが合わなくて6時間くらい運転すると全身痛くなる</t>
        </is>
      </c>
    </row>
    <row r="70">
      <c r="A70" s="13" t="inlineStr">
        <is>
          <t>ウィッシュ</t>
        </is>
      </c>
      <c r="B70" s="13" t="inlineStr">
        <is>
          <t>20系</t>
        </is>
      </c>
      <c r="C70" s="13" t="n">
        <v>2013</v>
      </c>
      <c r="D70" s="13" t="n">
        <v>1</v>
      </c>
      <c r="E70" s="13" t="n">
        <v>5</v>
      </c>
      <c r="F70" s="13" t="n">
        <v>4</v>
      </c>
      <c r="G70" s="13" t="n">
        <v>5</v>
      </c>
      <c r="H70" s="13" t="n">
        <v>4</v>
      </c>
      <c r="I70" s="13" t="n"/>
      <c r="J70" s="13" t="n">
        <v>5</v>
      </c>
      <c r="K70" s="13" t="n">
        <v>5</v>
      </c>
      <c r="L70" s="14" t="inlineStr">
        <is>
          <t>故障知らずの良い車 逆に故障が無くて心配になりましたw</t>
        </is>
      </c>
      <c r="M70" s="14" t="inlineStr">
        <is>
          <t>塗装剥がれ</t>
        </is>
      </c>
    </row>
    <row r="71">
      <c r="A71" s="8" t="inlineStr">
        <is>
          <t>ウィッシュ</t>
        </is>
      </c>
      <c r="B71" s="8" t="inlineStr">
        <is>
          <t>20系</t>
        </is>
      </c>
      <c r="C71" s="8" t="n">
        <v>2015</v>
      </c>
      <c r="D71" s="8" t="n">
        <v>3</v>
      </c>
      <c r="E71" s="8" t="n">
        <v>5</v>
      </c>
      <c r="F71" s="8" t="n">
        <v>4.33</v>
      </c>
      <c r="G71" s="8" t="n">
        <v>4.67</v>
      </c>
      <c r="H71" s="8" t="n">
        <v>4.67</v>
      </c>
      <c r="I71" s="8" t="n">
        <v>4.33</v>
      </c>
      <c r="J71" s="8" t="n">
        <v>5</v>
      </c>
      <c r="K71" s="8" t="n">
        <v>5</v>
      </c>
      <c r="L71"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 / 1800ccのエンジンで高速性能、巡航性能、燃費性能が良い車です。日頃の生活に欠かせない相棒です。</t>
        </is>
      </c>
      <c r="M71" s="14" t="inlineStr">
        <is>
          <t>①Aピラーが邪魔(何度かヒヤリ) ②1.8はクルコン設定無 / 高級車の装備を求めないならば、不満はありません。基本装備で問題はありません。</t>
        </is>
      </c>
    </row>
    <row r="72">
      <c r="A72" s="13" t="inlineStr">
        <is>
          <t>ウィッシュ</t>
        </is>
      </c>
      <c r="B72" s="13" t="inlineStr"/>
      <c r="C72" s="13" t="n"/>
      <c r="D72" s="13" t="n">
        <v>3</v>
      </c>
      <c r="E72" s="13" t="n">
        <v>4</v>
      </c>
      <c r="F72" s="13" t="n">
        <v>4</v>
      </c>
      <c r="G72" s="13" t="n">
        <v>5</v>
      </c>
      <c r="H72" s="13" t="n">
        <v>5</v>
      </c>
      <c r="I72" s="13" t="n">
        <v>5</v>
      </c>
      <c r="J72" s="13" t="n">
        <v>4</v>
      </c>
      <c r="K72" s="13" t="n">
        <v>4.5</v>
      </c>
      <c r="L72" s="14" t="inlineStr">
        <is>
          <t>ZGE20W 143psって、以前乗っていた4AG-EU135psよりも馬力は上。しかしピーキーな高回転エンジンではなく、大人の乗り味。2Lクラスのミニバンには負けないですね。 / 15年経過しましたが走りは健在です。（135,000キロ） / 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M72" s="14" t="inlineStr">
        <is>
          <t>内装がプラスチッキーで安っぽい。純正シート生地がやけに糸くずやゴミを吸い寄せる。仕方がないけど、3列目シートはあくまでもエマージェンシー用。 / 燃費がもう少し良ければ・・・ / プラスチッキーな内装の貧弱さ&amp;収納スペースの少ないところ。</t>
        </is>
      </c>
    </row>
    <row r="73">
      <c r="A73" s="8" t="inlineStr">
        <is>
          <t>プリウスα</t>
        </is>
      </c>
      <c r="B73" s="8" t="inlineStr">
        <is>
          <t>40系</t>
        </is>
      </c>
      <c r="C73" s="8" t="n">
        <v>2011</v>
      </c>
      <c r="D73" s="8" t="n">
        <v>8</v>
      </c>
      <c r="E73" s="8" t="n">
        <v>4.62</v>
      </c>
      <c r="F73" s="8" t="n">
        <v>3.29</v>
      </c>
      <c r="G73" s="8" t="n">
        <v>2.71</v>
      </c>
      <c r="H73" s="8" t="n">
        <v>3.14</v>
      </c>
      <c r="I73" s="8" t="n">
        <v>3.86</v>
      </c>
      <c r="J73" s="8" t="n">
        <v>3.86</v>
      </c>
      <c r="K73" s="8" t="n">
        <v>3.6</v>
      </c>
      <c r="L73" s="14" t="inlineStr">
        <is>
          <t>大きすぎず、かと言って小さいわけでない。 何かにつけて、『丁度いい』って表現が最適解 / 安価なカスタムが楽しめる / 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M73" s="14" t="inlineStr">
        <is>
          <t>ボディー剛性が弱い / 乗り心地が良くない、ふらつく。ハイブリッドは走らない。 / 内装はそれなりです。</t>
        </is>
      </c>
    </row>
    <row r="74">
      <c r="A74" s="13" t="inlineStr">
        <is>
          <t>プリウスα</t>
        </is>
      </c>
      <c r="B74" s="13" t="inlineStr">
        <is>
          <t>40系</t>
        </is>
      </c>
      <c r="C74" s="13" t="n">
        <v>2012</v>
      </c>
      <c r="D74" s="13" t="n">
        <v>8</v>
      </c>
      <c r="E74" s="13" t="n">
        <v>4.62</v>
      </c>
      <c r="F74" s="13" t="n">
        <v>3.57</v>
      </c>
      <c r="G74" s="13" t="n">
        <v>3.33</v>
      </c>
      <c r="H74" s="13" t="n">
        <v>3.5</v>
      </c>
      <c r="I74" s="13" t="n">
        <v>3.83</v>
      </c>
      <c r="J74" s="13" t="n">
        <v>4.5</v>
      </c>
      <c r="K74" s="13" t="n">
        <v>3.6</v>
      </c>
      <c r="L74" s="14" t="inlineStr">
        <is>
          <t>乗りやすく使いやすい車です。 / 息子から185000キロで譲り受け現在では315000キロになりメインバッテリー、ブレーキ類は無交換、トラブルも無い / 燃費に振り切った造り。</t>
        </is>
      </c>
      <c r="M74" s="14" t="inlineStr">
        <is>
          <t>特別不満な点はなくしいて言うのなら四駆じゃないくらいです。 今の所冬も普通に乗れるし全く不便はないですけどね！！ / 微妙な車高の為、立体駐車場に入らない事がある。 毎回パワーモードを押しておりメモリー機能が欲しい / とくにない</t>
        </is>
      </c>
    </row>
    <row r="75">
      <c r="A75" s="8" t="inlineStr">
        <is>
          <t>プリウスα</t>
        </is>
      </c>
      <c r="B75" s="8" t="inlineStr">
        <is>
          <t>40系</t>
        </is>
      </c>
      <c r="C75" s="8" t="n">
        <v>2013</v>
      </c>
      <c r="D75" s="8" t="n">
        <v>7</v>
      </c>
      <c r="E75" s="8" t="n">
        <v>4.29</v>
      </c>
      <c r="F75" s="8" t="n">
        <v>3.33</v>
      </c>
      <c r="G75" s="8" t="n">
        <v>3.5</v>
      </c>
      <c r="H75" s="8" t="n">
        <v>3.33</v>
      </c>
      <c r="I75" s="8" t="n">
        <v>4.67</v>
      </c>
      <c r="J75" s="8" t="n">
        <v>4.5</v>
      </c>
      <c r="K75" s="8" t="n">
        <v>4.2</v>
      </c>
      <c r="L75" s="14" t="inlineStr">
        <is>
          <t>・所有しているジャガーXFよりも中は広い ・意外に後ろ見やすい ・車幅が狭いので狭い所も入って行ける / 燃費がとても良くて荷物も沢山乗ります笑 壊れる所もほぼ無いですし、世界一お金のかからないファミリーカーだと思います。 / スタイル</t>
        </is>
      </c>
      <c r="M75"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 / 元々乗っていた車が3.5Lのハイブリッド車だったのでパワーのなさが少し寂しいです。 必要十分なのですがね… / 少し地味</t>
        </is>
      </c>
    </row>
    <row r="76">
      <c r="A76" s="13" t="inlineStr">
        <is>
          <t>プリウスα</t>
        </is>
      </c>
      <c r="B76" s="13" t="inlineStr">
        <is>
          <t>40系</t>
        </is>
      </c>
      <c r="C76" s="13" t="n">
        <v>2014</v>
      </c>
      <c r="D76" s="13" t="n">
        <v>4</v>
      </c>
      <c r="E76" s="13" t="n">
        <v>3.75</v>
      </c>
      <c r="F76" s="13" t="n">
        <v>3.75</v>
      </c>
      <c r="G76" s="13" t="n">
        <v>2.75</v>
      </c>
      <c r="H76" s="13" t="n">
        <v>3.5</v>
      </c>
      <c r="I76" s="13" t="n">
        <v>4.75</v>
      </c>
      <c r="J76" s="13" t="n">
        <v>5</v>
      </c>
      <c r="K76" s="13" t="n">
        <v>4.5</v>
      </c>
      <c r="L76" s="14" t="inlineStr">
        <is>
          <t>・ステーションワゴンの形が好きなので外観はとても気に入っている。 ・燃費がよい ・低グレードなので色んな機能が省かれているのだが逆にシンプルで良い。 / 荷室の広さ。燃費。純正オーディオの音質。車体のサイズ。ハンドリング。オプションの常灯付きフォグを含めた灯火類。パノラマルーフの明るさ / 良いのではないでしょうか</t>
        </is>
      </c>
      <c r="M76" s="14" t="inlineStr">
        <is>
          <t>・ちょっとした山道で曲がらない(足回りの交換+ボディ補強パーツを入れることで劇的にかわります) ・保険の料率クラスがプリウスと同じなので保険料が高くなってしまう。 / ロードノイズ。固めの純正サス。よくすれ違う。ブレーキ。リアテールのデザイン。 / 室内が質素</t>
        </is>
      </c>
    </row>
    <row r="77">
      <c r="A77" s="8" t="inlineStr">
        <is>
          <t>プリウスα</t>
        </is>
      </c>
      <c r="B77" s="8" t="inlineStr">
        <is>
          <t>40系</t>
        </is>
      </c>
      <c r="C77" s="8" t="n">
        <v>2017</v>
      </c>
      <c r="D77" s="8" t="n">
        <v>3</v>
      </c>
      <c r="E77" s="8" t="n">
        <v>5</v>
      </c>
      <c r="F77" s="8" t="n">
        <v>3.67</v>
      </c>
      <c r="G77" s="8" t="n">
        <v>4.33</v>
      </c>
      <c r="H77" s="8" t="n">
        <v>4.33</v>
      </c>
      <c r="I77" s="8" t="n">
        <v>4</v>
      </c>
      <c r="J77" s="8" t="n">
        <v>4</v>
      </c>
      <c r="K77" s="8" t="n">
        <v>4.67</v>
      </c>
      <c r="L77" s="14" t="inlineStr">
        <is>
          <t>アイポイントがフィールダーより高く運転しやすい / 長距離運転でも疲れない。後部座席でも快適。 荷物も結構積める。</t>
        </is>
      </c>
      <c r="M77" s="14" t="inlineStr">
        <is>
          <t>２０１５年式のカローラフィールダーハイブリッドからの乗り換えなのですが（2018年式Sチューン ブラック II）意外と便利装備がついてない（ドアロックでミラー閉やリバース時ミラが下がる等) / 車体の割に重量感を感じる。後部座席大人3名はしんどい</t>
        </is>
      </c>
    </row>
    <row r="78">
      <c r="A78" s="13" t="inlineStr">
        <is>
          <t>アイシス</t>
        </is>
      </c>
      <c r="B78" s="13" t="inlineStr"/>
      <c r="C78" s="13" t="n">
        <v>2004</v>
      </c>
      <c r="D78" s="13" t="n">
        <v>5</v>
      </c>
      <c r="E78" s="13" t="n">
        <v>4.2</v>
      </c>
      <c r="F78" s="13" t="n">
        <v>2.75</v>
      </c>
      <c r="G78" s="13" t="n">
        <v>2.75</v>
      </c>
      <c r="H78" s="13" t="n">
        <v>3</v>
      </c>
      <c r="I78" s="13" t="n">
        <v>4.25</v>
      </c>
      <c r="J78" s="13" t="n">
        <v>3</v>
      </c>
      <c r="K78" s="13" t="n">
        <v>4</v>
      </c>
      <c r="L78" s="14" t="inlineStr">
        <is>
          <t>約３メートルの長物も載せます。 馬力は期待出来ませんが、旋回性能は意外と安定してます！ 私のイチオシポイントです！ マニュアルモード CVTが有るのも選定基準でした。 / 人も荷物もそこそこ入る大きさ！イスも倒れて（バンプ）満足です。15年乗ってます！ / 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t>
        </is>
      </c>
      <c r="M78" s="14" t="inlineStr">
        <is>
          <t xml:space="preserve">ヘビー級のミニバンでは無い7人乗りの中で比較的燃費も悪く無いとはいえ、流石に20年も前になるので比較は難しい〜 街なか10.5/㍑は微妙ですね / 足まわりが緩い感じがしますので、4駆用のバネを入れております / 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t>
        </is>
      </c>
    </row>
    <row r="79">
      <c r="A79" s="8" t="inlineStr">
        <is>
          <t>アイシス</t>
        </is>
      </c>
      <c r="B79" s="8" t="inlineStr">
        <is>
          <t>10系</t>
        </is>
      </c>
      <c r="C79" s="8" t="n">
        <v>2005</v>
      </c>
      <c r="D79" s="8" t="n">
        <v>6</v>
      </c>
      <c r="E79" s="8" t="n">
        <v>4.33</v>
      </c>
      <c r="F79" s="8" t="n">
        <v>3.83</v>
      </c>
      <c r="G79" s="8" t="n">
        <v>4</v>
      </c>
      <c r="H79" s="8" t="n">
        <v>3.67</v>
      </c>
      <c r="I79" s="8" t="n">
        <v>4.33</v>
      </c>
      <c r="J79" s="8" t="n">
        <v>2.33</v>
      </c>
      <c r="K79" s="8" t="n">
        <v>3.5</v>
      </c>
      <c r="L79"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 / 2Lのミニバンでスライドドア、高くないルーフ。 意外とよく回るエンジン+CVT。 / 我が家は6人で出かける際でも とてもゆったり乗っています！ ラゲッジスペースにベビーカー積んでも問題なし！ 両側電スラなのでこどもの乗り降りもスムーズ 助手席側がピラーレスなので広く感じます</t>
        </is>
      </c>
      <c r="M79"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 思ったより燃費が伸びない リアデフが弱いっぽい 仕方ない事だけど3列目シートの人権は低め / 助手席は腰が痛い…</t>
        </is>
      </c>
    </row>
    <row r="80">
      <c r="A80" s="13" t="inlineStr">
        <is>
          <t>アイシス</t>
        </is>
      </c>
      <c r="B80" s="13" t="inlineStr">
        <is>
          <t>10系</t>
        </is>
      </c>
      <c r="C80" s="13" t="n">
        <v>2007</v>
      </c>
      <c r="D80" s="13" t="n">
        <v>1</v>
      </c>
      <c r="E80" s="13" t="n">
        <v>5</v>
      </c>
      <c r="F80" s="13" t="n">
        <v>5</v>
      </c>
      <c r="G80" s="13" t="n">
        <v>5</v>
      </c>
      <c r="H80" s="13" t="n">
        <v>5</v>
      </c>
      <c r="I80" s="13" t="n">
        <v>5</v>
      </c>
      <c r="J80" s="13" t="n">
        <v>4</v>
      </c>
      <c r="K80" s="13" t="n">
        <v>5</v>
      </c>
      <c r="L80" s="14" t="inlineStr">
        <is>
          <t>大変良いクルマだと思ってます。 トヨタの真面目なクルマ。 シートアレンジ豊富。走りが楽しい。 安心して乗れる居住性。 アイシスを長い年数に渡って生産してくれて感謝です。大切に乗ります。</t>
        </is>
      </c>
      <c r="M80" s="14" t="inlineStr">
        <is>
          <t>今のところありません。？</t>
        </is>
      </c>
    </row>
    <row r="81">
      <c r="A81" s="8" t="inlineStr">
        <is>
          <t>アイシス</t>
        </is>
      </c>
      <c r="B81" s="8" t="inlineStr">
        <is>
          <t>10系</t>
        </is>
      </c>
      <c r="C81" s="8" t="n">
        <v>2009</v>
      </c>
      <c r="D81" s="8" t="n">
        <v>5</v>
      </c>
      <c r="E81" s="8" t="n">
        <v>4.6</v>
      </c>
      <c r="F81" s="8" t="n">
        <v>4</v>
      </c>
      <c r="G81" s="8" t="n">
        <v>4.4</v>
      </c>
      <c r="H81" s="8" t="n">
        <v>4.2</v>
      </c>
      <c r="I81" s="8" t="n">
        <v>4.2</v>
      </c>
      <c r="J81" s="8" t="n">
        <v>3.6</v>
      </c>
      <c r="K81" s="8" t="n">
        <v>4</v>
      </c>
      <c r="L81" s="14" t="inlineStr">
        <is>
          <t>ミニバンにしては車高が高すぎず、スタビライザーが効いてセダンみたいな乗り味。 人も荷物も積めるのに、大きすぎず扱いやすい。 / ７速ＣVＴ、FFなので長距離時にガソリン車両にしては燃費が良い。荷物もそれなりに積載できるの遠出時に重宝してる。 / 走りはそこそこで運転しやすい</t>
        </is>
      </c>
      <c r="M81" s="14" t="inlineStr">
        <is>
          <t>Aピラーが太くて右側の歩行者が完全に死角に入ることがあるので、カーブや交差点は注意が必要。徐行直進していると、横断中の歩行者がしばらく同じ死角に入り、突然現れた時にはびっくりしました。 / 無い。</t>
        </is>
      </c>
    </row>
    <row r="82">
      <c r="A82" s="13" t="inlineStr">
        <is>
          <t>アイシス</t>
        </is>
      </c>
      <c r="B82" s="13" t="inlineStr">
        <is>
          <t>10系</t>
        </is>
      </c>
      <c r="C82" s="13" t="n">
        <v>2010</v>
      </c>
      <c r="D82" s="13" t="n">
        <v>1</v>
      </c>
      <c r="E82" s="13" t="n">
        <v>4</v>
      </c>
      <c r="F82" s="13" t="n"/>
      <c r="G82" s="13" t="n"/>
      <c r="H82" s="13" t="n"/>
      <c r="I82" s="13" t="n"/>
      <c r="J82" s="13" t="n"/>
      <c r="K82" s="13" t="n"/>
      <c r="L82" s="14" t="inlineStr">
        <is>
          <t>3家族が1台の車で移動出来る7人乗りは便利</t>
        </is>
      </c>
      <c r="M82" s="14" t="inlineStr">
        <is>
          <t>高速時の燃費は14kmあったけど、今は買い物使いで年間で4,000kmだから 6km/Lと燃費が悪い</t>
        </is>
      </c>
    </row>
    <row r="83">
      <c r="A83" s="8" t="inlineStr">
        <is>
          <t>アイシス</t>
        </is>
      </c>
      <c r="B83" s="8" t="inlineStr">
        <is>
          <t>10系</t>
        </is>
      </c>
      <c r="C83" s="8" t="n">
        <v>2011</v>
      </c>
      <c r="D83" s="8" t="n">
        <v>2</v>
      </c>
      <c r="E83" s="8" t="n">
        <v>4.5</v>
      </c>
      <c r="F83" s="8" t="n">
        <v>4</v>
      </c>
      <c r="G83" s="8" t="n">
        <v>3</v>
      </c>
      <c r="H83" s="8" t="n">
        <v>3.5</v>
      </c>
      <c r="I83" s="8" t="n">
        <v>4.5</v>
      </c>
      <c r="J83" s="8" t="n">
        <v>2</v>
      </c>
      <c r="K83" s="8" t="n">
        <v>5</v>
      </c>
      <c r="L83" s="14" t="inlineStr">
        <is>
          <t>スタイルがお気に入り、ミニバンなのに低床で視線は低め、３列目シートの床下収納がGood イジる人も周辺で見かけないのでカブらないのも◯ / 購入して一番以外だったのは、思ったより加速が良い事です。エンジン始動時の音も好き。マフラー変えたら良い音すると思います。 あと、乗り心地よく(ノーマルはとにかく柔らかい)荷物も沢山積めます。</t>
        </is>
      </c>
      <c r="M83" s="14" t="inlineStr">
        <is>
          <t>後席は空調吹き出し口が無く車内の温度が変え難い、あとは燃費がもう少し良ければ… / 外観ノーマルですが、大分古さを感じる様になりました。年数たてばどの車もぶち当たる壁ですね。愛があれば乗り越えられる。</t>
        </is>
      </c>
    </row>
    <row r="84">
      <c r="A84" s="13" t="inlineStr">
        <is>
          <t>アイシス</t>
        </is>
      </c>
      <c r="B84" s="13" t="inlineStr">
        <is>
          <t>10系</t>
        </is>
      </c>
      <c r="C84" s="13" t="n">
        <v>2012</v>
      </c>
      <c r="D84" s="13" t="n">
        <v>3</v>
      </c>
      <c r="E84" s="13" t="n">
        <v>4.67</v>
      </c>
      <c r="F84" s="13" t="n">
        <v>4.67</v>
      </c>
      <c r="G84" s="13" t="n">
        <v>4.67</v>
      </c>
      <c r="H84" s="13" t="n">
        <v>4</v>
      </c>
      <c r="I84" s="13" t="n">
        <v>4.67</v>
      </c>
      <c r="J84" s="13" t="n">
        <v>3</v>
      </c>
      <c r="K84" s="13" t="n">
        <v>2.33</v>
      </c>
      <c r="L84" s="14" t="inlineStr">
        <is>
          <t>アイシスの魅力はやはり助手席パノラマオープンドア。 チャイルドシートの載せ替えや、子供の乗り降りにもかなり重宝。全てがちょうどよく、歴代の車両の中で、1番かも。 / 屋根にカヌーを積むのに丁度いい高さです。</t>
        </is>
      </c>
      <c r="M84" s="14" t="inlineStr">
        <is>
          <t>ウエルキャブ仕様なので2列目が単独シートなので思いの外狭い。アイシスの一番のいい点が…（苦笑） / あえて言うなら、Aピラーが極太なので、左前方、右前方の視界は悪いです。 あとは1.8リッターなので、ちょっと力不足かな。 / 燃費がイマイチ</t>
        </is>
      </c>
    </row>
    <row r="85">
      <c r="A85" s="8" t="inlineStr">
        <is>
          <t>アイシス</t>
        </is>
      </c>
      <c r="B85" s="8" t="inlineStr">
        <is>
          <t>10系</t>
        </is>
      </c>
      <c r="C85" s="8" t="n">
        <v>2013</v>
      </c>
      <c r="D85" s="8" t="n">
        <v>5</v>
      </c>
      <c r="E85" s="8" t="n">
        <v>4.8</v>
      </c>
      <c r="F85" s="8" t="n">
        <v>4.75</v>
      </c>
      <c r="G85" s="8" t="n">
        <v>3.75</v>
      </c>
      <c r="H85" s="8" t="n">
        <v>4</v>
      </c>
      <c r="I85" s="8" t="n">
        <v>5</v>
      </c>
      <c r="J85" s="8" t="n">
        <v>4</v>
      </c>
      <c r="K85" s="8" t="n">
        <v>5</v>
      </c>
      <c r="L85" s="14" t="inlineStr">
        <is>
          <t>アイシスだから全身全部 でもフロントの滑らかなとこ？が好き❤️ / シンプルなデザイン スライドドア / トヨタ車の中でも使い回しパーツ^h^7…もとい、汎用パーツが多用されているっぽい車種なので、某オクなどで中古部品がそこそこ安価で手に入る点。</t>
        </is>
      </c>
      <c r="M85"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 / もう生産終了しているので新ネタの社外パーツなどは開発・発売が絶望的なところ。 / 今のところ特にないかな。 古い中古なので、最新装備はあるわけもなく。</t>
        </is>
      </c>
    </row>
    <row r="86">
      <c r="A86" s="13" t="inlineStr">
        <is>
          <t>アイシス</t>
        </is>
      </c>
      <c r="B86" s="13" t="inlineStr">
        <is>
          <t>10系</t>
        </is>
      </c>
      <c r="C86" s="13" t="n">
        <v>2016</v>
      </c>
      <c r="D86" s="13" t="n">
        <v>2</v>
      </c>
      <c r="E86" s="13" t="n">
        <v>5</v>
      </c>
      <c r="F86" s="13" t="n">
        <v>4</v>
      </c>
      <c r="G86" s="13" t="n">
        <v>4</v>
      </c>
      <c r="H86" s="13" t="n">
        <v>3</v>
      </c>
      <c r="I86" s="13" t="n">
        <v>4</v>
      </c>
      <c r="J86" s="13" t="n">
        <v>4</v>
      </c>
      <c r="K86" s="13" t="n">
        <v>3</v>
      </c>
      <c r="L86" s="14" t="inlineStr">
        <is>
          <t>運転、乗り降りしやすく、長距離ドライブしても余り疲れを感じません。後部座席の変形も効くので、状況（人orもの）によって対応可能です。犬をゲージごと積んだり、コントラバスを積んだ事もあります。 / 運転がしやすい。7人乗り。</t>
        </is>
      </c>
      <c r="M86" s="14" t="inlineStr">
        <is>
          <t>補助タイヤの固定を外すのに、結構時間が掛かったように思います。交換する機材がマット下に隠してありますので・・・ / なし</t>
        </is>
      </c>
    </row>
    <row r="87">
      <c r="A87" s="8" t="inlineStr">
        <is>
          <t>グランエース</t>
        </is>
      </c>
      <c r="B87" s="8" t="inlineStr"/>
      <c r="C87" s="8" t="n">
        <v>2019</v>
      </c>
      <c r="D87" s="8" t="n">
        <v>11</v>
      </c>
      <c r="E87" s="8" t="n">
        <v>4.73</v>
      </c>
      <c r="F87" s="8" t="n">
        <v>3.75</v>
      </c>
      <c r="G87" s="8" t="n">
        <v>4.3</v>
      </c>
      <c r="H87" s="8" t="n">
        <v>4.22</v>
      </c>
      <c r="I87" s="8" t="n">
        <v>2.89</v>
      </c>
      <c r="J87" s="8" t="n">
        <v>3.7</v>
      </c>
      <c r="K87" s="8" t="n">
        <v>3.67</v>
      </c>
      <c r="L87" s="14" t="inlineStr">
        <is>
          <t>意外なことですが、小回りがきく 運転しやすい / 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 / 運転しやすい</t>
        </is>
      </c>
      <c r="M87" s="14" t="inlineStr">
        <is>
          <t>駐車場の枠が小さい / 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 / 足が少し硬め</t>
        </is>
      </c>
    </row>
  </sheetData>
  <autoFilter ref="A1:M8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12"/>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14" customWidth="1" min="6" max="6"/>
    <col width="12" customWidth="1" min="7" max="7"/>
    <col width="12" customWidth="1" min="8" max="8"/>
    <col width="12" customWidth="1" min="9" max="9"/>
    <col width="10" customWidth="1" min="10" max="10"/>
    <col width="10" customWidth="1" min="11" max="11"/>
    <col width="12" customWidth="1" min="12" max="12"/>
    <col width="34" customWidth="1" min="13" max="13"/>
    <col width="34" customWidth="1" min="14" max="14"/>
    <col width="34" customWidth="1" min="15" max="15"/>
    <col width="10" customWidth="1" min="16" max="16"/>
  </cols>
  <sheetData>
    <row r="1" ht="32" customHeight="1">
      <c r="A1" s="7" t="inlineStr">
        <is>
          <t>車種</t>
        </is>
      </c>
      <c r="B1" s="7" t="inlineStr">
        <is>
          <t>年式</t>
        </is>
      </c>
      <c r="C1" s="7" t="inlineStr">
        <is>
          <t>グレード</t>
        </is>
      </c>
      <c r="D1" s="7" t="inlineStr">
        <is>
          <t>レビュー日</t>
        </is>
      </c>
      <c r="E1" s="7" t="inlineStr">
        <is>
          <t>使用目的</t>
        </is>
      </c>
      <c r="F1" s="7" t="inlineStr">
        <is>
          <t>おすすめ度</t>
        </is>
      </c>
      <c r="G1" s="7" t="inlineStr">
        <is>
          <t>デザイン</t>
        </is>
      </c>
      <c r="H1" s="7" t="inlineStr">
        <is>
          <t>走行性能</t>
        </is>
      </c>
      <c r="I1" s="7" t="inlineStr">
        <is>
          <t>乗り心地</t>
        </is>
      </c>
      <c r="J1" s="7" t="inlineStr">
        <is>
          <t>積載性</t>
        </is>
      </c>
      <c r="K1" s="7" t="inlineStr">
        <is>
          <t>燃費</t>
        </is>
      </c>
      <c r="L1" s="7" t="inlineStr">
        <is>
          <t>タイトル</t>
        </is>
      </c>
      <c r="M1" s="7" t="inlineStr">
        <is>
          <t>満足している点</t>
        </is>
      </c>
      <c r="N1" s="7" t="inlineStr">
        <is>
          <t>不満な点</t>
        </is>
      </c>
      <c r="O1" s="7" t="inlineStr">
        <is>
          <t>総評</t>
        </is>
      </c>
      <c r="P1" s="7" t="inlineStr">
        <is>
          <t>URL</t>
        </is>
      </c>
    </row>
    <row r="2">
      <c r="A2" s="13" t="inlineStr">
        <is>
          <t>アルファード</t>
        </is>
      </c>
      <c r="B2" s="13" t="n">
        <v>2025</v>
      </c>
      <c r="C2" s="13" t="inlineStr">
        <is>
          <t>Z(CVT_2.5_ガソリン)</t>
        </is>
      </c>
      <c r="D2" s="13" t="inlineStr">
        <is>
          <t>2026年8月18日</t>
        </is>
      </c>
      <c r="E2" s="13" t="inlineStr">
        <is>
          <t>レジャー</t>
        </is>
      </c>
      <c r="F2" s="13" t="n">
        <v>3</v>
      </c>
      <c r="G2" s="13" t="n">
        <v>4</v>
      </c>
      <c r="H2" s="13" t="n">
        <v>2</v>
      </c>
      <c r="I2" s="13" t="n">
        <v>2</v>
      </c>
      <c r="J2" s="13" t="n">
        <v>4</v>
      </c>
      <c r="K2" s="13" t="n">
        <v>2</v>
      </c>
      <c r="L2" s="13" t="inlineStr">
        <is>
          <t>いつかはエグゼクティブラウンジ？</t>
        </is>
      </c>
      <c r="M2" s="14" t="inlineStr">
        <is>
          <t>Ｚであってもキャプテンシートは電動リクライニングと電動フットレスト､シートヒーター､ベンチレーションも付いて静止時は充分です。</t>
        </is>
      </c>
      <c r="N2" s="14" t="inlineStr">
        <is>
          <t>直前､エグゼクティブラウンジを借りていたので、あまりの走行性能の違いに『流石トヨタ車❗️差ツケ過ぎだって❗️』って思ってしまいました。</t>
        </is>
      </c>
      <c r="O2" s="14" t="inlineStr">
        <is>
          <t>ベタ褒めした､アルヴェルですが、多分､設計者はEｰFOURがデフォルトで､理想をPHEVとして作ってます。金を使えば出来るのに、金を使わないと悲しくさせるやり方は日本車（特にトヨタ）の残念な思考です。Audiならquattroモデルを選ばなくても、こんなには悲しくならないでしょう。</t>
        </is>
      </c>
      <c r="P2" s="13" t="inlineStr">
        <is>
          <t>https://minkara.carview.co.jp/car/toyota/alphard/review/detail.aspx?cid=460754</t>
        </is>
      </c>
    </row>
    <row r="3">
      <c r="A3" s="8" t="inlineStr">
        <is>
          <t>アルファード</t>
        </is>
      </c>
      <c r="B3" s="8" t="n">
        <v>2025</v>
      </c>
      <c r="C3" s="8" t="inlineStr">
        <is>
          <t>エグゼクティブラウンジ(CVT_2.5_ハイブリッド)</t>
        </is>
      </c>
      <c r="D3" s="8" t="inlineStr">
        <is>
          <t>2026年8月16日</t>
        </is>
      </c>
      <c r="E3" s="8" t="inlineStr">
        <is>
          <t>通勤通学</t>
        </is>
      </c>
      <c r="F3" s="8" t="n">
        <v>5</v>
      </c>
      <c r="G3" s="8" t="n">
        <v>4</v>
      </c>
      <c r="H3" s="8" t="n">
        <v>3</v>
      </c>
      <c r="I3" s="8" t="n">
        <v>4</v>
      </c>
      <c r="J3" s="8" t="n">
        <v>5</v>
      </c>
      <c r="K3" s="8" t="n">
        <v>5</v>
      </c>
      <c r="L3" s="8" t="inlineStr">
        <is>
          <t>トヨタ自身がクラウンを変えてしまうほどの日本代表</t>
        </is>
      </c>
      <c r="M3" s="14" t="inlineStr">
        <is>
          <t>家族が喜ぶ車。 普段､家族から酷評のジムニーノマドに乗っているので､（これでもJB64よりは評価が上がった） たまにアルヴェルに乗せると､大喜びになる点。</t>
        </is>
      </c>
      <c r="N3" s="14" t="inlineStr">
        <is>
          <t>フロア剛性など､あげればキリがないのですが、このカテゴリーではメルセデスも真似をするくらいですから、ほぼ無しにします。</t>
        </is>
      </c>
      <c r="O3" s="14" t="inlineStr">
        <is>
          <t>ランクル、ハイエース、セルシオ、GTｰR、ランエボ、WRX等と並ぶ世界に誇る日本車、ジムニー。と前に書きましたが、忘れていました❗️ 日本で使うなら、日本最高のファミリーカーはアルファードなのかも知れません。 狭い日本の道路や駐車環境の中で､最高である事は間違いないでしょう。 外見は巨大に見えますが、立体駐車場を含め優秀なサラウンドカメラで､一般的な車より乗りやすいです。ギッチギチの場所でも駐車させられるのは、 設計者の理想の車なのかも知れません。</t>
        </is>
      </c>
      <c r="P3" s="8" t="inlineStr">
        <is>
          <t>https://minkara.carview.co.jp/car/toyota/alphard/review/detail.aspx?cid=460577</t>
        </is>
      </c>
    </row>
    <row r="4">
      <c r="A4" s="13" t="inlineStr">
        <is>
          <t>アルファード</t>
        </is>
      </c>
      <c r="B4" s="13" t="n">
        <v>2023</v>
      </c>
      <c r="C4" s="13" t="inlineStr">
        <is>
          <t>Z_E-Four(CVT_2.5_ハイブリッド)</t>
        </is>
      </c>
      <c r="D4" s="13" t="inlineStr">
        <is>
          <t>2026年8月15日</t>
        </is>
      </c>
      <c r="E4" s="13" t="inlineStr">
        <is>
          <t>レジャー</t>
        </is>
      </c>
      <c r="F4" s="13" t="n">
        <v>2</v>
      </c>
      <c r="G4" s="13" t="n">
        <v>1</v>
      </c>
      <c r="H4" s="13" t="n">
        <v>2</v>
      </c>
      <c r="I4" s="13" t="n">
        <v>3</v>
      </c>
      <c r="J4" s="13" t="n">
        <v>2</v>
      </c>
      <c r="K4" s="13" t="n">
        <v>3</v>
      </c>
      <c r="L4" s="13" t="inlineStr">
        <is>
          <t>人気という割に、こんなものかという感じです。</t>
        </is>
      </c>
      <c r="M4" s="14" t="inlineStr">
        <is>
          <t>リセールバリューは良さそうですね。</t>
        </is>
      </c>
      <c r="N4" s="14" t="inlineStr">
        <is>
          <t>・Zグレードでも質感が低くチープ。2列目シートは腰が痛くてしんどいです。 ・フロントマスクに品が無い。 ・ナビがポンコツ(容赦なく対向車線側へ案内、トヨタのナビは分岐点の案内等遅い etc)。 ・死角が多過ぎて運転しにくい。 ・エアコンがディスプレイ上での操作で使いにくい(ディスプレイが故障したらどうする？)。 ・テールゲートの開閉ボタンが使いにくい配置(なぜテールランプ上なの？)。 ・2列目で広々オットマンでも使えるかと思いきや、跳ね上げた3列目シートが邪魔をして中途半端な姿勢に。 ・車体の大きさの割に車内は広くない(空間効率が悪い)。 ・エンジン音やロードノイズは意外と車内に入って来る。 クルマ業界に携わっておりますが、何故コレが人気なのでしょうか⋯？ 新型エルグランド、1クラス下ですがステップワゴンなどとしっかり比較した方が良いです。</t>
        </is>
      </c>
      <c r="O4" s="14" t="inlineStr">
        <is>
          <t>個人的にミニバンが好きではなく、ファミリーカーとして家族にせがまれて仕方なく買った車というのもあって、どうしても良い点より不満点が多く目に付きます。 人によっては所有満足感があるのかもしれませんが、乗りたい車ではないからこそ、リセールバリューは大事だなぁと感じました。</t>
        </is>
      </c>
      <c r="P4" s="13" t="inlineStr">
        <is>
          <t>https://minkara.carview.co.jp/car/toyota/alphard/review/detail.aspx?cid=460545</t>
        </is>
      </c>
    </row>
    <row r="5">
      <c r="A5" s="8" t="inlineStr">
        <is>
          <t>アルファード</t>
        </is>
      </c>
      <c r="B5" s="8" t="n">
        <v>2011</v>
      </c>
      <c r="C5" s="8" t="inlineStr">
        <is>
          <t>240X_8人乗り_4WD(CVT_2.4)</t>
        </is>
      </c>
      <c r="D5" s="8" t="inlineStr">
        <is>
          <t>2026年8月10日</t>
        </is>
      </c>
      <c r="E5" s="8" t="inlineStr">
        <is>
          <t>レジャー</t>
        </is>
      </c>
      <c r="F5" s="8" t="n">
        <v>4</v>
      </c>
      <c r="G5" s="8" t="n">
        <v>4</v>
      </c>
      <c r="H5" s="8" t="n">
        <v>2</v>
      </c>
      <c r="I5" s="8" t="n">
        <v>3</v>
      </c>
      <c r="J5" s="8" t="n">
        <v>5</v>
      </c>
      <c r="K5" s="8" t="n">
        <v>2</v>
      </c>
      <c r="L5" s="8" t="inlineStr">
        <is>
          <t>やっぱりアルファード</t>
        </is>
      </c>
      <c r="M5" s="14" t="inlineStr">
        <is>
          <t>シュッとした顔つき、目線が高い、室内が広い、どんな用途でも使える</t>
        </is>
      </c>
      <c r="N5" s="14" t="inlineStr">
        <is>
          <t>剛性がない、安定感がない、高級ミニバンなのにドアを閉めると”バン”と鳴る、燃費がめちゃ悪い</t>
        </is>
      </c>
      <c r="O5" s="14" t="inlineStr">
        <is>
          <t>アウトドア、大勢での移動、引っ越し等なんでも来い！です。装備としては、廉価版のXでしたが、純正ナビ、TRDリップ、20インチホイール、木目ハンドル、インテリアパネル、フリップダウンモニター等々オプションフルてんこ盛りで購入。パッと見はXとは気づかないハイグレードで納車。 11年強と、とても愛着があり大事に長く乗るつもりでしたが、良きせぬ突然のエンジン故障からの再起不能となりお別れとなりました涙</t>
        </is>
      </c>
      <c r="P5" s="8" t="inlineStr">
        <is>
          <t>https://minkara.carview.co.jp/car/toyota/alphard/review/detail.aspx?cid=460143</t>
        </is>
      </c>
    </row>
    <row r="6">
      <c r="A6" s="13" t="inlineStr">
        <is>
          <t>アルファード</t>
        </is>
      </c>
      <c r="B6" s="13" t="n">
        <v>2025</v>
      </c>
      <c r="C6" s="13" t="inlineStr">
        <is>
          <t>Z(CVT_2.5_ガソリン)</t>
        </is>
      </c>
      <c r="D6" s="13" t="inlineStr">
        <is>
          <t>2026年8月9日</t>
        </is>
      </c>
      <c r="E6" s="13" t="inlineStr">
        <is>
          <t>通勤通学</t>
        </is>
      </c>
      <c r="F6" s="13" t="n">
        <v>3</v>
      </c>
      <c r="G6" s="13" t="n">
        <v>3</v>
      </c>
      <c r="H6" s="13" t="n">
        <v>2</v>
      </c>
      <c r="I6" s="13" t="n">
        <v>2</v>
      </c>
      <c r="J6" s="13" t="n">
        <v>3</v>
      </c>
      <c r="K6" s="13" t="n">
        <v>2</v>
      </c>
      <c r="L6" s="13" t="inlineStr">
        <is>
          <t>エルグランド買っちゃんたんで比較です</t>
        </is>
      </c>
      <c r="M6" s="14" t="inlineStr">
        <is>
          <t>見た目は豪華さ満載ですので 所有満足度は高いと思います</t>
        </is>
      </c>
      <c r="N6" s="14" t="inlineStr">
        <is>
          <t>出だしの加速が良く云えばスムーズ 悪く云えばのっそり 30より出足はわるいです それからシートがダメです エルグランドから乗り換えるとパイプ椅子みたいです 見た目はいあのですが それから全ての席がよく言えばタイト 悪く言えば窮屈です 長距離では かなり疲れます</t>
        </is>
      </c>
      <c r="O6" s="14" t="inlineStr">
        <is>
          <t>見た目は 満足度は人によっては高いですが やはり長距離では 明らかにエルグランドに劣ります お尻がいたくなります 100キロ以内の移動は大丈夫ですが これを超えると坐骨神経痛を発症します</t>
        </is>
      </c>
      <c r="P6" s="13" t="inlineStr">
        <is>
          <t>https://minkara.carview.co.jp/car/toyota/alphard/review/detail.aspx?cid=460058</t>
        </is>
      </c>
    </row>
    <row r="7">
      <c r="A7" s="8" t="inlineStr">
        <is>
          <t>アルファード</t>
        </is>
      </c>
      <c r="B7" s="8" t="n">
        <v>2015</v>
      </c>
      <c r="C7" s="8" t="inlineStr">
        <is>
          <t>不明</t>
        </is>
      </c>
      <c r="D7" s="8" t="inlineStr">
        <is>
          <t>2026年8月7日</t>
        </is>
      </c>
      <c r="E7" s="8" t="inlineStr">
        <is>
          <t>レジャー</t>
        </is>
      </c>
      <c r="F7" s="8" t="n">
        <v>4</v>
      </c>
      <c r="G7" s="8" t="n">
        <v>4</v>
      </c>
      <c r="H7" s="8" t="n">
        <v>5</v>
      </c>
      <c r="I7" s="8" t="n">
        <v>4</v>
      </c>
      <c r="J7" s="8" t="n">
        <v>4</v>
      </c>
      <c r="K7" s="8" t="n">
        <v>3</v>
      </c>
      <c r="L7" s="8" t="inlineStr">
        <is>
          <t>12 万キロを超えました</t>
        </is>
      </c>
      <c r="M7" s="14" t="n"/>
      <c r="N7" s="14" t="n"/>
      <c r="O7" s="14" t="inlineStr">
        <is>
          <t>ずっと快調</t>
        </is>
      </c>
      <c r="P7" s="8" t="inlineStr">
        <is>
          <t>https://minkara.carview.co.jp/car/toyota/alphard/review/detail.aspx?cid=459926</t>
        </is>
      </c>
    </row>
    <row r="8">
      <c r="A8" s="13" t="inlineStr">
        <is>
          <t>アルファード</t>
        </is>
      </c>
      <c r="B8" s="13" t="n">
        <v>2018</v>
      </c>
      <c r="C8" s="13" t="inlineStr">
        <is>
          <t>S“Cパッケージ”_7人乗り(CVT_2.5)</t>
        </is>
      </c>
      <c r="D8" s="13" t="inlineStr">
        <is>
          <t>2026年8月1日</t>
        </is>
      </c>
      <c r="E8" s="13" t="inlineStr">
        <is>
          <t>買い物</t>
        </is>
      </c>
      <c r="F8" s="13" t="n">
        <v>5</v>
      </c>
      <c r="G8" s="13" t="n">
        <v>4</v>
      </c>
      <c r="H8" s="13" t="n">
        <v>3</v>
      </c>
      <c r="I8" s="13" t="n">
        <v>2</v>
      </c>
      <c r="J8" s="13" t="n">
        <v>4</v>
      </c>
      <c r="K8" s="13" t="n">
        <v>2</v>
      </c>
      <c r="L8" s="13" t="inlineStr">
        <is>
          <t>評価</t>
        </is>
      </c>
      <c r="M8" s="14" t="n"/>
      <c r="N8" s="14" t="n"/>
      <c r="O8" s="14" t="inlineStr">
        <is>
          <t>良き</t>
        </is>
      </c>
      <c r="P8" s="13" t="inlineStr">
        <is>
          <t>https://minkara.carview.co.jp/car/toyota/alphard/review/detail.aspx?cid=459477</t>
        </is>
      </c>
    </row>
    <row r="9">
      <c r="A9" s="8" t="inlineStr">
        <is>
          <t>アルファード</t>
        </is>
      </c>
      <c r="B9" s="8" t="n">
        <v>2026</v>
      </c>
      <c r="C9" s="8" t="inlineStr">
        <is>
          <t>Z_7人乗り(CVT_2.5_ガソリン)</t>
        </is>
      </c>
      <c r="D9" s="8" t="inlineStr">
        <is>
          <t>2026年7月27日</t>
        </is>
      </c>
      <c r="E9" s="8" t="inlineStr">
        <is>
          <t>レジャー</t>
        </is>
      </c>
      <c r="F9" s="8" t="n">
        <v>5</v>
      </c>
      <c r="G9" s="8" t="n">
        <v>5</v>
      </c>
      <c r="H9" s="8" t="n">
        <v>4</v>
      </c>
      <c r="I9" s="8" t="n">
        <v>4</v>
      </c>
      <c r="J9" s="8" t="n">
        <v>3</v>
      </c>
      <c r="K9" s="8" t="n">
        <v>3</v>
      </c>
      <c r="L9" s="8" t="inlineStr">
        <is>
          <t>カッコよさと快適性どっちも👌</t>
        </is>
      </c>
      <c r="M9" s="14" t="inlineStr">
        <is>
          <t>やはり見た目！ アルファードにモデリスタエアロは駐車場で思わず振り返ってニヤニヤ😍 夜のテールランプもかっこいい...</t>
        </is>
      </c>
      <c r="N9" s="14" t="inlineStr">
        <is>
          <t>合成皮革のシートが滑るので2列目でオットマン使用時になんだかしっくり来ない(ダイソーの滑り止めマットで解決)</t>
        </is>
      </c>
      <c r="O9" s="14" t="inlineStr">
        <is>
          <t>ガソリン車は非力だとか遅いとかの意見が多いですが、流れに合わせた運転だと全く非力さは感じません。 基本装備の充実さ等考えたら他のミニバンよりコスパ良いのでは🤔</t>
        </is>
      </c>
      <c r="P9" s="8" t="inlineStr">
        <is>
          <t>https://minkara.carview.co.jp/car/toyota/alphard/review/detail.aspx?cid=459121</t>
        </is>
      </c>
    </row>
    <row r="10">
      <c r="A10" s="13" t="inlineStr">
        <is>
          <t>アルファード</t>
        </is>
      </c>
      <c r="B10" s="13" t="n">
        <v>2025</v>
      </c>
      <c r="C10" s="13" t="inlineStr">
        <is>
          <t>Z(CVT_2.5_ハイブリッド)</t>
        </is>
      </c>
      <c r="D10" s="13" t="inlineStr">
        <is>
          <t>2026年7月25日</t>
        </is>
      </c>
      <c r="E10" s="13" t="inlineStr">
        <is>
          <t>通勤通学</t>
        </is>
      </c>
      <c r="F10" s="13" t="n">
        <v>5</v>
      </c>
      <c r="G10" s="13" t="n">
        <v>4</v>
      </c>
      <c r="H10" s="13" t="n">
        <v>3</v>
      </c>
      <c r="I10" s="13" t="n">
        <v>4</v>
      </c>
      <c r="J10" s="13" t="n">
        <v>5</v>
      </c>
      <c r="K10" s="13" t="n">
        <v>3</v>
      </c>
      <c r="L10" s="13" t="inlineStr">
        <is>
          <t>意外と乗りやすい</t>
        </is>
      </c>
      <c r="M10" s="14" t="inlineStr">
        <is>
          <t>安全装備満載な所</t>
        </is>
      </c>
      <c r="N10" s="14" t="inlineStr">
        <is>
          <t>価格が高い</t>
        </is>
      </c>
      <c r="O10" s="14" t="inlineStr">
        <is>
          <t>価格が高い以外 今のところ不満は、ありません。</t>
        </is>
      </c>
      <c r="P10" s="13" t="inlineStr">
        <is>
          <t>https://minkara.carview.co.jp/car/toyota/alphard/review/detail.aspx?cid=458986</t>
        </is>
      </c>
    </row>
    <row r="11">
      <c r="A11" s="8" t="inlineStr">
        <is>
          <t>アルファード</t>
        </is>
      </c>
      <c r="B11" s="8" t="n">
        <v>2025</v>
      </c>
      <c r="C11" s="8" t="inlineStr">
        <is>
          <t>Z_E-Four(CVT_2.5_ハイブリッド)</t>
        </is>
      </c>
      <c r="D11" s="8" t="inlineStr">
        <is>
          <t>2026年7月20日</t>
        </is>
      </c>
      <c r="E11" s="8" t="inlineStr">
        <is>
          <t>通勤通学</t>
        </is>
      </c>
      <c r="F11" s="8" t="n">
        <v>5</v>
      </c>
      <c r="G11" s="8" t="n">
        <v>5</v>
      </c>
      <c r="H11" s="8" t="n">
        <v>4</v>
      </c>
      <c r="I11" s="8" t="n">
        <v>4</v>
      </c>
      <c r="J11" s="8" t="n">
        <v>5</v>
      </c>
      <c r="K11" s="8" t="n">
        <v>4</v>
      </c>
      <c r="L11" s="8" t="inlineStr">
        <is>
          <t>盗まれる車なので車庫やセキュリティは必須</t>
        </is>
      </c>
      <c r="M11" s="14" t="n"/>
      <c r="N11" s="14" t="n"/>
      <c r="O11" s="14" t="inlineStr">
        <is>
          <t>まだ数回、数日しか乗っていないが、至れり尽くせりの車であることは間違いない</t>
        </is>
      </c>
      <c r="P11" s="8" t="inlineStr">
        <is>
          <t>https://minkara.carview.co.jp/car/toyota/alphard/review/detail.aspx?cid=458659</t>
        </is>
      </c>
    </row>
    <row r="12">
      <c r="A12" s="13" t="inlineStr">
        <is>
          <t>アルファード</t>
        </is>
      </c>
      <c r="B12" s="13" t="n">
        <v>2025</v>
      </c>
      <c r="C12" s="13" t="inlineStr">
        <is>
          <t>不明</t>
        </is>
      </c>
      <c r="D12" s="13" t="inlineStr">
        <is>
          <t>2026年7月20日</t>
        </is>
      </c>
      <c r="E12" s="13" t="inlineStr">
        <is>
          <t>通勤通学</t>
        </is>
      </c>
      <c r="F12" s="13" t="n">
        <v>4</v>
      </c>
      <c r="G12" s="13" t="n">
        <v>5</v>
      </c>
      <c r="H12" s="13" t="n">
        <v>4</v>
      </c>
      <c r="I12" s="13" t="n">
        <v>4</v>
      </c>
      <c r="J12" s="13" t="n">
        <v>4</v>
      </c>
      <c r="K12" s="13" t="n">
        <v>5</v>
      </c>
      <c r="L12" s="13" t="inlineStr">
        <is>
          <t>やはりキングオブミニバンですね！</t>
        </is>
      </c>
      <c r="M12" s="14" t="inlineStr">
        <is>
          <t>サイズの割に視界がよく、運転しやすい！ 元々ノアも自宅で義母に乗っていてもらった為、乗ってましたが、静寂性や質感どれを取っても違いますね！</t>
        </is>
      </c>
      <c r="N12" s="14" t="inlineStr">
        <is>
          <t>サイズ的には駐車場などで停める所に困るのでこればかりは不満にはなってしまいますね💦 サードシートも乗るにはいいでしょうが、その重厚感が故に、たたむとその厚みで荷室幅は、ノアより狭いのでは😅</t>
        </is>
      </c>
      <c r="O12" s="14" t="inlineStr">
        <is>
          <t>通勤が遠いのですが、乗り心地は良いし、燃費も良いので、助かってます。 まだ家族での遠出はしてませんが、これから長く乗るつもりなので、家族との思い出作りに活躍してもらいます！</t>
        </is>
      </c>
      <c r="P12" s="13" t="inlineStr">
        <is>
          <t>https://minkara.carview.co.jp/car/toyota/alphard/review/detail.aspx?cid=458632</t>
        </is>
      </c>
    </row>
    <row r="13">
      <c r="A13" s="8" t="inlineStr">
        <is>
          <t>アルファード</t>
        </is>
      </c>
      <c r="B13" s="8" t="n">
        <v>2023</v>
      </c>
      <c r="C13" s="8" t="inlineStr">
        <is>
          <t>Z(CVT_2.5_ガソリン)</t>
        </is>
      </c>
      <c r="D13" s="8" t="inlineStr">
        <is>
          <t>2026年7月20日</t>
        </is>
      </c>
      <c r="E13" s="8" t="inlineStr">
        <is>
          <t>通勤通学</t>
        </is>
      </c>
      <c r="F13" s="8" t="n">
        <v>5</v>
      </c>
      <c r="G13" s="8" t="n"/>
      <c r="H13" s="8" t="n"/>
      <c r="I13" s="8" t="n"/>
      <c r="J13" s="8" t="n"/>
      <c r="K13" s="8" t="n"/>
      <c r="L13" s="8" t="inlineStr">
        <is>
          <t>売却しました 1年間ありがとう</t>
        </is>
      </c>
      <c r="M13" s="14" t="n"/>
      <c r="N13" s="14" t="n"/>
      <c r="O13" s="14" t="inlineStr">
        <is>
          <t>素晴らしい車でした</t>
        </is>
      </c>
      <c r="P13" s="8" t="inlineStr">
        <is>
          <t>https://minkara.carview.co.jp/car/toyota/alphard/review/detail.aspx?cid=458602</t>
        </is>
      </c>
    </row>
    <row r="14">
      <c r="A14" s="13" t="inlineStr">
        <is>
          <t>アルファード</t>
        </is>
      </c>
      <c r="B14" s="13" t="n">
        <v>2026</v>
      </c>
      <c r="C14" s="13" t="inlineStr">
        <is>
          <t>Z_7人乗り(CVT_2.5_ハイブリッド)</t>
        </is>
      </c>
      <c r="D14" s="13" t="inlineStr">
        <is>
          <t>2026年7月18日</t>
        </is>
      </c>
      <c r="E14" s="13" t="inlineStr">
        <is>
          <t>レジャー</t>
        </is>
      </c>
      <c r="F14" s="13" t="n">
        <v>5</v>
      </c>
      <c r="G14" s="13" t="n">
        <v>5</v>
      </c>
      <c r="H14" s="13" t="n">
        <v>3</v>
      </c>
      <c r="I14" s="13" t="n">
        <v>5</v>
      </c>
      <c r="J14" s="13" t="n">
        <v>4</v>
      </c>
      <c r="K14" s="13" t="n">
        <v>5</v>
      </c>
      <c r="L14" s="13" t="inlineStr">
        <is>
          <t>家族が喜ぶ車！</t>
        </is>
      </c>
      <c r="M14" s="14" t="n"/>
      <c r="N14" s="14" t="n"/>
      <c r="O14" s="14" t="inlineStr">
        <is>
          <t>移動手段としては最高の車です。</t>
        </is>
      </c>
      <c r="P14" s="13" t="inlineStr">
        <is>
          <t>https://minkara.carview.co.jp/car/toyota/alphard/review/detail.aspx?cid=458444</t>
        </is>
      </c>
    </row>
    <row r="15">
      <c r="A15" s="8" t="inlineStr">
        <is>
          <t>アルファード</t>
        </is>
      </c>
      <c r="B15" s="8" t="n">
        <v>2021</v>
      </c>
      <c r="C15" s="8" t="inlineStr">
        <is>
          <t>S“Cパッケージ”_7人乗り_4WD(CVT_2.5)</t>
        </is>
      </c>
      <c r="D15" s="8" t="inlineStr">
        <is>
          <t>2026年7月18日</t>
        </is>
      </c>
      <c r="E15" s="8" t="inlineStr">
        <is>
          <t>レジャー</t>
        </is>
      </c>
      <c r="F15" s="8" t="n">
        <v>5</v>
      </c>
      <c r="G15" s="8" t="n">
        <v>5</v>
      </c>
      <c r="H15" s="8" t="n">
        <v>3</v>
      </c>
      <c r="I15" s="8" t="n">
        <v>4</v>
      </c>
      <c r="J15" s="8" t="n">
        <v>5</v>
      </c>
      <c r="K15" s="8" t="n">
        <v>3</v>
      </c>
      <c r="L15" s="8" t="inlineStr">
        <is>
          <t>最高最強のミニバン</t>
        </is>
      </c>
      <c r="M15" s="14" t="inlineStr">
        <is>
          <t>内装や装備</t>
        </is>
      </c>
      <c r="N15" s="14" t="inlineStr">
        <is>
          <t>3列目への移動と跳ね上げ式格納</t>
        </is>
      </c>
      <c r="O15" s="14" t="inlineStr">
        <is>
          <t>最高のファミリーカー！</t>
        </is>
      </c>
      <c r="P15" s="8" t="inlineStr">
        <is>
          <t>https://minkara.carview.co.jp/car/toyota/alphard/review/detail.aspx?cid=458439</t>
        </is>
      </c>
    </row>
    <row r="16">
      <c r="A16" s="13" t="inlineStr">
        <is>
          <t>アルファード</t>
        </is>
      </c>
      <c r="B16" s="13" t="n">
        <v>2026</v>
      </c>
      <c r="C16" s="13" t="inlineStr">
        <is>
          <t>G_7人乗り(CVT_2.5_ハイブリッド)</t>
        </is>
      </c>
      <c r="D16" s="13" t="inlineStr">
        <is>
          <t>2026年7月16日</t>
        </is>
      </c>
      <c r="E16" s="13" t="inlineStr">
        <is>
          <t>通勤通学</t>
        </is>
      </c>
      <c r="F16" s="13" t="n">
        <v>4</v>
      </c>
      <c r="G16" s="13" t="n">
        <v>5</v>
      </c>
      <c r="H16" s="13" t="n">
        <v>5</v>
      </c>
      <c r="I16" s="13" t="n">
        <v>3</v>
      </c>
      <c r="J16" s="13" t="n">
        <v>3</v>
      </c>
      <c r="K16" s="13" t="n">
        <v>5</v>
      </c>
      <c r="L16" s="13" t="inlineStr">
        <is>
          <t>運転するなら18インチ</t>
        </is>
      </c>
      <c r="M16" s="14" t="inlineStr">
        <is>
          <t>30より静かになった。 パワーも上がった気がします</t>
        </is>
      </c>
      <c r="N16" s="14" t="inlineStr">
        <is>
          <t>前シートがフワフワしすぎ セカンドシートがやっぱり小さい TVキャンセラーが改良版の情報が無くて、オットキャストを買っちゃいました。</t>
        </is>
      </c>
      <c r="O16" s="14" t="inlineStr">
        <is>
          <t>30中古を半年乗って、アルファードの良さを感じ、40新車購入に踏み切りました。静粛性はかなり上がってます。モニターもデカく見やすい。それくらいかなあ。慣れて来たらもっと良さがわかってくるのかなあ。高級路線に舵を取るのは悪く無いけど、レクサスには敵わない。高級になったが故にレクサスと比べてしまう。これが満足しない理由なのかも知れない。車は間違いなく良くなってるんだけど、複雑</t>
        </is>
      </c>
      <c r="P16" s="13" t="inlineStr">
        <is>
          <t>https://minkara.carview.co.jp/car/toyota/alphard/review/detail.aspx?cid=458307</t>
        </is>
      </c>
    </row>
    <row r="17">
      <c r="A17" s="8" t="inlineStr">
        <is>
          <t>アルファード</t>
        </is>
      </c>
      <c r="B17" s="8" t="n">
        <v>2025</v>
      </c>
      <c r="C17" s="8" t="inlineStr">
        <is>
          <t>X(CVT_2.5_ハイブリッド)</t>
        </is>
      </c>
      <c r="D17" s="8" t="inlineStr">
        <is>
          <t>2026年7月13日</t>
        </is>
      </c>
      <c r="E17" s="8" t="inlineStr">
        <is>
          <t>レジャー</t>
        </is>
      </c>
      <c r="F17" s="8" t="n">
        <v>5</v>
      </c>
      <c r="G17" s="8" t="n">
        <v>5</v>
      </c>
      <c r="H17" s="8" t="n">
        <v>5</v>
      </c>
      <c r="I17" s="8" t="n">
        <v>5</v>
      </c>
      <c r="J17" s="8" t="n">
        <v>5</v>
      </c>
      <c r="K17" s="8" t="n">
        <v>5</v>
      </c>
      <c r="L17" s="8" t="inlineStr">
        <is>
          <t>便利だけど大きい</t>
        </is>
      </c>
      <c r="M17" s="14" t="inlineStr">
        <is>
          <t>静寂感と乗り心地</t>
        </is>
      </c>
      <c r="N17" s="14" t="inlineStr">
        <is>
          <t>パワーもう少し欲しい</t>
        </is>
      </c>
      <c r="O17" s="14" t="inlineStr">
        <is>
          <t>車中泊利用目的で購入</t>
        </is>
      </c>
      <c r="P17" s="8" t="inlineStr">
        <is>
          <t>https://minkara.carview.co.jp/car/toyota/alphard/review/detail.aspx?cid=458151</t>
        </is>
      </c>
    </row>
    <row r="18">
      <c r="A18" s="13" t="inlineStr">
        <is>
          <t>アルファード</t>
        </is>
      </c>
      <c r="B18" s="13" t="n">
        <v>2026</v>
      </c>
      <c r="C18" s="13" t="inlineStr">
        <is>
          <t>Z_6人乗り_E-Four(CVT_2.5_プラグインハイブリッド)</t>
        </is>
      </c>
      <c r="D18" s="13" t="inlineStr">
        <is>
          <t>2026年7月10日</t>
        </is>
      </c>
      <c r="E18" s="13" t="inlineStr">
        <is>
          <t>レジャー</t>
        </is>
      </c>
      <c r="F18" s="13" t="n">
        <v>5</v>
      </c>
      <c r="G18" s="13" t="n">
        <v>4</v>
      </c>
      <c r="H18" s="13" t="n">
        <v>5</v>
      </c>
      <c r="I18" s="13" t="n">
        <v>5</v>
      </c>
      <c r="J18" s="13" t="n">
        <v>5</v>
      </c>
      <c r="K18" s="13" t="n">
        <v>4</v>
      </c>
      <c r="L18" s="13" t="inlineStr">
        <is>
          <t>HEVよりPHEV</t>
        </is>
      </c>
      <c r="M18" s="14" t="inlineStr">
        <is>
          <t>バルクヘッド周りの静音がされている。 重心が低く揺れが少ない</t>
        </is>
      </c>
      <c r="N18" s="14" t="inlineStr">
        <is>
          <t>100キロ以上で走るときのトルク不足 エンジン音がやかましくなる 直4だからしかたない</t>
        </is>
      </c>
      <c r="O18" s="14" t="inlineStr">
        <is>
          <t>HEVからの乗り換え 40キロぐらいででるエンジンがうるさかったがPHEVは全く気にならない。 普段の走りは電気で済む とても静か 充電環境がない人もエンジンで発電できるしHEV買うぐらいなら絶対PHEVをすすめる 諸々の装備がガソリン、HEVのZより良くなっているし</t>
        </is>
      </c>
      <c r="P18" s="13" t="inlineStr">
        <is>
          <t>https://minkara.carview.co.jp/car/toyota/alphard/review/detail.aspx?cid=457928</t>
        </is>
      </c>
    </row>
    <row r="19">
      <c r="A19" s="8" t="inlineStr">
        <is>
          <t>アルファード</t>
        </is>
      </c>
      <c r="B19" s="8" t="n">
        <v>2021</v>
      </c>
      <c r="C19" s="8" t="inlineStr">
        <is>
          <t>S“Cパッケージ”_7人乗り_4WD(CVT_2.5)</t>
        </is>
      </c>
      <c r="D19" s="8" t="inlineStr">
        <is>
          <t>2026年7月9日</t>
        </is>
      </c>
      <c r="E19" s="8" t="inlineStr">
        <is>
          <t>レジャー</t>
        </is>
      </c>
      <c r="F19" s="8" t="n">
        <v>3</v>
      </c>
      <c r="G19" s="8" t="n">
        <v>4</v>
      </c>
      <c r="H19" s="8" t="n">
        <v>3</v>
      </c>
      <c r="I19" s="8" t="n">
        <v>2</v>
      </c>
      <c r="J19" s="8" t="n">
        <v>4</v>
      </c>
      <c r="K19" s="8" t="n">
        <v>2</v>
      </c>
      <c r="L19" s="8" t="inlineStr">
        <is>
          <t>ファミリーカー</t>
        </is>
      </c>
      <c r="M19" s="14" t="inlineStr">
        <is>
          <t>乗車人数</t>
        </is>
      </c>
      <c r="N19" s="14" t="inlineStr">
        <is>
          <t>パワー、音</t>
        </is>
      </c>
      <c r="O19" s="14" t="inlineStr">
        <is>
          <t>平均点</t>
        </is>
      </c>
      <c r="P19" s="8" t="inlineStr">
        <is>
          <t>https://minkara.carview.co.jp/car/toyota/alphard/review/detail.aspx?cid=457889</t>
        </is>
      </c>
    </row>
    <row r="20">
      <c r="A20" s="13" t="inlineStr">
        <is>
          <t>アルファード</t>
        </is>
      </c>
      <c r="B20" s="13" t="n">
        <v>2025</v>
      </c>
      <c r="C20" s="13" t="inlineStr">
        <is>
          <t>Z_E-Four(CVT_2.5_ハイブリッド)</t>
        </is>
      </c>
      <c r="D20" s="13" t="inlineStr">
        <is>
          <t>2026年7月9日</t>
        </is>
      </c>
      <c r="E20" s="13" t="inlineStr">
        <is>
          <t>レジャー</t>
        </is>
      </c>
      <c r="F20" s="13" t="n">
        <v>5</v>
      </c>
      <c r="G20" s="13" t="n">
        <v>5</v>
      </c>
      <c r="H20" s="13" t="n">
        <v>4</v>
      </c>
      <c r="I20" s="13" t="n">
        <v>5</v>
      </c>
      <c r="J20" s="13" t="n">
        <v>5</v>
      </c>
      <c r="K20" s="13" t="n">
        <v>5</v>
      </c>
      <c r="L20" s="13" t="inlineStr">
        <is>
          <t>多人数乗車する車ではトップクラス</t>
        </is>
      </c>
      <c r="M20" s="14" t="inlineStr">
        <is>
          <t>静かにゆっくりとリラックスして移動できる点</t>
        </is>
      </c>
      <c r="N20" s="14" t="inlineStr">
        <is>
          <t>パワー不足で高速移動は少し苦手な印象。</t>
        </is>
      </c>
      <c r="O20" s="14" t="inlineStr">
        <is>
          <t>必要十分な走り、もう少しパワーが欲しい。でも快適な乗り心地は圧倒的で、他の追随を許さない最高の車。</t>
        </is>
      </c>
      <c r="P20" s="13" t="inlineStr">
        <is>
          <t>https://minkara.carview.co.jp/car/toyota/alphard/review/detail.aspx?cid=457888</t>
        </is>
      </c>
    </row>
    <row r="21">
      <c r="A21" s="8" t="inlineStr">
        <is>
          <t>アルファード</t>
        </is>
      </c>
      <c r="B21" s="8" t="n">
        <v>2025</v>
      </c>
      <c r="C21" s="8" t="inlineStr">
        <is>
          <t>エグゼクティブラウンジ_E-Four(CVT_2.5_ハイブリッド)</t>
        </is>
      </c>
      <c r="D21" s="8" t="inlineStr">
        <is>
          <t>2026年7月9日</t>
        </is>
      </c>
      <c r="E21" s="8" t="inlineStr">
        <is>
          <t>レジャー</t>
        </is>
      </c>
      <c r="F21" s="8" t="n">
        <v>4</v>
      </c>
      <c r="G21" s="8" t="n">
        <v>4</v>
      </c>
      <c r="H21" s="8" t="n">
        <v>4</v>
      </c>
      <c r="I21" s="8" t="n">
        <v>5</v>
      </c>
      <c r="J21" s="8" t="n">
        <v>3</v>
      </c>
      <c r="K21" s="8" t="n">
        <v>3</v>
      </c>
      <c r="L21" s="8" t="inlineStr">
        <is>
          <t>3年間はディラー名義です。</t>
        </is>
      </c>
      <c r="M21" s="14" t="inlineStr">
        <is>
          <t>乗り心地👍</t>
        </is>
      </c>
      <c r="N21" s="14" t="inlineStr">
        <is>
          <t>サードシート邪魔🤨</t>
        </is>
      </c>
      <c r="O21" s="14" t="inlineStr">
        <is>
          <t>自動車保険はネット保険より代理店の方が安かった😁</t>
        </is>
      </c>
      <c r="P21" s="8" t="inlineStr">
        <is>
          <t>https://minkara.carview.co.jp/car/toyota/alphard/review/detail.aspx?cid=457871</t>
        </is>
      </c>
    </row>
    <row r="22">
      <c r="A22" s="13" t="inlineStr">
        <is>
          <t>アルファード</t>
        </is>
      </c>
      <c r="B22" s="13" t="n">
        <v>2012</v>
      </c>
      <c r="C22" s="13" t="inlineStr">
        <is>
          <t>240S“タイプゴールド”_7人乗り_4WD(CVT_2.4)</t>
        </is>
      </c>
      <c r="D22" s="13" t="inlineStr">
        <is>
          <t>2026年7月8日</t>
        </is>
      </c>
      <c r="E22" s="13" t="inlineStr">
        <is>
          <t>レジャー</t>
        </is>
      </c>
      <c r="F22" s="13" t="n">
        <v>3</v>
      </c>
      <c r="G22" s="13" t="n">
        <v>5</v>
      </c>
      <c r="H22" s="13" t="n">
        <v>5</v>
      </c>
      <c r="I22" s="13" t="n">
        <v>3</v>
      </c>
      <c r="J22" s="13" t="n">
        <v>3</v>
      </c>
      <c r="K22" s="13" t="n">
        <v>4</v>
      </c>
      <c r="L22" s="13" t="inlineStr">
        <is>
          <t>豪華な車</t>
        </is>
      </c>
      <c r="M22" s="14" t="inlineStr">
        <is>
          <t>静か、重量を感じさせない加速。燃費も思ったより良い。 特別仕様車なのも有り内装が豪華。 子供達は大好きみたい</t>
        </is>
      </c>
      <c r="N22" s="14" t="inlineStr">
        <is>
          <t>作りは凄く良いんだけど、運転してて楽しいのは正直ホンダ車かなぁって感じです。 そしてこの年代の白系の色の色ハゲ。 2.4リッターエンジンの当り外れ問題。 自分のは対策済みエンジンでした。</t>
        </is>
      </c>
      <c r="O22" s="14" t="inlineStr">
        <is>
          <t>グレードによると思いますがウチのは７人乗りのセカンドシートがオットマン付きで豪華。 ただ、５人乗車で荷物を積みたいならオットマンを諦めてセカンドベンチ（玉数は少ない）を探した方が良いと思います。 運転もしやすいし、燃費も思ったより良く２.４リッターでもスムーズな加速（前車の2.4リッターのエリシオンと比べて） 中古車買うなら2.4リッターならエンジンは対策済みか要チェックです。 色は白系以外を選んだ方が良いです。 見た目綺麗でもハゲます😭</t>
        </is>
      </c>
      <c r="P22" s="13" t="inlineStr">
        <is>
          <t>https://minkara.carview.co.jp/car/toyota/alphard/review/detail.aspx?cid=457814</t>
        </is>
      </c>
    </row>
    <row r="23">
      <c r="A23" s="8" t="inlineStr">
        <is>
          <t>アルファード</t>
        </is>
      </c>
      <c r="B23" s="8" t="n">
        <v>2025</v>
      </c>
      <c r="C23" s="8" t="inlineStr">
        <is>
          <t>Z(CVT_2.5_ハイブリッド)</t>
        </is>
      </c>
      <c r="D23" s="8" t="inlineStr">
        <is>
          <t>2026年7月4日</t>
        </is>
      </c>
      <c r="E23" s="8" t="inlineStr">
        <is>
          <t>買い物</t>
        </is>
      </c>
      <c r="F23" s="8" t="n">
        <v>5</v>
      </c>
      <c r="G23" s="8" t="n">
        <v>5</v>
      </c>
      <c r="H23" s="8" t="n">
        <v>5</v>
      </c>
      <c r="I23" s="8" t="n">
        <v>5</v>
      </c>
      <c r="J23" s="8" t="n">
        <v>5</v>
      </c>
      <c r="K23" s="8" t="n">
        <v>5</v>
      </c>
      <c r="L23" s="8" t="inlineStr">
        <is>
          <t>燃費と乗り心地は抜群</t>
        </is>
      </c>
      <c r="M23" s="14" t="inlineStr">
        <is>
          <t>普段乗っている40ヴェルファイアと比較してのレビューになります。 ①やはりハイブリッドは燃費が優秀。 納車してから、産婦人科の検診や買い物くらいしかまだ乗ってませんが、ガソリンがほとんど減らない🙌 しかもレギュラー🙌 ②乗り心地はヴェルファイアとさほど変わらないか、少し柔らかい感じです。 ③加速が気になってましたが、ハイブリッドの加速は非常にスムーズで出足は全く重たく感じません。 高速走行はまだなのでわかりません。</t>
        </is>
      </c>
      <c r="N23" s="14" t="inlineStr">
        <is>
          <t>①3列目を跳ね上げた状態で2列目シートを倒すと、シートが途中で3列目シートにぶつかる。 3列目をMAXで下げて跳ね上げる等、30と比べ少し改良されていますが、ほどほどにしか倒せない。 ②スライドドアが安全性の為か、少しでも窓が開いていると途中で止まる。 ハッチバックを開けながらスライドドアを開けても途中で止まる。 ③2列目サンシェードを出した状態で、窓を少しだけ開けようとしたら、サンシェードが全部収納されてしまう。</t>
        </is>
      </c>
      <c r="O23" s="14" t="inlineStr">
        <is>
          <t>ヴェルファイアと比べ、金額も安く、乗り心地も変わらないくらいに良いので、外観のデザインが気に入れば絶対に買いでしょう。 内装の質感や乗り心地も上品で良いですが、価格を考えると、もう少し細かいところの品質を上げて良いのでは？</t>
        </is>
      </c>
      <c r="P23" s="8" t="inlineStr">
        <is>
          <t>https://minkara.carview.co.jp/car/toyota/alphard/review/detail.aspx?cid=457536</t>
        </is>
      </c>
    </row>
    <row r="24">
      <c r="A24" s="13" t="inlineStr">
        <is>
          <t>アルファード</t>
        </is>
      </c>
      <c r="B24" s="13" t="n">
        <v>2025</v>
      </c>
      <c r="C24" s="13" t="inlineStr">
        <is>
          <t>Z(CVT_2.5_ガソリン)</t>
        </is>
      </c>
      <c r="D24" s="13" t="inlineStr">
        <is>
          <t>2026年6月28日</t>
        </is>
      </c>
      <c r="E24" s="13" t="inlineStr">
        <is>
          <t>レジャー</t>
        </is>
      </c>
      <c r="F24" s="13" t="n">
        <v>4</v>
      </c>
      <c r="G24" s="13" t="n">
        <v>3</v>
      </c>
      <c r="H24" s="13" t="n">
        <v>3</v>
      </c>
      <c r="I24" s="13" t="n">
        <v>4</v>
      </c>
      <c r="J24" s="13" t="n">
        <v>5</v>
      </c>
      <c r="K24" s="13" t="n">
        <v>4</v>
      </c>
      <c r="L24" s="13" t="inlineStr">
        <is>
          <t>セカンドシートが最高！</t>
        </is>
      </c>
      <c r="M24" s="14" t="inlineStr">
        <is>
          <t>○快適なセカンドシート 7人乗りを借りましたが、キャプテンシートのセカンドシートが快適過ぎます。 ○ACCとレーンキープの制御が自然 先代30系ではACCの制御に不満がありましたが、40系ではすごく自然な制御になっていて良かったです。 九州自動車道のえびの〜人吉のキツイコーナーが続く区間は厳しいですが、それ以外の区間はレーンキープを使って走っても安心して使えました。</t>
        </is>
      </c>
      <c r="N24" s="14" t="inlineStr">
        <is>
          <t>✖️運転はしたくない ミニバンですし、動力性能は余裕は少なく、ハンドリングはゆったりしているので、運転して楽しいクルマではないですね。 セカンドシートが最高過ぎるのも余計に運転はしたくない。</t>
        </is>
      </c>
      <c r="O24" s="14" t="inlineStr">
        <is>
          <t>鹿児島の実家に帰省した時に親も含めて移動するのにレンタカーで借りました。 30系のアルファードを借りたことがありましたが、40系はそれを超えてよくできていると思いました。 7人乗りはセカンドシートがキャプテンシートで、電動でリクライニング、オットマンが操作できて楽ちんです。 乗り心地もよく最高ですね。 AACやレーンキープの制御とても良くできていて、安心して使えました。 運転するとなると全長5mの車体は、持て余すと思いました。特に駐車場に停めるには気を使いました。</t>
        </is>
      </c>
      <c r="P24" s="13" t="inlineStr">
        <is>
          <t>https://minkara.carview.co.jp/car/toyota/alphard/review/detail.aspx?cid=457157</t>
        </is>
      </c>
    </row>
    <row r="25">
      <c r="A25" s="8" t="inlineStr">
        <is>
          <t>アルファード</t>
        </is>
      </c>
      <c r="B25" s="8" t="n">
        <v>2025</v>
      </c>
      <c r="C25" s="8" t="inlineStr">
        <is>
          <t>Z(CVT_2.5_ガソリン)</t>
        </is>
      </c>
      <c r="D25" s="8" t="inlineStr">
        <is>
          <t>2026年6月24日</t>
        </is>
      </c>
      <c r="E25" s="8" t="inlineStr">
        <is>
          <t>レジャー</t>
        </is>
      </c>
      <c r="F25" s="8" t="n">
        <v>5</v>
      </c>
      <c r="G25" s="8" t="n">
        <v>5</v>
      </c>
      <c r="H25" s="8" t="n">
        <v>2</v>
      </c>
      <c r="I25" s="8" t="n">
        <v>4</v>
      </c>
      <c r="J25" s="8" t="n">
        <v>2</v>
      </c>
      <c r="K25" s="8" t="n">
        <v>2</v>
      </c>
      <c r="L25" s="8" t="inlineStr">
        <is>
          <t>残クレではありません❗️</t>
        </is>
      </c>
      <c r="M25" s="14" t="inlineStr">
        <is>
          <t>一回乗ってみ❗️ 2列目は最高です👍👍</t>
        </is>
      </c>
      <c r="N25" s="14" t="inlineStr">
        <is>
          <t>一回運転してみ❗️ アクセル重いし図体デカいし燃費悪いし</t>
        </is>
      </c>
      <c r="O25" s="14" t="inlineStr">
        <is>
          <t>いい車ですよ😊 色々と世間では非難されがちな車ですが、乗れば最高👍 気にしない気にしない😊</t>
        </is>
      </c>
      <c r="P25" s="8" t="inlineStr">
        <is>
          <t>https://minkara.carview.co.jp/car/toyota/alphard/review/detail.aspx?cid=456832</t>
        </is>
      </c>
    </row>
    <row r="26">
      <c r="A26" s="13" t="inlineStr">
        <is>
          <t>アルファード</t>
        </is>
      </c>
      <c r="B26" s="13" t="n">
        <v>2018</v>
      </c>
      <c r="C26" s="13" t="inlineStr">
        <is>
          <t>S_7人乗り(CVT_2.5)</t>
        </is>
      </c>
      <c r="D26" s="13" t="inlineStr">
        <is>
          <t>2026年6月20日</t>
        </is>
      </c>
      <c r="E26" s="13" t="inlineStr">
        <is>
          <t>レジャー</t>
        </is>
      </c>
      <c r="F26" s="13" t="n">
        <v>3</v>
      </c>
      <c r="G26" s="13" t="n">
        <v>3</v>
      </c>
      <c r="H26" s="13" t="n">
        <v>3</v>
      </c>
      <c r="I26" s="13" t="n">
        <v>5</v>
      </c>
      <c r="J26" s="13" t="n">
        <v>3</v>
      </c>
      <c r="K26" s="13" t="n">
        <v>1</v>
      </c>
      <c r="L26" s="13" t="inlineStr">
        <is>
          <t>アルファード30 まずまず</t>
        </is>
      </c>
      <c r="M26" s="14" t="n"/>
      <c r="N26" s="14" t="n"/>
      <c r="O26" s="14" t="inlineStr">
        <is>
          <t>キャンプ仕様</t>
        </is>
      </c>
      <c r="P26" s="13" t="inlineStr">
        <is>
          <t>https://minkara.carview.co.jp/car/toyota/alphard/review/detail.aspx?cid=456563</t>
        </is>
      </c>
    </row>
    <row r="27">
      <c r="A27" s="8" t="inlineStr">
        <is>
          <t>アルファード</t>
        </is>
      </c>
      <c r="B27" s="8" t="n">
        <v>2025</v>
      </c>
      <c r="C27" s="8" t="inlineStr">
        <is>
          <t>X(CVT_2.5_ハイブリッド)</t>
        </is>
      </c>
      <c r="D27" s="8" t="inlineStr">
        <is>
          <t>2026年6月16日</t>
        </is>
      </c>
      <c r="E27" s="8" t="inlineStr">
        <is>
          <t>通勤通学</t>
        </is>
      </c>
      <c r="F27" s="8" t="n">
        <v>4</v>
      </c>
      <c r="G27" s="8" t="n">
        <v>4</v>
      </c>
      <c r="H27" s="8" t="n">
        <v>4</v>
      </c>
      <c r="I27" s="8" t="n">
        <v>4</v>
      </c>
      <c r="J27" s="8" t="n">
        <v>5</v>
      </c>
      <c r="K27" s="8" t="n">
        <v>3</v>
      </c>
      <c r="L27" s="8" t="inlineStr">
        <is>
          <t>黒い</t>
        </is>
      </c>
      <c r="M27" s="14" t="inlineStr">
        <is>
          <t>黒い</t>
        </is>
      </c>
      <c r="N27" s="14" t="inlineStr">
        <is>
          <t>汚れが目立つ</t>
        </is>
      </c>
      <c r="O27" s="14" t="inlineStr">
        <is>
          <t>もう黒は買えないかな</t>
        </is>
      </c>
      <c r="P27" s="8" t="inlineStr">
        <is>
          <t>https://minkara.carview.co.jp/car/toyota/alphard/review/detail.aspx?cid=456344</t>
        </is>
      </c>
    </row>
    <row r="28">
      <c r="A28" s="13" t="inlineStr">
        <is>
          <t>アルファード</t>
        </is>
      </c>
      <c r="B28" s="13" t="n">
        <v>2012</v>
      </c>
      <c r="C28" s="13" t="inlineStr">
        <is>
          <t>350G“プレミアムシートパッケージ”_7人乗り_4WD(AT_3.5)</t>
        </is>
      </c>
      <c r="D28" s="13" t="inlineStr">
        <is>
          <t>2026年6月16日</t>
        </is>
      </c>
      <c r="E28" s="13" t="inlineStr">
        <is>
          <t>レジャー</t>
        </is>
      </c>
      <c r="F28" s="13" t="n">
        <v>5</v>
      </c>
      <c r="G28" s="13" t="n">
        <v>4</v>
      </c>
      <c r="H28" s="13" t="n">
        <v>4</v>
      </c>
      <c r="I28" s="13" t="n">
        <v>4</v>
      </c>
      <c r="J28" s="13" t="n">
        <v>2</v>
      </c>
      <c r="K28" s="13" t="n">
        <v>3</v>
      </c>
      <c r="L28" s="13" t="inlineStr">
        <is>
          <t>まだまだ現役</t>
        </is>
      </c>
      <c r="M28" s="14" t="n"/>
      <c r="N28" s="14" t="n"/>
      <c r="O28" s="14" t="inlineStr">
        <is>
          <t>20系は2AZ問題がありますが、2GRなら安心して乗れます。</t>
        </is>
      </c>
      <c r="P28" s="13" t="inlineStr">
        <is>
          <t>https://minkara.carview.co.jp/car/toyota/alphard/review/detail.aspx?cid=456300</t>
        </is>
      </c>
    </row>
    <row r="29">
      <c r="A29" s="8" t="inlineStr">
        <is>
          <t>アルファード</t>
        </is>
      </c>
      <c r="B29" s="8" t="n">
        <v>2026</v>
      </c>
      <c r="C29" s="8" t="inlineStr">
        <is>
          <t>Z_7人乗り(CVT_2.5_ガソリン)</t>
        </is>
      </c>
      <c r="D29" s="8" t="inlineStr">
        <is>
          <t>2026年6月5日</t>
        </is>
      </c>
      <c r="E29" s="8" t="inlineStr">
        <is>
          <t>レジャー</t>
        </is>
      </c>
      <c r="F29" s="8" t="n">
        <v>5</v>
      </c>
      <c r="G29" s="8" t="n"/>
      <c r="H29" s="8" t="n">
        <v>5</v>
      </c>
      <c r="I29" s="8" t="n">
        <v>5</v>
      </c>
      <c r="J29" s="8" t="n">
        <v>5</v>
      </c>
      <c r="K29" s="8" t="n">
        <v>5</v>
      </c>
      <c r="L29" s="8" t="inlineStr">
        <is>
          <t>やっぱ良い車だね</t>
        </is>
      </c>
      <c r="M29" s="14" t="n"/>
      <c r="N29" s="14" t="n"/>
      <c r="O29" s="14" t="inlineStr">
        <is>
          <t>良い車だね</t>
        </is>
      </c>
      <c r="P29" s="8" t="inlineStr">
        <is>
          <t>https://minkara.carview.co.jp/car/toyota/alphard/review/detail.aspx?cid=455540</t>
        </is>
      </c>
    </row>
    <row r="30">
      <c r="A30" s="13" t="inlineStr">
        <is>
          <t>アルファード</t>
        </is>
      </c>
      <c r="B30" s="13" t="n">
        <v>2013</v>
      </c>
      <c r="C30" s="13" t="inlineStr">
        <is>
          <t>不明</t>
        </is>
      </c>
      <c r="D30" s="13" t="inlineStr">
        <is>
          <t>2026年5月30日</t>
        </is>
      </c>
      <c r="E30" s="13" t="inlineStr">
        <is>
          <t>その他</t>
        </is>
      </c>
      <c r="F30" s="13" t="n">
        <v>4</v>
      </c>
      <c r="G30" s="13" t="n"/>
      <c r="H30" s="13" t="n"/>
      <c r="I30" s="13" t="n"/>
      <c r="J30" s="13" t="n"/>
      <c r="K30" s="13" t="n"/>
      <c r="L30" s="13" t="inlineStr">
        <is>
          <t>最高のファミリーカー兼仕事車がアルファードだけど...</t>
        </is>
      </c>
      <c r="M30" s="14" t="inlineStr">
        <is>
          <t>乗り心地が良いので、長距離運転でも同乗者は疲れにくいし、私が仕事で大量の機材を積んで長距離移動するのにもアルファードが最適。 なんといっても、アイポイントが高くて静粛性が高いのがこの車の最高な点です。 重い車体で2.4Lガソリン車だと加速は悪いし燃費も悪いけれど、そもそもブイブイ走らせる車ではない(と少なくとも私は思っている)ので、ゆったりと省エネ運転を楽しめる車なので、紳士の乗り物としてはなかなか良いですね。</t>
        </is>
      </c>
      <c r="N30" s="14" t="inlineStr">
        <is>
          <t>移動のための最高のツールだけど、正直運転は楽しくない。</t>
        </is>
      </c>
      <c r="O30" s="14" t="inlineStr">
        <is>
          <t>家族4人と両親と一緒に旅行やドライブに出かけるには最高の車がアルファードですね。同乗者にはとても好評な車です。 一方で運転のつまらなさは、それなりの車格でカバーできているのもアルファードですね。</t>
        </is>
      </c>
      <c r="P30" s="13" t="inlineStr">
        <is>
          <t>https://minkara.carview.co.jp/car/toyota/alphard/review/detail.aspx?cid=455098</t>
        </is>
      </c>
    </row>
    <row r="31">
      <c r="A31" s="8" t="inlineStr">
        <is>
          <t>アルファード</t>
        </is>
      </c>
      <c r="B31" s="8" t="n">
        <v>2016</v>
      </c>
      <c r="C31" s="8" t="inlineStr">
        <is>
          <t>S“Aパッケージ・タイプブラック”_7人乗り(CVT_2.5)</t>
        </is>
      </c>
      <c r="D31" s="8" t="inlineStr">
        <is>
          <t>2026年5月29日</t>
        </is>
      </c>
      <c r="E31" s="8" t="inlineStr">
        <is>
          <t>レジャー</t>
        </is>
      </c>
      <c r="F31" s="8" t="n">
        <v>5</v>
      </c>
      <c r="G31" s="8" t="n">
        <v>5</v>
      </c>
      <c r="H31" s="8" t="n">
        <v>5</v>
      </c>
      <c r="I31" s="8" t="n">
        <v>4</v>
      </c>
      <c r="J31" s="8" t="n">
        <v>3</v>
      </c>
      <c r="K31" s="8" t="n">
        <v>3</v>
      </c>
      <c r="L31" s="8" t="inlineStr">
        <is>
          <t>シンプルイズベスト</t>
        </is>
      </c>
      <c r="M31" s="14" t="inlineStr">
        <is>
          <t>最低限のカスタム</t>
        </is>
      </c>
      <c r="N31" s="14" t="inlineStr">
        <is>
          <t>勾配角度に弱い</t>
        </is>
      </c>
      <c r="O31" s="14" t="inlineStr">
        <is>
          <t>見た目の渋さと乗り心地の絶妙な調和</t>
        </is>
      </c>
      <c r="P31" s="8" t="inlineStr">
        <is>
          <t>https://minkara.carview.co.jp/car/toyota/alphard/review/detail.aspx?cid=455050</t>
        </is>
      </c>
    </row>
    <row r="32">
      <c r="A32" s="13" t="inlineStr">
        <is>
          <t>ヴェルファイア</t>
        </is>
      </c>
      <c r="B32" s="13" t="n">
        <v>2015</v>
      </c>
      <c r="C32" s="13" t="inlineStr">
        <is>
          <t>Z“Gエディション”_7人乗り(CVT_2.5)</t>
        </is>
      </c>
      <c r="D32" s="13" t="inlineStr">
        <is>
          <t>2026年8月19日</t>
        </is>
      </c>
      <c r="E32" s="13" t="inlineStr">
        <is>
          <t>通勤通学</t>
        </is>
      </c>
      <c r="F32" s="13" t="n">
        <v>5</v>
      </c>
      <c r="G32" s="13" t="n">
        <v>5</v>
      </c>
      <c r="H32" s="13" t="n">
        <v>5</v>
      </c>
      <c r="I32" s="13" t="n">
        <v>5</v>
      </c>
      <c r="J32" s="13" t="n">
        <v>5</v>
      </c>
      <c r="K32" s="13" t="n">
        <v>2</v>
      </c>
      <c r="L32" s="13" t="inlineStr">
        <is>
          <t>新車から10年経っていますが、まだ魅力有ります</t>
        </is>
      </c>
      <c r="M32" s="14" t="inlineStr">
        <is>
          <t>静粛性、内装、さすがはトヨタと思える車です。</t>
        </is>
      </c>
      <c r="N32" s="14" t="inlineStr">
        <is>
          <t>2500CCガソリンで2t超えなので仕方ないですが 燃費が残念</t>
        </is>
      </c>
      <c r="O32" s="14" t="inlineStr">
        <is>
          <t>さすがトヨタのＬクラスミニバン 静粛性、内装、快適性は素晴らしいです。</t>
        </is>
      </c>
      <c r="P32" s="13" t="inlineStr">
        <is>
          <t>https://minkara.carview.co.jp/car/toyota/vellfire/review/detail.aspx?cid=460818</t>
        </is>
      </c>
    </row>
    <row r="33">
      <c r="A33" s="8" t="inlineStr">
        <is>
          <t>ヴェルファイア</t>
        </is>
      </c>
      <c r="B33" s="8" t="n">
        <v>2015</v>
      </c>
      <c r="C33" s="8" t="inlineStr">
        <is>
          <t>不明</t>
        </is>
      </c>
      <c r="D33" s="8" t="inlineStr">
        <is>
          <t>2026年8月18日</t>
        </is>
      </c>
      <c r="E33" s="8" t="inlineStr">
        <is>
          <t>レジャー</t>
        </is>
      </c>
      <c r="F33" s="8" t="n">
        <v>5</v>
      </c>
      <c r="G33" s="8" t="n">
        <v>5</v>
      </c>
      <c r="H33" s="8" t="n">
        <v>5</v>
      </c>
      <c r="I33" s="8" t="n">
        <v>4</v>
      </c>
      <c r="J33" s="8" t="n">
        <v>5</v>
      </c>
      <c r="K33" s="8" t="n">
        <v>3</v>
      </c>
      <c r="L33" s="8" t="inlineStr">
        <is>
          <t>カスタムしがいが有る一台</t>
        </is>
      </c>
      <c r="M33" s="14" t="inlineStr">
        <is>
          <t>外観内観満足しております</t>
        </is>
      </c>
      <c r="N33" s="14" t="n"/>
      <c r="O33" s="14" t="inlineStr">
        <is>
          <t>不満に思う点が逆に見つから無く、 乗り心地更には見た目も良い</t>
        </is>
      </c>
      <c r="P33" s="8" t="inlineStr">
        <is>
          <t>https://minkara.carview.co.jp/car/toyota/vellfire/review/detail.aspx?cid=460755</t>
        </is>
      </c>
    </row>
    <row r="34">
      <c r="A34" s="13" t="inlineStr">
        <is>
          <t>ヴェルファイア</t>
        </is>
      </c>
      <c r="B34" s="13" t="n">
        <v>2023</v>
      </c>
      <c r="C34" s="13" t="inlineStr">
        <is>
          <t>不明</t>
        </is>
      </c>
      <c r="D34" s="13" t="inlineStr">
        <is>
          <t>2026年8月18日</t>
        </is>
      </c>
      <c r="E34" s="13" t="inlineStr">
        <is>
          <t>レジャー</t>
        </is>
      </c>
      <c r="F34" s="13" t="n">
        <v>5</v>
      </c>
      <c r="G34" s="13" t="n"/>
      <c r="H34" s="13" t="n"/>
      <c r="I34" s="13" t="n"/>
      <c r="J34" s="13" t="n"/>
      <c r="K34" s="13" t="n"/>
      <c r="L34" s="13" t="inlineStr">
        <is>
          <t>燃費良し</t>
        </is>
      </c>
      <c r="M34" s="14" t="inlineStr">
        <is>
          <t>家族が後席でくつろげること</t>
        </is>
      </c>
      <c r="N34" s="14" t="inlineStr">
        <is>
          <t>三列目のシートの動きが悪い時がある。 ディーラーにて入院中。</t>
        </is>
      </c>
      <c r="O34" s="14" t="inlineStr">
        <is>
          <t>後ろの席の人はビジネスクラスを味わえます。</t>
        </is>
      </c>
      <c r="P34" s="13" t="inlineStr">
        <is>
          <t>https://minkara.carview.co.jp/car/toyota/vellfire/review/detail.aspx?cid=460743</t>
        </is>
      </c>
    </row>
    <row r="35">
      <c r="A35" s="8" t="inlineStr">
        <is>
          <t>ヴェルファイア</t>
        </is>
      </c>
      <c r="B35" s="8" t="n">
        <v>2016</v>
      </c>
      <c r="C35" s="8" t="inlineStr">
        <is>
          <t>Z“Aエディション・ゴールデンアイズ”_7人乗り(CVT_2.5)</t>
        </is>
      </c>
      <c r="D35" s="8" t="inlineStr">
        <is>
          <t>2026年8月18日</t>
        </is>
      </c>
      <c r="E35" s="8" t="inlineStr">
        <is>
          <t>通勤通学</t>
        </is>
      </c>
      <c r="F35" s="8" t="n">
        <v>5</v>
      </c>
      <c r="G35" s="8" t="n">
        <v>4</v>
      </c>
      <c r="H35" s="8" t="n">
        <v>4</v>
      </c>
      <c r="I35" s="8" t="n">
        <v>4</v>
      </c>
      <c r="J35" s="8" t="n">
        <v>5</v>
      </c>
      <c r="K35" s="8" t="n">
        <v>3</v>
      </c>
      <c r="L35" s="8" t="inlineStr">
        <is>
          <t>憧れの1台</t>
        </is>
      </c>
      <c r="M35" s="14" t="inlineStr">
        <is>
          <t>乗り心地が最高。乗り降りは少し大変でも視野が高いので運転は楽。</t>
        </is>
      </c>
      <c r="N35" s="14" t="inlineStr">
        <is>
          <t>燃費をなんとかして欲しい。</t>
        </is>
      </c>
      <c r="O35" s="14" t="inlineStr">
        <is>
          <t>長距離通勤なので、メリットもデメリット実感！大事に長く乗って、デメリット解消！</t>
        </is>
      </c>
      <c r="P35" s="8" t="inlineStr">
        <is>
          <t>https://minkara.carview.co.jp/car/toyota/vellfire/review/detail.aspx?cid=460734</t>
        </is>
      </c>
    </row>
    <row r="36">
      <c r="A36" s="13" t="inlineStr">
        <is>
          <t>ヴェルファイア</t>
        </is>
      </c>
      <c r="B36" s="13" t="n">
        <v>2025</v>
      </c>
      <c r="C36" s="13" t="inlineStr">
        <is>
          <t>Z プレミア(CVT_2.5_ハイブリッド)</t>
        </is>
      </c>
      <c r="D36" s="13" t="inlineStr">
        <is>
          <t>2026年8月11日</t>
        </is>
      </c>
      <c r="E36" s="13" t="inlineStr">
        <is>
          <t>通勤通学</t>
        </is>
      </c>
      <c r="F36" s="13" t="n">
        <v>5</v>
      </c>
      <c r="G36" s="13" t="n">
        <v>5</v>
      </c>
      <c r="H36" s="13" t="n">
        <v>4</v>
      </c>
      <c r="I36" s="13" t="n">
        <v>5</v>
      </c>
      <c r="J36" s="13" t="n">
        <v>3</v>
      </c>
      <c r="K36" s="13" t="n">
        <v>4</v>
      </c>
      <c r="L36" s="13" t="inlineStr">
        <is>
          <t>カッコ良すぎる！</t>
        </is>
      </c>
      <c r="M36" s="14" t="inlineStr">
        <is>
          <t>燃費がいいのと、とにかく乗り心地が良い。</t>
        </is>
      </c>
      <c r="N36" s="14" t="inlineStr">
        <is>
          <t>助手席にもオットマンが欲しかった。</t>
        </is>
      </c>
      <c r="O36" s="14" t="inlineStr">
        <is>
          <t>とにかく何でもついている。 シートクーラーには感動。 まだ良いとこしか見れないかな。</t>
        </is>
      </c>
      <c r="P36" s="13" t="inlineStr">
        <is>
          <t>https://minkara.carview.co.jp/car/toyota/vellfire/review/detail.aspx?cid=460229</t>
        </is>
      </c>
    </row>
    <row r="37">
      <c r="A37" s="8" t="inlineStr">
        <is>
          <t>ヴェルファイア</t>
        </is>
      </c>
      <c r="B37" s="8" t="n">
        <v>2026</v>
      </c>
      <c r="C37" s="8" t="inlineStr">
        <is>
          <t>Z プレミア(AT_2.4_ガソリン)</t>
        </is>
      </c>
      <c r="D37" s="8" t="inlineStr">
        <is>
          <t>2026年8月9日</t>
        </is>
      </c>
      <c r="E37" s="8" t="inlineStr">
        <is>
          <t>レジャー</t>
        </is>
      </c>
      <c r="F37" s="8" t="n">
        <v>5</v>
      </c>
      <c r="G37" s="8" t="n">
        <v>5</v>
      </c>
      <c r="H37" s="8" t="n">
        <v>4</v>
      </c>
      <c r="I37" s="8" t="n">
        <v>4</v>
      </c>
      <c r="J37" s="8" t="n">
        <v>4</v>
      </c>
      <c r="K37" s="8" t="n">
        <v>1</v>
      </c>
      <c r="L37" s="8" t="inlineStr">
        <is>
          <t>改良型もかなり良い</t>
        </is>
      </c>
      <c r="M37" s="14" t="inlineStr">
        <is>
          <t>26年6月～改良型です。エンジンの静粛性が高くなりました。</t>
        </is>
      </c>
      <c r="N37" s="14" t="n"/>
      <c r="O37" s="14" t="inlineStr">
        <is>
          <t>良い車です。</t>
        </is>
      </c>
      <c r="P37" s="8" t="inlineStr">
        <is>
          <t>https://minkara.carview.co.jp/car/toyota/vellfire/review/detail.aspx?cid=460111</t>
        </is>
      </c>
    </row>
    <row r="38">
      <c r="A38" s="13" t="inlineStr">
        <is>
          <t>ヴェルファイア</t>
        </is>
      </c>
      <c r="B38" s="13" t="n">
        <v>2026</v>
      </c>
      <c r="C38" s="13" t="inlineStr">
        <is>
          <t>Z プレミア_E-Four(CVT_2.5_ハイブリッド)</t>
        </is>
      </c>
      <c r="D38" s="13" t="inlineStr">
        <is>
          <t>2026年8月9日</t>
        </is>
      </c>
      <c r="E38" s="13" t="inlineStr">
        <is>
          <t>通勤通学</t>
        </is>
      </c>
      <c r="F38" s="13" t="n">
        <v>5</v>
      </c>
      <c r="G38" s="13" t="n">
        <v>5</v>
      </c>
      <c r="H38" s="13" t="n">
        <v>4</v>
      </c>
      <c r="I38" s="13" t="n">
        <v>4</v>
      </c>
      <c r="J38" s="13" t="n">
        <v>3</v>
      </c>
      <c r="K38" s="13" t="n">
        <v>5</v>
      </c>
      <c r="L38" s="13" t="inlineStr">
        <is>
          <t>「ミニバンなんて」と思っていた車好きが、ヴェルファイアに乗っ…</t>
        </is>
      </c>
      <c r="M38" s="14" t="inlineStr">
        <is>
          <t>先代よりも洗練された大人っぽいデザインと、漆黒メッキやフロントサイドの抉り込みによるスポーティさ。特にHEV+E-Fourの走りは、2.2tを超える車体とは思えないほど滑らかで、発進時もモーターの力でスッと前に出る。背の高いミニバンながらロールも少なく、フラットに走る感覚も魅力。3列目まで十分な居住性があり、家族での移動も快適。2.2tを超える車重とE-Fourでありながら、短距離の通勤でも14～15km/L程度の燃費を実現する点も優秀。サンセットブラウンの内装も明るく高級感があり、毎日乗るたびに選んで良かったと感じる。</t>
        </is>
      </c>
      <c r="N38" s="14" t="inlineStr">
        <is>
          <t>乗り出し約770万円という価格はやはり高額。これだけの価格であれば、内装の細かな質感にはもう少し頑張ってほしい。特に外装ではフォグ周辺の未塗装樹脂や、内装のウインドウスイッチ周りやオーバーヘッドコンソールのプラスチック剥き出しは残念。3列目シートの快適性が高い反面、シート自体がかなり嵩張るため、3列目を使用すると荷室容量が思ったほど確保できない。7人乗車で旅行の荷物まで積む場合は工夫が必要。ECOモードでは十分に走れるものの、ノーマルモードと比べると走りの気持ちよさが薄い。EV走行時が非常に静かなぶん、エンジンが始動した際の音が相対的に目立つ点も気になる。</t>
        </is>
      </c>
      <c r="O38" s="14" t="inlineStr">
        <is>
          <t>正直に言えば、自称「車好き」として、ミニバンを認めたくない気持ちはあった。 もともとはスバリストで、23歳のときに当時新型だったWRX STI（VAB）を購入。ターボ4WDと6速MTを楽しみながら、大切に乗ってきた。 しかし結婚し、2人の子供が生まれ、自宅を構え、転職して車通勤になった。そう考えると、マニュアルのスポーツカーを卒業してミニバンへ移行するのは、ある意味で必然だったのかもしれない。 それでも新型アルファード／ヴェルファイアを初めて見たときは驚いた。先代は個人的にゴテゴテしすぎている印象があり、ネット上の評判も含めて「自分が乗るのは少し恥ずかしい車」とすら思っていた。 ところが新型は違った。 特にヴェルファイアは先代から大きく方向性を変え、大人びた上質感がある。大型グリルは威圧感があるものの、過剰な装飾感は抑えられており、漆黒メッキも非常に好みだ。 フロントサイドを大きく抉り込んだ造形もアルファードとの差別化が明確で、スポーティな印象を与えている。 ボディカラーはプレシャスメタル。白や黒のような分かりやすさはないが、渋く落ち着いた大人の雰囲気があり、この車には正解だった。自宅のグレーと黒を基調とした外構との相性も良い。 一方、フォグランプ周辺の未塗装樹脂は少し残念。800万円近い車だけに、細部の質感にはもう一段期待したい。 WRX STIからヴェルファイアへ。走りは「諦める」のではなく「変わる」 VABは本当にスポーツカーだった。ターボ4WDの楽しさは格別だった一方、低速トルクが薄く、普段あまり踏み込まない自分には信号スタートで少し出遅れる感覚があった。また、6速で100km/h巡航すると約2600rpm回るため、ロードノイズも相まって高速道路ではかなり賑やかだった。 その後のアルファード40 Zガソリンは、乗り心地という意味では最高だった。ただし、2tを超える車体に2.5L NAエンジンでは、発進や合流時に力不足を感じた。一方、高速巡航は優秀で、100km/hで約1500rpmというCVTには感心させられた。 そして現在のヴェルファイア Z Premier E-Four。 アルファードの出だしの遅さを解消したくて、雪国でもないのに20万円以上をかけてE-Fourを選択した。結果として、これは正解だった。 FFのHEVと直接比較したわけではないが、発進時にリアにも駆動力が入るため、フロントが浮き上がるような感覚がなく、車体全体がフラットな姿勢のままスッと前に出る。 やはりモーターのトルクは強い。 まだ納車から1週間、走行距離も約100kmで、高速道路も全開加速も未経験。それでも地方幹線道路を流す程度ならアクセルは半分以下で十分だと感じる。 特に驚いたのがノーマルモードだ。納車直後はECOモードで走っていたため「こんなものか」と思っていたが、ノーマルに切り替えると印象が豹変した。「これがモーターアシストか」と思うほど、スッと力強く前に出る。 エネルギーフローを見ていると、ECOとノーマルでは明らかに制御が異なるように感じる。ECOでも十分に流れには乗れるが、気持ちよく走れるのはノーマルだ。 エンジンが唸る場面はあるものの、ガソリン車から乗り換えた自分には許容範囲。速度が乗ればロードノイズのほうが大きくなり、街中の巡航ではエンジン音もほとんど気にならない。 2.2tを超える大きな車体がフラットに走っていく感覚は、とても気持ちいい。 「止まらない」と感じたのは最初だけ 乗り換え直後は車体の重さから「止まらない」というのが第一印象だった。しかし回生ブレーキが四輪に作用することもあり、現在は安心感が高い。 回生から物理ブレーキへの切り替わりにも違和感はなく、ペダルワークにこだわる自分でも自然に停止できる。 コーナリングも、背の高いミニバンとしてはロールが少なく、ふわふわした感じもない。普通のセダンと言われても納得できるほどだ。 ステアリングはかなり軽い。納車前に父から借りていたホンダ・オデッセイe:HEVと比べても明確に軽いが、スカスカで安っぽいわけではない。 もちろんVABのような「操る楽しさ」はない。しかしヴェルファイアには、街中を優雅にクルージングする別の楽しさがある。 ボディは大きいが、パノラミックビューのおかげで幅寄せや狭い道での対向も不安は少ない。ただしセンサーはかなり安全側で、自宅駐車でも頻繁に警告音が鳴る一方、ポールなどに反応しないこともあるため過信は禁物だ。 乗り心地と居住性 乗り心地については、まだ地方幹線道路を通勤で走っている程度なのでアルファードとの差を明確には語れない。ただ、ヴェルファイアのほうが少し硬い印象はある。スポーツ寄りのセッティングだが、乗り心地が悪くなったとは感じない。むしろフラット感があり、今のところ好印象だ。 積載性は、家族4人で使う分には十分。ただし3列目を跳ね上げても、シート自体がかなり嵩張るため、思ったほど荷室は広くない。 ロードバイクと家族の荷物を同時に積む場合は工夫が必要で、3列目を展開して大人7人で旅行するとなると、荷物の積載はかなり厳しい。 一方、人を乗せる能力は非常に優秀だ。 アルファードでは大人4人、子供2人で片道300kmを超える旅行をしたが、3列目でも十分に快適だった。リアガラスに近いため走行音は入るものの、狭くて我慢するという感じはない。 全席で空調が快適に使え、USB端子も備わっている。大量の荷物を運ぶ車というより、大人数を快適に移動させる車だと感じる。 2.2t超で14～15km/L。HEVの恩恵は大きい 納車1週間、約100km時点ではあるが、通勤時の燃費はアルファード40 Zガソリンが実測約7km/Lだったのに対し、ヴェルファイアHEV E-Fourはメーター表示で14～15km/L程度。 片道7.5km、約20分、平均速度20km/h程度という短距離・低速の通勤で、真夏にエアコンをオート使用しての数値だ。 2.2tを超える車体でこの燃費はかなり優秀だと思う。 ガソリンタンクも小さくなっているため、給油回数そのものは大きく変わらないと思うが、これまでハイオクかつ燃費一桁の車に乗ってきた自分としては十分満足している。 ハイブリッド分の価格差やリセールを考えれば、経済性だけでHEVを選ぶべきかという議論はある。しかし自分にとっては、モーターの加速感や滑らかさまで含めてHEVのほうが圧倒的に快適だ。 770万円という価格 乗り出し約770万円は、自分にとってかなり高額だ。身の丈に合っているかと言われれば、決してそうではない。 ただ、これまでの車のリセールも良く、現金一括で購入できた。日々の通勤や子供たちとの外出の気分を大きく変えてくれることを考えれば、満足度の高い出費だったと思っている。 内装色はサンセットブラウン。リセール面では不利と言われるが、個人的には非常に気に入っている。 これまで黒内装ばかりだったため、明るいブラウンは高級感と開放感があり、毎日乗る車だからこそ選んで良かったと感じる。 もちろん、800万円近い価格を考えれば内装の樹脂パーツなど気になる部分もある。昨今の物価高やトヨタブランドによる高額感も否定できない。 それでも、リセールは落ち着いてきたとはいえ、他のミニバンと比べれば依然として高い。資産価値まで含めれば、この車を購入したことは良い判断だったと思っている。 結論――「ミニバンなんて」と思っていた自分が90点を付ける 今でも、ミニバンに乗りながら「車好き」と名乗ることには少し憚られる気持ちがある。 VABのようなスポーツカーとは、所有する意味も走らせる楽しさも全く違う。 しかし、実際にヴェルファイアに乗ってみると、思っていたほど悪くない。むしろ街乗りでは何の不自由もなく、非常に快適な移動空間を作ってくれる。 車はそもそも移動手段でもある。 家族が増え、生活環境が変わった今の自分にとって、VABよりヴェルファイアのほうが合理的なのは当然だ。それでも「仕方なく乗る車」ではない。 E-Fourによる安定した発進、HEVの滑らかなモーターアシスト、ミニバンとは思えないフラットな走り、そして家族全員が快適に過ごせる空間。 スポーツカーとは違うが、街中をゆったりとクルージングする楽しさがある。 もちろん、価格の高さや内装の質感、3列目使用時の荷室容量など、批判すべき点もある。 それでも、今の生活環境においてこの車を選んだことは正解だった。 「ミニバンなんて」と思っている人には、一度乗ってみてほしい。 きっと、想像していたより悪くない。 いや、むしろ――かなり良い車だと思う。</t>
        </is>
      </c>
      <c r="P38" s="13" t="inlineStr">
        <is>
          <t>https://minkara.carview.co.jp/car/toyota/vellfire/review/detail.aspx?cid=460068</t>
        </is>
      </c>
    </row>
    <row r="39">
      <c r="A39" s="8" t="inlineStr">
        <is>
          <t>ヴェルファイア</t>
        </is>
      </c>
      <c r="B39" s="8" t="n">
        <v>2023</v>
      </c>
      <c r="C39" s="8" t="inlineStr">
        <is>
          <t>Z プレミア(CVT_2.5_ハイブリッド)</t>
        </is>
      </c>
      <c r="D39" s="8" t="inlineStr">
        <is>
          <t>2026年8月8日</t>
        </is>
      </c>
      <c r="E39" s="8" t="inlineStr">
        <is>
          <t>通勤通学</t>
        </is>
      </c>
      <c r="F39" s="8" t="n">
        <v>5</v>
      </c>
      <c r="G39" s="8" t="n">
        <v>5</v>
      </c>
      <c r="H39" s="8" t="n">
        <v>4</v>
      </c>
      <c r="I39" s="8" t="n">
        <v>4</v>
      </c>
      <c r="J39" s="8" t="n">
        <v>3</v>
      </c>
      <c r="K39" s="8" t="n"/>
      <c r="L39" s="8" t="inlineStr">
        <is>
          <t>良い車</t>
        </is>
      </c>
      <c r="M39" s="14" t="inlineStr">
        <is>
          <t>価格が高いだけあってしっかりした造りになってます。 パネル剥がしても至る所に静音材が入っている。</t>
        </is>
      </c>
      <c r="N39" s="14" t="inlineStr">
        <is>
          <t>盗難車ランキングTOP10に入ってるのでハンドルロック等気を使う。</t>
        </is>
      </c>
      <c r="O39" s="14" t="inlineStr">
        <is>
          <t>安全装置で正しい姿勢で運転しろとうるさいですが、良い車です。</t>
        </is>
      </c>
      <c r="P39" s="8" t="inlineStr">
        <is>
          <t>https://minkara.carview.co.jp/car/toyota/vellfire/review/detail.aspx?cid=459949</t>
        </is>
      </c>
    </row>
    <row r="40">
      <c r="A40" s="13" t="inlineStr">
        <is>
          <t>ヴェルファイア</t>
        </is>
      </c>
      <c r="B40" s="13" t="n">
        <v>2023</v>
      </c>
      <c r="C40" s="13" t="inlineStr">
        <is>
          <t>Z プレミア_E-Four(CVT_2.5_ハイブリッド)</t>
        </is>
      </c>
      <c r="D40" s="13" t="inlineStr">
        <is>
          <t>2026年8月7日</t>
        </is>
      </c>
      <c r="E40" s="13" t="inlineStr">
        <is>
          <t>買い物</t>
        </is>
      </c>
      <c r="F40" s="13" t="n">
        <v>5</v>
      </c>
      <c r="G40" s="13" t="n">
        <v>5</v>
      </c>
      <c r="H40" s="13" t="n">
        <v>3</v>
      </c>
      <c r="I40" s="13" t="n">
        <v>5</v>
      </c>
      <c r="J40" s="13" t="n">
        <v>5</v>
      </c>
      <c r="K40" s="13" t="n">
        <v>5</v>
      </c>
      <c r="L40" s="13" t="inlineStr">
        <is>
          <t>広い</t>
        </is>
      </c>
      <c r="M40" s="14" t="n"/>
      <c r="N40" s="14" t="n"/>
      <c r="O40" s="14" t="inlineStr">
        <is>
          <t>広すぎる車内が素晴らしい👍</t>
        </is>
      </c>
      <c r="P40" s="13" t="inlineStr">
        <is>
          <t>https://minkara.carview.co.jp/car/toyota/vellfire/review/detail.aspx?cid=459923</t>
        </is>
      </c>
    </row>
    <row r="41">
      <c r="A41" s="8" t="inlineStr">
        <is>
          <t>ヴェルファイア</t>
        </is>
      </c>
      <c r="B41" s="8" t="n">
        <v>2023</v>
      </c>
      <c r="C41" s="8" t="inlineStr">
        <is>
          <t>Z プレミア(CVT_2.5_ハイブリッド)</t>
        </is>
      </c>
      <c r="D41" s="8" t="inlineStr">
        <is>
          <t>2026年8月7日</t>
        </is>
      </c>
      <c r="E41" s="8" t="inlineStr">
        <is>
          <t>レジャー</t>
        </is>
      </c>
      <c r="F41" s="8" t="n">
        <v>4</v>
      </c>
      <c r="G41" s="8" t="n">
        <v>4</v>
      </c>
      <c r="H41" s="8" t="n">
        <v>3</v>
      </c>
      <c r="I41" s="8" t="n">
        <v>4</v>
      </c>
      <c r="J41" s="8" t="n">
        <v>2</v>
      </c>
      <c r="K41" s="8" t="n">
        <v>3</v>
      </c>
      <c r="L41" s="8" t="inlineStr">
        <is>
          <t>いい車なんだと思います！</t>
        </is>
      </c>
      <c r="M41" s="14" t="n"/>
      <c r="N41" s="14" t="n"/>
      <c r="O41" s="14" t="inlineStr">
        <is>
          <t>見晴らしが良く運転はしやすい。 思ってたよりも車高が高い。 2列目は快適〜</t>
        </is>
      </c>
      <c r="P41" s="8" t="inlineStr">
        <is>
          <t>https://minkara.carview.co.jp/car/toyota/vellfire/review/detail.aspx?cid=459918</t>
        </is>
      </c>
    </row>
    <row r="42">
      <c r="A42" s="13" t="inlineStr">
        <is>
          <t>ヴェルファイア</t>
        </is>
      </c>
      <c r="B42" s="13" t="n">
        <v>2025</v>
      </c>
      <c r="C42" s="13" t="inlineStr">
        <is>
          <t>Z プレミア_4WD(AT_2.4_ガソリン)</t>
        </is>
      </c>
      <c r="D42" s="13" t="inlineStr">
        <is>
          <t>2026年7月29日</t>
        </is>
      </c>
      <c r="E42" s="13" t="inlineStr">
        <is>
          <t>通勤通学</t>
        </is>
      </c>
      <c r="F42" s="13" t="n">
        <v>1</v>
      </c>
      <c r="G42" s="13" t="n">
        <v>1</v>
      </c>
      <c r="H42" s="13" t="n">
        <v>2</v>
      </c>
      <c r="I42" s="13" t="n">
        <v>4</v>
      </c>
      <c r="J42" s="13" t="n">
        <v>3</v>
      </c>
      <c r="K42" s="13" t="n">
        <v>1</v>
      </c>
      <c r="L42" s="13" t="inlineStr">
        <is>
          <t>残クレ‼︎残クレ‼︎</t>
        </is>
      </c>
      <c r="M42" s="14" t="inlineStr">
        <is>
          <t>イキリ度 マイルドヤンキー度 残価高め</t>
        </is>
      </c>
      <c r="N42" s="14" t="inlineStr">
        <is>
          <t>運転席横足元のスペース空けろや！ 残クレ金利ぼったくりすぎ！ 燃費超絶悪いwハイオクぶちまけマシン 街中を走ってると羨望の眼差しで残クレと思われる</t>
        </is>
      </c>
      <c r="O42" s="14" t="inlineStr">
        <is>
          <t>所有権とは！？ お金無いけどマイルドヤンキーに憧れている方にはおすすめ！ ナンバーゾロ目がオススメです♪ 運転してると車からめちゃくちゃ怒られる。ドMにはもってこい！</t>
        </is>
      </c>
      <c r="P42" s="13" t="inlineStr">
        <is>
          <t>https://minkara.carview.co.jp/car/toyota/vellfire/review/detail.aspx?cid=459313</t>
        </is>
      </c>
    </row>
    <row r="43">
      <c r="A43" s="8" t="inlineStr">
        <is>
          <t>ヴェルファイア</t>
        </is>
      </c>
      <c r="B43" s="8" t="n">
        <v>2018</v>
      </c>
      <c r="C43" s="8" t="inlineStr">
        <is>
          <t>Z“Aエディション”_7人乗り(CVT_2.5)</t>
        </is>
      </c>
      <c r="D43" s="8" t="inlineStr">
        <is>
          <t>2026年7月28日</t>
        </is>
      </c>
      <c r="E43" s="8" t="inlineStr">
        <is>
          <t>通勤通学</t>
        </is>
      </c>
      <c r="F43" s="8" t="n">
        <v>5</v>
      </c>
      <c r="G43" s="8" t="n">
        <v>5</v>
      </c>
      <c r="H43" s="8" t="n">
        <v>4</v>
      </c>
      <c r="I43" s="8" t="n">
        <v>4</v>
      </c>
      <c r="J43" s="8" t="n">
        <v>5</v>
      </c>
      <c r="K43" s="8" t="n">
        <v>3</v>
      </c>
      <c r="L43" s="8" t="inlineStr">
        <is>
          <t>シンプルにかっこいい！</t>
        </is>
      </c>
      <c r="M43" s="14" t="n"/>
      <c r="N43" s="14" t="n"/>
      <c r="O43" s="14" t="inlineStr">
        <is>
          <t>車体が大きい分燃費は……ですがそれ以上にかっこいい！ 妻と子供も大満足の一台です！</t>
        </is>
      </c>
      <c r="P43" s="8" t="inlineStr">
        <is>
          <t>https://minkara.carview.co.jp/car/toyota/vellfire/review/detail.aspx?cid=459217</t>
        </is>
      </c>
    </row>
    <row r="44">
      <c r="A44" s="13" t="inlineStr">
        <is>
          <t>ヴェルファイア</t>
        </is>
      </c>
      <c r="B44" s="13" t="n">
        <v>2023</v>
      </c>
      <c r="C44" s="13" t="inlineStr">
        <is>
          <t>不明</t>
        </is>
      </c>
      <c r="D44" s="13" t="inlineStr">
        <is>
          <t>2026年7月26日</t>
        </is>
      </c>
      <c r="E44" s="13" t="inlineStr">
        <is>
          <t>レジャー</t>
        </is>
      </c>
      <c r="F44" s="13" t="n">
        <v>5</v>
      </c>
      <c r="G44" s="13" t="n"/>
      <c r="H44" s="13" t="n"/>
      <c r="I44" s="13" t="n"/>
      <c r="J44" s="13" t="n"/>
      <c r="K44" s="13" t="n"/>
      <c r="L44" s="13" t="inlineStr">
        <is>
          <t>ゆったりできる</t>
        </is>
      </c>
      <c r="M44" s="14" t="n"/>
      <c r="N44" s="14" t="n"/>
      <c r="O44" s="14" t="inlineStr">
        <is>
          <t>ゆったり走れる</t>
        </is>
      </c>
      <c r="P44" s="13" t="inlineStr">
        <is>
          <t>https://minkara.carview.co.jp/car/toyota/vellfire/review/detail.aspx?cid=459100</t>
        </is>
      </c>
    </row>
    <row r="45">
      <c r="A45" s="8" t="inlineStr">
        <is>
          <t>ヴェルファイア</t>
        </is>
      </c>
      <c r="B45" s="8" t="n">
        <v>2026</v>
      </c>
      <c r="C45" s="8" t="inlineStr">
        <is>
          <t>Z プレミア_E-Four(CVT_2.5_ハイブリッド)</t>
        </is>
      </c>
      <c r="D45" s="8" t="inlineStr">
        <is>
          <t>2026年7月26日</t>
        </is>
      </c>
      <c r="E45" s="8" t="inlineStr">
        <is>
          <t>レジャー</t>
        </is>
      </c>
      <c r="F45" s="8" t="n">
        <v>5</v>
      </c>
      <c r="G45" s="8" t="n">
        <v>5</v>
      </c>
      <c r="H45" s="8" t="n">
        <v>4</v>
      </c>
      <c r="I45" s="8" t="n">
        <v>5</v>
      </c>
      <c r="J45" s="8" t="n">
        <v>4</v>
      </c>
      <c r="K45" s="8" t="n">
        <v>5</v>
      </c>
      <c r="L45" s="8" t="inlineStr">
        <is>
          <t>このサイズで走り、燃費は最高</t>
        </is>
      </c>
      <c r="M45" s="14" t="inlineStr">
        <is>
          <t>この室内の広さ、燃費、走りは大変満足です。</t>
        </is>
      </c>
      <c r="N45" s="14" t="inlineStr">
        <is>
          <t>加速時エンジン音が若干うるさい。</t>
        </is>
      </c>
      <c r="O45" s="14" t="inlineStr">
        <is>
          <t>家族で出掛ける時は全員を満足させます。</t>
        </is>
      </c>
      <c r="P45" s="8" t="inlineStr">
        <is>
          <t>https://minkara.carview.co.jp/car/toyota/vellfire/review/detail.aspx?cid=459089</t>
        </is>
      </c>
    </row>
    <row r="46">
      <c r="A46" s="13" t="inlineStr">
        <is>
          <t>ヴェルファイア</t>
        </is>
      </c>
      <c r="B46" s="13" t="n">
        <v>2025</v>
      </c>
      <c r="C46" s="13" t="inlineStr">
        <is>
          <t>Z プレミア(AT_2.4_ガソリン)</t>
        </is>
      </c>
      <c r="D46" s="13" t="inlineStr">
        <is>
          <t>2026年7月21日</t>
        </is>
      </c>
      <c r="E46" s="13" t="inlineStr">
        <is>
          <t>レジャー</t>
        </is>
      </c>
      <c r="F46" s="13" t="n">
        <v>2</v>
      </c>
      <c r="G46" s="13" t="n">
        <v>3</v>
      </c>
      <c r="H46" s="13" t="n">
        <v>2</v>
      </c>
      <c r="I46" s="13" t="n">
        <v>3</v>
      </c>
      <c r="J46" s="13" t="n">
        <v>4</v>
      </c>
      <c r="K46" s="13" t="n">
        <v>3</v>
      </c>
      <c r="L46" s="13" t="inlineStr">
        <is>
          <t>やっぱりミニバンは所詮ミニバン</t>
        </is>
      </c>
      <c r="M46" s="14" t="inlineStr">
        <is>
          <t>道具として使いながら、リセールが見込める。多少下がったとて、かすり傷程度。</t>
        </is>
      </c>
      <c r="N46" s="14" t="inlineStr">
        <is>
          <t>ムーンルーフがクソ。これに尽きる。 パノラマルーフ暑いけど、ある方が良かったなぁ。 上から見ると変な見た目で本当にダサい。 内装のタンカラーは良いが、全体的にチープ。 アンビエントライトもフロントには無いので、夜が寂しい。 皮の質感は悪く無いが、シートはホールド感がイマイチ。 長く運転してると疲れる。 JBLのオプションはリセール見込みで、どうせならで付けてみたけど、お値段以下の品質。 13.2つけて社外のdspなりサウンドシャキット辺り付けた方が満足できるでしょう。 プライマシー5が付いてきたけど、RXと比べてロードノイズがよく響いて煩い。 ブレーキは重いせいか割とスカスカで慣れが必要。 踏み込めばパワーはそれなりに出るが、出足はモッサリ。 燃費は良くは無いが、ガソリンターボなんかこんなもんでしょ。チョイ乗りばっかりに使わなければ、8-9は行く。 遠出したら12くらいは余裕。</t>
        </is>
      </c>
      <c r="O46" s="14" t="inlineStr">
        <is>
          <t>RXからの乗り換えで、広さとシートのカラー以外で優れている点が一つも無い。 RXお値段の割には…と思っていたが、ちゃんとレクサス品質してたんだなぁと。 マイチェン、改良でフロントガラスが良くなったらまた買います。</t>
        </is>
      </c>
      <c r="P46" s="13" t="inlineStr">
        <is>
          <t>https://minkara.carview.co.jp/car/toyota/vellfire/review/detail.aspx?cid=458730</t>
        </is>
      </c>
    </row>
    <row r="47">
      <c r="A47" s="8" t="inlineStr">
        <is>
          <t>ヴェルファイア</t>
        </is>
      </c>
      <c r="B47" s="8" t="n">
        <v>2026</v>
      </c>
      <c r="C47" s="8" t="inlineStr">
        <is>
          <t>Z プレミア_E-Four(CVT_2.5_ハイブリッド)</t>
        </is>
      </c>
      <c r="D47" s="8" t="inlineStr">
        <is>
          <t>2026年7月21日</t>
        </is>
      </c>
      <c r="E47" s="8" t="inlineStr">
        <is>
          <t>レジャー</t>
        </is>
      </c>
      <c r="F47" s="8" t="n">
        <v>4</v>
      </c>
      <c r="G47" s="8" t="n">
        <v>5</v>
      </c>
      <c r="H47" s="8" t="n">
        <v>4</v>
      </c>
      <c r="I47" s="8" t="n">
        <v>5</v>
      </c>
      <c r="J47" s="8" t="n">
        <v>5</v>
      </c>
      <c r="K47" s="8" t="n">
        <v>4</v>
      </c>
      <c r="L47" s="8" t="inlineStr">
        <is>
          <t>ファミリーカーの最高峰</t>
        </is>
      </c>
      <c r="M47" s="14" t="inlineStr">
        <is>
          <t>室内空間の快適性、静粛性は抜群ですね。同乗者で不満を漏らすことはないと思います。</t>
        </is>
      </c>
      <c r="N47" s="14" t="inlineStr">
        <is>
          <t>オプションでもDVDプレーヤーがないこと。 ※社外品でBlu-rayプレーヤーを取付て対応しました。</t>
        </is>
      </c>
      <c r="O47" s="14" t="inlineStr">
        <is>
          <t>ミニバンなので当たり前の話ですが、ドライバーにとっては走って楽しい車ではありません。 あくまで乗員が快適に過ごせる車ですね。</t>
        </is>
      </c>
      <c r="P47" s="8" t="inlineStr">
        <is>
          <t>https://minkara.carview.co.jp/car/toyota/vellfire/review/detail.aspx?cid=458690</t>
        </is>
      </c>
    </row>
    <row r="48">
      <c r="A48" s="13" t="inlineStr">
        <is>
          <t>ヴェルファイア</t>
        </is>
      </c>
      <c r="B48" s="13" t="n">
        <v>2026</v>
      </c>
      <c r="C48" s="13" t="inlineStr">
        <is>
          <t>Z プレミア(AT_2.4_ガソリン)</t>
        </is>
      </c>
      <c r="D48" s="13" t="inlineStr">
        <is>
          <t>2026年7月19日</t>
        </is>
      </c>
      <c r="E48" s="13" t="inlineStr">
        <is>
          <t>レジャー</t>
        </is>
      </c>
      <c r="F48" s="13" t="n">
        <v>3</v>
      </c>
      <c r="G48" s="13" t="n">
        <v>5</v>
      </c>
      <c r="H48" s="13" t="n">
        <v>3</v>
      </c>
      <c r="I48" s="13" t="n">
        <v>4</v>
      </c>
      <c r="J48" s="13" t="n">
        <v>5</v>
      </c>
      <c r="K48" s="13" t="n">
        <v>1</v>
      </c>
      <c r="L48" s="13" t="inlineStr">
        <is>
          <t>リセール目当てじゃ無きゃ買わないな</t>
        </is>
      </c>
      <c r="M48" s="14" t="inlineStr">
        <is>
          <t>アルファードより乗り心地は良いです。シートが本革だからかもしれないけど。 見た目は絶対ヴェルファイアの方がカッコイイ。 ブレーキホールドのメモリー機能搭載。</t>
        </is>
      </c>
      <c r="N48" s="14" t="inlineStr">
        <is>
          <t>サスが特別仕様なのは2025年モデルまでだから、2026年仕様ではアルファードとの差別化がもっと欲しかった。 JBLがそれ程良い音ではない事。 テールランプはアルファードの方が好きかも。 内装のチープさは40系の一番の欠点ですね。 モデリスタのフルエアロにマフラーが付いてくることは、抱き合わせ商法だと思う。アルファードみたいに、マフラー無しのエアロを出して欲しかった。 2.4ターボはそんなに速くない。2.5HEVとそんなに変わらないかも。それでいてうるさいし、燃費悪い。</t>
        </is>
      </c>
      <c r="O48" s="14" t="inlineStr">
        <is>
          <t>リセール目当てじゃ無きゃガソリンは買わないッスね。長く乗るなら絶対HEVやPHEVが快適。</t>
        </is>
      </c>
      <c r="P48" s="13" t="inlineStr">
        <is>
          <t>https://minkara.carview.co.jp/car/toyota/vellfire/review/detail.aspx?cid=458557</t>
        </is>
      </c>
    </row>
    <row r="49">
      <c r="A49" s="8" t="inlineStr">
        <is>
          <t>ヴェルファイア</t>
        </is>
      </c>
      <c r="B49" s="8" t="n">
        <v>2008</v>
      </c>
      <c r="C49" s="8" t="inlineStr">
        <is>
          <t>不明</t>
        </is>
      </c>
      <c r="D49" s="8" t="inlineStr">
        <is>
          <t>2026年7月18日</t>
        </is>
      </c>
      <c r="E49" s="8" t="inlineStr">
        <is>
          <t>仕事</t>
        </is>
      </c>
      <c r="F49" s="8" t="n">
        <v>5</v>
      </c>
      <c r="G49" s="8" t="n">
        <v>5</v>
      </c>
      <c r="H49" s="8" t="n">
        <v>1</v>
      </c>
      <c r="I49" s="8" t="n">
        <v>5</v>
      </c>
      <c r="J49" s="8" t="n">
        <v>5</v>
      </c>
      <c r="K49" s="8" t="n">
        <v>1</v>
      </c>
      <c r="L49" s="8" t="inlineStr">
        <is>
          <t>広い</t>
        </is>
      </c>
      <c r="M49" s="14" t="n"/>
      <c r="N49" s="14" t="n"/>
      <c r="O49" s="14" t="inlineStr">
        <is>
          <t>最高</t>
        </is>
      </c>
      <c r="P49" s="8" t="inlineStr">
        <is>
          <t>https://minkara.carview.co.jp/car/toyota/vellfire/review/detail.aspx?cid=458471</t>
        </is>
      </c>
    </row>
    <row r="50">
      <c r="A50" s="13" t="inlineStr">
        <is>
          <t>ヴェルファイア</t>
        </is>
      </c>
      <c r="B50" s="13" t="n">
        <v>2026</v>
      </c>
      <c r="C50" s="13" t="inlineStr">
        <is>
          <t>Z プレミア_E-Four(CVT_2.5_ハイブリッド)</t>
        </is>
      </c>
      <c r="D50" s="13" t="inlineStr">
        <is>
          <t>2026年7月17日</t>
        </is>
      </c>
      <c r="E50" s="13" t="inlineStr">
        <is>
          <t>通勤通学</t>
        </is>
      </c>
      <c r="F50" s="13" t="n">
        <v>5</v>
      </c>
      <c r="G50" s="13" t="n">
        <v>5</v>
      </c>
      <c r="H50" s="13" t="n">
        <v>5</v>
      </c>
      <c r="I50" s="13" t="n">
        <v>5</v>
      </c>
      <c r="J50" s="13" t="n">
        <v>5</v>
      </c>
      <c r="K50" s="13" t="n">
        <v>5</v>
      </c>
      <c r="L50" s="13" t="inlineStr">
        <is>
          <t>かっこいいです！</t>
        </is>
      </c>
      <c r="M50" s="14" t="n"/>
      <c r="N50" s="14" t="n"/>
      <c r="O50" s="14" t="inlineStr">
        <is>
          <t>価格が、、、だけど満足感半端ないです。</t>
        </is>
      </c>
      <c r="P50" s="13" t="inlineStr">
        <is>
          <t>https://minkara.carview.co.jp/car/toyota/vellfire/review/detail.aspx?cid=458423</t>
        </is>
      </c>
    </row>
    <row r="51">
      <c r="A51" s="8" t="inlineStr">
        <is>
          <t>ヴェルファイア</t>
        </is>
      </c>
      <c r="B51" s="8" t="n">
        <v>2025</v>
      </c>
      <c r="C51" s="8" t="inlineStr">
        <is>
          <t>エグゼクティブラウンジ_E-Four(CVT_2.5_プラグインハイブリッド)</t>
        </is>
      </c>
      <c r="D51" s="8" t="inlineStr">
        <is>
          <t>2026年7月17日</t>
        </is>
      </c>
      <c r="E51" s="8" t="inlineStr">
        <is>
          <t>通勤通学</t>
        </is>
      </c>
      <c r="F51" s="8" t="n">
        <v>5</v>
      </c>
      <c r="G51" s="8" t="n">
        <v>3</v>
      </c>
      <c r="H51" s="8" t="n">
        <v>3</v>
      </c>
      <c r="I51" s="8" t="n">
        <v>3</v>
      </c>
      <c r="J51" s="8" t="n">
        <v>1</v>
      </c>
      <c r="K51" s="8" t="n">
        <v>5</v>
      </c>
      <c r="L51" s="8" t="inlineStr">
        <is>
          <t>静かでいい車</t>
        </is>
      </c>
      <c r="M51" s="14" t="inlineStr">
        <is>
          <t>電気メインだからか？走りが全車より軽くて楽。</t>
        </is>
      </c>
      <c r="N51" s="14" t="inlineStr">
        <is>
          <t>唸るエンジン音だけは不快！</t>
        </is>
      </c>
      <c r="O51" s="14" t="inlineStr">
        <is>
          <t>初期型のハイブリッドエグゼクティブラウンジからの進化？重量の変化？乗りやすくなった。 PHEVはおすすめです。 唸るエンジンのミニバンにこの価格設定は無いと思う。</t>
        </is>
      </c>
      <c r="P51" s="8" t="inlineStr">
        <is>
          <t>https://minkara.carview.co.jp/car/toyota/vellfire/review/detail.aspx?cid=458367</t>
        </is>
      </c>
    </row>
    <row r="52">
      <c r="A52" s="13" t="inlineStr">
        <is>
          <t>ヴェルファイア</t>
        </is>
      </c>
      <c r="B52" s="13" t="n">
        <v>2008</v>
      </c>
      <c r="C52" s="13" t="inlineStr">
        <is>
          <t>不明</t>
        </is>
      </c>
      <c r="D52" s="13" t="inlineStr">
        <is>
          <t>2026年7月13日</t>
        </is>
      </c>
      <c r="E52" s="13" t="inlineStr">
        <is>
          <t>通勤通学</t>
        </is>
      </c>
      <c r="F52" s="13" t="n">
        <v>5</v>
      </c>
      <c r="G52" s="13" t="n"/>
      <c r="H52" s="13" t="n"/>
      <c r="I52" s="13" t="n"/>
      <c r="J52" s="13" t="n"/>
      <c r="K52" s="13" t="n"/>
      <c r="L52" s="13" t="inlineStr">
        <is>
          <t>乗り心地いい</t>
        </is>
      </c>
      <c r="M52" s="14" t="n"/>
      <c r="N52" s="14" t="n"/>
      <c r="O52" s="14" t="inlineStr">
        <is>
          <t>2.4zだとフル乗車した時パワーがないだが、燃費だけは良い</t>
        </is>
      </c>
      <c r="P52" s="13" t="inlineStr">
        <is>
          <t>https://minkara.carview.co.jp/car/toyota/vellfire/review/detail.aspx?cid=458131</t>
        </is>
      </c>
    </row>
    <row r="53">
      <c r="A53" s="8" t="inlineStr">
        <is>
          <t>ヴェルファイア</t>
        </is>
      </c>
      <c r="B53" s="8" t="n">
        <v>2025</v>
      </c>
      <c r="C53" s="8" t="inlineStr">
        <is>
          <t>Z プレミア(CVT_2.5_ハイブリッド)</t>
        </is>
      </c>
      <c r="D53" s="8" t="inlineStr">
        <is>
          <t>2026年7月12日</t>
        </is>
      </c>
      <c r="E53" s="8" t="inlineStr">
        <is>
          <t>通勤通学</t>
        </is>
      </c>
      <c r="F53" s="8" t="n">
        <v>5</v>
      </c>
      <c r="G53" s="8" t="n">
        <v>5</v>
      </c>
      <c r="H53" s="8" t="n">
        <v>5</v>
      </c>
      <c r="I53" s="8" t="n">
        <v>5</v>
      </c>
      <c r="J53" s="8" t="n">
        <v>5</v>
      </c>
      <c r="K53" s="8" t="n">
        <v>5</v>
      </c>
      <c r="L53" s="8" t="inlineStr">
        <is>
          <t>カッコいい</t>
        </is>
      </c>
      <c r="M53" s="14" t="n"/>
      <c r="N53" s="14" t="n"/>
      <c r="O53" s="14" t="inlineStr">
        <is>
          <t>通勤で使用してますが燃費がいいです</t>
        </is>
      </c>
      <c r="P53" s="8" t="inlineStr">
        <is>
          <t>https://minkara.carview.co.jp/car/toyota/vellfire/review/detail.aspx?cid=458092</t>
        </is>
      </c>
    </row>
    <row r="54">
      <c r="A54" s="13" t="inlineStr">
        <is>
          <t>ヴェルファイア</t>
        </is>
      </c>
      <c r="B54" s="13" t="n">
        <v>2025</v>
      </c>
      <c r="C54" s="13" t="inlineStr">
        <is>
          <t>Z プレミア(CVT_2.5_ハイブリッド)</t>
        </is>
      </c>
      <c r="D54" s="13" t="inlineStr">
        <is>
          <t>2026年7月12日</t>
        </is>
      </c>
      <c r="E54" s="13" t="inlineStr">
        <is>
          <t>通勤通学</t>
        </is>
      </c>
      <c r="F54" s="13" t="n">
        <v>5</v>
      </c>
      <c r="G54" s="13" t="n">
        <v>5</v>
      </c>
      <c r="H54" s="13" t="n">
        <v>5</v>
      </c>
      <c r="I54" s="13" t="n">
        <v>5</v>
      </c>
      <c r="J54" s="13" t="n">
        <v>5</v>
      </c>
      <c r="K54" s="13" t="n">
        <v>5</v>
      </c>
      <c r="L54" s="13" t="inlineStr">
        <is>
          <t>カッコいい</t>
        </is>
      </c>
      <c r="M54" s="14" t="n"/>
      <c r="N54" s="14" t="n"/>
      <c r="O54" s="14" t="inlineStr">
        <is>
          <t>通勤で使用してますが燃費がいいです</t>
        </is>
      </c>
      <c r="P54" s="13" t="inlineStr">
        <is>
          <t>https://minkara.carview.co.jp/car/toyota/vellfire/review/detail.aspx?cid=458091</t>
        </is>
      </c>
    </row>
    <row r="55">
      <c r="A55" s="8" t="inlineStr">
        <is>
          <t>ヴェルファイア</t>
        </is>
      </c>
      <c r="B55" s="8" t="n">
        <v>2026</v>
      </c>
      <c r="C55" s="8" t="inlineStr">
        <is>
          <t>Z プレミア(AT_2.4_ガソリン)</t>
        </is>
      </c>
      <c r="D55" s="8" t="inlineStr">
        <is>
          <t>2026年7月8日</t>
        </is>
      </c>
      <c r="E55" s="8" t="inlineStr">
        <is>
          <t>通勤通学</t>
        </is>
      </c>
      <c r="F55" s="8" t="n">
        <v>5</v>
      </c>
      <c r="G55" s="8" t="n">
        <v>5</v>
      </c>
      <c r="H55" s="8" t="n">
        <v>5</v>
      </c>
      <c r="I55" s="8" t="n">
        <v>5</v>
      </c>
      <c r="J55" s="8" t="n">
        <v>4</v>
      </c>
      <c r="K55" s="8" t="n">
        <v>1</v>
      </c>
      <c r="L55" s="8" t="inlineStr">
        <is>
          <t>存在感ありあり！！</t>
        </is>
      </c>
      <c r="M55" s="14" t="inlineStr">
        <is>
          <t>存在感と走行性能は申し分ないです！ GRエアロを選択したことにより、他の人とカブる確率が減りました。</t>
        </is>
      </c>
      <c r="N55" s="14" t="inlineStr">
        <is>
          <t>積載量は、サイズの割には少ない気がします。 フル乗車で旅行に行くと、荷物考えたないとダメですね… 燃費は、このクラスの車両に求めてはダメです！w</t>
        </is>
      </c>
      <c r="O55" s="14" t="inlineStr">
        <is>
          <t>ミニバンとしての男のロマンが詰まった車です。 ハイオク/ターボだけでも、ロマンがあります！!</t>
        </is>
      </c>
      <c r="P55" s="8" t="inlineStr">
        <is>
          <t>https://minkara.carview.co.jp/car/toyota/vellfire/review/detail.aspx?cid=457843</t>
        </is>
      </c>
    </row>
    <row r="56">
      <c r="A56" s="13" t="inlineStr">
        <is>
          <t>ヴェルファイア</t>
        </is>
      </c>
      <c r="B56" s="13" t="n">
        <v>2014</v>
      </c>
      <c r="C56" s="13" t="inlineStr">
        <is>
          <t>3.5Z“ゴールデンアイズII”_7人乗り_4WD(AT_3.5)</t>
        </is>
      </c>
      <c r="D56" s="13" t="inlineStr">
        <is>
          <t>2026年7月7日</t>
        </is>
      </c>
      <c r="E56" s="13" t="inlineStr">
        <is>
          <t>通勤通学</t>
        </is>
      </c>
      <c r="F56" s="13" t="n">
        <v>5</v>
      </c>
      <c r="G56" s="13" t="n">
        <v>5</v>
      </c>
      <c r="H56" s="13" t="n">
        <v>5</v>
      </c>
      <c r="I56" s="13" t="n">
        <v>5</v>
      </c>
      <c r="J56" s="13" t="n">
        <v>4</v>
      </c>
      <c r="K56" s="13" t="n">
        <v>4</v>
      </c>
      <c r="L56" s="13" t="inlineStr">
        <is>
          <t>古い車両ですが、まだまだ現役で頑張ってます。</t>
        </is>
      </c>
      <c r="M56" s="14" t="inlineStr">
        <is>
          <t>3.5なのでそこそこ力があり、ストレスなく走れる</t>
        </is>
      </c>
      <c r="N56" s="14" t="inlineStr">
        <is>
          <t>特になし</t>
        </is>
      </c>
      <c r="O56" s="14" t="inlineStr">
        <is>
          <t>今どきのハイブリッド車の燃費の足元にも及びませんが、3.5でも高速巡行ならば10㎞/ℓ以上はいけます。</t>
        </is>
      </c>
      <c r="P56" s="13" t="inlineStr">
        <is>
          <t>https://minkara.carview.co.jp/car/toyota/vellfire/review/detail.aspx?cid=457745</t>
        </is>
      </c>
    </row>
    <row r="57">
      <c r="A57" s="8" t="inlineStr">
        <is>
          <t>ヴェルファイア</t>
        </is>
      </c>
      <c r="B57" s="8" t="n">
        <v>2015</v>
      </c>
      <c r="C57" s="8" t="inlineStr">
        <is>
          <t>Z“Gエディション”_7人乗り(CVT_2.5)</t>
        </is>
      </c>
      <c r="D57" s="8" t="inlineStr">
        <is>
          <t>2026年6月26日</t>
        </is>
      </c>
      <c r="E57" s="8" t="inlineStr">
        <is>
          <t>通勤通学</t>
        </is>
      </c>
      <c r="F57" s="8" t="n">
        <v>5</v>
      </c>
      <c r="G57" s="8" t="n">
        <v>5</v>
      </c>
      <c r="H57" s="8" t="n">
        <v>4</v>
      </c>
      <c r="I57" s="8" t="n">
        <v>5</v>
      </c>
      <c r="J57" s="8" t="n">
        <v>3</v>
      </c>
      <c r="K57" s="8" t="n">
        <v>3</v>
      </c>
      <c r="L57" s="8" t="inlineStr">
        <is>
          <t>リセール等を一切考えずにやりたい事をやっています✌️</t>
        </is>
      </c>
      <c r="M57" s="14" t="inlineStr">
        <is>
          <t>広くてゆったり乗れる😊</t>
        </is>
      </c>
      <c r="N57" s="14" t="inlineStr">
        <is>
          <t>車両周りが見づらい､､､ 中古車なのでSRを優先したから全方位📸が無い､､､😑</t>
        </is>
      </c>
      <c r="O57" s="14" t="inlineStr">
        <is>
          <t>見た目通りに存在感が有ってとても気に入っています😊</t>
        </is>
      </c>
      <c r="P57" s="8" t="inlineStr">
        <is>
          <t>https://minkara.carview.co.jp/car/toyota/vellfire/review/detail.aspx?cid=456964</t>
        </is>
      </c>
    </row>
    <row r="58">
      <c r="A58" s="13" t="inlineStr">
        <is>
          <t>ヴェルファイア</t>
        </is>
      </c>
      <c r="B58" s="13" t="n">
        <v>2025</v>
      </c>
      <c r="C58" s="13" t="inlineStr">
        <is>
          <t>Z プレミア_E-Four(CVT_2.5_ハイブリッド)</t>
        </is>
      </c>
      <c r="D58" s="13" t="inlineStr">
        <is>
          <t>2026年6月25日</t>
        </is>
      </c>
      <c r="E58" s="13" t="inlineStr">
        <is>
          <t>通勤通学</t>
        </is>
      </c>
      <c r="F58" s="13" t="n">
        <v>3</v>
      </c>
      <c r="G58" s="13" t="n">
        <v>3</v>
      </c>
      <c r="H58" s="13" t="n">
        <v>3</v>
      </c>
      <c r="I58" s="13" t="n">
        <v>4</v>
      </c>
      <c r="J58" s="13" t="n">
        <v>1</v>
      </c>
      <c r="K58" s="13" t="n">
        <v>4</v>
      </c>
      <c r="L58" s="13" t="inlineStr">
        <is>
          <t>ハイブリッドは、ただの錘</t>
        </is>
      </c>
      <c r="M58" s="14" t="inlineStr">
        <is>
          <t>30アルファードより、ボディ剛性が上がった？音が静かになった？</t>
        </is>
      </c>
      <c r="N58" s="14" t="inlineStr">
        <is>
          <t>ターボにすれば良かったか？高速で燃費悪い、加速遅い、コーナーで重さを感じる</t>
        </is>
      </c>
      <c r="O58" s="14" t="inlineStr">
        <is>
          <t>まだまだ進化途中という感じか</t>
        </is>
      </c>
      <c r="P58" s="13" t="inlineStr">
        <is>
          <t>https://minkara.carview.co.jp/car/toyota/vellfire/review/detail.aspx?cid=456904</t>
        </is>
      </c>
    </row>
    <row r="59">
      <c r="A59" s="8" t="inlineStr">
        <is>
          <t>ヴェルファイア</t>
        </is>
      </c>
      <c r="B59" s="8" t="n">
        <v>2016</v>
      </c>
      <c r="C59" s="8" t="inlineStr">
        <is>
          <t>Z“Aエディション・ゴールデンアイズ”_7人乗り(CVT_2.5)</t>
        </is>
      </c>
      <c r="D59" s="8" t="inlineStr">
        <is>
          <t>2026年6月20日</t>
        </is>
      </c>
      <c r="E59" s="8" t="n"/>
      <c r="F59" s="8" t="n">
        <v>5</v>
      </c>
      <c r="G59" s="8" t="n"/>
      <c r="H59" s="8" t="n"/>
      <c r="I59" s="8" t="n"/>
      <c r="J59" s="8" t="n"/>
      <c r="K59" s="8" t="n"/>
      <c r="L59" s="8" t="inlineStr">
        <is>
          <t>20系からの乗換。安全機能があってよいですね！</t>
        </is>
      </c>
      <c r="M59" s="14" t="inlineStr">
        <is>
          <t>以前は8人乗りで3列目への移動が大変でしたが、今は7人乗りで移動が楽（みたい）です。</t>
        </is>
      </c>
      <c r="N59" s="14" t="inlineStr">
        <is>
          <t>燃費が20系より悪い</t>
        </is>
      </c>
      <c r="O59" s="14" t="inlineStr">
        <is>
          <t>40系買えず、中古での購入ですが、満足です。</t>
        </is>
      </c>
      <c r="P59" s="8" t="inlineStr">
        <is>
          <t>https://minkara.carview.co.jp/car/toyota/vellfire/review/detail.aspx?cid=456548</t>
        </is>
      </c>
    </row>
    <row r="60">
      <c r="A60" s="13" t="inlineStr">
        <is>
          <t>ヴェルファイア</t>
        </is>
      </c>
      <c r="B60" s="13" t="n">
        <v>2015</v>
      </c>
      <c r="C60" s="13" t="inlineStr">
        <is>
          <t>X_8人乗り_4WD(CVT_2.5)</t>
        </is>
      </c>
      <c r="D60" s="13" t="inlineStr">
        <is>
          <t>2026年6月6日</t>
        </is>
      </c>
      <c r="E60" s="13" t="inlineStr">
        <is>
          <t>レジャー</t>
        </is>
      </c>
      <c r="F60" s="13" t="n">
        <v>5</v>
      </c>
      <c r="G60" s="13" t="n">
        <v>4</v>
      </c>
      <c r="H60" s="13" t="n">
        <v>3</v>
      </c>
      <c r="I60" s="13" t="n">
        <v>4</v>
      </c>
      <c r="J60" s="13" t="n">
        <v>5</v>
      </c>
      <c r="K60" s="13" t="n">
        <v>3</v>
      </c>
      <c r="L60" s="13" t="inlineStr">
        <is>
          <t>でっかい安心感</t>
        </is>
      </c>
      <c r="M60" s="14" t="n"/>
      <c r="N60" s="14" t="n"/>
      <c r="O60" s="14" t="inlineStr">
        <is>
          <t>燃費に目を瞑れば満足です</t>
        </is>
      </c>
      <c r="P60" s="13" t="inlineStr">
        <is>
          <t>https://minkara.carview.co.jp/car/toyota/vellfire/review/detail.aspx?cid=455568</t>
        </is>
      </c>
    </row>
    <row r="61">
      <c r="A61" s="8" t="inlineStr">
        <is>
          <t>ヴェルファイア</t>
        </is>
      </c>
      <c r="B61" s="8" t="n">
        <v>2016</v>
      </c>
      <c r="C61" s="8" t="inlineStr">
        <is>
          <t>Z“Aエディション・ゴールデンアイズ”_7人乗り(CVT_2.5)</t>
        </is>
      </c>
      <c r="D61" s="8" t="inlineStr">
        <is>
          <t>2026年6月3日</t>
        </is>
      </c>
      <c r="E61" s="8" t="inlineStr">
        <is>
          <t>レジャー</t>
        </is>
      </c>
      <c r="F61" s="8" t="n">
        <v>5</v>
      </c>
      <c r="G61" s="8" t="n"/>
      <c r="H61" s="8" t="n"/>
      <c r="I61" s="8" t="n"/>
      <c r="J61" s="8" t="n"/>
      <c r="K61" s="8" t="n"/>
      <c r="L61" s="8" t="inlineStr">
        <is>
          <t>でっかいミニバン</t>
        </is>
      </c>
      <c r="M61" s="14" t="inlineStr">
        <is>
          <t>①3〜4人乗車でほぼ使用、乗り心地はTHEトヨタ、ふわふわ。 ②燃費は思ったより良くメーター読みでリッター10kmは超えています。 ③意外や小さなフェンダーミラーはしっかりと前方下の死角も見えて便利です。</t>
        </is>
      </c>
      <c r="N61" s="14" t="inlineStr">
        <is>
          <t>高級車ではないです、高額車です。 乗ればギシギシミシミシ、 大きい普通なミニバンです。 逆に道具として使い倒せるのはいい所。 街中ではでっかいので立駐NGの場所が多いです。 レーダークルコン付いてますが同一車線に車が無いのに車を把握して急ブレーキかけるいたずらっこ。</t>
        </is>
      </c>
      <c r="O61" s="14" t="inlineStr">
        <is>
          <t>色々と言ってきましたが世界のトヨタ、今の所大きな故障も無く快適です。 同乗してくれる方もだいたい寝ていますので満足してくれているかな。 長距離を友人達、家族とドライブするには快適無敵なミニバンです。</t>
        </is>
      </c>
      <c r="P61" s="8" t="inlineStr">
        <is>
          <t>https://minkara.carview.co.jp/car/toyota/vellfire/review/detail.aspx?cid=455435</t>
        </is>
      </c>
    </row>
    <row r="62">
      <c r="A62" s="13" t="inlineStr">
        <is>
          <t>ノア</t>
        </is>
      </c>
      <c r="B62" s="13" t="n">
        <v>2022</v>
      </c>
      <c r="C62" s="13" t="inlineStr">
        <is>
          <t>S-G_8人乗り_4WD(CVT_2.0)</t>
        </is>
      </c>
      <c r="D62" s="13" t="inlineStr">
        <is>
          <t>2026年8月17日</t>
        </is>
      </c>
      <c r="E62" s="13" t="inlineStr">
        <is>
          <t>買い物</t>
        </is>
      </c>
      <c r="F62" s="13" t="n">
        <v>4</v>
      </c>
      <c r="G62" s="13" t="n">
        <v>4</v>
      </c>
      <c r="H62" s="13" t="n">
        <v>3</v>
      </c>
      <c r="I62" s="13" t="n">
        <v>4</v>
      </c>
      <c r="J62" s="13" t="n">
        <v>4</v>
      </c>
      <c r="K62" s="13" t="n">
        <v>3</v>
      </c>
      <c r="L62" s="13" t="inlineStr">
        <is>
          <t>納車から3週間</t>
        </is>
      </c>
      <c r="M62" s="14" t="n"/>
      <c r="N62" s="14" t="inlineStr">
        <is>
          <t>前車のヴォクシー75と比較しトルクが薄い。 特に加速時、低回転で感じる。</t>
        </is>
      </c>
      <c r="O62" s="14" t="inlineStr">
        <is>
          <t>街乗りメイン。この10日間で往復400kmの遠出を2回で、平均燃費は11.7km。</t>
        </is>
      </c>
      <c r="P62" s="13" t="inlineStr">
        <is>
          <t>https://minkara.carview.co.jp/car/toyota/noah/review/detail.aspx?cid=460669</t>
        </is>
      </c>
    </row>
    <row r="63">
      <c r="A63" s="8" t="inlineStr">
        <is>
          <t>ノア</t>
        </is>
      </c>
      <c r="B63" s="8" t="n">
        <v>2022</v>
      </c>
      <c r="C63" s="8" t="inlineStr">
        <is>
          <t>X_8人乗り(CVT_2.0)</t>
        </is>
      </c>
      <c r="D63" s="8" t="inlineStr">
        <is>
          <t>2026年7月27日</t>
        </is>
      </c>
      <c r="E63" s="8" t="inlineStr">
        <is>
          <t>その他</t>
        </is>
      </c>
      <c r="F63" s="8" t="n">
        <v>5</v>
      </c>
      <c r="G63" s="8" t="n">
        <v>5</v>
      </c>
      <c r="H63" s="8" t="n">
        <v>5</v>
      </c>
      <c r="I63" s="8" t="n">
        <v>5</v>
      </c>
      <c r="J63" s="8" t="n">
        <v>5</v>
      </c>
      <c r="K63" s="8" t="n">
        <v>5</v>
      </c>
      <c r="L63" s="8" t="inlineStr">
        <is>
          <t>普通にいい車</t>
        </is>
      </c>
      <c r="M63" s="14" t="inlineStr">
        <is>
          <t>コスパ最強</t>
        </is>
      </c>
      <c r="N63" s="14" t="inlineStr">
        <is>
          <t>あったら買ってない</t>
        </is>
      </c>
      <c r="O63" s="14" t="inlineStr">
        <is>
          <t>ありがとう</t>
        </is>
      </c>
      <c r="P63" s="8" t="inlineStr">
        <is>
          <t>https://minkara.carview.co.jp/car/toyota/noah/review/detail.aspx?cid=459161</t>
        </is>
      </c>
    </row>
    <row r="64">
      <c r="A64" s="13" t="inlineStr">
        <is>
          <t>ノア</t>
        </is>
      </c>
      <c r="B64" s="13" t="n">
        <v>2020</v>
      </c>
      <c r="C64" s="13" t="inlineStr">
        <is>
          <t>X_8人乗り(CVT_2.0)</t>
        </is>
      </c>
      <c r="D64" s="13" t="inlineStr">
        <is>
          <t>2026年7月24日</t>
        </is>
      </c>
      <c r="E64" s="13" t="inlineStr">
        <is>
          <t>その他</t>
        </is>
      </c>
      <c r="F64" s="13" t="n">
        <v>3</v>
      </c>
      <c r="G64" s="13" t="n">
        <v>5</v>
      </c>
      <c r="H64" s="13" t="n">
        <v>4</v>
      </c>
      <c r="I64" s="13" t="n">
        <v>3</v>
      </c>
      <c r="J64" s="13" t="n">
        <v>4</v>
      </c>
      <c r="K64" s="13" t="n"/>
      <c r="L64" s="13" t="inlineStr">
        <is>
          <t>いい車</t>
        </is>
      </c>
      <c r="M64" s="14" t="inlineStr">
        <is>
          <t>車内が広い。</t>
        </is>
      </c>
      <c r="N64" s="14" t="inlineStr">
        <is>
          <t>あまり感じない。</t>
        </is>
      </c>
      <c r="O64" s="14" t="inlineStr">
        <is>
          <t>普通に、使いやすいミニバンだと思います。 同乗者目線ですが…😅</t>
        </is>
      </c>
      <c r="P64" s="13" t="inlineStr">
        <is>
          <t>https://minkara.carview.co.jp/car/toyota/noah/review/detail.aspx?cid=458890</t>
        </is>
      </c>
    </row>
    <row r="65">
      <c r="A65" s="8" t="inlineStr">
        <is>
          <t>ノア</t>
        </is>
      </c>
      <c r="B65" s="8" t="n">
        <v>2017</v>
      </c>
      <c r="C65" s="8" t="inlineStr">
        <is>
          <t>X_7人乗り(CVT_2.0)</t>
        </is>
      </c>
      <c r="D65" s="8" t="inlineStr">
        <is>
          <t>2026年7月24日</t>
        </is>
      </c>
      <c r="E65" s="8" t="inlineStr">
        <is>
          <t>通勤通学</t>
        </is>
      </c>
      <c r="F65" s="8" t="n">
        <v>2</v>
      </c>
      <c r="G65" s="8" t="n">
        <v>4</v>
      </c>
      <c r="H65" s="8" t="n">
        <v>3</v>
      </c>
      <c r="I65" s="8" t="n">
        <v>2</v>
      </c>
      <c r="J65" s="8" t="n">
        <v>4</v>
      </c>
      <c r="K65" s="8" t="n">
        <v>3</v>
      </c>
      <c r="L65" s="8" t="inlineStr">
        <is>
          <t>Xグレードでも頑張る</t>
        </is>
      </c>
      <c r="M65" s="14" t="inlineStr">
        <is>
          <t>まあ、乗りやすい車だと思っています。</t>
        </is>
      </c>
      <c r="N65" s="14" t="inlineStr">
        <is>
          <t>いろいろ装備が⤵︎なのでまあ、できる範囲で快適に出来ればと思います。</t>
        </is>
      </c>
      <c r="O65" s="14" t="inlineStr">
        <is>
          <t>外観はカッコよくて好きです。あ、W×Bにモデリスタつけたやつのことです。</t>
        </is>
      </c>
      <c r="P65" s="8" t="inlineStr">
        <is>
          <t>https://minkara.carview.co.jp/car/toyota/noah/review/detail.aspx?cid=458886</t>
        </is>
      </c>
    </row>
    <row r="66">
      <c r="A66" s="13" t="inlineStr">
        <is>
          <t>ノア</t>
        </is>
      </c>
      <c r="B66" s="13" t="n">
        <v>2019</v>
      </c>
      <c r="C66" s="13" t="inlineStr">
        <is>
          <t>Si“W×B II”_7人乗り(CVT_2.0)</t>
        </is>
      </c>
      <c r="D66" s="13" t="inlineStr">
        <is>
          <t>2026年7月17日</t>
        </is>
      </c>
      <c r="E66" s="13" t="inlineStr">
        <is>
          <t>買い物</t>
        </is>
      </c>
      <c r="F66" s="13" t="n">
        <v>5</v>
      </c>
      <c r="G66" s="13" t="n">
        <v>5</v>
      </c>
      <c r="H66" s="13" t="n">
        <v>4</v>
      </c>
      <c r="I66" s="13" t="n">
        <v>5</v>
      </c>
      <c r="J66" s="13" t="n">
        <v>5</v>
      </c>
      <c r="K66" s="13" t="n">
        <v>4</v>
      </c>
      <c r="L66" s="13" t="inlineStr">
        <is>
          <t>初トヨタ車 最高</t>
        </is>
      </c>
      <c r="M66" s="14" t="inlineStr">
        <is>
          <t>・フロントグリルのメッキがかっこいい！ ・ダブルゾーンで前後分けられるので、子供も大人も快適 ・リアオートエアコンのため後席もすぐ冷える ・後席シートアレンジでかなり広々 ・予約ロック機能でスライドドアが閉まるのを待つ必要が無くよい ・ステアリングが軽く運転が楽</t>
        </is>
      </c>
      <c r="N66" s="14" t="inlineStr">
        <is>
          <t>・車速ドアロックがついててほしかった ・アイドリングストップが煩わしい。キャンセラーつけようか考え中 その他特に不満無し</t>
        </is>
      </c>
      <c r="O66" s="14" t="inlineStr">
        <is>
          <t>総合的に見て、いい車！かっこいい！ 燃費はこれから見ていくけど今のところ12km/Lだから満足かな！</t>
        </is>
      </c>
      <c r="P66" s="13" t="inlineStr">
        <is>
          <t>https://minkara.carview.co.jp/car/toyota/noah/review/detail.aspx?cid=458398</t>
        </is>
      </c>
    </row>
    <row r="67">
      <c r="A67" s="8" t="inlineStr">
        <is>
          <t>ノア</t>
        </is>
      </c>
      <c r="B67" s="8" t="n">
        <v>2020</v>
      </c>
      <c r="C67" s="8" t="inlineStr">
        <is>
          <t>Si“W×B III”_7人乗り_4WD(CVT_2.0)</t>
        </is>
      </c>
      <c r="D67" s="8" t="inlineStr">
        <is>
          <t>2026年7月17日</t>
        </is>
      </c>
      <c r="E67" s="8" t="inlineStr">
        <is>
          <t>買い物</t>
        </is>
      </c>
      <c r="F67" s="8" t="n">
        <v>5</v>
      </c>
      <c r="G67" s="8" t="n">
        <v>5</v>
      </c>
      <c r="H67" s="8" t="n">
        <v>5</v>
      </c>
      <c r="I67" s="8" t="n">
        <v>5</v>
      </c>
      <c r="J67" s="8" t="n">
        <v>5</v>
      </c>
      <c r="K67" s="8" t="n">
        <v>4</v>
      </c>
      <c r="L67" s="8" t="inlineStr">
        <is>
          <t>乗りやすく中も広くてよい。</t>
        </is>
      </c>
      <c r="M67" s="14" t="inlineStr">
        <is>
          <t>ヴォクシーよりノアの方が見た目が好きで購入！中も広く、運転もしやすい。</t>
        </is>
      </c>
      <c r="N67" s="14" t="inlineStr">
        <is>
          <t>まだ計算してないですが思ったよりも燃費が悪いような気がします。</t>
        </is>
      </c>
      <c r="O67" s="14" t="inlineStr">
        <is>
          <t>トータル評価で買ってよかったです。今はミニバンの価格が上がってますがしかたないですね。</t>
        </is>
      </c>
      <c r="P67" s="8" t="inlineStr">
        <is>
          <t>https://minkara.carview.co.jp/car/toyota/noah/review/detail.aspx?cid=458380</t>
        </is>
      </c>
    </row>
    <row r="68">
      <c r="A68" s="13" t="inlineStr">
        <is>
          <t>ノア</t>
        </is>
      </c>
      <c r="B68" s="13" t="n">
        <v>2025</v>
      </c>
      <c r="C68" s="13" t="inlineStr">
        <is>
          <t>S-Z_7人乗り(CVT_2.0)</t>
        </is>
      </c>
      <c r="D68" s="13" t="inlineStr">
        <is>
          <t>2026年6月29日</t>
        </is>
      </c>
      <c r="E68" s="13" t="inlineStr">
        <is>
          <t>買い物</t>
        </is>
      </c>
      <c r="F68" s="13" t="n">
        <v>5</v>
      </c>
      <c r="G68" s="13" t="n">
        <v>5</v>
      </c>
      <c r="H68" s="13" t="n">
        <v>4</v>
      </c>
      <c r="I68" s="13" t="n">
        <v>5</v>
      </c>
      <c r="J68" s="13" t="n">
        <v>5</v>
      </c>
      <c r="K68" s="13" t="n">
        <v>5</v>
      </c>
      <c r="L68" s="13" t="inlineStr">
        <is>
          <t>広さと装備と見た目</t>
        </is>
      </c>
      <c r="M68" s="14" t="inlineStr">
        <is>
          <t>前の車と比較すると、広くなって荷物も入れられるし、7人乗ることもあるので少し快適になってくれたかと思います</t>
        </is>
      </c>
      <c r="N68" s="14" t="n"/>
      <c r="O68" s="14" t="inlineStr">
        <is>
          <t>大きすぎず、適度な広さで十分な装備があるのでおすすめです 見た目も少し落ち着いたのでそれがよかった</t>
        </is>
      </c>
      <c r="P68" s="13" t="inlineStr">
        <is>
          <t>https://minkara.carview.co.jp/car/toyota/noah/review/detail.aspx?cid=457221</t>
        </is>
      </c>
    </row>
    <row r="69">
      <c r="A69" s="8" t="inlineStr">
        <is>
          <t>ノア</t>
        </is>
      </c>
      <c r="B69" s="8" t="n">
        <v>2014</v>
      </c>
      <c r="C69" s="8" t="inlineStr">
        <is>
          <t>Si_7人乗り_4WD(CVT_2.0)</t>
        </is>
      </c>
      <c r="D69" s="8" t="inlineStr">
        <is>
          <t>2026年6月9日</t>
        </is>
      </c>
      <c r="E69" s="8" t="inlineStr">
        <is>
          <t>レジャー</t>
        </is>
      </c>
      <c r="F69" s="8" t="n">
        <v>5</v>
      </c>
      <c r="G69" s="8" t="n">
        <v>5</v>
      </c>
      <c r="H69" s="8" t="n">
        <v>5</v>
      </c>
      <c r="I69" s="8" t="n">
        <v>4</v>
      </c>
      <c r="J69" s="8" t="n">
        <v>5</v>
      </c>
      <c r="K69" s="8" t="n">
        <v>4</v>
      </c>
      <c r="L69" s="8" t="inlineStr">
        <is>
          <t>Siグレードはいい！</t>
        </is>
      </c>
      <c r="M69" s="14" t="inlineStr">
        <is>
          <t>前車が廃車になった為、急遽購入する事になったのですが、気に入ってしまいました。 元々はノアなんか絶対乗らないと思っていたのに… Siグレードは装備もいいし、ちょっとかわいくて家族みんなお気に入りです。</t>
        </is>
      </c>
      <c r="N69" s="14" t="inlineStr">
        <is>
          <t>前席はウォークスルーでなくてよいのかな、と 物が入らない！</t>
        </is>
      </c>
      <c r="O69" s="14" t="inlineStr">
        <is>
          <t>今までは節約の為？その車種上位グレードって買ったことが無かったのですが、違うものですね。 満足です。 少し弄って、さらに自分好みにしていきます</t>
        </is>
      </c>
      <c r="P69" s="8" t="inlineStr">
        <is>
          <t>https://minkara.carview.co.jp/car/toyota/noah/review/detail.aspx?cid=455815</t>
        </is>
      </c>
    </row>
    <row r="70">
      <c r="A70" s="13" t="inlineStr">
        <is>
          <t>ノア</t>
        </is>
      </c>
      <c r="B70" s="13" t="n">
        <v>2022</v>
      </c>
      <c r="C70" s="13" t="inlineStr">
        <is>
          <t>S-Z_7人乗り(CVT_2.0)</t>
        </is>
      </c>
      <c r="D70" s="13" t="inlineStr">
        <is>
          <t>2026年6月5日</t>
        </is>
      </c>
      <c r="E70" s="13" t="n"/>
      <c r="F70" s="13" t="n">
        <v>4</v>
      </c>
      <c r="G70" s="13" t="n"/>
      <c r="H70" s="13" t="n"/>
      <c r="I70" s="13" t="n"/>
      <c r="J70" s="13" t="n"/>
      <c r="K70" s="13" t="n"/>
      <c r="L70" s="13" t="inlineStr">
        <is>
          <t>ファミリーカーなら最適では</t>
        </is>
      </c>
      <c r="M70" s="14" t="inlineStr">
        <is>
          <t>室内が広い</t>
        </is>
      </c>
      <c r="N70" s="14" t="inlineStr">
        <is>
          <t>以前乗っていたX1に比べると車の性能としてはだいぶ落ちるが、そもそも比べるものではない。</t>
        </is>
      </c>
      <c r="O70" s="14" t="inlineStr">
        <is>
          <t>スライドドアで室内が広く、フル乗車だと乗り心地が良くなる良い車</t>
        </is>
      </c>
      <c r="P70" s="13" t="inlineStr">
        <is>
          <t>https://minkara.carview.co.jp/car/toyota/noah/review/detail.aspx?cid=455555</t>
        </is>
      </c>
    </row>
    <row r="71">
      <c r="A71" s="8" t="inlineStr">
        <is>
          <t>ノア</t>
        </is>
      </c>
      <c r="B71" s="8" t="n">
        <v>2020</v>
      </c>
      <c r="C71" s="8" t="inlineStr">
        <is>
          <t>不明</t>
        </is>
      </c>
      <c r="D71" s="8" t="inlineStr">
        <is>
          <t>2026年6月4日</t>
        </is>
      </c>
      <c r="E71" s="8" t="inlineStr">
        <is>
          <t>レジャー</t>
        </is>
      </c>
      <c r="F71" s="8" t="n">
        <v>3</v>
      </c>
      <c r="G71" s="8" t="n">
        <v>3</v>
      </c>
      <c r="H71" s="8" t="n">
        <v>4</v>
      </c>
      <c r="I71" s="8" t="n">
        <v>4</v>
      </c>
      <c r="J71" s="8" t="n">
        <v>4</v>
      </c>
      <c r="K71" s="8" t="n">
        <v>4</v>
      </c>
      <c r="L71" s="8" t="inlineStr">
        <is>
          <t>6年目 ８万ｋｍオーバーになったけど</t>
        </is>
      </c>
      <c r="M71" s="14" t="inlineStr">
        <is>
          <t>多分当たりの車体やと思うし 仮にこの状態で売ったとしても 何の問題も無いし 自分が買いたいくらい そう思うと、この車は残したい</t>
        </is>
      </c>
      <c r="N71" s="14" t="inlineStr">
        <is>
          <t>次の車も気になりますが 今の所、欲しいと思う車も無いし このまま行けば１０万ｋｍオーバーは確実</t>
        </is>
      </c>
      <c r="O71" s="14" t="inlineStr">
        <is>
          <t>ここまで来るのに車の限界もあると思いながら 良いと思ってたセッティングも何回もやり直して 昨日より今日 今日より明日の方が良くなるように 試行錯誤 これからは、大人しく乗ろう</t>
        </is>
      </c>
      <c r="P71" s="8" t="inlineStr">
        <is>
          <t>https://minkara.carview.co.jp/car/toyota/noah/review/detail.aspx?cid=455446</t>
        </is>
      </c>
    </row>
    <row r="72">
      <c r="A72" s="13" t="inlineStr">
        <is>
          <t>ノア</t>
        </is>
      </c>
      <c r="B72" s="13" t="n">
        <v>2025</v>
      </c>
      <c r="C72" s="13" t="inlineStr">
        <is>
          <t>S-Z_7人乗り(CVT_2.0)</t>
        </is>
      </c>
      <c r="D72" s="13" t="inlineStr">
        <is>
          <t>2026年5月22日</t>
        </is>
      </c>
      <c r="E72" s="13" t="inlineStr">
        <is>
          <t>通勤通学</t>
        </is>
      </c>
      <c r="F72" s="13" t="n">
        <v>5</v>
      </c>
      <c r="G72" s="13" t="n">
        <v>5</v>
      </c>
      <c r="H72" s="13" t="n">
        <v>4</v>
      </c>
      <c r="I72" s="13" t="n">
        <v>4</v>
      </c>
      <c r="J72" s="13" t="n">
        <v>5</v>
      </c>
      <c r="K72" s="13" t="n">
        <v>3</v>
      </c>
      <c r="L72" s="13" t="inlineStr">
        <is>
          <t>18年の進化！</t>
        </is>
      </c>
      <c r="M72" s="14" t="inlineStr">
        <is>
          <t>加速力良い</t>
        </is>
      </c>
      <c r="N72" s="14" t="inlineStr">
        <is>
          <t>洗車に時間がかかる</t>
        </is>
      </c>
      <c r="O72" s="14" t="inlineStr">
        <is>
          <t>車内広し</t>
        </is>
      </c>
      <c r="P72" s="13" t="inlineStr">
        <is>
          <t>https://minkara.carview.co.jp/car/toyota/noah/review/detail.aspx?cid=454519</t>
        </is>
      </c>
    </row>
    <row r="73">
      <c r="A73" s="8" t="inlineStr">
        <is>
          <t>ノア</t>
        </is>
      </c>
      <c r="B73" s="8" t="n">
        <v>2010</v>
      </c>
      <c r="C73" s="8" t="inlineStr">
        <is>
          <t>X“スマート エディション”_8人乗り(CVT_2.0)</t>
        </is>
      </c>
      <c r="D73" s="8" t="inlineStr">
        <is>
          <t>2026年5月19日</t>
        </is>
      </c>
      <c r="E73" s="8" t="inlineStr">
        <is>
          <t>通勤通学</t>
        </is>
      </c>
      <c r="F73" s="8" t="n">
        <v>5</v>
      </c>
      <c r="G73" s="8" t="n">
        <v>4</v>
      </c>
      <c r="H73" s="8" t="n">
        <v>3</v>
      </c>
      <c r="I73" s="8" t="n">
        <v>4</v>
      </c>
      <c r="J73" s="8" t="n">
        <v>4</v>
      </c>
      <c r="K73" s="8" t="n">
        <v>3</v>
      </c>
      <c r="L73" s="8" t="inlineStr">
        <is>
          <t>息子家族使用</t>
        </is>
      </c>
      <c r="M73" s="14" t="inlineStr">
        <is>
          <t>流石５ナンバーですから取り回しが良い</t>
        </is>
      </c>
      <c r="N73" s="14" t="inlineStr">
        <is>
          <t>なし</t>
        </is>
      </c>
      <c r="O73" s="14" t="inlineStr">
        <is>
          <t>息子家族が増えた為贈呈</t>
        </is>
      </c>
      <c r="P73" s="8" t="inlineStr">
        <is>
          <t>https://minkara.carview.co.jp/car/toyota/noah/review/detail.aspx?cid=454330</t>
        </is>
      </c>
    </row>
    <row r="74">
      <c r="A74" s="13" t="inlineStr">
        <is>
          <t>ノア</t>
        </is>
      </c>
      <c r="B74" s="13" t="n">
        <v>2025</v>
      </c>
      <c r="C74" s="13" t="inlineStr">
        <is>
          <t>S-Z_7人乗り(CVT_2.0)</t>
        </is>
      </c>
      <c r="D74" s="13" t="inlineStr">
        <is>
          <t>2026年5月14日</t>
        </is>
      </c>
      <c r="E74" s="13" t="inlineStr">
        <is>
          <t>通勤通学</t>
        </is>
      </c>
      <c r="F74" s="13" t="n">
        <v>5</v>
      </c>
      <c r="G74" s="13" t="n">
        <v>5</v>
      </c>
      <c r="H74" s="13" t="n">
        <v>5</v>
      </c>
      <c r="I74" s="13" t="n">
        <v>5</v>
      </c>
      <c r="J74" s="13" t="n">
        <v>4</v>
      </c>
      <c r="K74" s="13" t="n">
        <v>3</v>
      </c>
      <c r="L74" s="13" t="inlineStr">
        <is>
          <t>90系ノア！</t>
        </is>
      </c>
      <c r="M74" s="14" t="n"/>
      <c r="N74" s="14" t="n"/>
      <c r="O74" s="14" t="inlineStr">
        <is>
          <t>26セレナから乗り換えましたが、全てにおいて満足してます！！</t>
        </is>
      </c>
      <c r="P74" s="13" t="inlineStr">
        <is>
          <t>https://minkara.carview.co.jp/car/toyota/noah/review/detail.aspx?cid=453983</t>
        </is>
      </c>
    </row>
    <row r="75">
      <c r="A75" s="8" t="inlineStr">
        <is>
          <t>ノア</t>
        </is>
      </c>
      <c r="B75" s="8" t="n">
        <v>2014</v>
      </c>
      <c r="C75" s="8" t="inlineStr">
        <is>
          <t>G_8人乗り_4WD(CVT_2.0)</t>
        </is>
      </c>
      <c r="D75" s="8" t="inlineStr">
        <is>
          <t>2026年4月29日</t>
        </is>
      </c>
      <c r="E75" s="8" t="inlineStr">
        <is>
          <t>その他</t>
        </is>
      </c>
      <c r="F75" s="8" t="n">
        <v>4</v>
      </c>
      <c r="G75" s="8" t="n">
        <v>3</v>
      </c>
      <c r="H75" s="8" t="n">
        <v>3</v>
      </c>
      <c r="I75" s="8" t="n">
        <v>3</v>
      </c>
      <c r="J75" s="8" t="n">
        <v>3</v>
      </c>
      <c r="K75" s="8" t="n">
        <v>2</v>
      </c>
      <c r="L75" s="8" t="inlineStr">
        <is>
          <t>良いです</t>
        </is>
      </c>
      <c r="M75" s="14" t="n"/>
      <c r="N75" s="14" t="n"/>
      <c r="O75" s="14" t="inlineStr">
        <is>
          <t>良いです</t>
        </is>
      </c>
      <c r="P75" s="8" t="inlineStr">
        <is>
          <t>https://minkara.carview.co.jp/car/toyota/noah/review/detail.aspx?cid=452813</t>
        </is>
      </c>
    </row>
    <row r="76">
      <c r="A76" s="13" t="inlineStr">
        <is>
          <t>ノア</t>
        </is>
      </c>
      <c r="B76" s="13" t="n">
        <v>2022</v>
      </c>
      <c r="C76" s="13" t="inlineStr">
        <is>
          <t>S-Z_7人乗り_4WD(CVT_2.0)</t>
        </is>
      </c>
      <c r="D76" s="13" t="inlineStr">
        <is>
          <t>2026年4月28日</t>
        </is>
      </c>
      <c r="E76" s="13" t="inlineStr">
        <is>
          <t>通勤通学</t>
        </is>
      </c>
      <c r="F76" s="13" t="n">
        <v>4</v>
      </c>
      <c r="G76" s="13" t="n">
        <v>5</v>
      </c>
      <c r="H76" s="13" t="n">
        <v>5</v>
      </c>
      <c r="I76" s="13" t="n">
        <v>4</v>
      </c>
      <c r="J76" s="13" t="n">
        <v>4</v>
      </c>
      <c r="K76" s="13" t="n">
        <v>3</v>
      </c>
      <c r="L76" s="13" t="inlineStr">
        <is>
          <t>普通にいい車</t>
        </is>
      </c>
      <c r="M76" s="14" t="inlineStr">
        <is>
          <t>安全装備が充実してます。</t>
        </is>
      </c>
      <c r="N76" s="14" t="inlineStr">
        <is>
          <t>価格が高い</t>
        </is>
      </c>
      <c r="O76" s="14" t="inlineStr">
        <is>
          <t>よくも無く、悪くも無い車です。 三代ノアに乗ってますが、やはりいい車。</t>
        </is>
      </c>
      <c r="P76" s="13" t="inlineStr">
        <is>
          <t>https://minkara.carview.co.jp/car/toyota/noah/review/detail.aspx?cid=452697</t>
        </is>
      </c>
    </row>
    <row r="77">
      <c r="A77" s="8" t="inlineStr">
        <is>
          <t>ノア</t>
        </is>
      </c>
      <c r="B77" s="8" t="n">
        <v>2025</v>
      </c>
      <c r="C77" s="8" t="inlineStr">
        <is>
          <t>S-Z_7人乗り(CVT_2.0)</t>
        </is>
      </c>
      <c r="D77" s="8" t="inlineStr">
        <is>
          <t>2026年4月26日</t>
        </is>
      </c>
      <c r="E77" s="8" t="inlineStr">
        <is>
          <t>買い物</t>
        </is>
      </c>
      <c r="F77" s="8" t="n">
        <v>5</v>
      </c>
      <c r="G77" s="8" t="n">
        <v>5</v>
      </c>
      <c r="H77" s="8" t="n">
        <v>5</v>
      </c>
      <c r="I77" s="8" t="n">
        <v>5</v>
      </c>
      <c r="J77" s="8" t="n">
        <v>5</v>
      </c>
      <c r="K77" s="8" t="n">
        <v>3</v>
      </c>
      <c r="L77" s="8" t="inlineStr">
        <is>
          <t>顔がお気に入り</t>
        </is>
      </c>
      <c r="M77" s="14" t="n"/>
      <c r="N77" s="14" t="n"/>
      <c r="O77" s="14" t="inlineStr">
        <is>
          <t>大満足な車</t>
        </is>
      </c>
      <c r="P77" s="8" t="inlineStr">
        <is>
          <t>https://minkara.carview.co.jp/car/toyota/noah/review/detail.aspx?cid=452526</t>
        </is>
      </c>
    </row>
    <row r="78">
      <c r="A78" s="13" t="inlineStr">
        <is>
          <t>ノア</t>
        </is>
      </c>
      <c r="B78" s="13" t="n">
        <v>2022</v>
      </c>
      <c r="C78" s="13" t="inlineStr">
        <is>
          <t>S-Z_7人乗り(CVT_2.0)</t>
        </is>
      </c>
      <c r="D78" s="13" t="inlineStr">
        <is>
          <t>2026年4月22日</t>
        </is>
      </c>
      <c r="E78" s="13" t="inlineStr">
        <is>
          <t>通勤通学</t>
        </is>
      </c>
      <c r="F78" s="13" t="n">
        <v>5</v>
      </c>
      <c r="G78" s="13" t="n">
        <v>5</v>
      </c>
      <c r="H78" s="13" t="n">
        <v>3</v>
      </c>
      <c r="I78" s="13" t="n">
        <v>3</v>
      </c>
      <c r="J78" s="13" t="n">
        <v>5</v>
      </c>
      <c r="K78" s="13" t="n">
        <v>5</v>
      </c>
      <c r="L78" s="13" t="inlineStr">
        <is>
          <t>とても扱いやすい</t>
        </is>
      </c>
      <c r="M78" s="14" t="inlineStr">
        <is>
          <t>人が快適に乗れて2列目のシートを前に出せば、荷物の積載性も全く問題ないです。</t>
        </is>
      </c>
      <c r="N78" s="14" t="inlineStr">
        <is>
          <t>エンジンの排気量とモーターのパワー感がもう少しあればなと思いますが、穏やかに燃費よく走れるのでヨシです！</t>
        </is>
      </c>
      <c r="O78" s="14" t="inlineStr">
        <is>
          <t>荷物の積載性を重視する自分には、ハイエースに劣らず、ノアも荷物が乗るので大満足です！ パワー感がもう少しあればなと思いますが、見た目良く満足して乗ってます！ この車こそは、絶対乗れるだけ乗ろうと思います！</t>
        </is>
      </c>
      <c r="P78" s="13" t="inlineStr">
        <is>
          <t>https://minkara.carview.co.jp/car/toyota/noah/review/detail.aspx?cid=452218</t>
        </is>
      </c>
    </row>
    <row r="79">
      <c r="A79" s="8" t="inlineStr">
        <is>
          <t>ノア</t>
        </is>
      </c>
      <c r="B79" s="8" t="n">
        <v>2022</v>
      </c>
      <c r="C79" s="8" t="inlineStr">
        <is>
          <t>S-G_7人乗り(CVT_2.0)</t>
        </is>
      </c>
      <c r="D79" s="8" t="inlineStr">
        <is>
          <t>2026年4月21日</t>
        </is>
      </c>
      <c r="E79" s="8" t="inlineStr">
        <is>
          <t>レジャー</t>
        </is>
      </c>
      <c r="F79" s="8" t="n">
        <v>5</v>
      </c>
      <c r="G79" s="8" t="n">
        <v>4</v>
      </c>
      <c r="H79" s="8" t="n">
        <v>3</v>
      </c>
      <c r="I79" s="8" t="n">
        <v>4</v>
      </c>
      <c r="J79" s="8" t="n">
        <v>4</v>
      </c>
      <c r="K79" s="8" t="n">
        <v>5</v>
      </c>
      <c r="L79" s="8" t="inlineStr">
        <is>
          <t>おぉ…うん。なるほどね？そういう感じか、おk。</t>
        </is>
      </c>
      <c r="M79" s="14" t="inlineStr">
        <is>
          <t>免許を取って数ヶ月タントで慣らしてたあとに初めて転がしたとき、ハンドルの軽さと未来的な音(車両接近警報装置の音とモーター音)には驚かされた… 何よりもクルコンが神。充電ポートが多いのもポイント高い。</t>
        </is>
      </c>
      <c r="N79" s="14" t="inlineStr">
        <is>
          <t>ハンドルが軽いのはいいんだが、「クルマを操ってる感」がなんか薄いので本当にハンドルが切れてるのかちょっと不安になる。ロードノイズ抑制ははっきり言って値段以下な気がする。ブレーキペダルの押し返しが強いのも少し気になるし、何よりウインカー音が小さいのが不満。</t>
        </is>
      </c>
      <c r="O79" s="14" t="inlineStr">
        <is>
          <t>なんか色々いいところとそうでもないところで相殺しあってて評価が難しい、、極端なプラスも極端なマイナスもないが、そういう無難なところがファミリー向けのプロダクトとしてはよかったり。</t>
        </is>
      </c>
      <c r="P79" s="8" t="inlineStr">
        <is>
          <t>https://minkara.carview.co.jp/car/toyota/noah/review/detail.aspx?cid=452121</t>
        </is>
      </c>
    </row>
    <row r="80">
      <c r="A80" s="13" t="inlineStr">
        <is>
          <t>ノア</t>
        </is>
      </c>
      <c r="B80" s="13" t="n">
        <v>2020</v>
      </c>
      <c r="C80" s="13" t="inlineStr">
        <is>
          <t>G_7人乗り_4WD(CVT_2.0)</t>
        </is>
      </c>
      <c r="D80" s="13" t="inlineStr">
        <is>
          <t>2026年4月9日</t>
        </is>
      </c>
      <c r="E80" s="13" t="inlineStr">
        <is>
          <t>仕事</t>
        </is>
      </c>
      <c r="F80" s="13" t="n">
        <v>5</v>
      </c>
      <c r="G80" s="13" t="n">
        <v>5</v>
      </c>
      <c r="H80" s="13" t="n">
        <v>5</v>
      </c>
      <c r="I80" s="13" t="n">
        <v>5</v>
      </c>
      <c r="J80" s="13" t="n">
        <v>5</v>
      </c>
      <c r="K80" s="13" t="n">
        <v>2</v>
      </c>
      <c r="L80" s="13" t="inlineStr">
        <is>
          <t>皆乗ってるのには意味がある。</t>
        </is>
      </c>
      <c r="M80" s="14" t="inlineStr">
        <is>
          <t>視界が広く運転しやすい。乗り心地が良い。広々空間。荷物も大量に乗せれる。カスタムがとても簡単。</t>
        </is>
      </c>
      <c r="N80" s="14" t="inlineStr">
        <is>
          <t>燃費が悪いのだけが不満。ただ不満はそれだけ。</t>
        </is>
      </c>
      <c r="O80" s="14" t="inlineStr">
        <is>
          <t>良いものだから皆買ってるだな。</t>
        </is>
      </c>
      <c r="P80" s="13" t="inlineStr">
        <is>
          <t>https://minkara.carview.co.jp/car/toyota/noah/review/detail.aspx?cid=451186</t>
        </is>
      </c>
    </row>
    <row r="81">
      <c r="A81" s="8" t="inlineStr">
        <is>
          <t>ノア</t>
        </is>
      </c>
      <c r="B81" s="8" t="n">
        <v>2022</v>
      </c>
      <c r="C81" s="8" t="inlineStr">
        <is>
          <t>S-Z_7人乗り(CVT_2.0)</t>
        </is>
      </c>
      <c r="D81" s="8" t="inlineStr">
        <is>
          <t>2026年4月5日</t>
        </is>
      </c>
      <c r="E81" s="8" t="inlineStr">
        <is>
          <t>通勤通学</t>
        </is>
      </c>
      <c r="F81" s="8" t="n">
        <v>5</v>
      </c>
      <c r="G81" s="8" t="n">
        <v>5</v>
      </c>
      <c r="H81" s="8" t="n">
        <v>5</v>
      </c>
      <c r="I81" s="8" t="n">
        <v>5</v>
      </c>
      <c r="J81" s="8" t="n">
        <v>5</v>
      </c>
      <c r="K81" s="8" t="n">
        <v>5</v>
      </c>
      <c r="L81" s="8" t="inlineStr">
        <is>
          <t>ハイブリッド最高</t>
        </is>
      </c>
      <c r="M81" s="14" t="n"/>
      <c r="N81" s="14" t="n"/>
      <c r="O81" s="14" t="inlineStr">
        <is>
          <t>最新の安全装備が魅力です</t>
        </is>
      </c>
      <c r="P81" s="8" t="inlineStr">
        <is>
          <t>https://minkara.carview.co.jp/car/toyota/noah/review/detail.aspx?cid=450903</t>
        </is>
      </c>
    </row>
    <row r="82">
      <c r="A82" s="13" t="inlineStr">
        <is>
          <t>ノア</t>
        </is>
      </c>
      <c r="B82" s="13" t="n">
        <v>2007</v>
      </c>
      <c r="C82" s="13" t="inlineStr">
        <is>
          <t>X_8人乗り(CVT_2.0)</t>
        </is>
      </c>
      <c r="D82" s="13" t="inlineStr">
        <is>
          <t>2026年4月3日</t>
        </is>
      </c>
      <c r="E82" s="13" t="inlineStr">
        <is>
          <t>通勤通学</t>
        </is>
      </c>
      <c r="F82" s="13" t="n">
        <v>5</v>
      </c>
      <c r="G82" s="13" t="n">
        <v>5</v>
      </c>
      <c r="H82" s="13" t="n">
        <v>5</v>
      </c>
      <c r="I82" s="13" t="n">
        <v>5</v>
      </c>
      <c r="J82" s="13" t="n">
        <v>5</v>
      </c>
      <c r="K82" s="13" t="n">
        <v>5</v>
      </c>
      <c r="L82" s="13" t="inlineStr">
        <is>
          <t>なんでもこなす</t>
        </is>
      </c>
      <c r="M82" s="14" t="n"/>
      <c r="N82" s="14" t="n"/>
      <c r="O82" s="14" t="inlineStr">
        <is>
          <t>買い物、レジャー、引っ越し何でもこなす家族です。</t>
        </is>
      </c>
      <c r="P82" s="13" t="inlineStr">
        <is>
          <t>https://minkara.carview.co.jp/car/toyota/noah/review/detail.aspx?cid=450702</t>
        </is>
      </c>
    </row>
    <row r="83">
      <c r="A83" s="8" t="inlineStr">
        <is>
          <t>ノア</t>
        </is>
      </c>
      <c r="B83" s="8" t="n">
        <v>2022</v>
      </c>
      <c r="C83" s="8" t="inlineStr">
        <is>
          <t>S-G_7人乗り_4WD(CVT_2.0)</t>
        </is>
      </c>
      <c r="D83" s="8" t="inlineStr">
        <is>
          <t>2026年3月23日</t>
        </is>
      </c>
      <c r="E83" s="8" t="inlineStr">
        <is>
          <t>通勤通学</t>
        </is>
      </c>
      <c r="F83" s="8" t="n">
        <v>5</v>
      </c>
      <c r="G83" s="8" t="n">
        <v>5</v>
      </c>
      <c r="H83" s="8" t="n">
        <v>5</v>
      </c>
      <c r="I83" s="8" t="n">
        <v>5</v>
      </c>
      <c r="J83" s="8" t="n">
        <v>5</v>
      </c>
      <c r="K83" s="8" t="n">
        <v>5</v>
      </c>
      <c r="L83" s="8" t="inlineStr">
        <is>
          <t>言うことナシ👍</t>
        </is>
      </c>
      <c r="M83" s="14" t="n"/>
      <c r="N83" s="14" t="n"/>
      <c r="O83" s="14" t="inlineStr">
        <is>
          <t>ハイブリッドならなお良き！</t>
        </is>
      </c>
      <c r="P83" s="8" t="inlineStr">
        <is>
          <t>https://minkara.carview.co.jp/car/toyota/noah/review/detail.aspx?cid=449860</t>
        </is>
      </c>
    </row>
    <row r="84">
      <c r="A84" s="13" t="inlineStr">
        <is>
          <t>ノア</t>
        </is>
      </c>
      <c r="B84" s="13" t="n">
        <v>2022</v>
      </c>
      <c r="C84" s="13" t="inlineStr">
        <is>
          <t>不明</t>
        </is>
      </c>
      <c r="D84" s="13" t="inlineStr">
        <is>
          <t>2026年3月17日</t>
        </is>
      </c>
      <c r="E84" s="13" t="inlineStr">
        <is>
          <t>買い物</t>
        </is>
      </c>
      <c r="F84" s="13" t="n">
        <v>5</v>
      </c>
      <c r="G84" s="13" t="n">
        <v>5</v>
      </c>
      <c r="H84" s="13" t="n">
        <v>4</v>
      </c>
      <c r="I84" s="13" t="n">
        <v>4</v>
      </c>
      <c r="J84" s="13" t="n">
        <v>5</v>
      </c>
      <c r="K84" s="13" t="n">
        <v>2</v>
      </c>
      <c r="L84" s="13" t="inlineStr">
        <is>
          <t>かなり良いと思います</t>
        </is>
      </c>
      <c r="M84" s="14" t="n"/>
      <c r="N84" s="14" t="n"/>
      <c r="O84" s="14" t="inlineStr">
        <is>
          <t>スタイル、実用性共に満足しています。価格がまあ少し安ければ!・・・</t>
        </is>
      </c>
      <c r="P84" s="13" t="inlineStr">
        <is>
          <t>https://minkara.carview.co.jp/car/toyota/noah/review/detail.aspx?cid=449326</t>
        </is>
      </c>
    </row>
    <row r="85">
      <c r="A85" s="8" t="inlineStr">
        <is>
          <t>ノア</t>
        </is>
      </c>
      <c r="B85" s="8" t="n">
        <v>2017</v>
      </c>
      <c r="C85" s="8" t="inlineStr">
        <is>
          <t>Si“W×B”_7人乗り(CVT_2.0)</t>
        </is>
      </c>
      <c r="D85" s="8" t="inlineStr">
        <is>
          <t>2026年3月13日</t>
        </is>
      </c>
      <c r="E85" s="8" t="inlineStr">
        <is>
          <t>レジャー</t>
        </is>
      </c>
      <c r="F85" s="8" t="n">
        <v>5</v>
      </c>
      <c r="G85" s="8" t="n">
        <v>5</v>
      </c>
      <c r="H85" s="8" t="n">
        <v>5</v>
      </c>
      <c r="I85" s="8" t="n">
        <v>4</v>
      </c>
      <c r="J85" s="8" t="n">
        <v>4</v>
      </c>
      <c r="K85" s="8" t="n">
        <v>3</v>
      </c>
      <c r="L85" s="8" t="inlineStr">
        <is>
          <t>８年経過</t>
        </is>
      </c>
      <c r="M85" s="14" t="inlineStr">
        <is>
          <t>後継の90もビックマイチェンの噂？ それくらい経つのにまだまだ衰えを感じさせないデザインや使い勝手 完成度の高いクルマだと思います</t>
        </is>
      </c>
      <c r="N85" s="14" t="inlineStr">
        <is>
          <t>とは言え、やはり８年の技術の進化には逆らえない 特に安全装備や燃費面 ８年前は「スゲー」って思ったけれど、今の水準ではやはり時代遅れ感が出てきています</t>
        </is>
      </c>
      <c r="O85" s="14" t="inlineStr">
        <is>
          <t>通常大人4人まで、たまに6人でお出かけ、週末にガバッと買い出し、高速から近所の裏道くらいは走る こんな使い方なら最適な一台 逆にそれ以上を求めるなら他車種がいい ・常時大人6人ならアルファード ・大量の荷物ならハイエース ・小回りを求めるならシエンタ</t>
        </is>
      </c>
      <c r="P85" s="8" t="inlineStr">
        <is>
          <t>https://minkara.carview.co.jp/car/toyota/noah/review/detail.aspx?cid=449057</t>
        </is>
      </c>
    </row>
    <row r="86">
      <c r="A86" s="13" t="inlineStr">
        <is>
          <t>ノア</t>
        </is>
      </c>
      <c r="B86" s="13" t="n">
        <v>2020</v>
      </c>
      <c r="C86" s="13" t="inlineStr">
        <is>
          <t>Si“W×B III”_7人乗り(CVT_2.0)</t>
        </is>
      </c>
      <c r="D86" s="13" t="inlineStr">
        <is>
          <t>2026年3月11日</t>
        </is>
      </c>
      <c r="E86" s="13" t="inlineStr">
        <is>
          <t>通勤通学</t>
        </is>
      </c>
      <c r="F86" s="13" t="n">
        <v>5</v>
      </c>
      <c r="G86" s="13" t="n">
        <v>4</v>
      </c>
      <c r="H86" s="13" t="n">
        <v>5</v>
      </c>
      <c r="I86" s="13" t="n">
        <v>4</v>
      </c>
      <c r="J86" s="13" t="n">
        <v>4</v>
      </c>
      <c r="K86" s="13" t="n">
        <v>3</v>
      </c>
      <c r="L86" s="13" t="inlineStr">
        <is>
          <t>80ノアダブルバイビー⑶</t>
        </is>
      </c>
      <c r="M86" s="14" t="n"/>
      <c r="N86" s="14" t="n"/>
      <c r="O86" s="14" t="inlineStr">
        <is>
          <t>とにかく乗りやすい(^^)</t>
        </is>
      </c>
      <c r="P86" s="13" t="inlineStr">
        <is>
          <t>https://minkara.carview.co.jp/car/toyota/noah/review/detail.aspx?cid=448936</t>
        </is>
      </c>
    </row>
    <row r="87">
      <c r="A87" s="8" t="inlineStr">
        <is>
          <t>ノア</t>
        </is>
      </c>
      <c r="B87" s="8" t="n">
        <v>2003</v>
      </c>
      <c r="C87" s="8" t="inlineStr">
        <is>
          <t>X(AT_2.0)</t>
        </is>
      </c>
      <c r="D87" s="8" t="inlineStr">
        <is>
          <t>2026年3月10日</t>
        </is>
      </c>
      <c r="E87" s="8" t="inlineStr">
        <is>
          <t>買い物</t>
        </is>
      </c>
      <c r="F87" s="8" t="n">
        <v>5</v>
      </c>
      <c r="G87" s="8" t="n">
        <v>4</v>
      </c>
      <c r="H87" s="8" t="n">
        <v>4</v>
      </c>
      <c r="I87" s="8" t="n">
        <v>3</v>
      </c>
      <c r="J87" s="8" t="n">
        <v>5</v>
      </c>
      <c r="K87" s="8" t="n">
        <v>2</v>
      </c>
      <c r="L87" s="8" t="inlineStr">
        <is>
          <t>もうすっかり見なくなりました！</t>
        </is>
      </c>
      <c r="M87" s="14" t="n"/>
      <c r="N87" s="14" t="n"/>
      <c r="O87" s="14" t="inlineStr">
        <is>
          <t>タイトル通りですか、この60系ノアもすっかり見なくなりました。 今は70系・80系を経て90系ですからね。 でもこの60系のノアは、乗用ミニバンとしての礎を築いた、偉大な車種だと思います。</t>
        </is>
      </c>
      <c r="P87" s="8" t="inlineStr">
        <is>
          <t>https://minkara.carview.co.jp/car/toyota/noah/review/detail.aspx?cid=448861</t>
        </is>
      </c>
    </row>
    <row r="88">
      <c r="A88" s="13" t="inlineStr">
        <is>
          <t>ノア</t>
        </is>
      </c>
      <c r="B88" s="13" t="n">
        <v>2010</v>
      </c>
      <c r="C88" s="13" t="inlineStr">
        <is>
          <t>ＳＩ</t>
        </is>
      </c>
      <c r="D88" s="13" t="inlineStr">
        <is>
          <t>2026年3月8日</t>
        </is>
      </c>
      <c r="E88" s="13" t="inlineStr">
        <is>
          <t>買い物</t>
        </is>
      </c>
      <c r="F88" s="13" t="n">
        <v>5</v>
      </c>
      <c r="G88" s="13" t="n"/>
      <c r="H88" s="13" t="n"/>
      <c r="I88" s="13" t="n"/>
      <c r="J88" s="13" t="n"/>
      <c r="K88" s="13" t="n"/>
      <c r="L88" s="13" t="inlineStr">
        <is>
          <t>これからもよろしく👍</t>
        </is>
      </c>
      <c r="M88" s="14" t="inlineStr">
        <is>
          <t>旧車ですが実に丈夫で故障知らず👌</t>
        </is>
      </c>
      <c r="N88" s="14" t="inlineStr">
        <is>
          <t>80系、90系に比べるとスタイリッシュさが足りない</t>
        </is>
      </c>
      <c r="O88" s="14" t="inlineStr">
        <is>
          <t>格安で購入してるしコスパ最高👌</t>
        </is>
      </c>
      <c r="P88" s="13" t="inlineStr">
        <is>
          <t>https://minkara.carview.co.jp/car/toyota/noah/review/detail.aspx?cid=448700</t>
        </is>
      </c>
    </row>
    <row r="89">
      <c r="A89" s="8" t="inlineStr">
        <is>
          <t>ノア</t>
        </is>
      </c>
      <c r="B89" s="8" t="n">
        <v>2014</v>
      </c>
      <c r="C89" s="8" t="inlineStr">
        <is>
          <t>Si_8人乗り_4WD(CVT_2.0)</t>
        </is>
      </c>
      <c r="D89" s="8" t="inlineStr">
        <is>
          <t>2026年3月7日</t>
        </is>
      </c>
      <c r="E89" s="8" t="inlineStr">
        <is>
          <t>通勤通学</t>
        </is>
      </c>
      <c r="F89" s="8" t="n">
        <v>4</v>
      </c>
      <c r="G89" s="8" t="n">
        <v>4</v>
      </c>
      <c r="H89" s="8" t="n">
        <v>4</v>
      </c>
      <c r="I89" s="8" t="n">
        <v>4</v>
      </c>
      <c r="J89" s="8" t="n">
        <v>4</v>
      </c>
      <c r="K89" s="8" t="n">
        <v>4</v>
      </c>
      <c r="L89" s="8" t="inlineStr">
        <is>
          <t>トヨタ車に良く有る優等生な車</t>
        </is>
      </c>
      <c r="M89" s="14" t="inlineStr">
        <is>
          <t>重量のある１BOX車の割に、しっかりとしたハンドリングでボディ剛性が高そう。</t>
        </is>
      </c>
      <c r="N89" s="14" t="inlineStr">
        <is>
          <t>トヨタ車に共通い言える事だが、小回りが効かない。 また、１BOX車にありがちな走行中のドアバタつきはこの車にもある。</t>
        </is>
      </c>
      <c r="O89" s="14" t="inlineStr">
        <is>
          <t>人間を乗せずに荷物を載せてのホビーユーズには出来すぎた車だと思う。</t>
        </is>
      </c>
      <c r="P89" s="8" t="inlineStr">
        <is>
          <t>https://minkara.carview.co.jp/car/toyota/noah/review/detail.aspx?cid=448556</t>
        </is>
      </c>
    </row>
    <row r="90">
      <c r="A90" s="13" t="inlineStr">
        <is>
          <t>ノア</t>
        </is>
      </c>
      <c r="B90" s="13" t="n">
        <v>2006</v>
      </c>
      <c r="C90" s="13" t="inlineStr">
        <is>
          <t>Xスペシャルエディション(CVT_2.0)</t>
        </is>
      </c>
      <c r="D90" s="13" t="inlineStr">
        <is>
          <t>2026年2月26日</t>
        </is>
      </c>
      <c r="E90" s="13" t="inlineStr">
        <is>
          <t>通勤通学</t>
        </is>
      </c>
      <c r="F90" s="13" t="n">
        <v>5</v>
      </c>
      <c r="G90" s="13" t="n">
        <v>4</v>
      </c>
      <c r="H90" s="13" t="n">
        <v>4</v>
      </c>
      <c r="I90" s="13" t="n">
        <v>4</v>
      </c>
      <c r="J90" s="13" t="n">
        <v>4</v>
      </c>
      <c r="K90" s="13" t="n">
        <v>3</v>
      </c>
      <c r="L90" s="13" t="inlineStr">
        <is>
          <t>良いクルマ</t>
        </is>
      </c>
      <c r="M90" s="14" t="n"/>
      <c r="N90" s="14" t="n"/>
      <c r="O90" s="14" t="inlineStr">
        <is>
          <t>乗ってて飽きない</t>
        </is>
      </c>
      <c r="P90" s="13" t="inlineStr">
        <is>
          <t>https://minkara.carview.co.jp/car/toyota/noah/review/detail.aspx?cid=447850</t>
        </is>
      </c>
    </row>
    <row r="91">
      <c r="A91" s="8" t="inlineStr">
        <is>
          <t>ノア</t>
        </is>
      </c>
      <c r="B91" s="8" t="n">
        <v>2025</v>
      </c>
      <c r="C91" s="8" t="inlineStr">
        <is>
          <t>S-G_7人乗り(CVT_2.0)</t>
        </is>
      </c>
      <c r="D91" s="8" t="inlineStr">
        <is>
          <t>2026年2月22日</t>
        </is>
      </c>
      <c r="E91" s="8" t="inlineStr">
        <is>
          <t>通勤通学</t>
        </is>
      </c>
      <c r="F91" s="8" t="n">
        <v>5</v>
      </c>
      <c r="G91" s="8" t="n">
        <v>5</v>
      </c>
      <c r="H91" s="8" t="n">
        <v>5</v>
      </c>
      <c r="I91" s="8" t="n">
        <v>3</v>
      </c>
      <c r="J91" s="8" t="n">
        <v>5</v>
      </c>
      <c r="K91" s="8" t="n">
        <v>4</v>
      </c>
      <c r="L91" s="8" t="inlineStr">
        <is>
          <t>ミニバン最高</t>
        </is>
      </c>
      <c r="M91" s="14" t="inlineStr">
        <is>
          <t>乗りやすいし広いし使い勝手がすごく良い！！</t>
        </is>
      </c>
      <c r="N91" s="14" t="inlineStr">
        <is>
          <t>S-Zを買わないとゲートテールが光らない</t>
        </is>
      </c>
      <c r="O91" s="14" t="inlineStr">
        <is>
          <t>ミニバンはでかいのがいいけど、ノアはどこに行くにもちょうどいいサイズだからおすすめ！ 窓も大きいから視界が良くて運転も楽！！</t>
        </is>
      </c>
      <c r="P91" s="8" t="inlineStr">
        <is>
          <t>https://minkara.carview.co.jp/car/toyota/noah/review/detail.aspx?cid=447559</t>
        </is>
      </c>
    </row>
    <row r="92">
      <c r="A92" s="13" t="inlineStr">
        <is>
          <t>ヴォクシー</t>
        </is>
      </c>
      <c r="B92" s="13" t="n">
        <v>2007</v>
      </c>
      <c r="C92" s="13" t="inlineStr">
        <is>
          <t>ZS_8人乗り(CVT_2.0)</t>
        </is>
      </c>
      <c r="D92" s="13" t="inlineStr">
        <is>
          <t>2026年8月16日</t>
        </is>
      </c>
      <c r="E92" s="13" t="inlineStr">
        <is>
          <t>レジャー</t>
        </is>
      </c>
      <c r="F92" s="13" t="n">
        <v>5</v>
      </c>
      <c r="G92" s="13" t="n">
        <v>5</v>
      </c>
      <c r="H92" s="13" t="n">
        <v>5</v>
      </c>
      <c r="I92" s="13" t="n">
        <v>5</v>
      </c>
      <c r="J92" s="13" t="n">
        <v>5</v>
      </c>
      <c r="K92" s="13" t="n">
        <v>5</v>
      </c>
      <c r="L92" s="13" t="inlineStr">
        <is>
          <t>壊れない</t>
        </is>
      </c>
      <c r="M92" s="14" t="inlineStr">
        <is>
          <t>ずっと乗り続けられる</t>
        </is>
      </c>
      <c r="N92" s="14" t="inlineStr">
        <is>
          <t>サードシートが狭い</t>
        </is>
      </c>
      <c r="O92" s="14" t="inlineStr">
        <is>
          <t>大満足！</t>
        </is>
      </c>
      <c r="P92" s="13" t="inlineStr">
        <is>
          <t>https://minkara.carview.co.jp/car/toyota/voxy/review/detail.aspx?cid=460621</t>
        </is>
      </c>
    </row>
    <row r="93">
      <c r="A93" s="8" t="inlineStr">
        <is>
          <t>ヴォクシー</t>
        </is>
      </c>
      <c r="B93" s="8" t="n">
        <v>2007</v>
      </c>
      <c r="C93" s="8" t="inlineStr">
        <is>
          <t>ZS_8人乗り(CVT_2.0)</t>
        </is>
      </c>
      <c r="D93" s="8" t="inlineStr">
        <is>
          <t>2026年8月16日</t>
        </is>
      </c>
      <c r="E93" s="8" t="inlineStr">
        <is>
          <t>レジャー</t>
        </is>
      </c>
      <c r="F93" s="8" t="n">
        <v>5</v>
      </c>
      <c r="G93" s="8" t="n">
        <v>5</v>
      </c>
      <c r="H93" s="8" t="n">
        <v>5</v>
      </c>
      <c r="I93" s="8" t="n">
        <v>5</v>
      </c>
      <c r="J93" s="8" t="n">
        <v>5</v>
      </c>
      <c r="K93" s="8" t="n">
        <v>5</v>
      </c>
      <c r="L93" s="8" t="inlineStr">
        <is>
          <t>壊れない</t>
        </is>
      </c>
      <c r="M93" s="14" t="inlineStr">
        <is>
          <t>ずっと乗り続けられる</t>
        </is>
      </c>
      <c r="N93" s="14" t="inlineStr">
        <is>
          <t>サードシートが狭い</t>
        </is>
      </c>
      <c r="O93" s="14" t="inlineStr">
        <is>
          <t>大満足！</t>
        </is>
      </c>
      <c r="P93" s="8" t="inlineStr">
        <is>
          <t>https://minkara.carview.co.jp/car/toyota/voxy/review/detail.aspx?cid=460620</t>
        </is>
      </c>
    </row>
    <row r="94">
      <c r="A94" s="13" t="inlineStr">
        <is>
          <t>ヴォクシー</t>
        </is>
      </c>
      <c r="B94" s="13" t="n">
        <v>2005</v>
      </c>
      <c r="C94" s="13" t="inlineStr">
        <is>
          <t>X“Vエディション”(CVT_2.0)</t>
        </is>
      </c>
      <c r="D94" s="13" t="inlineStr">
        <is>
          <t>2026年6月30日</t>
        </is>
      </c>
      <c r="E94" s="13" t="inlineStr">
        <is>
          <t>通勤通学</t>
        </is>
      </c>
      <c r="F94" s="13" t="n">
        <v>5</v>
      </c>
      <c r="G94" s="13" t="n">
        <v>5</v>
      </c>
      <c r="H94" s="13" t="n">
        <v>5</v>
      </c>
      <c r="I94" s="13" t="n">
        <v>5</v>
      </c>
      <c r="J94" s="13" t="n">
        <v>5</v>
      </c>
      <c r="K94" s="13" t="n">
        <v>5</v>
      </c>
      <c r="L94" s="13" t="inlineStr">
        <is>
          <t>とにかく壊れない</t>
        </is>
      </c>
      <c r="M94" s="14" t="inlineStr">
        <is>
          <t>8年近く乗ったけど、右のフロントブレーキだけが2度ほど引きずる、そんなトラブルだけで、エンジン絶好調！</t>
        </is>
      </c>
      <c r="N94" s="14" t="inlineStr">
        <is>
          <t>やはりエアロが欲しかった。煌はかっこいいね。Xだとエアロは煌と違うのがオプションでついているんだけど、やっぱりエアロ欲しいね。</t>
        </is>
      </c>
      <c r="O94" s="14" t="inlineStr">
        <is>
          <t>今現在安いだろうし、手軽にワンボックス乗りたいなら60のノアかヴォクシーがおススメ。</t>
        </is>
      </c>
      <c r="P94" s="13" t="inlineStr">
        <is>
          <t>https://minkara.carview.co.jp/car/toyota/voxy/review/detail.aspx?cid=457264</t>
        </is>
      </c>
    </row>
    <row r="95">
      <c r="A95" s="8" t="inlineStr">
        <is>
          <t>ヴォクシー</t>
        </is>
      </c>
      <c r="B95" s="8" t="n">
        <v>2019</v>
      </c>
      <c r="C95" s="8" t="inlineStr">
        <is>
          <t>ZS“煌II”_7人乗り(CVT_2.0)</t>
        </is>
      </c>
      <c r="D95" s="8" t="inlineStr">
        <is>
          <t>2026年6月7日</t>
        </is>
      </c>
      <c r="E95" s="8" t="inlineStr">
        <is>
          <t>仕事</t>
        </is>
      </c>
      <c r="F95" s="8" t="n">
        <v>4</v>
      </c>
      <c r="G95" s="8" t="n">
        <v>5</v>
      </c>
      <c r="H95" s="8" t="n">
        <v>3</v>
      </c>
      <c r="I95" s="8" t="n">
        <v>3</v>
      </c>
      <c r="J95" s="8" t="n">
        <v>5</v>
      </c>
      <c r="K95" s="8" t="n">
        <v>2</v>
      </c>
      <c r="L95" s="8" t="inlineStr">
        <is>
          <t>形は飽きない</t>
        </is>
      </c>
      <c r="M95" s="14" t="inlineStr">
        <is>
          <t>視界が広く車内も広い</t>
        </is>
      </c>
      <c r="N95" s="14" t="inlineStr">
        <is>
          <t>自分の車だけかもしれないですが、足回り異音、イナズマスパーキング屋根塗装剥がれです</t>
        </is>
      </c>
      <c r="O95" s="14" t="inlineStr">
        <is>
          <t>普通です</t>
        </is>
      </c>
      <c r="P95" s="8" t="inlineStr">
        <is>
          <t>https://minkara.carview.co.jp/car/toyota/voxy/review/detail.aspx?cid=455686</t>
        </is>
      </c>
    </row>
    <row r="96">
      <c r="A96" s="13" t="inlineStr">
        <is>
          <t>ヴォクシー</t>
        </is>
      </c>
      <c r="B96" s="13" t="n">
        <v>2022</v>
      </c>
      <c r="C96" s="13" t="inlineStr">
        <is>
          <t>S-Z_7人乗り(CVT_2.0)</t>
        </is>
      </c>
      <c r="D96" s="13" t="inlineStr">
        <is>
          <t>2026年6月4日</t>
        </is>
      </c>
      <c r="E96" s="13" t="inlineStr">
        <is>
          <t>通勤通学</t>
        </is>
      </c>
      <c r="F96" s="13" t="n">
        <v>5</v>
      </c>
      <c r="G96" s="13" t="n">
        <v>5</v>
      </c>
      <c r="H96" s="13" t="n">
        <v>5</v>
      </c>
      <c r="I96" s="13" t="n">
        <v>5</v>
      </c>
      <c r="J96" s="13" t="n">
        <v>5</v>
      </c>
      <c r="K96" s="13" t="n">
        <v>2</v>
      </c>
      <c r="L96" s="13" t="inlineStr">
        <is>
          <t>安全第一</t>
        </is>
      </c>
      <c r="M96" s="14" t="inlineStr">
        <is>
          <t>車内が広い</t>
        </is>
      </c>
      <c r="N96" s="14" t="inlineStr">
        <is>
          <t>燃費が悪い</t>
        </is>
      </c>
      <c r="O96" s="14" t="inlineStr">
        <is>
          <t>総合⭐️4です</t>
        </is>
      </c>
      <c r="P96" s="13" t="inlineStr">
        <is>
          <t>https://minkara.carview.co.jp/car/toyota/voxy/review/detail.aspx?cid=455474</t>
        </is>
      </c>
    </row>
    <row r="97">
      <c r="A97" s="8" t="inlineStr">
        <is>
          <t>ヴォクシー</t>
        </is>
      </c>
      <c r="B97" s="8" t="n">
        <v>2019</v>
      </c>
      <c r="C97" s="8" t="inlineStr">
        <is>
          <t>ZS“煌II”_7人乗り(CVT_2.0)</t>
        </is>
      </c>
      <c r="D97" s="8" t="inlineStr">
        <is>
          <t>2026年6月2日</t>
        </is>
      </c>
      <c r="E97" s="8" t="inlineStr">
        <is>
          <t>通勤通学</t>
        </is>
      </c>
      <c r="F97" s="8" t="n">
        <v>5</v>
      </c>
      <c r="G97" s="8" t="n">
        <v>5</v>
      </c>
      <c r="H97" s="8" t="n">
        <v>5</v>
      </c>
      <c r="I97" s="8" t="n">
        <v>5</v>
      </c>
      <c r="J97" s="8" t="n">
        <v>5</v>
      </c>
      <c r="K97" s="8" t="n">
        <v>3</v>
      </c>
      <c r="L97" s="8" t="inlineStr">
        <is>
          <t>シュティッヒ入れたい</t>
        </is>
      </c>
      <c r="M97" s="14" t="n"/>
      <c r="N97" s="14" t="n"/>
      <c r="O97" s="14" t="inlineStr">
        <is>
          <t>かっこいい</t>
        </is>
      </c>
      <c r="P97" s="8" t="inlineStr">
        <is>
          <t>https://minkara.carview.co.jp/car/toyota/voxy/review/detail.aspx?cid=455309</t>
        </is>
      </c>
    </row>
    <row r="98">
      <c r="A98" s="13" t="inlineStr">
        <is>
          <t>ヴォクシー</t>
        </is>
      </c>
      <c r="B98" s="13" t="n">
        <v>2016</v>
      </c>
      <c r="C98" s="13" t="inlineStr">
        <is>
          <t>ZS“煌II”_7人乗り_4WD(CVT_2.0)</t>
        </is>
      </c>
      <c r="D98" s="13" t="inlineStr">
        <is>
          <t>2026年5月17日</t>
        </is>
      </c>
      <c r="E98" s="13" t="inlineStr">
        <is>
          <t>通勤通学</t>
        </is>
      </c>
      <c r="F98" s="13" t="n">
        <v>5</v>
      </c>
      <c r="G98" s="13" t="n">
        <v>5</v>
      </c>
      <c r="H98" s="13" t="n">
        <v>5</v>
      </c>
      <c r="I98" s="13" t="n">
        <v>5</v>
      </c>
      <c r="J98" s="13" t="n">
        <v>5</v>
      </c>
      <c r="K98" s="13" t="n">
        <v>3</v>
      </c>
      <c r="L98" s="13" t="inlineStr">
        <is>
          <t>今も現役</t>
        </is>
      </c>
      <c r="M98" s="14" t="n"/>
      <c r="N98" s="14" t="n"/>
      <c r="O98" s="14" t="inlineStr">
        <is>
          <t>目指せ30万キロ</t>
        </is>
      </c>
      <c r="P98" s="13" t="inlineStr">
        <is>
          <t>https://minkara.carview.co.jp/car/toyota/voxy/review/detail.aspx?cid=454186</t>
        </is>
      </c>
    </row>
    <row r="99">
      <c r="A99" s="8" t="inlineStr">
        <is>
          <t>ヴォクシー</t>
        </is>
      </c>
      <c r="B99" s="8" t="n">
        <v>2007</v>
      </c>
      <c r="C99" s="8" t="inlineStr">
        <is>
          <t>X“Lエディション・サイドリフトアップ”_7人乗り(CVT2.0)</t>
        </is>
      </c>
      <c r="D99" s="8" t="inlineStr">
        <is>
          <t>2026年5月11日</t>
        </is>
      </c>
      <c r="E99" s="8" t="inlineStr">
        <is>
          <t>レジャー</t>
        </is>
      </c>
      <c r="F99" s="8" t="n">
        <v>5</v>
      </c>
      <c r="G99" s="8" t="n">
        <v>3</v>
      </c>
      <c r="H99" s="8" t="n">
        <v>4</v>
      </c>
      <c r="I99" s="8" t="n">
        <v>4</v>
      </c>
      <c r="J99" s="8" t="n">
        <v>5</v>
      </c>
      <c r="K99" s="8" t="n">
        <v>2</v>
      </c>
      <c r="L99" s="8" t="inlineStr">
        <is>
          <t>長く愛せるファミリーカー</t>
        </is>
      </c>
      <c r="M99" s="14" t="inlineStr">
        <is>
          <t>サイドリフトアップ付きの福祉車両なので、足腰の弱い親の介護でも送迎に活躍しました。福祉車両は取得の際の消費税がかかりません。</t>
        </is>
      </c>
      <c r="N99" s="14" t="inlineStr">
        <is>
          <t>小回りが効かない、重くて燃費悪い 腰高なので仕方ない。</t>
        </is>
      </c>
      <c r="O99" s="14" t="inlineStr">
        <is>
          <t>実用車ですね！ 人も荷物も積めて良い車です。 子供が大きくなった今では、屋根付き軽トラック化しています。</t>
        </is>
      </c>
      <c r="P99" s="8" t="inlineStr">
        <is>
          <t>https://minkara.carview.co.jp/car/toyota/voxy/review/detail.aspx?cid=453800</t>
        </is>
      </c>
    </row>
    <row r="100">
      <c r="A100" s="13" t="inlineStr">
        <is>
          <t>ヴォクシー</t>
        </is>
      </c>
      <c r="B100" s="13" t="n">
        <v>2014</v>
      </c>
      <c r="C100" s="13" t="inlineStr">
        <is>
          <t>不明</t>
        </is>
      </c>
      <c r="D100" s="13" t="inlineStr">
        <is>
          <t>2026年5月9日</t>
        </is>
      </c>
      <c r="E100" s="13" t="inlineStr">
        <is>
          <t>通勤通学</t>
        </is>
      </c>
      <c r="F100" s="13" t="n">
        <v>5</v>
      </c>
      <c r="G100" s="13" t="n"/>
      <c r="H100" s="13" t="n"/>
      <c r="I100" s="13" t="n"/>
      <c r="J100" s="13" t="n"/>
      <c r="K100" s="13" t="n"/>
      <c r="L100" s="13" t="inlineStr">
        <is>
          <t>zrr85w乗り</t>
        </is>
      </c>
      <c r="M100" s="14" t="n"/>
      <c r="N100" s="14" t="n"/>
      <c r="O100" s="14" t="inlineStr">
        <is>
          <t>満足</t>
        </is>
      </c>
      <c r="P100" s="13" t="inlineStr">
        <is>
          <t>https://minkara.carview.co.jp/car/toyota/voxy/review/detail.aspx?cid=453649</t>
        </is>
      </c>
    </row>
    <row r="101">
      <c r="A101" s="8" t="inlineStr">
        <is>
          <t>ヴォクシー</t>
        </is>
      </c>
      <c r="B101" s="8" t="n">
        <v>2020</v>
      </c>
      <c r="C101" s="8" t="inlineStr">
        <is>
          <t>ZS“煌III”_7人乗り(CVT_2.0)</t>
        </is>
      </c>
      <c r="D101" s="8" t="inlineStr">
        <is>
          <t>2026年5月5日</t>
        </is>
      </c>
      <c r="E101" s="8" t="inlineStr">
        <is>
          <t>買い物</t>
        </is>
      </c>
      <c r="F101" s="8" t="n">
        <v>5</v>
      </c>
      <c r="G101" s="8" t="n">
        <v>5</v>
      </c>
      <c r="H101" s="8" t="n">
        <v>5</v>
      </c>
      <c r="I101" s="8" t="n"/>
      <c r="J101" s="8" t="n">
        <v>5</v>
      </c>
      <c r="K101" s="8" t="n">
        <v>5</v>
      </c>
      <c r="L101" s="8" t="inlineStr">
        <is>
          <t>かっこ良い</t>
        </is>
      </c>
      <c r="M101" s="14" t="n"/>
      <c r="N101" s="14" t="n"/>
      <c r="O101" s="14" t="inlineStr">
        <is>
          <t>かっこ良い</t>
        </is>
      </c>
      <c r="P101" s="8" t="inlineStr">
        <is>
          <t>https://minkara.carview.co.jp/car/toyota/voxy/review/detail.aspx?cid=453315</t>
        </is>
      </c>
    </row>
    <row r="102">
      <c r="A102" s="13" t="inlineStr">
        <is>
          <t>ヴォクシー</t>
        </is>
      </c>
      <c r="B102" s="13" t="n">
        <v>2014</v>
      </c>
      <c r="C102" s="13" t="inlineStr">
        <is>
          <t>不明</t>
        </is>
      </c>
      <c r="D102" s="13" t="inlineStr">
        <is>
          <t>2026年5月4日</t>
        </is>
      </c>
      <c r="E102" s="13" t="inlineStr">
        <is>
          <t>通勤通学</t>
        </is>
      </c>
      <c r="F102" s="13" t="n">
        <v>5</v>
      </c>
      <c r="G102" s="13" t="n"/>
      <c r="H102" s="13" t="n"/>
      <c r="I102" s="13" t="n"/>
      <c r="J102" s="13" t="n"/>
      <c r="K102" s="13" t="n"/>
      <c r="L102" s="13" t="inlineStr">
        <is>
          <t>カッコいい</t>
        </is>
      </c>
      <c r="M102" s="14" t="n"/>
      <c r="N102" s="14" t="n"/>
      <c r="O102" s="14" t="inlineStr">
        <is>
          <t>不満はない</t>
        </is>
      </c>
      <c r="P102" s="13" t="inlineStr">
        <is>
          <t>https://minkara.carview.co.jp/car/toyota/voxy/review/detail.aspx?cid=453203</t>
        </is>
      </c>
    </row>
    <row r="103">
      <c r="A103" s="8" t="inlineStr">
        <is>
          <t>ヴォクシー</t>
        </is>
      </c>
      <c r="B103" s="8" t="n">
        <v>2025</v>
      </c>
      <c r="C103" s="8" t="inlineStr">
        <is>
          <t>S-Z_7人乗り(CVT_2.0)</t>
        </is>
      </c>
      <c r="D103" s="8" t="inlineStr">
        <is>
          <t>2026年5月4日</t>
        </is>
      </c>
      <c r="E103" s="8" t="inlineStr">
        <is>
          <t>レジャー</t>
        </is>
      </c>
      <c r="F103" s="8" t="n">
        <v>5</v>
      </c>
      <c r="G103" s="8" t="n">
        <v>5</v>
      </c>
      <c r="H103" s="8" t="n">
        <v>5</v>
      </c>
      <c r="I103" s="8" t="n">
        <v>4</v>
      </c>
      <c r="J103" s="8" t="n">
        <v>5</v>
      </c>
      <c r="K103" s="8" t="n">
        <v>4</v>
      </c>
      <c r="L103" s="8" t="inlineStr">
        <is>
          <t>子供が産まれて</t>
        </is>
      </c>
      <c r="M103" s="14" t="inlineStr">
        <is>
          <t>初ファミリーカーになります。 車内は広くて、そのうえよく走って、いい車ですね。荷物が詰みやすく、キャンプも行きやすいです。</t>
        </is>
      </c>
      <c r="N103" s="14" t="inlineStr">
        <is>
          <t>足回りが硬く、段差は感じられやすいです。運転席から後ろへ行かれる様になったらいいなと思いました。</t>
        </is>
      </c>
      <c r="O103" s="14" t="inlineStr">
        <is>
          <t>とてもいい車です。これから家族と一緒に大切にします。</t>
        </is>
      </c>
      <c r="P103" s="8" t="inlineStr">
        <is>
          <t>https://minkara.carview.co.jp/car/toyota/voxy/review/detail.aspx?cid=453198</t>
        </is>
      </c>
    </row>
    <row r="104">
      <c r="A104" s="13" t="inlineStr">
        <is>
          <t>ヴォクシー</t>
        </is>
      </c>
      <c r="B104" s="13" t="n">
        <v>2019</v>
      </c>
      <c r="C104" s="13" t="inlineStr">
        <is>
          <t>ZS“煌II”_8人乗り(CVT_2.0)</t>
        </is>
      </c>
      <c r="D104" s="13" t="inlineStr">
        <is>
          <t>2026年5月1日</t>
        </is>
      </c>
      <c r="E104" s="13" t="inlineStr">
        <is>
          <t>通勤通学</t>
        </is>
      </c>
      <c r="F104" s="13" t="n">
        <v>5</v>
      </c>
      <c r="G104" s="13" t="n">
        <v>5</v>
      </c>
      <c r="H104" s="13" t="n">
        <v>5</v>
      </c>
      <c r="I104" s="13" t="n">
        <v>5</v>
      </c>
      <c r="J104" s="13" t="n">
        <v>5</v>
      </c>
      <c r="K104" s="13" t="n">
        <v>3</v>
      </c>
      <c r="L104" s="13" t="inlineStr">
        <is>
          <t>すばらしい</t>
        </is>
      </c>
      <c r="M104" s="14" t="n"/>
      <c r="N104" s="14" t="n"/>
      <c r="O104" s="14" t="inlineStr">
        <is>
          <t>燃費悪い</t>
        </is>
      </c>
      <c r="P104" s="13" t="inlineStr">
        <is>
          <t>https://minkara.carview.co.jp/car/toyota/voxy/review/detail.aspx?cid=452979</t>
        </is>
      </c>
    </row>
    <row r="105">
      <c r="A105" s="8" t="inlineStr">
        <is>
          <t>ヴォクシー</t>
        </is>
      </c>
      <c r="B105" s="8" t="n">
        <v>2020</v>
      </c>
      <c r="C105" s="8" t="inlineStr">
        <is>
          <t>ZS“煌III”_7人乗り(CVT_2.0)</t>
        </is>
      </c>
      <c r="D105" s="8" t="inlineStr">
        <is>
          <t>2026年4月22日</t>
        </is>
      </c>
      <c r="E105" s="8" t="inlineStr">
        <is>
          <t>レジャー</t>
        </is>
      </c>
      <c r="F105" s="8" t="n">
        <v>3</v>
      </c>
      <c r="G105" s="8" t="n">
        <v>5</v>
      </c>
      <c r="H105" s="8" t="n">
        <v>3</v>
      </c>
      <c r="I105" s="8" t="n">
        <v>3</v>
      </c>
      <c r="J105" s="8" t="n">
        <v>5</v>
      </c>
      <c r="K105" s="8" t="n">
        <v>3</v>
      </c>
      <c r="L105" s="8" t="inlineStr">
        <is>
          <t>一世代前</t>
        </is>
      </c>
      <c r="M105" s="14" t="inlineStr">
        <is>
          <t>多人数乗れて物も積める。 日本の道路や店舗駐車場にちょうど良いサイズ感</t>
        </is>
      </c>
      <c r="N105" s="14" t="inlineStr">
        <is>
          <t>やはり運転していて楽しくない。 「乗る」じゃなくて「乗せられる」車 五年前の車にしては装備が古い</t>
        </is>
      </c>
      <c r="O105" s="14" t="inlineStr">
        <is>
          <t>標準でデイライトは付いてないし、レーダークルーズコントロールも無い 正に一世代前の車</t>
        </is>
      </c>
      <c r="P105" s="8" t="inlineStr">
        <is>
          <t>https://minkara.carview.co.jp/car/toyota/voxy/review/detail.aspx?cid=452197</t>
        </is>
      </c>
    </row>
    <row r="106">
      <c r="A106" s="13" t="inlineStr">
        <is>
          <t>ヴォクシー</t>
        </is>
      </c>
      <c r="B106" s="13" t="n">
        <v>2007</v>
      </c>
      <c r="C106" s="13" t="inlineStr">
        <is>
          <t>X“Lエディション”_8人乗り(CVT2.0)</t>
        </is>
      </c>
      <c r="D106" s="13" t="inlineStr">
        <is>
          <t>2026年4月21日</t>
        </is>
      </c>
      <c r="E106" s="13" t="inlineStr">
        <is>
          <t>その他</t>
        </is>
      </c>
      <c r="F106" s="13" t="n">
        <v>5</v>
      </c>
      <c r="G106" s="13" t="n"/>
      <c r="H106" s="13" t="n"/>
      <c r="I106" s="13" t="n"/>
      <c r="J106" s="13" t="n"/>
      <c r="K106" s="13" t="n"/>
      <c r="L106" s="13" t="inlineStr">
        <is>
          <t>やっぱり乗り慣れると「住めば都」的に愛着もわきます。</t>
        </is>
      </c>
      <c r="M106" s="14" t="inlineStr">
        <is>
          <t>８人乗りなので、家族５人で乗っても結構荷物が詰めるので便利です。 燃費も気を付けて乗れば14.5km/L位出るので満足です。</t>
        </is>
      </c>
      <c r="N106" s="14" t="inlineStr">
        <is>
          <t>フロントピラーが太く、視界が気になってしまいます。 家内には車体が大きいようで、チョイチョイ擦られてしまう…。</t>
        </is>
      </c>
      <c r="O106" s="14" t="inlineStr">
        <is>
          <t>家族みんなで出かけるにはとても便利な車です。</t>
        </is>
      </c>
      <c r="P106" s="13" t="inlineStr">
        <is>
          <t>https://minkara.carview.co.jp/car/toyota/voxy/review/detail.aspx?cid=452083</t>
        </is>
      </c>
    </row>
    <row r="107">
      <c r="A107" s="8" t="inlineStr">
        <is>
          <t>ヴォクシー</t>
        </is>
      </c>
      <c r="B107" s="8" t="n">
        <v>2010</v>
      </c>
      <c r="C107" s="8" t="inlineStr">
        <is>
          <t>ZS_8人乗り_4WD(CVT_2.0)</t>
        </is>
      </c>
      <c r="D107" s="8" t="inlineStr">
        <is>
          <t>2026年4月19日</t>
        </is>
      </c>
      <c r="E107" s="8" t="inlineStr">
        <is>
          <t>通勤通学</t>
        </is>
      </c>
      <c r="F107" s="8" t="n">
        <v>5</v>
      </c>
      <c r="G107" s="8" t="n">
        <v>4</v>
      </c>
      <c r="H107" s="8" t="n">
        <v>4</v>
      </c>
      <c r="I107" s="8" t="n">
        <v>4</v>
      </c>
      <c r="J107" s="8" t="n">
        <v>5</v>
      </c>
      <c r="K107" s="8" t="n">
        <v>3</v>
      </c>
      <c r="L107" s="8" t="inlineStr">
        <is>
          <t>なし</t>
        </is>
      </c>
      <c r="M107" s="14" t="n"/>
      <c r="N107" s="14" t="n"/>
      <c r="O107" s="14" t="inlineStr">
        <is>
          <t>なし</t>
        </is>
      </c>
      <c r="P107" s="8" t="inlineStr">
        <is>
          <t>https://minkara.carview.co.jp/car/toyota/voxy/review/detail.aspx?cid=451930</t>
        </is>
      </c>
    </row>
    <row r="108">
      <c r="A108" s="13" t="inlineStr">
        <is>
          <t>ヴォクシー</t>
        </is>
      </c>
      <c r="B108" s="13" t="n">
        <v>2017</v>
      </c>
      <c r="C108" s="13" t="inlineStr">
        <is>
          <t>ZS_8人乗り(CVT_2.0)</t>
        </is>
      </c>
      <c r="D108" s="13" t="inlineStr">
        <is>
          <t>2026年4月18日</t>
        </is>
      </c>
      <c r="E108" s="13" t="inlineStr">
        <is>
          <t>レジャー</t>
        </is>
      </c>
      <c r="F108" s="13" t="n">
        <v>5</v>
      </c>
      <c r="G108" s="13" t="n">
        <v>4</v>
      </c>
      <c r="H108" s="13" t="n">
        <v>4</v>
      </c>
      <c r="I108" s="13" t="n">
        <v>5</v>
      </c>
      <c r="J108" s="13" t="n">
        <v>5</v>
      </c>
      <c r="K108" s="13" t="n">
        <v>3</v>
      </c>
      <c r="L108" s="13" t="inlineStr">
        <is>
          <t>荷物が沢山乗って視界良好</t>
        </is>
      </c>
      <c r="M108" s="14" t="n"/>
      <c r="N108" s="14" t="n"/>
      <c r="O108" s="14" t="inlineStr">
        <is>
          <t>やはりミニバン 荷物が沢山乗って車内空間もゆったり。 運転視点も高い為、視界の確保も良好</t>
        </is>
      </c>
      <c r="P108" s="13" t="inlineStr">
        <is>
          <t>https://minkara.carview.co.jp/car/toyota/voxy/review/detail.aspx?cid=451827</t>
        </is>
      </c>
    </row>
    <row r="109">
      <c r="A109" s="8" t="inlineStr">
        <is>
          <t>ヴォクシー</t>
        </is>
      </c>
      <c r="B109" s="8" t="n">
        <v>2014</v>
      </c>
      <c r="C109" s="8" t="inlineStr">
        <is>
          <t>不明</t>
        </is>
      </c>
      <c r="D109" s="8" t="inlineStr">
        <is>
          <t>2026年4月11日</t>
        </is>
      </c>
      <c r="E109" s="8" t="inlineStr">
        <is>
          <t>レジャー</t>
        </is>
      </c>
      <c r="F109" s="8" t="n">
        <v>3</v>
      </c>
      <c r="G109" s="8" t="n">
        <v>4</v>
      </c>
      <c r="H109" s="8" t="n">
        <v>4</v>
      </c>
      <c r="I109" s="8" t="n">
        <v>3</v>
      </c>
      <c r="J109" s="8" t="n">
        <v>4</v>
      </c>
      <c r="K109" s="8" t="n">
        <v>4</v>
      </c>
      <c r="L109" s="8" t="inlineStr">
        <is>
          <t>無難</t>
        </is>
      </c>
      <c r="M109" s="14" t="n"/>
      <c r="N109" s="14" t="inlineStr">
        <is>
          <t>ドアが薄い</t>
        </is>
      </c>
      <c r="O109" s="14" t="inlineStr">
        <is>
          <t>トヨタなんで、これと言う不具合もなく</t>
        </is>
      </c>
      <c r="P109" s="8" t="inlineStr">
        <is>
          <t>https://minkara.carview.co.jp/car/toyota/voxy/review/detail.aspx?cid=451272</t>
        </is>
      </c>
    </row>
    <row r="110">
      <c r="A110" s="13" t="inlineStr">
        <is>
          <t>ヴォクシー</t>
        </is>
      </c>
      <c r="B110" s="13" t="n">
        <v>2013</v>
      </c>
      <c r="C110" s="13" t="inlineStr">
        <is>
          <t>ZS“煌Z” 7人乗り(CVT_2.0)</t>
        </is>
      </c>
      <c r="D110" s="13" t="inlineStr">
        <is>
          <t>2026年4月10日</t>
        </is>
      </c>
      <c r="E110" s="13" t="inlineStr">
        <is>
          <t>仕事</t>
        </is>
      </c>
      <c r="F110" s="13" t="n">
        <v>5</v>
      </c>
      <c r="G110" s="13" t="n">
        <v>5</v>
      </c>
      <c r="H110" s="13" t="n">
        <v>5</v>
      </c>
      <c r="I110" s="13" t="n">
        <v>5</v>
      </c>
      <c r="J110" s="13" t="n">
        <v>5</v>
      </c>
      <c r="K110" s="13" t="n">
        <v>5</v>
      </c>
      <c r="L110" s="13" t="inlineStr">
        <is>
          <t>ヴォクシー</t>
        </is>
      </c>
      <c r="M110" s="14" t="n"/>
      <c r="N110" s="14" t="n"/>
      <c r="O110" s="14" t="inlineStr">
        <is>
          <t>ヴォクシー70系が一番好きです！2代目にです！</t>
        </is>
      </c>
      <c r="P110" s="13" t="inlineStr">
        <is>
          <t>https://minkara.carview.co.jp/car/toyota/voxy/review/detail.aspx?cid=451241</t>
        </is>
      </c>
    </row>
    <row r="111">
      <c r="A111" s="8" t="inlineStr">
        <is>
          <t>ヴォクシー</t>
        </is>
      </c>
      <c r="B111" s="8" t="n">
        <v>2016</v>
      </c>
      <c r="C111" s="8" t="inlineStr">
        <is>
          <t>ZS_8人乗り(CVT_2.0)</t>
        </is>
      </c>
      <c r="D111" s="8" t="inlineStr">
        <is>
          <t>2026年4月5日</t>
        </is>
      </c>
      <c r="E111" s="8" t="inlineStr">
        <is>
          <t>通勤通学</t>
        </is>
      </c>
      <c r="F111" s="8" t="n">
        <v>5</v>
      </c>
      <c r="G111" s="8" t="n">
        <v>3</v>
      </c>
      <c r="H111" s="8" t="n">
        <v>3</v>
      </c>
      <c r="I111" s="8" t="n">
        <v>2</v>
      </c>
      <c r="J111" s="8" t="n">
        <v>3</v>
      </c>
      <c r="K111" s="8" t="n">
        <v>3</v>
      </c>
      <c r="L111" s="8" t="inlineStr">
        <is>
          <t>ファミリーカーに重宝する車です。</t>
        </is>
      </c>
      <c r="M111" s="14" t="n"/>
      <c r="N111" s="14" t="n"/>
      <c r="O111" s="14" t="inlineStr">
        <is>
          <t>燃費そこそこよく、小回りも効くし、大人数乗れるし、長距離運転も疲れにくい。運転しやすい車だと思います。</t>
        </is>
      </c>
      <c r="P111" s="8" t="inlineStr">
        <is>
          <t>https://minkara.carview.co.jp/car/toyota/voxy/review/detail.aspx?cid=450807</t>
        </is>
      </c>
    </row>
    <row r="112">
      <c r="A112" s="13" t="inlineStr">
        <is>
          <t>ヴォクシー</t>
        </is>
      </c>
      <c r="B112" s="13" t="n">
        <v>2016</v>
      </c>
      <c r="C112" s="13" t="inlineStr">
        <is>
          <t>ZS“煌II”_8人乗り(CVT_2.0)</t>
        </is>
      </c>
      <c r="D112" s="13" t="inlineStr">
        <is>
          <t>2026年3月31日</t>
        </is>
      </c>
      <c r="E112" s="13" t="inlineStr">
        <is>
          <t>買い物</t>
        </is>
      </c>
      <c r="F112" s="13" t="n">
        <v>5</v>
      </c>
      <c r="G112" s="13" t="n">
        <v>5</v>
      </c>
      <c r="H112" s="13" t="n">
        <v>5</v>
      </c>
      <c r="I112" s="13" t="n">
        <v>5</v>
      </c>
      <c r="J112" s="13" t="n">
        <v>5</v>
      </c>
      <c r="K112" s="13" t="n">
        <v>2</v>
      </c>
      <c r="L112" s="13" t="inlineStr">
        <is>
          <t>かっこいい</t>
        </is>
      </c>
      <c r="M112" s="14" t="inlineStr">
        <is>
          <t>60ノアから中古で買った80ヴォクシー前期です。 60ノアがそろそろ限界だったので中古車を見に行った先で一目ぼれ。内装も外装も、かなり綺麗だったので即決してしまいました。</t>
        </is>
      </c>
      <c r="N112" s="14" t="inlineStr">
        <is>
          <t>思ったほど燃費はよくないです。</t>
        </is>
      </c>
      <c r="O112" s="14" t="inlineStr">
        <is>
          <t>新車が買えないのはわかっていたが、80系のノア、ヴォクシーまたはエスクァイアに乗りたかった矢先、この中古車に出会えて満足です。</t>
        </is>
      </c>
      <c r="P112" s="13" t="inlineStr">
        <is>
          <t>https://minkara.carview.co.jp/car/toyota/voxy/review/detail.aspx?cid=450509</t>
        </is>
      </c>
    </row>
    <row r="113">
      <c r="A113" s="8" t="inlineStr">
        <is>
          <t>ヴォクシー</t>
        </is>
      </c>
      <c r="B113" s="8" t="n">
        <v>2004</v>
      </c>
      <c r="C113" s="8" t="inlineStr">
        <is>
          <t>X(AT_2.0)</t>
        </is>
      </c>
      <c r="D113" s="8" t="inlineStr">
        <is>
          <t>2026年3月31日</t>
        </is>
      </c>
      <c r="E113" s="8" t="inlineStr">
        <is>
          <t>買い物</t>
        </is>
      </c>
      <c r="F113" s="8" t="n">
        <v>5</v>
      </c>
      <c r="G113" s="8" t="n">
        <v>3</v>
      </c>
      <c r="H113" s="8" t="n">
        <v>3</v>
      </c>
      <c r="I113" s="8" t="n">
        <v>3</v>
      </c>
      <c r="J113" s="8" t="n">
        <v>5</v>
      </c>
      <c r="K113" s="8" t="n">
        <v>4</v>
      </c>
      <c r="L113" s="8" t="inlineStr">
        <is>
          <t>乗り心地は良くないが総合得点は高い</t>
        </is>
      </c>
      <c r="M113" s="14" t="inlineStr">
        <is>
          <t>CVTの出来が20年経った今でも良いと思える 収納力が高い 貨物力が高い 日常での使いやすさ抜群 燃費が良い（平均11km/L） 長時間運転しても意外と疲れにくい 待ち時間等の室内待機時の快適性が高い</t>
        </is>
      </c>
      <c r="N113" s="14" t="inlineStr">
        <is>
          <t>ロールが大きい 横風にとてつもなく弱い</t>
        </is>
      </c>
      <c r="O113" s="14" t="inlineStr">
        <is>
          <t>普段使いであれば何不自由無く使えて、満足度は高い カスタム性も高く、遊び倒せる所が魅力</t>
        </is>
      </c>
      <c r="P113" s="8" t="inlineStr">
        <is>
          <t>https://minkara.carview.co.jp/car/toyota/voxy/review/detail.aspx?cid=450489</t>
        </is>
      </c>
    </row>
    <row r="114">
      <c r="A114" s="13" t="inlineStr">
        <is>
          <t>ヴォクシー</t>
        </is>
      </c>
      <c r="B114" s="13" t="n">
        <v>2011</v>
      </c>
      <c r="C114" s="13" t="inlineStr">
        <is>
          <t>ＺＳ“煌Ⅱ”_７人乗り(ＣＶＴ_2.0)</t>
        </is>
      </c>
      <c r="D114" s="13" t="inlineStr">
        <is>
          <t>2026年3月30日</t>
        </is>
      </c>
      <c r="E114" s="13" t="inlineStr">
        <is>
          <t>買い物</t>
        </is>
      </c>
      <c r="F114" s="13" t="n">
        <v>4</v>
      </c>
      <c r="G114" s="13" t="n">
        <v>3</v>
      </c>
      <c r="H114" s="13" t="n">
        <v>3</v>
      </c>
      <c r="I114" s="13" t="n">
        <v>3</v>
      </c>
      <c r="J114" s="13" t="n">
        <v>4</v>
      </c>
      <c r="K114" s="13" t="n">
        <v>3</v>
      </c>
      <c r="L114" s="13" t="inlineStr">
        <is>
          <t>普通の車</t>
        </is>
      </c>
      <c r="M114" s="14" t="inlineStr">
        <is>
          <t>大きからず 小さからず ちょうど良い大きさの車ですね</t>
        </is>
      </c>
      <c r="N114" s="14" t="inlineStr">
        <is>
          <t>高速道路での燃費悪く 60キロ走行の方が燃費が良いのはなぜ?</t>
        </is>
      </c>
      <c r="O114" s="14" t="inlineStr">
        <is>
          <t>ファミリー向けのよい車です。</t>
        </is>
      </c>
      <c r="P114" s="13" t="inlineStr">
        <is>
          <t>https://minkara.carview.co.jp/car/toyota/voxy/review/detail.aspx?cid=450394</t>
        </is>
      </c>
    </row>
    <row r="115">
      <c r="A115" s="8" t="inlineStr">
        <is>
          <t>ヴォクシー</t>
        </is>
      </c>
      <c r="B115" s="8" t="n">
        <v>2007</v>
      </c>
      <c r="C115" s="8" t="inlineStr">
        <is>
          <t>煌Ⅱ</t>
        </is>
      </c>
      <c r="D115" s="8" t="inlineStr">
        <is>
          <t>2026年3月28日</t>
        </is>
      </c>
      <c r="E115" s="8" t="inlineStr">
        <is>
          <t>通勤通学</t>
        </is>
      </c>
      <c r="F115" s="8" t="n">
        <v>5</v>
      </c>
      <c r="G115" s="8" t="n">
        <v>5</v>
      </c>
      <c r="H115" s="8" t="n">
        <v>4</v>
      </c>
      <c r="I115" s="8" t="n">
        <v>3</v>
      </c>
      <c r="J115" s="8" t="n">
        <v>5</v>
      </c>
      <c r="K115" s="8" t="n">
        <v>3</v>
      </c>
      <c r="L115" s="8" t="inlineStr">
        <is>
          <t>使い勝手が良く扱いやすい大きさのミニバン</t>
        </is>
      </c>
      <c r="M115" s="14" t="inlineStr">
        <is>
          <t>視線が高いので運転しやすい 取り回しがしやすい丁度良い大きさ</t>
        </is>
      </c>
      <c r="N115" s="14" t="inlineStr">
        <is>
          <t>ガソリン車なので燃費が約9km/L程度</t>
        </is>
      </c>
      <c r="O115" s="14" t="inlineStr">
        <is>
          <t>荷物も積めて取り回しやすい丁度良いミニバン</t>
        </is>
      </c>
      <c r="P115" s="8" t="inlineStr">
        <is>
          <t>https://minkara.carview.co.jp/car/toyota/voxy/review/detail.aspx?cid=450223</t>
        </is>
      </c>
    </row>
    <row r="116">
      <c r="A116" s="13" t="inlineStr">
        <is>
          <t>ヴォクシー</t>
        </is>
      </c>
      <c r="B116" s="13" t="n">
        <v>2022</v>
      </c>
      <c r="C116" s="13" t="inlineStr">
        <is>
          <t>S-Z_7人乗り(CVT_2.0)</t>
        </is>
      </c>
      <c r="D116" s="13" t="inlineStr">
        <is>
          <t>2026年3月21日</t>
        </is>
      </c>
      <c r="E116" s="13" t="inlineStr">
        <is>
          <t>通勤通学</t>
        </is>
      </c>
      <c r="F116" s="13" t="n">
        <v>4</v>
      </c>
      <c r="G116" s="13" t="n">
        <v>4</v>
      </c>
      <c r="H116" s="13" t="n">
        <v>3</v>
      </c>
      <c r="I116" s="13" t="n">
        <v>4</v>
      </c>
      <c r="J116" s="13" t="n">
        <v>4</v>
      </c>
      <c r="K116" s="13" t="n">
        <v>4</v>
      </c>
      <c r="L116" s="13" t="inlineStr">
        <is>
          <t>取り回しのしやすさは満足</t>
        </is>
      </c>
      <c r="M116" s="14" t="inlineStr">
        <is>
          <t>・ボディサイズが大きすぎないため取り回し性がいい ・前モデルと比較したらボディ剛性やサスペンション、静粛性が向上していて上質感がある。</t>
        </is>
      </c>
      <c r="N116" s="14" t="inlineStr">
        <is>
          <t>前車エスティマと比較すると ・加速が悪い ・ロールが大きい ・風の影響が大きい ・乗り心地が悪い</t>
        </is>
      </c>
      <c r="O116" s="14" t="inlineStr">
        <is>
          <t>嫁さんが仕事や送迎に乗り回すのにちょうどいい車です。 不満な点を改善しようとするとアルファードになると思いますが、あのサイズを嫁さんが乗り回すのに不安があったのでヴォクシーにして正解でした。</t>
        </is>
      </c>
      <c r="P116" s="13" t="inlineStr">
        <is>
          <t>https://minkara.carview.co.jp/car/toyota/voxy/review/detail.aspx?cid=449672</t>
        </is>
      </c>
    </row>
    <row r="117">
      <c r="A117" s="8" t="inlineStr">
        <is>
          <t>ヴォクシー</t>
        </is>
      </c>
      <c r="B117" s="8" t="n">
        <v>2022</v>
      </c>
      <c r="C117" s="8" t="inlineStr">
        <is>
          <t>S-Z_7人乗り(CVT_2.0)</t>
        </is>
      </c>
      <c r="D117" s="8" t="inlineStr">
        <is>
          <t>2026年3月8日</t>
        </is>
      </c>
      <c r="E117" s="8" t="inlineStr">
        <is>
          <t>レジャー</t>
        </is>
      </c>
      <c r="F117" s="8" t="n">
        <v>4</v>
      </c>
      <c r="G117" s="8" t="n">
        <v>4</v>
      </c>
      <c r="H117" s="8" t="n">
        <v>4</v>
      </c>
      <c r="I117" s="8" t="n">
        <v>3</v>
      </c>
      <c r="J117" s="8" t="n">
        <v>5</v>
      </c>
      <c r="K117" s="8" t="n">
        <v>4</v>
      </c>
      <c r="L117" s="8" t="inlineStr">
        <is>
          <t>充分</t>
        </is>
      </c>
      <c r="M117" s="14" t="inlineStr">
        <is>
          <t>・背がが高くても広々 ・横幅が広くないので狭い道も楽々 ・6人乗れて1泊2日の荷物も乗る ・スーパーラゲージボックス（床下収納）にゴルフバッグが入る ・自転車を乗せられる</t>
        </is>
      </c>
      <c r="N117" s="14" t="inlineStr">
        <is>
          <t>・</t>
        </is>
      </c>
      <c r="O117" s="14" t="inlineStr">
        <is>
          <t>・4人家族にはピッタリ。ジジババも乗せられる ・やっぱりスライドドア。ドアパンチの心配なし。 ・都内の狭い道でも取り回し安心</t>
        </is>
      </c>
      <c r="P117" s="8" t="inlineStr">
        <is>
          <t>https://minkara.carview.co.jp/car/toyota/voxy/review/detail.aspx?cid=448687</t>
        </is>
      </c>
    </row>
    <row r="118">
      <c r="A118" s="13" t="inlineStr">
        <is>
          <t>ヴォクシー</t>
        </is>
      </c>
      <c r="B118" s="13" t="n">
        <v>2014</v>
      </c>
      <c r="C118" s="13" t="inlineStr">
        <is>
          <t>ZS“煌”_8人乗り(CVT_2.0)</t>
        </is>
      </c>
      <c r="D118" s="13" t="inlineStr">
        <is>
          <t>2026年3月1日</t>
        </is>
      </c>
      <c r="E118" s="13" t="inlineStr">
        <is>
          <t>通勤通学</t>
        </is>
      </c>
      <c r="F118" s="13" t="n">
        <v>5</v>
      </c>
      <c r="G118" s="13" t="n">
        <v>5</v>
      </c>
      <c r="H118" s="13" t="n">
        <v>5</v>
      </c>
      <c r="I118" s="13" t="n">
        <v>5</v>
      </c>
      <c r="J118" s="13" t="n">
        <v>5</v>
      </c>
      <c r="K118" s="13" t="n">
        <v>3</v>
      </c>
      <c r="L118" s="13" t="inlineStr">
        <is>
          <t>スタイリッシュ！！</t>
        </is>
      </c>
      <c r="M118" s="14" t="inlineStr">
        <is>
          <t>全体的な見た目はスッキリかつキリッとして良い！ 運転に関しても取り回しやすい！ 積載容量もGOOD！</t>
        </is>
      </c>
      <c r="N118" s="14" t="inlineStr">
        <is>
          <t>ミドルサイズミニバンで街乗りで燃費が約9L/km前後</t>
        </is>
      </c>
      <c r="O118" s="14" t="inlineStr">
        <is>
          <t>大きすぎす小さすぎない丁度良いスタイリッシュなミニバン！！</t>
        </is>
      </c>
      <c r="P118" s="13" t="inlineStr">
        <is>
          <t>https://minkara.carview.co.jp/car/toyota/voxy/review/detail.aspx?cid=448145</t>
        </is>
      </c>
    </row>
    <row r="119">
      <c r="A119" s="8" t="inlineStr">
        <is>
          <t>ヴォクシー</t>
        </is>
      </c>
      <c r="B119" s="8" t="n">
        <v>2025</v>
      </c>
      <c r="C119" s="8" t="inlineStr">
        <is>
          <t>S-Z_7人乗り(CVT_2.0)</t>
        </is>
      </c>
      <c r="D119" s="8" t="inlineStr">
        <is>
          <t>2026年3月1日</t>
        </is>
      </c>
      <c r="E119" s="8" t="n"/>
      <c r="F119" s="8" t="n">
        <v>4</v>
      </c>
      <c r="G119" s="8" t="n"/>
      <c r="H119" s="8" t="n"/>
      <c r="I119" s="8" t="n"/>
      <c r="J119" s="8" t="n"/>
      <c r="K119" s="8" t="n"/>
      <c r="L119" s="8" t="inlineStr">
        <is>
          <t>静かですね</t>
        </is>
      </c>
      <c r="M119" s="14" t="inlineStr">
        <is>
          <t>ストロングハイブリッドなので、静かです。</t>
        </is>
      </c>
      <c r="N119" s="14" t="inlineStr">
        <is>
          <t>パワーがない。ハイブリッド特有の回生協調ブレーキのカックンブレーキがひどい。</t>
        </is>
      </c>
      <c r="O119" s="14" t="inlineStr">
        <is>
          <t>80ヴォクシーガソリンZS煌を10年乗って、90ヴォクシーハイブリッドS-Zに乗り換え。パワーは明確にダウンしましたが、とにかく静かに乗れます。</t>
        </is>
      </c>
      <c r="P119" s="8" t="inlineStr">
        <is>
          <t>https://minkara.carview.co.jp/car/toyota/voxy/review/detail.aspx?cid=448087</t>
        </is>
      </c>
    </row>
    <row r="120">
      <c r="A120" s="13" t="inlineStr">
        <is>
          <t>ヴォクシー</t>
        </is>
      </c>
      <c r="B120" s="13" t="n">
        <v>2022</v>
      </c>
      <c r="C120" s="13" t="inlineStr">
        <is>
          <t>S-G_8人乗り(CVT_2.0)</t>
        </is>
      </c>
      <c r="D120" s="13" t="inlineStr">
        <is>
          <t>2026年2月26日</t>
        </is>
      </c>
      <c r="E120" s="13" t="inlineStr">
        <is>
          <t>その他</t>
        </is>
      </c>
      <c r="F120" s="13" t="n">
        <v>5</v>
      </c>
      <c r="G120" s="13" t="n">
        <v>5</v>
      </c>
      <c r="H120" s="13" t="n">
        <v>4</v>
      </c>
      <c r="I120" s="13" t="n">
        <v>5</v>
      </c>
      <c r="J120" s="13" t="n">
        <v>5</v>
      </c>
      <c r="K120" s="13" t="n">
        <v>2</v>
      </c>
      <c r="L120" s="13" t="inlineStr">
        <is>
          <t>燃費以外最高のミニバン</t>
        </is>
      </c>
      <c r="M120" s="14" t="inlineStr">
        <is>
          <t>室内は広く床は低いので乗り込みやすい。2列目は8人乗りでもロングスライドできる。段差は滑らかに乗り越えて、曲がるときにロール感が少ない。 一番驚いたのはPDA（プロドライビングアシスト）。自然と安全運転になるようにブレーキ・ハンドリングをアシストしてくれる。弱・中・強でお好みに設定できるのも◎。クルコンは高速で使えばほぼ自動運転みたいなもの。</t>
        </is>
      </c>
      <c r="N120" s="14" t="inlineStr">
        <is>
          <t>・クリアランスソナーの音を小さくしてもうるさく、駐車券の機械に近づくと鳴りっぱなしに・・・。 ・フロントマスクはカッコイイが入り組みすぎて洗車が困難。フロント以外も細い隙間が意外と多くてクロスが入りにくいのでふき取りが大変。ブロワー買っちゃいました。 ・後席ディスプレイを下げるとバックミラーの上半分が見えない（笑）デジタルインナーミラーにすればよかった。 ・下道150km走って平均燃費6.9km/lの表示。70ヴォクシーよりも悪いがこれは・・・。 追記:20km高速走って燃費14.4km/l‼️</t>
        </is>
      </c>
      <c r="O120" s="14" t="inlineStr">
        <is>
          <t>燃費以外は総じて最高のファミリーカーです。 2列目ベンチシートでロングスライドできると、乗り込みやすく足元も十分広く、普段の買い物なら荷物置きとして使え、ラゲッジルーム使わなくもいいのは快適です。</t>
        </is>
      </c>
      <c r="P120" s="13" t="inlineStr">
        <is>
          <t>https://minkara.carview.co.jp/car/toyota/voxy/review/detail.aspx?cid=447861</t>
        </is>
      </c>
    </row>
    <row r="121">
      <c r="A121" s="8" t="inlineStr">
        <is>
          <t>ヴォクシー</t>
        </is>
      </c>
      <c r="B121" s="8" t="n">
        <v>2025</v>
      </c>
      <c r="C121" s="8" t="inlineStr">
        <is>
          <t>S-Z_7人乗り_4WD(CVT_2.0)</t>
        </is>
      </c>
      <c r="D121" s="8" t="inlineStr">
        <is>
          <t>2026年2月21日</t>
        </is>
      </c>
      <c r="E121" s="8" t="inlineStr">
        <is>
          <t>レジャー</t>
        </is>
      </c>
      <c r="F121" s="8" t="n">
        <v>4</v>
      </c>
      <c r="G121" s="8" t="n">
        <v>5</v>
      </c>
      <c r="H121" s="8" t="n">
        <v>5</v>
      </c>
      <c r="I121" s="8" t="n">
        <v>4</v>
      </c>
      <c r="J121" s="8" t="n">
        <v>4</v>
      </c>
      <c r="K121" s="8" t="n">
        <v>3</v>
      </c>
      <c r="L121" s="8" t="inlineStr">
        <is>
          <t>オプション設定がいくつか標準装備になった</t>
        </is>
      </c>
      <c r="M121" s="14" t="inlineStr">
        <is>
          <t>オプション設定がいくつか標準装備になった</t>
        </is>
      </c>
      <c r="N121" s="14" t="inlineStr">
        <is>
          <t>まだ納車されたばかりで特になし納車までの期間が長すぎる アドバンストパークが思ったより利用できない</t>
        </is>
      </c>
      <c r="O121" s="14" t="inlineStr">
        <is>
          <t>まだ不明なことが多くて</t>
        </is>
      </c>
      <c r="P121" s="8" t="inlineStr">
        <is>
          <t>https://minkara.carview.co.jp/car/toyota/voxy/review/detail.aspx?cid=447470</t>
        </is>
      </c>
    </row>
    <row r="122">
      <c r="A122" s="13" t="inlineStr">
        <is>
          <t>エスクァイア</t>
        </is>
      </c>
      <c r="B122" s="13" t="n">
        <v>2019</v>
      </c>
      <c r="C122" s="13" t="inlineStr">
        <is>
          <t>Gi“プレミアムパッケージ・ブラックテーラード”_7人乗り(CVT_2.0)</t>
        </is>
      </c>
      <c r="D122" s="13" t="inlineStr">
        <is>
          <t>2026年8月9日</t>
        </is>
      </c>
      <c r="E122" s="13" t="inlineStr">
        <is>
          <t>レジャー</t>
        </is>
      </c>
      <c r="F122" s="13" t="n">
        <v>2</v>
      </c>
      <c r="G122" s="13" t="n">
        <v>2</v>
      </c>
      <c r="H122" s="13" t="n">
        <v>1</v>
      </c>
      <c r="I122" s="13" t="n">
        <v>2</v>
      </c>
      <c r="J122" s="13" t="n">
        <v>3</v>
      </c>
      <c r="K122" s="13" t="n">
        <v>1</v>
      </c>
      <c r="L122" s="13" t="inlineStr">
        <is>
          <t>高級車「風」</t>
        </is>
      </c>
      <c r="M122" s="14" t="inlineStr">
        <is>
          <t>・不人気なので他人と被りにくい ・ショッピングモールの駐車場では比較的簡単に自分の車を見つけることができます</t>
        </is>
      </c>
      <c r="N122" s="14" t="inlineStr">
        <is>
          <t>・本皮ステアリングがすぐに剥げる(ハンドルヒーター対応の社外品がないのでそのまま) ・エコモードでも燃費が悪い(街乗り7km/L、高速12km/Lくらい) ・せめて内装だけでもノアヴォクとの圧倒的な差別化が欲しかった(エグゼクティブシートにするとか) ・金額次第でお譲りします笑</t>
        </is>
      </c>
      <c r="O122" s="14" t="inlineStr">
        <is>
          <t>・普通の人にはよっぽどデザインが気に入らない限り選択肢には入らないかも ・これから80系購入を検討される方にはノアヴォクの特別仕様車の方が良いと思います</t>
        </is>
      </c>
      <c r="P122" s="13" t="inlineStr">
        <is>
          <t>https://minkara.carview.co.jp/car/toyota/esquire/review/detail.aspx?cid=460092</t>
        </is>
      </c>
    </row>
    <row r="123">
      <c r="A123" s="8" t="inlineStr">
        <is>
          <t>エスクァイア</t>
        </is>
      </c>
      <c r="B123" s="8" t="n">
        <v>2014</v>
      </c>
      <c r="C123" s="8" t="inlineStr">
        <is>
          <t>Gi_7人乗り(CVT_2.0)</t>
        </is>
      </c>
      <c r="D123" s="8" t="inlineStr">
        <is>
          <t>2026年6月25日</t>
        </is>
      </c>
      <c r="E123" s="8" t="inlineStr">
        <is>
          <t>買い物</t>
        </is>
      </c>
      <c r="F123" s="8" t="n">
        <v>3</v>
      </c>
      <c r="G123" s="8" t="n">
        <v>3</v>
      </c>
      <c r="H123" s="8" t="n">
        <v>2</v>
      </c>
      <c r="I123" s="8" t="n">
        <v>4</v>
      </c>
      <c r="J123" s="8" t="n">
        <v>5</v>
      </c>
      <c r="K123" s="8" t="n">
        <v>3</v>
      </c>
      <c r="L123" s="8" t="inlineStr">
        <is>
          <t>ワンボックス</t>
        </is>
      </c>
      <c r="M123" s="14" t="inlineStr">
        <is>
          <t>人荷物載ります</t>
        </is>
      </c>
      <c r="N123" s="14" t="inlineStr">
        <is>
          <t>キビキビではない</t>
        </is>
      </c>
      <c r="O123" s="14" t="inlineStr">
        <is>
          <t>今の利用状況だと概ね満足</t>
        </is>
      </c>
      <c r="P123" s="8" t="inlineStr">
        <is>
          <t>https://minkara.carview.co.jp/car/toyota/esquire/review/detail.aspx?cid=456938</t>
        </is>
      </c>
    </row>
    <row r="124">
      <c r="A124" s="13" t="inlineStr">
        <is>
          <t>エスクァイア</t>
        </is>
      </c>
      <c r="B124" s="13" t="n">
        <v>2014</v>
      </c>
      <c r="C124" s="13" t="inlineStr">
        <is>
          <t>Xi_7人乗り_4WD(CVT_2.0)</t>
        </is>
      </c>
      <c r="D124" s="13" t="inlineStr">
        <is>
          <t>2026年5月31日</t>
        </is>
      </c>
      <c r="E124" s="13" t="inlineStr">
        <is>
          <t>通勤通学</t>
        </is>
      </c>
      <c r="F124" s="13" t="n">
        <v>5</v>
      </c>
      <c r="G124" s="13" t="n"/>
      <c r="H124" s="13" t="n"/>
      <c r="I124" s="13" t="n"/>
      <c r="J124" s="13" t="n"/>
      <c r="K124" s="13" t="n"/>
      <c r="L124" s="13" t="inlineStr">
        <is>
          <t>よろしくお願いします</t>
        </is>
      </c>
      <c r="M124" s="14" t="n"/>
      <c r="N124" s="14" t="n"/>
      <c r="O124" s="14" t="inlineStr">
        <is>
          <t>よろしくお願いします</t>
        </is>
      </c>
      <c r="P124" s="13" t="inlineStr">
        <is>
          <t>https://minkara.carview.co.jp/car/toyota/esquire/review/detail.aspx?cid=455144</t>
        </is>
      </c>
    </row>
    <row r="125">
      <c r="A125" s="8" t="inlineStr">
        <is>
          <t>エスクァイア</t>
        </is>
      </c>
      <c r="B125" s="8" t="n">
        <v>2019</v>
      </c>
      <c r="C125" s="8" t="inlineStr">
        <is>
          <t>Gi_7人乗り(CVT_2.0)</t>
        </is>
      </c>
      <c r="D125" s="8" t="inlineStr">
        <is>
          <t>2026年5月11日</t>
        </is>
      </c>
      <c r="E125" s="8" t="inlineStr">
        <is>
          <t>レジャー</t>
        </is>
      </c>
      <c r="F125" s="8" t="n">
        <v>4</v>
      </c>
      <c r="G125" s="8" t="n">
        <v>3</v>
      </c>
      <c r="H125" s="8" t="n">
        <v>3</v>
      </c>
      <c r="I125" s="8" t="n">
        <v>3</v>
      </c>
      <c r="J125" s="8" t="n">
        <v>5</v>
      </c>
      <c r="K125" s="8" t="n">
        <v>3</v>
      </c>
      <c r="L125" s="8" t="inlineStr">
        <is>
          <t>いいクルマとは思います</t>
        </is>
      </c>
      <c r="M125" s="14" t="inlineStr">
        <is>
          <t>70系ヴォクシーと比較して… ・前席の視界が広くなって運転はしやすい。 ・低床化のおかげで乗り降りはしやすい（特に2列目） ・車のコンセプトのおかげか、内装の質感は上がった気が します。 ・70系ヴォクシーより全長が長くなった分、室内が広くなったと思う。とくにフル乗車時の足元のスペースは明らかに広い。また3列目をたたんでスライドさせた際の足元のスペースは特筆すべき点。 ・前車と比べ3列目をたたんだ際の荷室スペースが向上している。 ・合成皮革シートはファブリックシートよりお手入れ楽かも。 ・シートヒーターはよく効く。 ・LEDヘッドランプが明るい。 ・この代限りのブラッキッシュアゲハガラスフレークもいい感じ（主観）。 ・70系にはなかったトヨタセーフティセンスCが装備されている。</t>
        </is>
      </c>
      <c r="N125" s="14" t="inlineStr">
        <is>
          <t>・3列目をスッキリたためるせいか少し座面が薄い。（70系との比較） ・ステアリングスイッチが音量調整のみで、DOPナビとは連動しない。（サードパーティ製のパーツ必須って…） ・インパネまわりの収納が70系より物足りない。 ・前席のピラーにアシストグリップがなくなった。 ・マルチインフォメーションディスプレイの必要性をあまり感じない。 ・トヨタセーフティセンスCは当時のライバル車種と比べて見劣りする。 ・インパネはバラシにくい。 ・エアコンの効きが70系の方がいいと思います。</t>
        </is>
      </c>
      <c r="O125" s="14" t="inlineStr">
        <is>
          <t>2019年式で走行22000kmを中古購入ですが、70系より進化している点が多く満足です。 ノアやヴォクシーは外したい方はオススメです。</t>
        </is>
      </c>
      <c r="P125" s="8" t="inlineStr">
        <is>
          <t>https://minkara.carview.co.jp/car/toyota/esquire/review/detail.aspx?cid=453806</t>
        </is>
      </c>
    </row>
    <row r="126">
      <c r="A126" s="13" t="inlineStr">
        <is>
          <t>エスクァイア</t>
        </is>
      </c>
      <c r="B126" s="13" t="n">
        <v>2019</v>
      </c>
      <c r="C126" s="13" t="inlineStr">
        <is>
          <t>Gi“プレミアムパッケージ・ブラックテーラード”_7人乗り(CVT_2.0)</t>
        </is>
      </c>
      <c r="D126" s="13" t="inlineStr">
        <is>
          <t>2026年5月6日</t>
        </is>
      </c>
      <c r="E126" s="13" t="inlineStr">
        <is>
          <t>レジャー</t>
        </is>
      </c>
      <c r="F126" s="13" t="n">
        <v>4</v>
      </c>
      <c r="G126" s="13" t="n">
        <v>4</v>
      </c>
      <c r="H126" s="13" t="n">
        <v>3</v>
      </c>
      <c r="I126" s="13" t="n">
        <v>3</v>
      </c>
      <c r="J126" s="13" t="n">
        <v>4</v>
      </c>
      <c r="K126" s="13" t="n">
        <v>4</v>
      </c>
      <c r="L126" s="13" t="inlineStr">
        <is>
          <t>トライアルバイクがシート外さなくても積める。</t>
        </is>
      </c>
      <c r="M126" s="14" t="inlineStr">
        <is>
          <t>バンの割に燃費いい。コーナーランプ。5ナンバーだけどイカツイ。皮シートの匂いが良い。</t>
        </is>
      </c>
      <c r="N126" s="14" t="inlineStr">
        <is>
          <t>揺れる。長いので良く横を擦る。アドバンスオートクルーズではない。TSSが古い</t>
        </is>
      </c>
      <c r="O126" s="14" t="inlineStr">
        <is>
          <t>6人乗るのは余裕。 7人は3列目ちと辛い。 2列目シートを離すと シート外さなくても 細身のトライアルバイク250cc は楽勝で積める。</t>
        </is>
      </c>
      <c r="P126" s="13" t="inlineStr">
        <is>
          <t>https://minkara.carview.co.jp/car/toyota/esquire/review/detail.aspx?cid=453387</t>
        </is>
      </c>
    </row>
    <row r="127">
      <c r="A127" s="8" t="inlineStr">
        <is>
          <t>エスクァイア</t>
        </is>
      </c>
      <c r="B127" s="8" t="n">
        <v>2014</v>
      </c>
      <c r="C127" s="8" t="inlineStr">
        <is>
          <t>Gi_7人乗り(CVT_2.0)</t>
        </is>
      </c>
      <c r="D127" s="8" t="inlineStr">
        <is>
          <t>2026年3月9日</t>
        </is>
      </c>
      <c r="E127" s="8" t="inlineStr">
        <is>
          <t>通勤通学</t>
        </is>
      </c>
      <c r="F127" s="8" t="n">
        <v>5</v>
      </c>
      <c r="G127" s="8" t="n">
        <v>4</v>
      </c>
      <c r="H127" s="8" t="n">
        <v>4</v>
      </c>
      <c r="I127" s="8" t="n">
        <v>4</v>
      </c>
      <c r="J127" s="8" t="n">
        <v>5</v>
      </c>
      <c r="K127" s="8" t="n">
        <v>4</v>
      </c>
      <c r="L127" s="8" t="inlineStr">
        <is>
          <t>町乗り快適５ナンバー</t>
        </is>
      </c>
      <c r="M127" s="14" t="inlineStr">
        <is>
          <t>乗り降りしやすい。</t>
        </is>
      </c>
      <c r="N127" s="14" t="inlineStr">
        <is>
          <t>少々パワー不足、純正グリルが好みではない。</t>
        </is>
      </c>
      <c r="O127" s="14" t="inlineStr">
        <is>
          <t>取り回しの良い５ナンバーで７人乗れて、荷物も積める。家族には大好評でした。運転手としては長時間乗ると疲れます。町乗りなら快適だとおもいます。</t>
        </is>
      </c>
      <c r="P127" s="8" t="inlineStr">
        <is>
          <t>https://minkara.carview.co.jp/car/toyota/esquire/review/detail.aspx?cid=448815</t>
        </is>
      </c>
    </row>
    <row r="128">
      <c r="A128" s="13" t="inlineStr">
        <is>
          <t>エスクァイア</t>
        </is>
      </c>
      <c r="B128" s="13" t="n">
        <v>2017</v>
      </c>
      <c r="C128" s="13" t="inlineStr">
        <is>
          <t>Gi_7人乗り_4WD(CVT_2.0)</t>
        </is>
      </c>
      <c r="D128" s="13" t="inlineStr">
        <is>
          <t>2026年3月7日</t>
        </is>
      </c>
      <c r="E128" s="13" t="inlineStr">
        <is>
          <t>通勤通学</t>
        </is>
      </c>
      <c r="F128" s="13" t="n">
        <v>5</v>
      </c>
      <c r="G128" s="13" t="n"/>
      <c r="H128" s="13" t="n"/>
      <c r="I128" s="13" t="n"/>
      <c r="J128" s="13" t="n"/>
      <c r="K128" s="13" t="n"/>
      <c r="L128" s="13" t="inlineStr">
        <is>
          <t>可もなく不可もなく</t>
        </is>
      </c>
      <c r="M128" s="14" t="n"/>
      <c r="N128" s="14" t="n"/>
      <c r="O128" s="14" t="inlineStr">
        <is>
          <t>特になし</t>
        </is>
      </c>
      <c r="P128" s="13" t="inlineStr">
        <is>
          <t>https://minkara.carview.co.jp/car/toyota/esquire/review/detail.aspx?cid=448596</t>
        </is>
      </c>
    </row>
    <row r="129">
      <c r="A129" s="8" t="inlineStr">
        <is>
          <t>エスクァイア</t>
        </is>
      </c>
      <c r="B129" s="8" t="n">
        <v>2017</v>
      </c>
      <c r="C129" s="8" t="inlineStr">
        <is>
          <t>Xi_8人乗り(CVT_2.0)</t>
        </is>
      </c>
      <c r="D129" s="8" t="inlineStr">
        <is>
          <t>2026年3月7日</t>
        </is>
      </c>
      <c r="E129" s="8" t="inlineStr">
        <is>
          <t>レジャー</t>
        </is>
      </c>
      <c r="F129" s="8" t="n">
        <v>5</v>
      </c>
      <c r="G129" s="8" t="n"/>
      <c r="H129" s="8" t="n"/>
      <c r="I129" s="8" t="n"/>
      <c r="J129" s="8" t="n"/>
      <c r="K129" s="8" t="n"/>
      <c r="L129" s="8" t="inlineStr">
        <is>
          <t>人を乗せる時用です。</t>
        </is>
      </c>
      <c r="M129" s="14" t="n"/>
      <c r="N129" s="14" t="n"/>
      <c r="O129" s="14" t="inlineStr">
        <is>
          <t>燃費のイマイチ</t>
        </is>
      </c>
      <c r="P129" s="8" t="inlineStr">
        <is>
          <t>https://minkara.carview.co.jp/car/toyota/esquire/review/detail.aspx?cid=448544</t>
        </is>
      </c>
    </row>
    <row r="130">
      <c r="A130" s="13" t="inlineStr">
        <is>
          <t>エスクァイア</t>
        </is>
      </c>
      <c r="B130" s="13" t="n">
        <v>2016</v>
      </c>
      <c r="C130" s="13" t="inlineStr">
        <is>
          <t>Xi_7人乗り(CVT_2.0)</t>
        </is>
      </c>
      <c r="D130" s="13" t="inlineStr">
        <is>
          <t>2026年1月26日</t>
        </is>
      </c>
      <c r="E130" s="13" t="inlineStr">
        <is>
          <t>その他</t>
        </is>
      </c>
      <c r="F130" s="13" t="n">
        <v>3</v>
      </c>
      <c r="G130" s="13" t="n">
        <v>2</v>
      </c>
      <c r="H130" s="13" t="n">
        <v>2</v>
      </c>
      <c r="I130" s="13" t="n">
        <v>1</v>
      </c>
      <c r="J130" s="13" t="n">
        <v>5</v>
      </c>
      <c r="K130" s="13" t="n">
        <v>3</v>
      </c>
      <c r="L130" s="13" t="inlineStr">
        <is>
          <t>子育て世帯には便利</t>
        </is>
      </c>
      <c r="M130" s="14" t="inlineStr">
        <is>
          <t>子供が小さいときにはとても便利でした。チャイルドシートの設置もしやすかった。</t>
        </is>
      </c>
      <c r="N130" s="14" t="inlineStr">
        <is>
          <t>あまり速くないところ・・・。 タイヤ圧の管理をしっかりしないと、ふにゃふにゃして酔いやすかった。</t>
        </is>
      </c>
      <c r="O130" s="14" t="inlineStr">
        <is>
          <t>走りを楽しむ車ではないので、便利さだけを求めて乗る車だと思います。 子供が小さいときは荷物が多くなりがちですし、トランクではなく３列シートに荷物があり、必要な時に外に出なくても良いのが本当に便利でした。</t>
        </is>
      </c>
      <c r="P130" s="13" t="inlineStr">
        <is>
          <t>https://minkara.carview.co.jp/car/toyota/esquire/review/detail.aspx?cid=445579</t>
        </is>
      </c>
    </row>
    <row r="131">
      <c r="A131" s="8" t="inlineStr">
        <is>
          <t>エスクァイア</t>
        </is>
      </c>
      <c r="B131" s="8" t="n">
        <v>2014</v>
      </c>
      <c r="C131" s="8" t="inlineStr">
        <is>
          <t>Gi_7人乗り(CVT_2.0)</t>
        </is>
      </c>
      <c r="D131" s="8" t="inlineStr">
        <is>
          <t>2025年12月24日</t>
        </is>
      </c>
      <c r="E131" s="8" t="inlineStr">
        <is>
          <t>通勤通学</t>
        </is>
      </c>
      <c r="F131" s="8" t="n">
        <v>5</v>
      </c>
      <c r="G131" s="8" t="n">
        <v>3</v>
      </c>
      <c r="H131" s="8" t="n">
        <v>3</v>
      </c>
      <c r="I131" s="8" t="n">
        <v>3</v>
      </c>
      <c r="J131" s="8" t="n">
        <v>3</v>
      </c>
      <c r="K131" s="8" t="n">
        <v>3</v>
      </c>
      <c r="L131" s="8" t="inlineStr">
        <is>
          <t>素晴らしい</t>
        </is>
      </c>
      <c r="M131" s="14" t="inlineStr">
        <is>
          <t>燃費がいい</t>
        </is>
      </c>
      <c r="N131" s="14" t="inlineStr">
        <is>
          <t>特になし</t>
        </is>
      </c>
      <c r="O131" s="14" t="inlineStr">
        <is>
          <t>家族みんなのお気に入り</t>
        </is>
      </c>
      <c r="P131" s="8" t="inlineStr">
        <is>
          <t>https://minkara.carview.co.jp/car/toyota/esquire/review/detail.aspx?cid=443176</t>
        </is>
      </c>
    </row>
    <row r="132">
      <c r="A132" s="13" t="inlineStr">
        <is>
          <t>エスクァイア</t>
        </is>
      </c>
      <c r="B132" s="13" t="n">
        <v>2019</v>
      </c>
      <c r="C132" s="13" t="inlineStr">
        <is>
          <t>Gi_8人乗り(CVT_2.0)</t>
        </is>
      </c>
      <c r="D132" s="13" t="inlineStr">
        <is>
          <t>2025年12月3日</t>
        </is>
      </c>
      <c r="E132" s="13" t="inlineStr">
        <is>
          <t>レジャー</t>
        </is>
      </c>
      <c r="F132" s="13" t="n">
        <v>4</v>
      </c>
      <c r="G132" s="13" t="n">
        <v>3</v>
      </c>
      <c r="H132" s="13" t="n">
        <v>3</v>
      </c>
      <c r="I132" s="13" t="n">
        <v>3</v>
      </c>
      <c r="J132" s="13" t="n">
        <v>4</v>
      </c>
      <c r="K132" s="13" t="n">
        <v>3</v>
      </c>
      <c r="L132" s="13" t="inlineStr">
        <is>
          <t>エスクァイア 後期型ガソリンGi 乗車記録(70型ヴォクシー…</t>
        </is>
      </c>
      <c r="M132" s="14" t="inlineStr">
        <is>
          <t>70型ノア/ヴォクシーにあった助手席フロア下吊下スペアタイヤがレスとなった分フロア高が下がり、スライドドア開口部までフロアと地続きになった。サイドウインドウがベルトライン下側に広くなり、車内のルーミーさが増した。 前期型ノアハイブリッドにも乗車したことがあるが、内外装とも”同型のノア/ヴォクシーよりもちょっといい車”感が出ている点がよい。とくにGiグレードの合皮レザー調シートは、高級感の演出にもってこいで、複数人乗車するときの同乗ゲスト満足度アップが期待できる。 車庫寸法や運転環境からアルファードを選べないが、高級仕立てのミニバンが欲しい方にはまさにストライク。５ナンバー車体のため、取り回しも困らない。ドライブフィールも70型に比べて若干粗が取れて乗用車風に仕上がっている印象で、万人受けしやすい。</t>
        </is>
      </c>
      <c r="N132" s="14" t="inlineStr">
        <is>
          <t>普通に乗る分には不満要素はまずないが、70型ノア/ヴォクシーと比較してエスクァイアにない点が数点あり。 室内灯の、１・２・３列目一斉点灯制御が消えたこと。70型は、後席乗員が瞬時に明かりが欲しいときに、運転席から全点灯操作できたが、80型はどの車もできない。 サイドミラーが乗用車風薄型タイプとなり、鏡が小さくなったこと。窓の下端が低くなったが、フロアからの椅子の高さは同等のため、”リフターレスでも着座位置が高い”感があり、この感覚が苦手な方にはマイナス(＝運転席周りに乗用車的な囲まれ感が欲しい方は、程度の良い70型の方がよさそう)。 また、エスクァイアでは70型にはない安全ブレーキ付き中古車が選べるが、標準状態では運転席/助手席/運転席ひざ前しかエアバッグが付かない。サイドエアバッグやカーテンエアバッグ付きが欲しい方は、”運転席/助手席肩口のエアバッグタグ”、”運転席アシストグリップ”があるかを確認する必要がある。ただし、市場の大半が”レス車”のため、気長に捜索する必要がある。</t>
        </is>
      </c>
      <c r="O132" s="14" t="inlineStr">
        <is>
          <t>ノア/ヴォクシーの車体寸法で、内外装とも少し高級感がある点が、エスクァイアのいいところです。 80型前期ノアハイブリッドにも乗ったことがありますが、エスクァイアとノアは（プラシーボ的な面も含めて）何か違うと感じました。新車当時、ノアとの価格差にマイナス評価をする層もあったようですが、このたびエスクァイアに乗車し、やはり見えない部分の高級感があるように思いました。１代限り車となり、ノアやヴォクシーの陰に隠れがちですが、アルファード/ヴェルファイア以外の高級志向ミニバンの選択肢として、注目されてもよい車です。まさに”平成時代のマスターエース”といえる存在です。</t>
        </is>
      </c>
      <c r="P132" s="13" t="inlineStr">
        <is>
          <t>https://minkara.carview.co.jp/car/toyota/esquire/review/detail.aspx?cid=441755</t>
        </is>
      </c>
    </row>
    <row r="133">
      <c r="A133" s="8" t="inlineStr">
        <is>
          <t>エスクァイア</t>
        </is>
      </c>
      <c r="B133" s="8" t="n">
        <v>2016</v>
      </c>
      <c r="C133" s="8" t="inlineStr">
        <is>
          <t>Gi_7人乗り(CVT_2.0)</t>
        </is>
      </c>
      <c r="D133" s="8" t="inlineStr">
        <is>
          <t>2025年11月26日</t>
        </is>
      </c>
      <c r="E133" s="8" t="inlineStr">
        <is>
          <t>買い物</t>
        </is>
      </c>
      <c r="F133" s="8" t="n">
        <v>5</v>
      </c>
      <c r="G133" s="8" t="n">
        <v>5</v>
      </c>
      <c r="H133" s="8" t="n">
        <v>5</v>
      </c>
      <c r="I133" s="8" t="n">
        <v>5</v>
      </c>
      <c r="J133" s="8" t="n">
        <v>5</v>
      </c>
      <c r="K133" s="8" t="n">
        <v>5</v>
      </c>
      <c r="L133" s="8" t="inlineStr">
        <is>
          <t>家族</t>
        </is>
      </c>
      <c r="M133" s="14" t="inlineStr">
        <is>
          <t>オールOK</t>
        </is>
      </c>
      <c r="N133" s="14" t="inlineStr">
        <is>
          <t>とくに、</t>
        </is>
      </c>
      <c r="O133" s="14" t="inlineStr">
        <is>
          <t>性能がいい！マニュアルモードついてる</t>
        </is>
      </c>
      <c r="P133" s="8" t="inlineStr">
        <is>
          <t>https://minkara.carview.co.jp/car/toyota/esquire/review/detail.aspx?cid=441175</t>
        </is>
      </c>
    </row>
    <row r="134">
      <c r="A134" s="13" t="inlineStr">
        <is>
          <t>エスクァイア</t>
        </is>
      </c>
      <c r="B134" s="13" t="n">
        <v>2014</v>
      </c>
      <c r="C134" s="13" t="inlineStr">
        <is>
          <t>不明</t>
        </is>
      </c>
      <c r="D134" s="13" t="inlineStr">
        <is>
          <t>2025年10月22日</t>
        </is>
      </c>
      <c r="E134" s="13" t="inlineStr">
        <is>
          <t>レジャー</t>
        </is>
      </c>
      <c r="F134" s="13" t="n">
        <v>5</v>
      </c>
      <c r="G134" s="13" t="n">
        <v>5</v>
      </c>
      <c r="H134" s="13" t="n">
        <v>5</v>
      </c>
      <c r="I134" s="13" t="n">
        <v>5</v>
      </c>
      <c r="J134" s="13" t="n">
        <v>4</v>
      </c>
      <c r="K134" s="13" t="n">
        <v>4</v>
      </c>
      <c r="L134" s="13" t="inlineStr">
        <is>
          <t>エスクァイア</t>
        </is>
      </c>
      <c r="M134" s="14" t="inlineStr">
        <is>
          <t>グリルの高級感 遮音性や走行中の快適度</t>
        </is>
      </c>
      <c r="N134" s="14" t="inlineStr">
        <is>
          <t>車の見た目に反して純正のホイールが妙に貧相 70と比べて収納スペースが少ない</t>
        </is>
      </c>
      <c r="O134" s="14" t="inlineStr">
        <is>
          <t>高級扱いとして恥じない車でした 売ってしまうけど、またいつかミニバンを所有するとしたら中古でもエスクァイアを買うかもしれない</t>
        </is>
      </c>
      <c r="P134" s="13" t="inlineStr">
        <is>
          <t>https://minkara.carview.co.jp/car/toyota/esquire/review/detail.aspx?cid=438710</t>
        </is>
      </c>
    </row>
    <row r="135">
      <c r="A135" s="8" t="inlineStr">
        <is>
          <t>エスクァイア</t>
        </is>
      </c>
      <c r="B135" s="8" t="n">
        <v>2014</v>
      </c>
      <c r="C135" s="8" t="inlineStr">
        <is>
          <t>不明</t>
        </is>
      </c>
      <c r="D135" s="8" t="inlineStr">
        <is>
          <t>2025年9月9日</t>
        </is>
      </c>
      <c r="E135" s="8" t="inlineStr">
        <is>
          <t>通勤通学</t>
        </is>
      </c>
      <c r="F135" s="8" t="n">
        <v>5</v>
      </c>
      <c r="G135" s="8" t="n">
        <v>4</v>
      </c>
      <c r="H135" s="8" t="n">
        <v>3</v>
      </c>
      <c r="I135" s="8" t="n">
        <v>4</v>
      </c>
      <c r="J135" s="8" t="n">
        <v>5</v>
      </c>
      <c r="K135" s="8" t="n">
        <v>3</v>
      </c>
      <c r="L135" s="8" t="inlineStr">
        <is>
          <t>いい車です</t>
        </is>
      </c>
      <c r="M135" s="14" t="n"/>
      <c r="N135" s="14" t="n"/>
      <c r="O135" s="14" t="inlineStr">
        <is>
          <t>毎日の保育園の送迎、通勤、家族旅行にとても活躍してくれました。いい車です。</t>
        </is>
      </c>
      <c r="P135" s="8" t="inlineStr">
        <is>
          <t>https://minkara.carview.co.jp/car/toyota/esquire/review/detail.aspx?cid=435280</t>
        </is>
      </c>
    </row>
    <row r="136">
      <c r="A136" s="13" t="inlineStr">
        <is>
          <t>エスクァイア</t>
        </is>
      </c>
      <c r="B136" s="13" t="n">
        <v>2014</v>
      </c>
      <c r="C136" s="13" t="inlineStr">
        <is>
          <t>不明</t>
        </is>
      </c>
      <c r="D136" s="13" t="inlineStr">
        <is>
          <t>2025年8月30日</t>
        </is>
      </c>
      <c r="E136" s="13" t="inlineStr">
        <is>
          <t>レジャー</t>
        </is>
      </c>
      <c r="F136" s="13" t="n">
        <v>1</v>
      </c>
      <c r="G136" s="13" t="n">
        <v>1</v>
      </c>
      <c r="H136" s="13" t="n">
        <v>1</v>
      </c>
      <c r="I136" s="13" t="n">
        <v>1</v>
      </c>
      <c r="J136" s="13" t="n">
        <v>4</v>
      </c>
      <c r="K136" s="13" t="n">
        <v>1</v>
      </c>
      <c r="L136" s="13" t="inlineStr">
        <is>
          <t>高速走行には向きません</t>
        </is>
      </c>
      <c r="M136" s="14" t="inlineStr">
        <is>
          <t>広々とした室内</t>
        </is>
      </c>
      <c r="N136" s="14" t="inlineStr">
        <is>
          <t>ノイズの酷さ 貧相かつ燃費の悪いエンジン 安定感のないボディ 追従式でないため使い物にならないクルコン 凹凸のなさすぎるダッシュボード・ボンネット</t>
        </is>
      </c>
      <c r="O136" s="14" t="inlineStr">
        <is>
          <t>高速道路メインで走行したため、厳しい評価となりました。 恐らく想定されている本来の使い方は、一般道をファミリーでのんびり流すということなのでしょう。 以前アルファードをレンタカーで乗ったことがあるため、同じトヨタのミニバンでも車の作りに関してコストのかけ方がこれほど違うのかと驚きました。 以前レンタカーで借りたセレナといい、Mサイズミニバンは車としての目に見えない部分の作りを蔑ろにしているように思えます。</t>
        </is>
      </c>
      <c r="P136" s="13" t="inlineStr">
        <is>
          <t>https://minkara.carview.co.jp/car/toyota/esquire/review/detail.aspx?cid=434444</t>
        </is>
      </c>
    </row>
    <row r="137">
      <c r="A137" s="8" t="inlineStr">
        <is>
          <t>エスクァイア</t>
        </is>
      </c>
      <c r="B137" s="8" t="n">
        <v>2014</v>
      </c>
      <c r="C137" s="8" t="inlineStr">
        <is>
          <t>不明</t>
        </is>
      </c>
      <c r="D137" s="8" t="inlineStr">
        <is>
          <t>2025年7月22日</t>
        </is>
      </c>
      <c r="E137" s="8" t="inlineStr">
        <is>
          <t>レジャー</t>
        </is>
      </c>
      <c r="F137" s="8" t="n">
        <v>5</v>
      </c>
      <c r="G137" s="8" t="n">
        <v>3</v>
      </c>
      <c r="H137" s="8" t="n">
        <v>3</v>
      </c>
      <c r="I137" s="8" t="n">
        <v>3</v>
      </c>
      <c r="J137" s="8" t="n">
        <v>5</v>
      </c>
      <c r="K137" s="8" t="n">
        <v>2</v>
      </c>
      <c r="L137" s="8" t="inlineStr">
        <is>
          <t>使いやすい</t>
        </is>
      </c>
      <c r="M137" s="14" t="n"/>
      <c r="N137" s="14" t="inlineStr">
        <is>
          <t>純正ステレオの音が悪い。</t>
        </is>
      </c>
      <c r="O137" s="14" t="inlineStr">
        <is>
          <t>家族構成に合っている</t>
        </is>
      </c>
      <c r="P137" s="8" t="inlineStr">
        <is>
          <t>https://minkara.carview.co.jp/car/toyota/esquire/review/detail.aspx?cid=431361</t>
        </is>
      </c>
    </row>
    <row r="138">
      <c r="A138" s="13" t="inlineStr">
        <is>
          <t>エスクァイア</t>
        </is>
      </c>
      <c r="B138" s="13" t="n">
        <v>2019</v>
      </c>
      <c r="C138" s="13" t="inlineStr">
        <is>
          <t>Gi“プレミアムパッケージ・ブラックテーラード”_7人乗り_4WD(CVT_2.0)</t>
        </is>
      </c>
      <c r="D138" s="13" t="inlineStr">
        <is>
          <t>2025年6月29日</t>
        </is>
      </c>
      <c r="E138" s="13" t="inlineStr">
        <is>
          <t>レジャー</t>
        </is>
      </c>
      <c r="F138" s="13" t="n">
        <v>4</v>
      </c>
      <c r="G138" s="13" t="n">
        <v>4</v>
      </c>
      <c r="H138" s="13" t="n">
        <v>3</v>
      </c>
      <c r="I138" s="13" t="n">
        <v>3</v>
      </c>
      <c r="J138" s="13" t="n">
        <v>4</v>
      </c>
      <c r="K138" s="13" t="n">
        <v>2</v>
      </c>
      <c r="L138" s="13" t="inlineStr">
        <is>
          <t>上品な車</t>
        </is>
      </c>
      <c r="M138" s="14" t="inlineStr">
        <is>
          <t>視界が広く運転しやすい。同サイズのミニバンと比較してラグジュアリー</t>
        </is>
      </c>
      <c r="N138" s="14" t="inlineStr">
        <is>
          <t>ガソリンモデルだと燃費が悪い。(10km/L) シート位置の調整が手動</t>
        </is>
      </c>
      <c r="O138" s="14" t="inlineStr">
        <is>
          <t>4人ぐらいの子持ち家族ですと使いやすいと思います。3列目を畳めばトランクか広く使えます。シートの位置合わせや移動は手動なので、常に3列目を使う場合は、大変かと思います。</t>
        </is>
      </c>
      <c r="P138" s="13" t="inlineStr">
        <is>
          <t>https://minkara.carview.co.jp/car/toyota/esquire/review/detail.aspx?cid=429714</t>
        </is>
      </c>
    </row>
    <row r="139">
      <c r="A139" s="8" t="inlineStr">
        <is>
          <t>エスクァイア</t>
        </is>
      </c>
      <c r="B139" s="8" t="n">
        <v>2017</v>
      </c>
      <c r="C139" s="8" t="inlineStr">
        <is>
          <t>Gi_8人乗り(CVT_2.0)</t>
        </is>
      </c>
      <c r="D139" s="8" t="inlineStr">
        <is>
          <t>2025年6月10日</t>
        </is>
      </c>
      <c r="E139" s="8" t="inlineStr">
        <is>
          <t>レジャー</t>
        </is>
      </c>
      <c r="F139" s="8" t="n">
        <v>4</v>
      </c>
      <c r="G139" s="8" t="n">
        <v>4</v>
      </c>
      <c r="H139" s="8" t="n">
        <v>3</v>
      </c>
      <c r="I139" s="8" t="n">
        <v>4</v>
      </c>
      <c r="J139" s="8" t="n">
        <v>4</v>
      </c>
      <c r="K139" s="8" t="n">
        <v>3</v>
      </c>
      <c r="L139" s="8" t="inlineStr">
        <is>
          <t>皆んなで出かける時に助かる一台</t>
        </is>
      </c>
      <c r="M139" s="14" t="inlineStr">
        <is>
          <t>大人6人は余裕で乗れる(サードシートは少し快適性が…) 荷物もたくさん積めるところかな</t>
        </is>
      </c>
      <c r="N139" s="14" t="inlineStr">
        <is>
          <t>スライドドアの車は大体あるあるだけど… 走行中のスライドドアからの異音が出る事。 後、サードシートにスライド機能が欲しかった。</t>
        </is>
      </c>
      <c r="O139" s="14" t="inlineStr">
        <is>
          <t>乗り心地はわるくないです。 5ナンバーサイズ枠なんで、取り回しもしやすい。 大人6人で遠出できるし、荷物も沢山つめる。 Lサイズミニバンが大きすぎるけど６〜7人で出かけるにはいいサイズだと思う。</t>
        </is>
      </c>
      <c r="P139" s="8" t="inlineStr">
        <is>
          <t>https://minkara.carview.co.jp/car/toyota/esquire/review/detail.aspx?cid=428306</t>
        </is>
      </c>
    </row>
    <row r="140">
      <c r="A140" s="13" t="inlineStr">
        <is>
          <t>エスクァイア</t>
        </is>
      </c>
      <c r="B140" s="13" t="n">
        <v>2019</v>
      </c>
      <c r="C140" s="13" t="inlineStr">
        <is>
          <t>Gi_8人乗り(CVT_2.0)</t>
        </is>
      </c>
      <c r="D140" s="13" t="inlineStr">
        <is>
          <t>2025年1月3日</t>
        </is>
      </c>
      <c r="E140" s="13" t="inlineStr">
        <is>
          <t>買い物</t>
        </is>
      </c>
      <c r="F140" s="13" t="n">
        <v>5</v>
      </c>
      <c r="G140" s="13" t="n">
        <v>4</v>
      </c>
      <c r="H140" s="13" t="n">
        <v>4</v>
      </c>
      <c r="I140" s="13" t="n">
        <v>5</v>
      </c>
      <c r="J140" s="13" t="n">
        <v>5</v>
      </c>
      <c r="K140" s="13" t="n">
        <v>4</v>
      </c>
      <c r="L140" s="13" t="inlineStr">
        <is>
          <t>5ナンバー高級志向ミニバン</t>
        </is>
      </c>
      <c r="M140" s="14" t="inlineStr">
        <is>
          <t>快適な居住性、子どもを乗せやすい高さ、運転が楽</t>
        </is>
      </c>
      <c r="N140" s="14" t="inlineStr">
        <is>
          <t>特になし</t>
        </is>
      </c>
      <c r="O140" s="14" t="inlineStr">
        <is>
          <t>ミニバンは一生買わんわというのを免許持ってから数十年後言うてましたが、結婚を機に子どもが生まれたのもあり、流石に軽をメインでは厳しいのでエスクァイアに買い換え、確かに素晴らしい車だと思います あと、エスクァイアは若者が選びやすいノアヴォクよりも保険も安いのも良い コストがかからないミニバンという面は5ナンバーもあり、居住性を考えたら、シエンタやフリードよりもエスクァイアは最適だと思います</t>
        </is>
      </c>
      <c r="P140" s="13" t="inlineStr">
        <is>
          <t>https://minkara.carview.co.jp/car/toyota/esquire/review/detail.aspx?cid=415764</t>
        </is>
      </c>
    </row>
    <row r="141">
      <c r="A141" s="8" t="inlineStr">
        <is>
          <t>エスクァイア</t>
        </is>
      </c>
      <c r="B141" s="8" t="n">
        <v>2014</v>
      </c>
      <c r="C141" s="8" t="inlineStr">
        <is>
          <t>Gi_7人乗り(CVT_2.0)</t>
        </is>
      </c>
      <c r="D141" s="8" t="inlineStr">
        <is>
          <t>2024年11月23日</t>
        </is>
      </c>
      <c r="E141" s="8" t="inlineStr">
        <is>
          <t>通勤通学</t>
        </is>
      </c>
      <c r="F141" s="8" t="n">
        <v>5</v>
      </c>
      <c r="G141" s="8" t="n"/>
      <c r="H141" s="8" t="n"/>
      <c r="I141" s="8" t="n"/>
      <c r="J141" s="8" t="n"/>
      <c r="K141" s="8" t="n"/>
      <c r="L141" s="8" t="inlineStr">
        <is>
          <t>ん</t>
        </is>
      </c>
      <c r="M141" s="14" t="n"/>
      <c r="N141" s="14" t="n"/>
      <c r="O141" s="14" t="inlineStr">
        <is>
          <t>良い</t>
        </is>
      </c>
      <c r="P141" s="8" t="inlineStr">
        <is>
          <t>https://minkara.carview.co.jp/car/toyota/esquire/review/detail.aspx?cid=412549</t>
        </is>
      </c>
    </row>
    <row r="142">
      <c r="A142" s="13" t="inlineStr">
        <is>
          <t>エスクァイア</t>
        </is>
      </c>
      <c r="B142" s="13" t="n">
        <v>2014</v>
      </c>
      <c r="C142" s="13" t="inlineStr">
        <is>
          <t>Xi_7人乗り(CVT_2.0)</t>
        </is>
      </c>
      <c r="D142" s="13" t="inlineStr">
        <is>
          <t>2024年11月11日</t>
        </is>
      </c>
      <c r="E142" s="13" t="inlineStr">
        <is>
          <t>通勤通学</t>
        </is>
      </c>
      <c r="F142" s="13" t="n">
        <v>4</v>
      </c>
      <c r="G142" s="13" t="n">
        <v>4</v>
      </c>
      <c r="H142" s="13" t="n">
        <v>3</v>
      </c>
      <c r="I142" s="13" t="n">
        <v>4</v>
      </c>
      <c r="J142" s="13" t="n">
        <v>4</v>
      </c>
      <c r="K142" s="13" t="n">
        <v>3</v>
      </c>
      <c r="L142" s="13" t="inlineStr">
        <is>
          <t>ミドルだけど、ちょっとだけゴージャス</t>
        </is>
      </c>
      <c r="M142" s="14" t="inlineStr">
        <is>
          <t>ノーマルじゃ普通だけど、純正パーツでも結構かっこよくなる</t>
        </is>
      </c>
      <c r="N142" s="14" t="inlineStr">
        <is>
          <t>かっこよくパーツをつけたり、タイヤサイズをアップしたりするとエコじゃなくなる</t>
        </is>
      </c>
      <c r="O142" s="14" t="inlineStr">
        <is>
          <t>ノアやボクシーサイズだけど、ちょっと違う感じの車に乗りたい場合はいいかも…</t>
        </is>
      </c>
      <c r="P142" s="13" t="inlineStr">
        <is>
          <t>https://minkara.carview.co.jp/car/toyota/esquire/review/detail.aspx?cid=411382</t>
        </is>
      </c>
    </row>
    <row r="143">
      <c r="A143" s="8" t="inlineStr">
        <is>
          <t>エスクァイア</t>
        </is>
      </c>
      <c r="B143" s="8" t="n">
        <v>2019</v>
      </c>
      <c r="C143" s="8" t="inlineStr">
        <is>
          <t>Xi_7人乗り(CVT_2.0)</t>
        </is>
      </c>
      <c r="D143" s="8" t="inlineStr">
        <is>
          <t>2024年9月19日</t>
        </is>
      </c>
      <c r="E143" s="8" t="inlineStr">
        <is>
          <t>買い物</t>
        </is>
      </c>
      <c r="F143" s="8" t="n">
        <v>5</v>
      </c>
      <c r="G143" s="8" t="n">
        <v>3</v>
      </c>
      <c r="H143" s="8" t="n">
        <v>3</v>
      </c>
      <c r="I143" s="8" t="n">
        <v>3</v>
      </c>
      <c r="J143" s="8" t="n">
        <v>3</v>
      </c>
      <c r="K143" s="8" t="n">
        <v>3</v>
      </c>
      <c r="L143" s="8" t="inlineStr">
        <is>
          <t>普通の車</t>
        </is>
      </c>
      <c r="M143" s="14" t="inlineStr">
        <is>
          <t>ヴォクシーは16インチのディスクらしいが？ エスクァイアは15インチでリアドラムブレーキ。 タイヤ代安い。扁平65で乗り心地良い。195で細身だからおそらく燃費も良い。 サーキット走るわけじゃないからドラムで充分。</t>
        </is>
      </c>
      <c r="N143" s="14" t="inlineStr">
        <is>
          <t>割り切っているので無し。</t>
        </is>
      </c>
      <c r="O143" s="14" t="inlineStr">
        <is>
          <t>この型のノア・ヴォクシー・エスクァイア、よく見かけますが売れてる理由がわかる。世の奥様方でも運転しやすい。 家族4人で近所に買い物行くには最高。 車高下げようとか弄ろうと一切思わない。 趣味の車ではなく、完全に実用車。</t>
        </is>
      </c>
      <c r="P143" s="8" t="inlineStr">
        <is>
          <t>https://minkara.carview.co.jp/car/toyota/esquire/review/detail.aspx?cid=407209</t>
        </is>
      </c>
    </row>
    <row r="144">
      <c r="A144" s="13" t="inlineStr">
        <is>
          <t>エスクァイア</t>
        </is>
      </c>
      <c r="B144" s="13" t="n">
        <v>2014</v>
      </c>
      <c r="C144" s="13" t="inlineStr">
        <is>
          <t>Gi_7人乗り(CVT_2.0)</t>
        </is>
      </c>
      <c r="D144" s="13" t="inlineStr">
        <is>
          <t>2024年6月4日</t>
        </is>
      </c>
      <c r="E144" s="13" t="n"/>
      <c r="F144" s="13" t="n">
        <v>5</v>
      </c>
      <c r="G144" s="13" t="n"/>
      <c r="H144" s="13" t="n"/>
      <c r="I144" s="13" t="n"/>
      <c r="J144" s="13" t="n"/>
      <c r="K144" s="13" t="n"/>
      <c r="L144" s="13" t="inlineStr">
        <is>
          <t>いいクルマだよね</t>
        </is>
      </c>
      <c r="M144" s="14" t="n"/>
      <c r="N144" s="14" t="n"/>
      <c r="O144" s="14" t="inlineStr">
        <is>
          <t>窓の開閉が全てのドアでオートなのがいいですね</t>
        </is>
      </c>
      <c r="P144" s="13" t="inlineStr">
        <is>
          <t>https://minkara.carview.co.jp/car/toyota/esquire/review/detail.aspx?cid=398894</t>
        </is>
      </c>
    </row>
    <row r="145">
      <c r="A145" s="8" t="inlineStr">
        <is>
          <t>エスクァイア</t>
        </is>
      </c>
      <c r="B145" s="8" t="n">
        <v>2017</v>
      </c>
      <c r="C145" s="8" t="inlineStr">
        <is>
          <t>Gi“プレミアムパッケージ”_7人乗り(CVT_2.0)</t>
        </is>
      </c>
      <c r="D145" s="8" t="inlineStr">
        <is>
          <t>2024年5月11日</t>
        </is>
      </c>
      <c r="E145" s="8" t="inlineStr">
        <is>
          <t>通勤通学</t>
        </is>
      </c>
      <c r="F145" s="8" t="n">
        <v>5</v>
      </c>
      <c r="G145" s="8" t="n"/>
      <c r="H145" s="8" t="n">
        <v>3</v>
      </c>
      <c r="I145" s="8" t="n">
        <v>4</v>
      </c>
      <c r="J145" s="8" t="n">
        <v>5</v>
      </c>
      <c r="K145" s="8" t="n">
        <v>3</v>
      </c>
      <c r="L145" s="8" t="inlineStr">
        <is>
          <t>広くて乗り心地が良い</t>
        </is>
      </c>
      <c r="M145" s="14" t="inlineStr">
        <is>
          <t>高めのアイポイント</t>
        </is>
      </c>
      <c r="N145" s="14" t="inlineStr">
        <is>
          <t>パワー</t>
        </is>
      </c>
      <c r="O145" s="14" t="inlineStr">
        <is>
          <t>乗り心地がよく広い 短距離の通勤8km燃費約10.5ぐらいです。</t>
        </is>
      </c>
      <c r="P145" s="8" t="inlineStr">
        <is>
          <t>https://minkara.carview.co.jp/car/toyota/esquire/review/detail.aspx?cid=396885</t>
        </is>
      </c>
    </row>
    <row r="146">
      <c r="A146" s="13" t="inlineStr">
        <is>
          <t>エスクァイア</t>
        </is>
      </c>
      <c r="B146" s="13" t="n">
        <v>2019</v>
      </c>
      <c r="C146" s="13" t="inlineStr">
        <is>
          <t>Gi“プレミアムパッケージ”_7人乗り(CVT_2.0)</t>
        </is>
      </c>
      <c r="D146" s="13" t="inlineStr">
        <is>
          <t>2024年5月4日</t>
        </is>
      </c>
      <c r="E146" s="13" t="inlineStr">
        <is>
          <t>通勤通学</t>
        </is>
      </c>
      <c r="F146" s="13" t="n">
        <v>5</v>
      </c>
      <c r="G146" s="13" t="n">
        <v>5</v>
      </c>
      <c r="H146" s="13" t="n">
        <v>3</v>
      </c>
      <c r="I146" s="13" t="n">
        <v>4</v>
      </c>
      <c r="J146" s="13" t="n">
        <v>5</v>
      </c>
      <c r="K146" s="13" t="n">
        <v>3</v>
      </c>
      <c r="L146" s="13" t="inlineStr">
        <is>
          <t>セカンドシートが広々</t>
        </is>
      </c>
      <c r="M146" s="14" t="n"/>
      <c r="N146" s="14" t="n"/>
      <c r="O146" s="14" t="inlineStr">
        <is>
          <t>このクラスでは内装がいい方かな。</t>
        </is>
      </c>
      <c r="P146" s="13" t="inlineStr">
        <is>
          <t>https://minkara.carview.co.jp/car/toyota/esquire/review/detail.aspx?cid=396219</t>
        </is>
      </c>
    </row>
    <row r="147">
      <c r="A147" s="8" t="inlineStr">
        <is>
          <t>エスクァイア</t>
        </is>
      </c>
      <c r="B147" s="8" t="n">
        <v>2017</v>
      </c>
      <c r="C147" s="8" t="inlineStr">
        <is>
          <t>Gi“プレミアムパッケージ”_7人乗り(CVT_2.0)</t>
        </is>
      </c>
      <c r="D147" s="8" t="inlineStr">
        <is>
          <t>2024年3月2日</t>
        </is>
      </c>
      <c r="E147" s="8" t="inlineStr">
        <is>
          <t>レジャー</t>
        </is>
      </c>
      <c r="F147" s="8" t="n">
        <v>5</v>
      </c>
      <c r="G147" s="8" t="n">
        <v>4</v>
      </c>
      <c r="H147" s="8" t="n">
        <v>5</v>
      </c>
      <c r="I147" s="8" t="n">
        <v>5</v>
      </c>
      <c r="J147" s="8" t="n">
        <v>5</v>
      </c>
      <c r="K147" s="8" t="n">
        <v>4</v>
      </c>
      <c r="L147" s="8" t="inlineStr">
        <is>
          <t>相棒</t>
        </is>
      </c>
      <c r="M147" s="14" t="inlineStr">
        <is>
          <t>サーフボードのロング9フィートが車内に収まる</t>
        </is>
      </c>
      <c r="N147" s="14" t="inlineStr">
        <is>
          <t>ダッシュボードがUVの影響で10年過ぎた頃からベタつきはじめた。 後方ナンバープレートがバンパーより下に有ること(バックカメラ対応)</t>
        </is>
      </c>
      <c r="O147" s="14" t="inlineStr">
        <is>
          <t>2人までのサーフトリップにオススメ</t>
        </is>
      </c>
      <c r="P147" s="8" t="inlineStr">
        <is>
          <t>https://minkara.carview.co.jp/car/toyota/esquire/review/detail.aspx?cid=390414</t>
        </is>
      </c>
    </row>
    <row r="148">
      <c r="A148" s="13" t="inlineStr">
        <is>
          <t>エスクァイア</t>
        </is>
      </c>
      <c r="B148" s="13" t="n">
        <v>2019</v>
      </c>
      <c r="C148" s="13" t="inlineStr">
        <is>
          <t>Gi“プレミアムパッケージ・ブラックテーラード”_7人乗り(CVT_2.0)</t>
        </is>
      </c>
      <c r="D148" s="13" t="inlineStr">
        <is>
          <t>2024年2月24日</t>
        </is>
      </c>
      <c r="E148" s="13" t="inlineStr">
        <is>
          <t>通勤通学</t>
        </is>
      </c>
      <c r="F148" s="13" t="n">
        <v>5</v>
      </c>
      <c r="G148" s="13" t="n">
        <v>5</v>
      </c>
      <c r="H148" s="13" t="n">
        <v>5</v>
      </c>
      <c r="I148" s="13" t="n">
        <v>5</v>
      </c>
      <c r="J148" s="13" t="n">
        <v>5</v>
      </c>
      <c r="K148" s="13" t="n">
        <v>3</v>
      </c>
      <c r="L148" s="13" t="inlineStr">
        <is>
          <t>いちりたい</t>
        </is>
      </c>
      <c r="M148" s="14" t="inlineStr">
        <is>
          <t>流石は特別仕様車！ 至れり尽くせりの装備です。</t>
        </is>
      </c>
      <c r="N148" s="14" t="inlineStr">
        <is>
          <t>特別仕様車だけど、ついていた方が良い装備やら、車を弄っていた人には、何かが物足りない</t>
        </is>
      </c>
      <c r="O148" s="14" t="inlineStr">
        <is>
          <t>さて、、、 何から弄るかなぁ～草</t>
        </is>
      </c>
      <c r="P148" s="13" t="inlineStr">
        <is>
          <t>https://minkara.carview.co.jp/car/toyota/esquire/review/detail.aspx?cid=389802</t>
        </is>
      </c>
    </row>
    <row r="149">
      <c r="A149" s="8" t="inlineStr">
        <is>
          <t>エスクァイア</t>
        </is>
      </c>
      <c r="B149" s="8" t="n">
        <v>2017</v>
      </c>
      <c r="C149" s="8" t="inlineStr">
        <is>
          <t>Xi“サイドリフトアップチルトシート装着車”_7人乗り_4WD(CVT_2.0)</t>
        </is>
      </c>
      <c r="D149" s="8" t="inlineStr">
        <is>
          <t>2024年1月28日</t>
        </is>
      </c>
      <c r="E149" s="8" t="inlineStr">
        <is>
          <t>通勤通学</t>
        </is>
      </c>
      <c r="F149" s="8" t="n">
        <v>5</v>
      </c>
      <c r="G149" s="8" t="n">
        <v>5</v>
      </c>
      <c r="H149" s="8" t="n">
        <v>5</v>
      </c>
      <c r="I149" s="8" t="n">
        <v>5</v>
      </c>
      <c r="J149" s="8" t="n">
        <v>5</v>
      </c>
      <c r="K149" s="8" t="n">
        <v>5</v>
      </c>
      <c r="L149" s="8" t="inlineStr">
        <is>
          <t>お薦めだよ！</t>
        </is>
      </c>
      <c r="M149" s="14" t="inlineStr">
        <is>
          <t>サイズ感と言い、取り回し、乗り心地、次も。。。</t>
        </is>
      </c>
      <c r="N149" s="14" t="inlineStr">
        <is>
          <t>エスティマからの乗り換えだったので、幅がちょっと狭かった</t>
        </is>
      </c>
      <c r="O149" s="14" t="inlineStr">
        <is>
          <t>良かったよ！家族5人、海釣り、ドライブ、夫婦で出かけるにも、良かった！</t>
        </is>
      </c>
      <c r="P149" s="8" t="inlineStr">
        <is>
          <t>https://minkara.carview.co.jp/car/toyota/esquire/review/detail.aspx?cid=387539</t>
        </is>
      </c>
    </row>
    <row r="150">
      <c r="A150" s="13" t="inlineStr">
        <is>
          <t>エスクァイア</t>
        </is>
      </c>
      <c r="B150" s="13" t="n">
        <v>2019</v>
      </c>
      <c r="C150" s="13" t="inlineStr">
        <is>
          <t>Gi_8人乗り_4WD(CVT_2.0)</t>
        </is>
      </c>
      <c r="D150" s="13" t="inlineStr">
        <is>
          <t>2023年12月10日</t>
        </is>
      </c>
      <c r="E150" s="13" t="inlineStr">
        <is>
          <t>レジャー</t>
        </is>
      </c>
      <c r="F150" s="13" t="n">
        <v>3</v>
      </c>
      <c r="G150" s="13" t="n">
        <v>5</v>
      </c>
      <c r="H150" s="13" t="n">
        <v>4</v>
      </c>
      <c r="I150" s="13" t="n">
        <v>2</v>
      </c>
      <c r="J150" s="13" t="n">
        <v>5</v>
      </c>
      <c r="K150" s="13" t="n">
        <v>3</v>
      </c>
      <c r="L150" s="13" t="inlineStr">
        <is>
          <t>５ナンバーミニバン</t>
        </is>
      </c>
      <c r="M150" s="14" t="inlineStr">
        <is>
          <t>内装が黒を基調にしてるので、落ち着いていて高級感がある点</t>
        </is>
      </c>
      <c r="N150" s="14" t="inlineStr">
        <is>
          <t>あちらこちらから、異音が出てきます。対策すると新たな異音が…。最近は助手席エアコン吹き出し口付近からの音にイライラしています。それと、燃費があまりよくない点。</t>
        </is>
      </c>
      <c r="O150" s="14" t="inlineStr">
        <is>
          <t>久し振りのミニバンです。ALPHARD、VELLFIREに比べると広さは負けますが、普段乗りにはちょうどいい大きさだと思います。</t>
        </is>
      </c>
      <c r="P150" s="13" t="inlineStr">
        <is>
          <t>https://minkara.carview.co.jp/car/toyota/esquire/review/detail.aspx?cid=383640</t>
        </is>
      </c>
    </row>
    <row r="151">
      <c r="A151" s="8" t="inlineStr">
        <is>
          <t>エスクァイア</t>
        </is>
      </c>
      <c r="B151" s="8" t="n">
        <v>2016</v>
      </c>
      <c r="C151" s="8" t="inlineStr">
        <is>
          <t>Gi_7人乗り_4WD(CVT_2.0)</t>
        </is>
      </c>
      <c r="D151" s="8" t="inlineStr">
        <is>
          <t>2023年12月4日</t>
        </is>
      </c>
      <c r="E151" s="8" t="inlineStr">
        <is>
          <t>通勤通学</t>
        </is>
      </c>
      <c r="F151" s="8" t="n">
        <v>5</v>
      </c>
      <c r="G151" s="8" t="n">
        <v>4</v>
      </c>
      <c r="H151" s="8" t="n">
        <v>4</v>
      </c>
      <c r="I151" s="8" t="n">
        <v>4</v>
      </c>
      <c r="J151" s="8" t="n">
        <v>4</v>
      </c>
      <c r="K151" s="8" t="n">
        <v>4</v>
      </c>
      <c r="L151" s="8" t="inlineStr">
        <is>
          <t>ミニバンの中では良いかと</t>
        </is>
      </c>
      <c r="M151" s="14" t="inlineStr">
        <is>
          <t>運転しやすいです。 加速も悪くないです。 サードシートを跳ね上げたスペースが思った以上にあり以前のミニバンより積み込めます！</t>
        </is>
      </c>
      <c r="N151" s="14" t="inlineStr">
        <is>
          <t>シフト周りの出っ張りが微妙に足に当たって少し窮屈かと。 あと燃料メーターの把握が分かりづらいです。</t>
        </is>
      </c>
      <c r="O151" s="14" t="inlineStr">
        <is>
          <t>エスクァイアありだと思います。</t>
        </is>
      </c>
      <c r="P151" s="8" t="inlineStr">
        <is>
          <t>https://minkara.carview.co.jp/car/toyota/esquire/review/detail.aspx?cid=383156</t>
        </is>
      </c>
    </row>
    <row r="152">
      <c r="A152" s="13" t="inlineStr">
        <is>
          <t>シエンタ</t>
        </is>
      </c>
      <c r="B152" s="13" t="n">
        <v>2025</v>
      </c>
      <c r="C152" s="13" t="inlineStr">
        <is>
          <t>ハイブリッド Z_7人乗り(CVT_1.5)</t>
        </is>
      </c>
      <c r="D152" s="13" t="inlineStr">
        <is>
          <t>2026年8月19日</t>
        </is>
      </c>
      <c r="E152" s="13" t="inlineStr">
        <is>
          <t>買い物</t>
        </is>
      </c>
      <c r="F152" s="13" t="n">
        <v>4</v>
      </c>
      <c r="G152" s="13" t="n">
        <v>4</v>
      </c>
      <c r="H152" s="13" t="n">
        <v>4</v>
      </c>
      <c r="I152" s="13" t="n">
        <v>4</v>
      </c>
      <c r="J152" s="13" t="n">
        <v>3</v>
      </c>
      <c r="K152" s="13" t="n">
        <v>5</v>
      </c>
      <c r="L152" s="13" t="inlineStr">
        <is>
          <t>必要十分な車</t>
        </is>
      </c>
      <c r="M152" s="14" t="n"/>
      <c r="N152" s="14" t="n"/>
      <c r="O152" s="14" t="inlineStr">
        <is>
          <t>トヨタ アイシス 2.0 プラタナ Uセレクション(2009年)からの乗り換えなので、燃費や安全装備等、当然進化していて満足しています🎵 車内スペースや積載量は、さすがに若干サイズダウンしている分、アイシスよりは窮屈です💦</t>
        </is>
      </c>
      <c r="P152" s="13" t="inlineStr">
        <is>
          <t>https://minkara.carview.co.jp/car/toyota/sienta/review/detail.aspx?cid=460804</t>
        </is>
      </c>
    </row>
    <row r="153">
      <c r="A153" s="8" t="inlineStr">
        <is>
          <t>シエンタ</t>
        </is>
      </c>
      <c r="B153" s="8" t="n">
        <v>2015</v>
      </c>
      <c r="C153" s="8" t="inlineStr">
        <is>
          <t>不明</t>
        </is>
      </c>
      <c r="D153" s="8" t="inlineStr">
        <is>
          <t>2026年8月18日</t>
        </is>
      </c>
      <c r="E153" s="8" t="inlineStr">
        <is>
          <t>通勤通学</t>
        </is>
      </c>
      <c r="F153" s="8" t="n">
        <v>5</v>
      </c>
      <c r="G153" s="8" t="n">
        <v>3</v>
      </c>
      <c r="H153" s="8" t="n">
        <v>3</v>
      </c>
      <c r="I153" s="8" t="n">
        <v>3</v>
      </c>
      <c r="J153" s="8" t="n">
        <v>5</v>
      </c>
      <c r="K153" s="8" t="n">
        <v>5</v>
      </c>
      <c r="L153" s="8" t="inlineStr">
        <is>
          <t>小型でスライドドア</t>
        </is>
      </c>
      <c r="M153" s="14" t="inlineStr">
        <is>
          <t>小型でスライドドア</t>
        </is>
      </c>
      <c r="N153" s="14" t="inlineStr">
        <is>
          <t>遮音性が低い、フワフワして気持ち悪い</t>
        </is>
      </c>
      <c r="O153" s="14" t="inlineStr">
        <is>
          <t>妻の日常使い用として良い車です。</t>
        </is>
      </c>
      <c r="P153" s="8" t="inlineStr">
        <is>
          <t>https://minkara.carview.co.jp/car/toyota/sienta/review/detail.aspx?cid=460767</t>
        </is>
      </c>
    </row>
    <row r="154">
      <c r="A154" s="13" t="inlineStr">
        <is>
          <t>シエンタ</t>
        </is>
      </c>
      <c r="B154" s="13" t="n">
        <v>2025</v>
      </c>
      <c r="C154" s="13" t="inlineStr">
        <is>
          <t>ハイブリッド Z_5人乗り_E-Four(CVT_1.5)</t>
        </is>
      </c>
      <c r="D154" s="13" t="inlineStr">
        <is>
          <t>2026年8月17日</t>
        </is>
      </c>
      <c r="E154" s="13" t="inlineStr">
        <is>
          <t>買い物</t>
        </is>
      </c>
      <c r="F154" s="13" t="n">
        <v>4</v>
      </c>
      <c r="G154" s="13" t="n"/>
      <c r="H154" s="13" t="n"/>
      <c r="I154" s="13" t="n"/>
      <c r="J154" s="13" t="n"/>
      <c r="K154" s="13" t="n"/>
      <c r="L154" s="13" t="inlineStr">
        <is>
          <t>先進機能が満載です</t>
        </is>
      </c>
      <c r="M154" s="14" t="inlineStr">
        <is>
          <t>そのうち書きます</t>
        </is>
      </c>
      <c r="N154" s="14" t="inlineStr">
        <is>
          <t>そのうち書きます</t>
        </is>
      </c>
      <c r="O154" s="14" t="inlineStr">
        <is>
          <t>そのうち書きます</t>
        </is>
      </c>
      <c r="P154" s="13" t="inlineStr">
        <is>
          <t>https://minkara.carview.co.jp/car/toyota/sienta/review/detail.aspx?cid=460685</t>
        </is>
      </c>
    </row>
    <row r="155">
      <c r="A155" s="8" t="inlineStr">
        <is>
          <t>シエンタ</t>
        </is>
      </c>
      <c r="B155" s="8" t="n">
        <v>2025</v>
      </c>
      <c r="C155" s="8" t="inlineStr">
        <is>
          <t>ハイブリッド Z_5人乗り_E-Four(CVT_1.5)</t>
        </is>
      </c>
      <c r="D155" s="8" t="inlineStr">
        <is>
          <t>2026年8月16日</t>
        </is>
      </c>
      <c r="E155" s="8" t="inlineStr">
        <is>
          <t>レジャー</t>
        </is>
      </c>
      <c r="F155" s="8" t="n">
        <v>5</v>
      </c>
      <c r="G155" s="8" t="n">
        <v>4</v>
      </c>
      <c r="H155" s="8" t="n">
        <v>4</v>
      </c>
      <c r="I155" s="8" t="n">
        <v>5</v>
      </c>
      <c r="J155" s="8" t="n">
        <v>5</v>
      </c>
      <c r="K155" s="8" t="n">
        <v>4</v>
      </c>
      <c r="L155" s="8" t="inlineStr">
        <is>
          <t>悪くはない</t>
        </is>
      </c>
      <c r="M155" s="14" t="inlineStr">
        <is>
          <t>夫婦2人たまに後席に1〜2人乗車乗り降りしやすく荷物も沢山乗る。 ボディサイズも5ナンバーでコンパクト狭い道でも気にならない。</t>
        </is>
      </c>
      <c r="N155" s="14" t="inlineStr">
        <is>
          <t>3気筒ならではの振動 ファミリーカーならではのチープな部分 良い車なので街中に溢れている。なので個性を出すためカスタムしたくなる🤭</t>
        </is>
      </c>
      <c r="O155" s="14" t="inlineStr">
        <is>
          <t>サイズ、使い勝手、価格 バランスよく出来ている。</t>
        </is>
      </c>
      <c r="P155" s="8" t="inlineStr">
        <is>
          <t>https://minkara.carview.co.jp/car/toyota/sienta/review/detail.aspx?cid=460606</t>
        </is>
      </c>
    </row>
    <row r="156">
      <c r="A156" s="13" t="inlineStr">
        <is>
          <t>シエンタ</t>
        </is>
      </c>
      <c r="B156" s="13" t="n">
        <v>2025</v>
      </c>
      <c r="C156" s="13" t="inlineStr">
        <is>
          <t>ハイブリッド Z_5人乗り(CVT_1.5)</t>
        </is>
      </c>
      <c r="D156" s="13" t="inlineStr">
        <is>
          <t>2026年8月16日</t>
        </is>
      </c>
      <c r="E156" s="13" t="inlineStr">
        <is>
          <t>レジャー</t>
        </is>
      </c>
      <c r="F156" s="13" t="n">
        <v>5</v>
      </c>
      <c r="G156" s="13" t="n">
        <v>4</v>
      </c>
      <c r="H156" s="13" t="n">
        <v>5</v>
      </c>
      <c r="I156" s="13" t="n">
        <v>4</v>
      </c>
      <c r="J156" s="13" t="n">
        <v>5</v>
      </c>
      <c r="K156" s="13" t="n">
        <v>4</v>
      </c>
      <c r="L156" s="13" t="inlineStr">
        <is>
          <t>軽い車中泊の最適解</t>
        </is>
      </c>
      <c r="M156" s="14" t="inlineStr">
        <is>
          <t>Z仕様に付けられるオプションはほぼつけましたが、ベースグレードでもナビ、前後ドラレコ、ETC2.0、電動パーキング、オートクルーズ、安全装置など必要な装置がオプションではなく全部付いて安いのがシエンタの魅力だと思います。 これがフリードとの大きな違い。 3気筒なのに思ったより力もあるし、車内が静かなのも驚き。 自動運転はホントにラクなのを実感。</t>
        </is>
      </c>
      <c r="N156" s="14" t="inlineStr">
        <is>
          <t>純正のデジタルインナーミラーがオプションにも無いこと。 車中泊はいろいろな荷物を積むので、駐車時にも車内を見られないように濃い目の窓フィルムを貼る方が多くいます。 純正ミラーでは後ろがよく見えないのでデジタルインナーミラーは必須です。 純正同様に明るいMAXWINのMR-PRO-S（車外リアカメラ仕様）を後付けしましたが、取付がホントに大変でした。</t>
        </is>
      </c>
      <c r="O156" s="14" t="inlineStr">
        <is>
          <t>ハイエースワイドでの車中泊旅行全国制覇（3年間） 時間に縛られない車中泊が捨てがたく、シエンタを購入しました。 夫婦2人の１～2泊程度の軽い車中泊旅行には最適な車だと思います。 ミドルやラージミニバンはフラットなベッドを作るのにベッドキットを組まなければなりませんが、シエンタ5人乗りなら後席をバタンと倒すだけで足を伸ばして寝られる空間が一瞬で作れます。 ＦＪクラフトの神のようなラゲッジマット、ピッタリサイズのベッドマット、間仕切りカーテンなど車中泊必須のパーツが豊富に揃っているのも魅力です。</t>
        </is>
      </c>
      <c r="P156" s="13" t="inlineStr">
        <is>
          <t>https://minkara.carview.co.jp/car/toyota/sienta/review/detail.aspx?cid=460582</t>
        </is>
      </c>
    </row>
    <row r="157">
      <c r="A157" s="8" t="inlineStr">
        <is>
          <t>シエンタ</t>
        </is>
      </c>
      <c r="B157" s="8" t="n">
        <v>2025</v>
      </c>
      <c r="C157" s="8" t="inlineStr">
        <is>
          <t>ハイブリッド Z_5人乗り_E-Four(CVT_1.5)</t>
        </is>
      </c>
      <c r="D157" s="8" t="inlineStr">
        <is>
          <t>2026年8月12日</t>
        </is>
      </c>
      <c r="E157" s="8" t="inlineStr">
        <is>
          <t>レジャー</t>
        </is>
      </c>
      <c r="F157" s="8" t="n">
        <v>5</v>
      </c>
      <c r="G157" s="8" t="n">
        <v>4</v>
      </c>
      <c r="H157" s="8" t="n">
        <v>4</v>
      </c>
      <c r="I157" s="8" t="n">
        <v>4</v>
      </c>
      <c r="J157" s="8" t="n">
        <v>5</v>
      </c>
      <c r="K157" s="8" t="n">
        <v>4</v>
      </c>
      <c r="L157" s="8" t="inlineStr">
        <is>
          <t>サイズ感が最適</t>
        </is>
      </c>
      <c r="M157" s="14" t="inlineStr">
        <is>
          <t>車中泊するのに無理がない。家族に好評。安全運転になる。</t>
        </is>
      </c>
      <c r="N157" s="14" t="inlineStr">
        <is>
          <t>運転が楽だけど、運転自体が楽しくない</t>
        </is>
      </c>
      <c r="O157" s="14" t="inlineStr">
        <is>
          <t>ロングドライブが苦痛でないが、楽しくはなくなった。</t>
        </is>
      </c>
      <c r="P157" s="8" t="inlineStr">
        <is>
          <t>https://minkara.carview.co.jp/car/toyota/sienta/review/detail.aspx?cid=460260</t>
        </is>
      </c>
    </row>
    <row r="158">
      <c r="A158" s="13" t="inlineStr">
        <is>
          <t>シエンタ</t>
        </is>
      </c>
      <c r="B158" s="13" t="n">
        <v>2024</v>
      </c>
      <c r="C158" s="13" t="inlineStr">
        <is>
          <t>ハイブリッド G_5人乗り_E-Four(CVT_1.5)</t>
        </is>
      </c>
      <c r="D158" s="13" t="inlineStr">
        <is>
          <t>2026年8月7日</t>
        </is>
      </c>
      <c r="E158" s="13" t="inlineStr">
        <is>
          <t>通勤通学</t>
        </is>
      </c>
      <c r="F158" s="13" t="n">
        <v>5</v>
      </c>
      <c r="G158" s="13" t="n">
        <v>5</v>
      </c>
      <c r="H158" s="13" t="n">
        <v>5</v>
      </c>
      <c r="I158" s="13" t="n">
        <v>3</v>
      </c>
      <c r="J158" s="13" t="n">
        <v>5</v>
      </c>
      <c r="K158" s="13" t="n">
        <v>5</v>
      </c>
      <c r="L158" s="13" t="inlineStr">
        <is>
          <t>道具としての役割を全うしてくれるクルマ</t>
        </is>
      </c>
      <c r="M158" s="14" t="inlineStr">
        <is>
          <t>どんなものでも積める大きなラゲッジと力強い加速感</t>
        </is>
      </c>
      <c r="N158" s="14" t="inlineStr">
        <is>
          <t>電動パーキングブレーキとブレーキホールドがないところ。それと、バックドアを閉めたとき音がなんとも悲しげなところ笑</t>
        </is>
      </c>
      <c r="O158" s="14" t="inlineStr">
        <is>
          <t>なんの気兼ねなく、ガシガシ使えるクルマです！</t>
        </is>
      </c>
      <c r="P158" s="13" t="inlineStr">
        <is>
          <t>https://minkara.carview.co.jp/car/toyota/sienta/review/detail.aspx?cid=459912</t>
        </is>
      </c>
    </row>
    <row r="159">
      <c r="A159" s="8" t="inlineStr">
        <is>
          <t>シエンタ</t>
        </is>
      </c>
      <c r="B159" s="8" t="n">
        <v>2025</v>
      </c>
      <c r="C159" s="8" t="inlineStr">
        <is>
          <t>ハイブリッド Z_5人乗り(CVT_1.5)</t>
        </is>
      </c>
      <c r="D159" s="8" t="inlineStr">
        <is>
          <t>2026年8月2日</t>
        </is>
      </c>
      <c r="E159" s="8" t="inlineStr">
        <is>
          <t>通勤通学</t>
        </is>
      </c>
      <c r="F159" s="8" t="n">
        <v>5</v>
      </c>
      <c r="G159" s="8" t="n">
        <v>5</v>
      </c>
      <c r="H159" s="8" t="n">
        <v>4</v>
      </c>
      <c r="I159" s="8" t="n">
        <v>4</v>
      </c>
      <c r="J159" s="8" t="n">
        <v>4</v>
      </c>
      <c r="K159" s="8" t="n">
        <v>3</v>
      </c>
      <c r="L159" s="8" t="inlineStr">
        <is>
          <t>買って良かった</t>
        </is>
      </c>
      <c r="M159" s="14" t="inlineStr">
        <is>
          <t>安全装備と便利機能</t>
        </is>
      </c>
      <c r="N159" s="14" t="n"/>
      <c r="O159" s="14" t="inlineStr">
        <is>
          <t>買って良かった！</t>
        </is>
      </c>
      <c r="P159" s="8" t="inlineStr">
        <is>
          <t>https://minkara.carview.co.jp/car/toyota/sienta/review/detail.aspx?cid=459609</t>
        </is>
      </c>
    </row>
    <row r="160">
      <c r="A160" s="13" t="inlineStr">
        <is>
          <t>シエンタ</t>
        </is>
      </c>
      <c r="B160" s="13" t="n">
        <v>2018</v>
      </c>
      <c r="C160" s="13" t="inlineStr">
        <is>
          <t>ファンベース G_5人乗り(CVT_1.5)</t>
        </is>
      </c>
      <c r="D160" s="13" t="inlineStr">
        <is>
          <t>2026年7月27日</t>
        </is>
      </c>
      <c r="E160" s="13" t="inlineStr">
        <is>
          <t>通勤通学</t>
        </is>
      </c>
      <c r="F160" s="13" t="n">
        <v>5</v>
      </c>
      <c r="G160" s="13" t="n">
        <v>5</v>
      </c>
      <c r="H160" s="13" t="n">
        <v>3</v>
      </c>
      <c r="I160" s="13" t="n">
        <v>4</v>
      </c>
      <c r="J160" s="13" t="n">
        <v>5</v>
      </c>
      <c r="K160" s="13" t="n">
        <v>3</v>
      </c>
      <c r="L160" s="13" t="inlineStr">
        <is>
          <t>今までありがとう</t>
        </is>
      </c>
      <c r="M160" s="14" t="inlineStr">
        <is>
          <t>5ナンバーサイズの取り回しの良さ、積載量の多さ。</t>
        </is>
      </c>
      <c r="N160" s="14" t="inlineStr">
        <is>
          <t>分かって購入しましたが、クルーズコントロールがハイブリッドの上級グレードにしか設定が無い。</t>
        </is>
      </c>
      <c r="O160" s="14" t="inlineStr">
        <is>
          <t>5ナンバーのスライドドア、取り回しも良く、5人乗りは背もたれを倒すだけで積載量のアップ。この辺はとても良いと思います。</t>
        </is>
      </c>
      <c r="P160" s="13" t="inlineStr">
        <is>
          <t>https://minkara.carview.co.jp/car/toyota/sienta/review/detail.aspx?cid=459164</t>
        </is>
      </c>
    </row>
    <row r="161">
      <c r="A161" s="8" t="inlineStr">
        <is>
          <t>シエンタ</t>
        </is>
      </c>
      <c r="B161" s="8" t="n">
        <v>2022</v>
      </c>
      <c r="C161" s="8" t="inlineStr">
        <is>
          <t>Z_5人乗り(CVT_1.5_ハイブリッド)</t>
        </is>
      </c>
      <c r="D161" s="8" t="inlineStr">
        <is>
          <t>2026年7月26日</t>
        </is>
      </c>
      <c r="E161" s="8" t="inlineStr">
        <is>
          <t>レジャー</t>
        </is>
      </c>
      <c r="F161" s="8" t="n">
        <v>5</v>
      </c>
      <c r="G161" s="8" t="n">
        <v>4</v>
      </c>
      <c r="H161" s="8" t="n">
        <v>4</v>
      </c>
      <c r="I161" s="8" t="n">
        <v>4</v>
      </c>
      <c r="J161" s="8" t="n">
        <v>4</v>
      </c>
      <c r="K161" s="8" t="n">
        <v>4</v>
      </c>
      <c r="L161" s="8" t="inlineStr">
        <is>
          <t>安全性とコスパ重視</t>
        </is>
      </c>
      <c r="M161" s="14" t="inlineStr">
        <is>
          <t>運転者支援と燃費が素晴らしい</t>
        </is>
      </c>
      <c r="N161" s="14" t="inlineStr">
        <is>
          <t>エンジンの振動が少し気になる</t>
        </is>
      </c>
      <c r="O161" s="14" t="inlineStr">
        <is>
          <t>フリードクロスターが欲しかったが、金額、安全性そして、フルフラットになるのと、AC1500Wが使えることが決め手。</t>
        </is>
      </c>
      <c r="P161" s="8" t="inlineStr">
        <is>
          <t>https://minkara.carview.co.jp/car/toyota/sienta/review/detail.aspx?cid=459014</t>
        </is>
      </c>
    </row>
    <row r="162">
      <c r="A162" s="13" t="inlineStr">
        <is>
          <t>シエンタ</t>
        </is>
      </c>
      <c r="B162" s="13" t="n">
        <v>2025</v>
      </c>
      <c r="C162" s="13" t="inlineStr">
        <is>
          <t>ハイブリッド Z_5人乗り(CVT_1.5)</t>
        </is>
      </c>
      <c r="D162" s="13" t="inlineStr">
        <is>
          <t>2026年7月25日</t>
        </is>
      </c>
      <c r="E162" s="13" t="inlineStr">
        <is>
          <t>レジャー</t>
        </is>
      </c>
      <c r="F162" s="13" t="n">
        <v>5</v>
      </c>
      <c r="G162" s="13" t="n">
        <v>5</v>
      </c>
      <c r="H162" s="13" t="n">
        <v>4</v>
      </c>
      <c r="I162" s="13" t="n">
        <v>4</v>
      </c>
      <c r="J162" s="13" t="n">
        <v>4</v>
      </c>
      <c r="K162" s="13" t="n">
        <v>4</v>
      </c>
      <c r="L162" s="13" t="inlineStr">
        <is>
          <t>使い勝手の良い車</t>
        </is>
      </c>
      <c r="M162" s="14" t="inlineStr">
        <is>
          <t>後席を倒せばフラットな空間が出来て、荷物が沢山積める。 DIYで木材180cm長さがそのまま積めるのが大きい。</t>
        </is>
      </c>
      <c r="N162" s="14" t="inlineStr">
        <is>
          <t>今の所なし</t>
        </is>
      </c>
      <c r="O162" s="14" t="inlineStr">
        <is>
          <t>キャンプ、車中泊、旅行、DIY、買い物なんでも対応できる良い車</t>
        </is>
      </c>
      <c r="P162" s="13" t="inlineStr">
        <is>
          <t>https://minkara.carview.co.jp/car/toyota/sienta/review/detail.aspx?cid=458988</t>
        </is>
      </c>
    </row>
    <row r="163">
      <c r="A163" s="8" t="inlineStr">
        <is>
          <t>シエンタ</t>
        </is>
      </c>
      <c r="B163" s="8" t="n">
        <v>2025</v>
      </c>
      <c r="C163" s="8" t="inlineStr">
        <is>
          <t>ハイブリッド G_5人乗り(CVT_1.5)</t>
        </is>
      </c>
      <c r="D163" s="8" t="inlineStr">
        <is>
          <t>2026年7月23日</t>
        </is>
      </c>
      <c r="E163" s="8" t="inlineStr">
        <is>
          <t>仕事</t>
        </is>
      </c>
      <c r="F163" s="8" t="n">
        <v>5</v>
      </c>
      <c r="G163" s="8" t="n">
        <v>1</v>
      </c>
      <c r="H163" s="8" t="n">
        <v>2</v>
      </c>
      <c r="I163" s="8" t="n">
        <v>3</v>
      </c>
      <c r="J163" s="8" t="n">
        <v>5</v>
      </c>
      <c r="K163" s="8" t="n">
        <v>5</v>
      </c>
      <c r="L163" s="8" t="inlineStr">
        <is>
          <t>まだ試乗レベルですがf(^^;</t>
        </is>
      </c>
      <c r="M163" s="14" t="inlineStr">
        <is>
          <t>・視界がよい(今のプリウスαが悪すぎだけど) ・燃費に期待(今のプリウスαを凌ぐでしょう) ・後席の足元広さ快適性 OPサーキュレーター付(ホンダフリードクロスター５人乗りと比較 さらにプリウスαより広い高い) ・最小回転半径5.0(今のギャランフォルティスに同じ) ・車体が小さい5ナンバー 小回りがきき メンテタイヤ代からコーティングから安くすみます</t>
        </is>
      </c>
      <c r="N163" s="14" t="n"/>
      <c r="O163" s="14" t="inlineStr">
        <is>
          <t>とりま今日はここまで(;ωゞｺﾞｼｺﾞｼ･･･</t>
        </is>
      </c>
      <c r="P163" s="8" t="inlineStr">
        <is>
          <t>https://minkara.carview.co.jp/car/toyota/sienta/review/detail.aspx?cid=458810</t>
        </is>
      </c>
    </row>
    <row r="164">
      <c r="A164" s="13" t="inlineStr">
        <is>
          <t>シエンタ</t>
        </is>
      </c>
      <c r="B164" s="13" t="n">
        <v>2022</v>
      </c>
      <c r="C164" s="13" t="inlineStr">
        <is>
          <t>Z_7人乗り_E-Four(CVT_1.5_ハイブリッド)</t>
        </is>
      </c>
      <c r="D164" s="13" t="inlineStr">
        <is>
          <t>2026年7月19日</t>
        </is>
      </c>
      <c r="E164" s="13" t="inlineStr">
        <is>
          <t>通勤通学</t>
        </is>
      </c>
      <c r="F164" s="13" t="n">
        <v>3</v>
      </c>
      <c r="G164" s="13" t="n">
        <v>4</v>
      </c>
      <c r="H164" s="13" t="n">
        <v>3</v>
      </c>
      <c r="I164" s="13" t="n">
        <v>2</v>
      </c>
      <c r="J164" s="13" t="n">
        <v>2</v>
      </c>
      <c r="K164" s="13" t="n">
        <v>4</v>
      </c>
      <c r="L164" s="13" t="inlineStr">
        <is>
          <t>身体の大きな方にはすこぶる窮屈な乗り物</t>
        </is>
      </c>
      <c r="M164" s="14" t="n"/>
      <c r="N164" s="14" t="n"/>
      <c r="O164" s="14" t="inlineStr">
        <is>
          <t>デザイン、仕様ともに家内は気に入っているようです💓 走りはいつもエコモードで街乗りしているため、カタログ値に近い数字は出てきます⛽️ 高速ではノーマルモードにして、急がない旅をのんびりと楽しんでいます👌 アフターパーツをつけて、総合安定性の申し分ありません🐜 1番の問題点はわたくしが運転席に座るととても窮屈😖 PA/SAがある度に休憩して背伸びしたくなるが欠点です😳</t>
        </is>
      </c>
      <c r="P164" s="13" t="inlineStr">
        <is>
          <t>https://minkara.carview.co.jp/car/toyota/sienta/review/detail.aspx?cid=458536</t>
        </is>
      </c>
    </row>
    <row r="165">
      <c r="A165" s="8" t="inlineStr">
        <is>
          <t>シエンタ</t>
        </is>
      </c>
      <c r="B165" s="8" t="n">
        <v>2022</v>
      </c>
      <c r="C165" s="8" t="inlineStr">
        <is>
          <t>Z_7人乗り(CVT_1.5_ハイブリッド)</t>
        </is>
      </c>
      <c r="D165" s="8" t="inlineStr">
        <is>
          <t>2026年7月17日</t>
        </is>
      </c>
      <c r="E165" s="8" t="inlineStr">
        <is>
          <t>レジャー</t>
        </is>
      </c>
      <c r="F165" s="8" t="n">
        <v>4</v>
      </c>
      <c r="G165" s="8" t="n">
        <v>4</v>
      </c>
      <c r="H165" s="8" t="n">
        <v>4</v>
      </c>
      <c r="I165" s="8" t="n">
        <v>3</v>
      </c>
      <c r="J165" s="8" t="n">
        <v>4</v>
      </c>
      <c r="K165" s="8" t="n">
        <v>4</v>
      </c>
      <c r="L165" s="8" t="inlineStr">
        <is>
          <t>三人家族にはベストな選択肢</t>
        </is>
      </c>
      <c r="M165" s="14" t="inlineStr">
        <is>
          <t>駆動性能は案外悪くない。剛性もそれなりにあり、電動ステアリングと相まって、とても素直でそれなりにクイックな操舵レスポンスである。あとは車幅が小さめで良い。助手席と運転席の間が自由に行き来できるので、狭い駐車場でも余裕。</t>
        </is>
      </c>
      <c r="N165" s="14" t="inlineStr">
        <is>
          <t>3気筒エンジン音がとにかくうるさい。ヤリスクロスなどよりは随分マシだが、それでも五月蝿い。WR-Vと比べると惨敗である。この車はトラックだと思って運転しているぐらい。また、高速走行時はロードノイズとその反響音や、風切り音もかなり気になるレベル。</t>
        </is>
      </c>
      <c r="O165" s="14" t="inlineStr">
        <is>
          <t>高速走行含むHV走行時の静粛性以外は文句なし。手頃な価格で装備も充実しており、運転は扱いやすく、荷物も沢山載せられて、CMの謳い文句通り、丁度いい5ナンバーのミニバンという唯一無二の存在。</t>
        </is>
      </c>
      <c r="P165" s="8" t="inlineStr">
        <is>
          <t>https://minkara.carview.co.jp/car/toyota/sienta/review/detail.aspx?cid=458419</t>
        </is>
      </c>
    </row>
    <row r="166">
      <c r="A166" s="13" t="inlineStr">
        <is>
          <t>シエンタ</t>
        </is>
      </c>
      <c r="B166" s="13" t="n">
        <v>2022</v>
      </c>
      <c r="C166" s="13" t="inlineStr">
        <is>
          <t>Z_5人乗り(CVT_1.5)</t>
        </is>
      </c>
      <c r="D166" s="13" t="inlineStr">
        <is>
          <t>2026年7月15日</t>
        </is>
      </c>
      <c r="E166" s="13" t="inlineStr">
        <is>
          <t>買い物</t>
        </is>
      </c>
      <c r="F166" s="13" t="n">
        <v>5</v>
      </c>
      <c r="G166" s="13" t="n">
        <v>5</v>
      </c>
      <c r="H166" s="13" t="n">
        <v>5</v>
      </c>
      <c r="I166" s="13" t="n">
        <v>5</v>
      </c>
      <c r="J166" s="13" t="n">
        <v>5</v>
      </c>
      <c r="K166" s="13" t="n">
        <v>5</v>
      </c>
      <c r="L166" s="13" t="inlineStr">
        <is>
          <t>オールマイティ</t>
        </is>
      </c>
      <c r="M166" s="14" t="n"/>
      <c r="N166" s="14" t="n"/>
      <c r="O166" s="14" t="inlineStr">
        <is>
          <t>街乗りにおいて言う事なし</t>
        </is>
      </c>
      <c r="P166" s="13" t="inlineStr">
        <is>
          <t>https://minkara.carview.co.jp/car/toyota/sienta/review/detail.aspx?cid=458296</t>
        </is>
      </c>
    </row>
    <row r="167">
      <c r="A167" s="8" t="inlineStr">
        <is>
          <t>シエンタ</t>
        </is>
      </c>
      <c r="B167" s="8" t="n">
        <v>2022</v>
      </c>
      <c r="C167" s="8" t="inlineStr">
        <is>
          <t>Z_7人乗り(CVT_1.5_ハイブリッド)</t>
        </is>
      </c>
      <c r="D167" s="8" t="inlineStr">
        <is>
          <t>2026年7月14日</t>
        </is>
      </c>
      <c r="E167" s="8" t="inlineStr">
        <is>
          <t>レジャー</t>
        </is>
      </c>
      <c r="F167" s="8" t="n">
        <v>3</v>
      </c>
      <c r="G167" s="8" t="n"/>
      <c r="H167" s="8" t="n"/>
      <c r="I167" s="8" t="n"/>
      <c r="J167" s="8" t="n"/>
      <c r="K167" s="8" t="n"/>
      <c r="L167" s="8" t="inlineStr">
        <is>
          <t>同じ車はめっちゃ走ってます。</t>
        </is>
      </c>
      <c r="M167" s="14" t="inlineStr">
        <is>
          <t>燃費</t>
        </is>
      </c>
      <c r="N167" s="14" t="inlineStr">
        <is>
          <t>どこでも見かける車</t>
        </is>
      </c>
      <c r="O167" s="14" t="inlineStr">
        <is>
          <t>さすがトヨタ車 良くも悪くも８０点</t>
        </is>
      </c>
      <c r="P167" s="8" t="inlineStr">
        <is>
          <t>https://minkara.carview.co.jp/car/toyota/sienta/review/detail.aspx?cid=458237</t>
        </is>
      </c>
    </row>
    <row r="168">
      <c r="A168" s="13" t="inlineStr">
        <is>
          <t>シエンタ</t>
        </is>
      </c>
      <c r="B168" s="13" t="n">
        <v>2025</v>
      </c>
      <c r="C168" s="13" t="inlineStr">
        <is>
          <t>Z_5人乗り(CVT_1.5)</t>
        </is>
      </c>
      <c r="D168" s="13" t="inlineStr">
        <is>
          <t>2026年7月14日</t>
        </is>
      </c>
      <c r="E168" s="13" t="inlineStr">
        <is>
          <t>買い物</t>
        </is>
      </c>
      <c r="F168" s="13" t="n">
        <v>4</v>
      </c>
      <c r="G168" s="13" t="n"/>
      <c r="H168" s="13" t="n"/>
      <c r="I168" s="13" t="n"/>
      <c r="J168" s="13" t="n"/>
      <c r="K168" s="13" t="n"/>
      <c r="L168" s="13" t="inlineStr">
        <is>
          <t>使い勝手が良い</t>
        </is>
      </c>
      <c r="M168" s="14" t="inlineStr">
        <is>
          <t>乗り降りが楽です</t>
        </is>
      </c>
      <c r="N168" s="14" t="inlineStr">
        <is>
          <t>坂道でパワー不足が否めない</t>
        </is>
      </c>
      <c r="O168" s="14" t="inlineStr">
        <is>
          <t>買い物、レジャーにはよいでしょう</t>
        </is>
      </c>
      <c r="P168" s="13" t="inlineStr">
        <is>
          <t>https://minkara.carview.co.jp/car/toyota/sienta/review/detail.aspx?cid=458202</t>
        </is>
      </c>
    </row>
    <row r="169">
      <c r="A169" s="8" t="inlineStr">
        <is>
          <t>シエンタ</t>
        </is>
      </c>
      <c r="B169" s="8" t="n">
        <v>2025</v>
      </c>
      <c r="C169" s="8" t="inlineStr">
        <is>
          <t>ハイブリッド Z_7人乗り(CVT_1.5)</t>
        </is>
      </c>
      <c r="D169" s="8" t="inlineStr">
        <is>
          <t>2026年7月13日</t>
        </is>
      </c>
      <c r="E169" s="8" t="inlineStr">
        <is>
          <t>レジャー</t>
        </is>
      </c>
      <c r="F169" s="8" t="n">
        <v>4</v>
      </c>
      <c r="G169" s="8" t="n">
        <v>4</v>
      </c>
      <c r="H169" s="8" t="n">
        <v>3</v>
      </c>
      <c r="I169" s="8" t="n">
        <v>5</v>
      </c>
      <c r="J169" s="8" t="n">
        <v>4</v>
      </c>
      <c r="K169" s="8" t="n">
        <v>4</v>
      </c>
      <c r="L169" s="8" t="inlineStr">
        <is>
          <t>コスパ良好！！</t>
        </is>
      </c>
      <c r="M169" s="14" t="inlineStr">
        <is>
          <t>トヨタのコンパクトカーにしては良い出来です。 ハイブリッドの燃費、静寂性はとても満足です。 足のフワつきやロールも思ったよりしないです。</t>
        </is>
      </c>
      <c r="N169" s="14" t="inlineStr">
        <is>
          <t>3発エンジンの為か、高速や山道の登りはかったるい印象で、エンジン音も賑やか…</t>
        </is>
      </c>
      <c r="O169" s="14" t="inlineStr">
        <is>
          <t>コスパはここ最近の自動車価格からしたら良いと思います</t>
        </is>
      </c>
      <c r="P169" s="8" t="inlineStr">
        <is>
          <t>https://minkara.carview.co.jp/car/toyota/sienta/review/detail.aspx?cid=458184</t>
        </is>
      </c>
    </row>
    <row r="170">
      <c r="A170" s="13" t="inlineStr">
        <is>
          <t>シエンタ</t>
        </is>
      </c>
      <c r="B170" s="13" t="n">
        <v>2022</v>
      </c>
      <c r="C170" s="13" t="inlineStr">
        <is>
          <t>Z_5人乗り(CVT_1.5_ハイブリッド)</t>
        </is>
      </c>
      <c r="D170" s="13" t="inlineStr">
        <is>
          <t>2026年7月3日</t>
        </is>
      </c>
      <c r="E170" s="13" t="inlineStr">
        <is>
          <t>通勤通学</t>
        </is>
      </c>
      <c r="F170" s="13" t="n">
        <v>5</v>
      </c>
      <c r="G170" s="13" t="n">
        <v>5</v>
      </c>
      <c r="H170" s="13" t="n">
        <v>5</v>
      </c>
      <c r="I170" s="13" t="n">
        <v>3</v>
      </c>
      <c r="J170" s="13" t="n">
        <v>5</v>
      </c>
      <c r="K170" s="13" t="n">
        <v>5</v>
      </c>
      <c r="L170" s="13" t="inlineStr">
        <is>
          <t>燃費・積載性オバケ</t>
        </is>
      </c>
      <c r="M170" s="14" t="inlineStr">
        <is>
          <t>使い勝手は現行販売車唯一。</t>
        </is>
      </c>
      <c r="N170" s="14" t="inlineStr">
        <is>
          <t>乗り心地がやや硬い（GA-B全般）</t>
        </is>
      </c>
      <c r="O170" s="14" t="inlineStr">
        <is>
          <t>シェアカーで借りてみて、購入を決断。 競合対象はフィールダー、カローラツーリング、プロボックス。 数日乗ってみてレビューです。 運転してみると普通に乗れて、普通に走れる優等生。 燃費は郊外で35km/L近辺 朝晩の渋滞市街地で28km/L 高速は安定して30km/L 真夏になると、エアコンが貧弱なのか25km/Lくらいになる。 条件がよければ40km/Lマークできます。 色々データをとってみた結果だけど、極限まで燃費を追求した、トヨタの技術の粋を感じる。ガソリン一滴を大事に使うことで燃費は格段に伸びる反面、炎天下のような悪い環境になると普通の車並みになってしまう。そんな感じです。 3気筒エンジン＋モーターは、シエンタでは想像以上に働きます。1nzの1500ccよりもパワフルで、きつい山坂は某社2000ccよりもトルクフル。しかも静かで気持ちいい。 TSSはよくできている。渋滞のバイパスとか便利。 ディスプレイオーディオは使いづらい。 普通のナビにしたい。 燃費と積載性が導入条件なので、これ以上にない良い車。スライドドアが電動じゃない超ベースモデルが出ればいいのにと思います。 5人乗りは余裕で車中泊可能。折り畳みマット常備しておけばいつでも休憩できます。 フィールダーは万能で使いやすさも言うまでもなく良くて、乗り心地もよいけどベースが10年以上前と古いのにまだ130万とかで、価格に見合ってないのがネック。 ツーリングは車高が低く、普段使いとしては△。価格・燃費・乗り心地はとてもよいのに、道具として使いづらい。</t>
        </is>
      </c>
      <c r="P170" s="13" t="inlineStr">
        <is>
          <t>https://minkara.carview.co.jp/car/toyota/sienta/review/detail.aspx?cid=457465</t>
        </is>
      </c>
    </row>
    <row r="171">
      <c r="A171" s="8" t="inlineStr">
        <is>
          <t>シエンタ</t>
        </is>
      </c>
      <c r="B171" s="8" t="n">
        <v>2025</v>
      </c>
      <c r="C171" s="8" t="inlineStr">
        <is>
          <t>ハイブリッド Z_7人乗り(CVT_1.5)</t>
        </is>
      </c>
      <c r="D171" s="8" t="inlineStr">
        <is>
          <t>2026年7月3日</t>
        </is>
      </c>
      <c r="E171" s="8" t="inlineStr">
        <is>
          <t>通勤通学</t>
        </is>
      </c>
      <c r="F171" s="8" t="n">
        <v>5</v>
      </c>
      <c r="G171" s="8" t="n">
        <v>4</v>
      </c>
      <c r="H171" s="8" t="n">
        <v>4</v>
      </c>
      <c r="I171" s="8" t="n">
        <v>4</v>
      </c>
      <c r="J171" s="8" t="n">
        <v>5</v>
      </c>
      <c r="K171" s="8" t="n">
        <v>5</v>
      </c>
      <c r="L171" s="8" t="inlineStr">
        <is>
          <t>使いこなせないほどの機能が満載！</t>
        </is>
      </c>
      <c r="M171" s="14" t="inlineStr">
        <is>
          <t>マニュアル車からの乗り換えなので運転ラクラク 車内の圧迫感を全く感じないちょうどいい空間 なんと言っても燃費が良い まだまだ使いこなせていないたくさんの機能</t>
        </is>
      </c>
      <c r="N171" s="14" t="inlineStr">
        <is>
          <t>わかっていたことですが3列目は狭いです エアコンを使用するとメーターの平均燃費がどんどん下がっていきます 走行中、何も無いところで勝手にブレーキ踏まれるのが 後続車に迷惑な気がします</t>
        </is>
      </c>
      <c r="O171" s="14" t="inlineStr">
        <is>
          <t>現時点ではまだ1ヶ月経っていませんが納車から毎日乗って、いつもの通勤、高速道路、峠道を走りました。 峠の上りはまあキツいです。それ以外は問題なし！</t>
        </is>
      </c>
      <c r="P171" s="8" t="inlineStr">
        <is>
          <t>https://minkara.carview.co.jp/car/toyota/sienta/review/detail.aspx?cid=457456</t>
        </is>
      </c>
    </row>
    <row r="172">
      <c r="A172" s="13" t="inlineStr">
        <is>
          <t>シエンタ</t>
        </is>
      </c>
      <c r="B172" s="13" t="n">
        <v>2024</v>
      </c>
      <c r="C172" s="13" t="inlineStr">
        <is>
          <t>ハイブリッド Z_5人乗り(CVT_1.5)</t>
        </is>
      </c>
      <c r="D172" s="13" t="inlineStr">
        <is>
          <t>2026年7月1日</t>
        </is>
      </c>
      <c r="E172" s="13" t="inlineStr">
        <is>
          <t>買い物</t>
        </is>
      </c>
      <c r="F172" s="13" t="n">
        <v>4</v>
      </c>
      <c r="G172" s="13" t="n">
        <v>4</v>
      </c>
      <c r="H172" s="13" t="n">
        <v>4</v>
      </c>
      <c r="I172" s="13" t="n">
        <v>3</v>
      </c>
      <c r="J172" s="13" t="n">
        <v>3</v>
      </c>
      <c r="K172" s="13" t="n">
        <v>5</v>
      </c>
      <c r="L172" s="13" t="inlineStr">
        <is>
          <t>手頃なサイズの荷馬車としては言うことなし</t>
        </is>
      </c>
      <c r="M172" s="14" t="inlineStr">
        <is>
          <t>大き過ぎず使い勝手も良く燃費が良い</t>
        </is>
      </c>
      <c r="N172" s="14" t="inlineStr">
        <is>
          <t>内装の質感はもっと頑張ってほしい ステアリングがアシスト強過ぎ</t>
        </is>
      </c>
      <c r="O172" s="14" t="inlineStr">
        <is>
          <t>高級感は微塵も無いが、実用ツールとして考えれば最高の相棒です</t>
        </is>
      </c>
      <c r="P172" s="13" t="inlineStr">
        <is>
          <t>https://minkara.carview.co.jp/car/toyota/sienta/review/detail.aspx?cid=457321</t>
        </is>
      </c>
    </row>
    <row r="173">
      <c r="A173" s="8" t="inlineStr">
        <is>
          <t>シエンタ</t>
        </is>
      </c>
      <c r="B173" s="8" t="n">
        <v>2025</v>
      </c>
      <c r="C173" s="8" t="inlineStr">
        <is>
          <t>ハイブリッド Z_5人乗り(CVT_1.5)</t>
        </is>
      </c>
      <c r="D173" s="8" t="inlineStr">
        <is>
          <t>2026年6月28日</t>
        </is>
      </c>
      <c r="E173" s="8" t="inlineStr">
        <is>
          <t>買い物</t>
        </is>
      </c>
      <c r="F173" s="8" t="n">
        <v>5</v>
      </c>
      <c r="G173" s="8" t="n">
        <v>4</v>
      </c>
      <c r="H173" s="8" t="n">
        <v>4</v>
      </c>
      <c r="I173" s="8" t="n">
        <v>4</v>
      </c>
      <c r="J173" s="8" t="n">
        <v>5</v>
      </c>
      <c r="K173" s="8" t="n">
        <v>4</v>
      </c>
      <c r="L173" s="8" t="inlineStr">
        <is>
          <t>普段使い</t>
        </is>
      </c>
      <c r="M173" s="14" t="inlineStr">
        <is>
          <t>扱いやすさ</t>
        </is>
      </c>
      <c r="N173" s="14" t="inlineStr">
        <is>
          <t>特にない。 敢えて言えば、他人と被りやすい。</t>
        </is>
      </c>
      <c r="O173" s="14" t="inlineStr">
        <is>
          <t>欲張らなければ普通に使える。</t>
        </is>
      </c>
      <c r="P173" s="8" t="inlineStr">
        <is>
          <t>https://minkara.carview.co.jp/car/toyota/sienta/review/detail.aspx?cid=457155</t>
        </is>
      </c>
    </row>
    <row r="174">
      <c r="A174" s="13" t="inlineStr">
        <is>
          <t>シエンタ</t>
        </is>
      </c>
      <c r="B174" s="13" t="n">
        <v>2022</v>
      </c>
      <c r="C174" s="13" t="inlineStr">
        <is>
          <t>G_7人乗り_E-Four(CVT_1.5_ハイブリッド)</t>
        </is>
      </c>
      <c r="D174" s="13" t="inlineStr">
        <is>
          <t>2026年6月24日</t>
        </is>
      </c>
      <c r="E174" s="13" t="inlineStr">
        <is>
          <t>レジャー</t>
        </is>
      </c>
      <c r="F174" s="13" t="n">
        <v>4</v>
      </c>
      <c r="G174" s="13" t="n">
        <v>4</v>
      </c>
      <c r="H174" s="13" t="n">
        <v>4</v>
      </c>
      <c r="I174" s="13" t="n">
        <v>2</v>
      </c>
      <c r="J174" s="13" t="n">
        <v>5</v>
      </c>
      <c r="K174" s="13" t="n">
        <v>5</v>
      </c>
      <c r="L174" s="13" t="inlineStr">
        <is>
          <t>北海道で約2年使用。</t>
        </is>
      </c>
      <c r="M174" s="14" t="inlineStr">
        <is>
          <t>・ 燃費が非常に優秀 ・5ナンバーサイズで取り回しが良い ・荷室の使い勝手が抜群 ・運転支援機能の完成度が高い ・PDAが自然で使いやすい ・全方位カメラやソナーの安心感 ・遠隔エンジン始動が便利 ・タイヤ代や維持費を抑えられる 年間走行距離が15,000km以上なので、燃費性能の高さは非常に大きなメリットでした。燃料代の負担軽減効果は想像以上で、所有期間を通して満足度の高いポイントでした。 また、5ナンバーサイズによる取り回しの良さも魅力です。冬場は雪で道路幅が狭くなりますが、住宅街や駐車場ではこのサイズ感に何度も助けられました。 積載性も非常に優秀です。3列目シートを2列目下へ収納する方式のおかげで、普段は広いラゲッジスペースとして使えます。2列目を倒せば自転車も積載可能で、必要な時だけ7人乗りにできる使い勝手の良さは見事だと思います。 安全装備や運転支援機能の完成度も高く感じました。 特にPDA（プロアクティブドライビングアシスト）は想像以上に優秀で、減速開始のタイミングが自然です。早すぎず遅すぎず、自分で運転している感覚を損なわない範囲でサポートしてくれるため、安心感と疲労軽減に大きく貢献してくれました。 全方位カメラやクリアランスソナー、自動ブレーキも非常に優秀で、所有期間中に擦ったりぶつけたりすることはありませんでした。 また、スマホアプリからの遠隔エンジン始動は北海道では非常に便利です。冬の朝に車内を暖めておけるメリットは大きく、一度使うと手放しにくい装備だと思います。</t>
        </is>
      </c>
      <c r="N174" s="14" t="inlineStr">
        <is>
          <t>・冬場の寒さが気になる ・後席の快適性がもう一歩 ・静粛性は価格相応かそれ以下 ・エンジン走行時の振動が気になる ・荒れた路面で突き上げを感じる ・高速燃費は期待ほど伸びない ・深雪ではE-Fourの限界を感じる 北海道で使用していて最も気になったのは寒さでした。 メーカーオプションのシートヒーターとステアリングヒーターを装着していましたが、それでも寒さを感じる場面がありました。特に真冬は暖房が効くまで時間がかかり、後席からも寒いという声が出ることがありました。 風切り音やロードノイズも比較的大きめです。価格帯を考えると、もう少し静粛性が欲しいと感じます。 モーター走行時は非常に静かですが、その反面、エンジン走行時の振動は比較的分かりやすく感じました。後席でもモーター走行時との違いがはっきり分かるレベルで、家族向けの車として考えるともう少し快適性が欲しいところです。 北海道特有の圧雪路や春先の荒れた道路では突き上げも気になります。路面状況によっては凹凸や穴を避けながら走ることが多く、気を使う場面がありました。 高速道路の燃費についても、一般道ほどの感動はありません。巡航速度が高くなるとハイブリッドのメリットが薄れ、期待ほど数値は伸びませんでした。 E-Fourについては、凍結路での発進など日常的な使用で困ることはほとんどありませんでした。 普通の冬であれば十分実用的な4WDだと思います。 ただし深雪では機械式4WDとはかなり性格が異なります。 スタックしかけた状況では、単純に駆動力が足りないというより、アクセルを踏んでもエンジン回転数が上がらず、タイヤも空転しないという挙動でした。 VSCをOFFにしても状況は大きく変わらず、タイヤを掻かせて脱出しようとするような動きにはなりませんでした。 そのため、「空転しながらでも脱出を試みる4WD」 というより、「車両保護や安全性を優先して出力を抑えている」ような印象を受けました。 雪の少ない冬であれば十分ですが、大雪時や未除雪路では限界を感じる場面もありました。 また、凍結路で速度が乗ったカーブでは比較的FFらしいアンダーステア傾向も感じました。</t>
        </is>
      </c>
      <c r="O174" s="14" t="inlineStr">
        <is>
          <t>北海道で約27カ月使用し、冬を3シーズン経験しました。 シエンタは燃費、使い勝手、安全装備の完成度が非常に高く、日常生活を支えるファミリーカーとして本当によくできた車だと思います。 特に燃費性能、積載性、取り回しの良さ、安全装備については高く評価しています。PDAを含む運転支援機能も優秀で、毎日の運転を確実に楽にしてくれました。 一方で、北海道のような寒冷地では気密性や断熱性、後席快適性には改善の余地を感じます。また、圧雪路や荒れた路面、深雪ではコンパクトミニバンとしての限界も見えてきます。 E-Fourも日常的な雪道では十分実用的です。実際に凍結路発進で困ったことはありませんでした。 ただし、深雪では一般的な機械式4WDとは考え方が異なり、滑らせながら脱出するよりも安全側の制御を優先している印象でした。VSCをOFFにしてもその傾向は大きく変わらず、大雪時や未除雪路では限界を感じる場面もありました。 それでも総合力は非常に高く、「燃費・安全装備・使い勝手を重視するファミリーカー」としては完成度の高い一台でした。 北海道でも十分実用的でしたが、 「北海道でも問題なく使える車」と「北海道を気にせず走れる車」は別だと感じました。</t>
        </is>
      </c>
      <c r="P174" s="13" t="inlineStr">
        <is>
          <t>https://minkara.carview.co.jp/car/toyota/sienta/review/detail.aspx?cid=456845</t>
        </is>
      </c>
    </row>
    <row r="175">
      <c r="A175" s="8" t="inlineStr">
        <is>
          <t>シエンタ</t>
        </is>
      </c>
      <c r="B175" s="8" t="n">
        <v>2024</v>
      </c>
      <c r="C175" s="8" t="inlineStr">
        <is>
          <t>ハイブリッド Z_7人乗り(CVT_1.5)</t>
        </is>
      </c>
      <c r="D175" s="8" t="inlineStr">
        <is>
          <t>2026年6月14日</t>
        </is>
      </c>
      <c r="E175" s="8" t="inlineStr">
        <is>
          <t>買い物</t>
        </is>
      </c>
      <c r="F175" s="8" t="n">
        <v>5</v>
      </c>
      <c r="G175" s="8" t="n">
        <v>3</v>
      </c>
      <c r="H175" s="8" t="n">
        <v>3</v>
      </c>
      <c r="I175" s="8" t="n">
        <v>3</v>
      </c>
      <c r="J175" s="8" t="n">
        <v>3</v>
      </c>
      <c r="K175" s="8" t="n">
        <v>4</v>
      </c>
      <c r="L175" s="8" t="inlineStr">
        <is>
          <t>ちょい乗りでも燃費が悪化しないところ、、</t>
        </is>
      </c>
      <c r="M175" s="14" t="inlineStr">
        <is>
          <t>ハイブリットなので燃費は良くて当たり前なのですが、このシエンタは、街乗りでも燃費の悪化が少ないと思います。</t>
        </is>
      </c>
      <c r="N175" s="14" t="inlineStr">
        <is>
          <t>ワイパーのビビり、、ガラスへの接圧が強い感じです。。Assy交換もしたけど、、びびりそうな感じがします。。。</t>
        </is>
      </c>
      <c r="O175" s="14" t="inlineStr">
        <is>
          <t>いざとなったら7人乗れる、最小HVという所。。。</t>
        </is>
      </c>
      <c r="P175" s="8" t="inlineStr">
        <is>
          <t>https://minkara.carview.co.jp/car/toyota/sienta/review/detail.aspx?cid=456203</t>
        </is>
      </c>
    </row>
    <row r="176">
      <c r="A176" s="13" t="inlineStr">
        <is>
          <t>シエンタ</t>
        </is>
      </c>
      <c r="B176" s="13" t="n">
        <v>2025</v>
      </c>
      <c r="C176" s="13" t="inlineStr">
        <is>
          <t>Z_5人乗り(CVT_1.5)</t>
        </is>
      </c>
      <c r="D176" s="13" t="inlineStr">
        <is>
          <t>2026年6月14日</t>
        </is>
      </c>
      <c r="E176" s="13" t="inlineStr">
        <is>
          <t>レジャー</t>
        </is>
      </c>
      <c r="F176" s="13" t="n">
        <v>5</v>
      </c>
      <c r="G176" s="13" t="n">
        <v>4</v>
      </c>
      <c r="H176" s="13" t="n">
        <v>4</v>
      </c>
      <c r="I176" s="13" t="n">
        <v>4</v>
      </c>
      <c r="J176" s="13" t="n">
        <v>5</v>
      </c>
      <c r="K176" s="13" t="n">
        <v>3</v>
      </c>
      <c r="L176" s="13" t="inlineStr">
        <is>
          <t>べんり</t>
        </is>
      </c>
      <c r="M176" s="14" t="n"/>
      <c r="N176" s="14" t="n"/>
      <c r="O176" s="14" t="inlineStr">
        <is>
          <t>べんり</t>
        </is>
      </c>
      <c r="P176" s="13" t="inlineStr">
        <is>
          <t>https://minkara.carview.co.jp/car/toyota/sienta/review/detail.aspx?cid=456190</t>
        </is>
      </c>
    </row>
    <row r="177">
      <c r="A177" s="8" t="inlineStr">
        <is>
          <t>シエンタ</t>
        </is>
      </c>
      <c r="B177" s="8" t="n">
        <v>2022</v>
      </c>
      <c r="C177" s="8" t="inlineStr">
        <is>
          <t>不明</t>
        </is>
      </c>
      <c r="D177" s="8" t="inlineStr">
        <is>
          <t>2026年6月13日</t>
        </is>
      </c>
      <c r="E177" s="8" t="inlineStr">
        <is>
          <t>通勤通学</t>
        </is>
      </c>
      <c r="F177" s="8" t="n">
        <v>5</v>
      </c>
      <c r="G177" s="8" t="n">
        <v>4</v>
      </c>
      <c r="H177" s="8" t="n">
        <v>4</v>
      </c>
      <c r="I177" s="8" t="n">
        <v>5</v>
      </c>
      <c r="J177" s="8" t="n">
        <v>3</v>
      </c>
      <c r="K177" s="8" t="n">
        <v>5</v>
      </c>
      <c r="L177" s="8" t="inlineStr">
        <is>
          <t>家族にはちょうどよい大きさ</t>
        </is>
      </c>
      <c r="M177" s="14" t="inlineStr">
        <is>
          <t>燃費がよく前の車がブレーキすると、自動車的に減速してくれる。</t>
        </is>
      </c>
      <c r="N177" s="14" t="inlineStr">
        <is>
          <t>白色はあまりかっこよくない</t>
        </is>
      </c>
      <c r="O177" s="14" t="inlineStr">
        <is>
          <t>全体的には満足</t>
        </is>
      </c>
      <c r="P177" s="8" t="inlineStr">
        <is>
          <t>https://minkara.carview.co.jp/car/toyota/sienta/review/detail.aspx?cid=456069</t>
        </is>
      </c>
    </row>
    <row r="178">
      <c r="A178" s="13" t="inlineStr">
        <is>
          <t>シエンタ</t>
        </is>
      </c>
      <c r="B178" s="13" t="n">
        <v>2025</v>
      </c>
      <c r="C178" s="13" t="inlineStr">
        <is>
          <t>ハイブリッド Z_5人乗り(CVT_1.5)</t>
        </is>
      </c>
      <c r="D178" s="13" t="inlineStr">
        <is>
          <t>2026年6月10日</t>
        </is>
      </c>
      <c r="E178" s="13" t="inlineStr">
        <is>
          <t>レジャー</t>
        </is>
      </c>
      <c r="F178" s="13" t="n">
        <v>5</v>
      </c>
      <c r="G178" s="13" t="n">
        <v>4</v>
      </c>
      <c r="H178" s="13" t="n">
        <v>4</v>
      </c>
      <c r="I178" s="13" t="n">
        <v>4</v>
      </c>
      <c r="J178" s="13" t="n">
        <v>5</v>
      </c>
      <c r="K178" s="13" t="n">
        <v>5</v>
      </c>
      <c r="L178" s="13" t="inlineStr">
        <is>
          <t>5ナンバーでも室内広々</t>
        </is>
      </c>
      <c r="M178" s="14" t="inlineStr">
        <is>
          <t>ヤリスクロスからの乗り換え。5ナンバーなのに室内空間が広いことに感動！（ヤリスクロスと比較してですよ）</t>
        </is>
      </c>
      <c r="N178" s="14" t="inlineStr">
        <is>
          <t>エンジン音</t>
        </is>
      </c>
      <c r="O178" s="14" t="inlineStr">
        <is>
          <t>5ナンバーなのに室内広々。乗り替えてよかった。</t>
        </is>
      </c>
      <c r="P178" s="13" t="inlineStr">
        <is>
          <t>https://minkara.carview.co.jp/car/toyota/sienta/review/detail.aspx?cid=455927</t>
        </is>
      </c>
    </row>
    <row r="179">
      <c r="A179" s="8" t="inlineStr">
        <is>
          <t>シエンタ</t>
        </is>
      </c>
      <c r="B179" s="8" t="n">
        <v>2022</v>
      </c>
      <c r="C179" s="8" t="inlineStr">
        <is>
          <t>Z_7人乗り(CVT_1.5_ハイブリッド)</t>
        </is>
      </c>
      <c r="D179" s="8" t="inlineStr">
        <is>
          <t>2026年6月10日</t>
        </is>
      </c>
      <c r="E179" s="8" t="inlineStr">
        <is>
          <t>レジャー</t>
        </is>
      </c>
      <c r="F179" s="8" t="n">
        <v>5</v>
      </c>
      <c r="G179" s="8" t="n">
        <v>4</v>
      </c>
      <c r="H179" s="8" t="n">
        <v>3</v>
      </c>
      <c r="I179" s="8" t="n">
        <v>4</v>
      </c>
      <c r="J179" s="8" t="n">
        <v>5</v>
      </c>
      <c r="K179" s="8" t="n">
        <v>5</v>
      </c>
      <c r="L179" s="8" t="inlineStr">
        <is>
          <t>これから</t>
        </is>
      </c>
      <c r="M179" s="14" t="n"/>
      <c r="N179" s="14" t="n"/>
      <c r="O179" s="14" t="inlineStr">
        <is>
          <t>これから</t>
        </is>
      </c>
      <c r="P179" s="8" t="inlineStr">
        <is>
          <t>https://minkara.carview.co.jp/car/toyota/sienta/review/detail.aspx?cid=455921</t>
        </is>
      </c>
    </row>
    <row r="180">
      <c r="A180" s="13" t="inlineStr">
        <is>
          <t>シエンタ</t>
        </is>
      </c>
      <c r="B180" s="13" t="n">
        <v>2007</v>
      </c>
      <c r="C180" s="13" t="inlineStr">
        <is>
          <t>X“リミテッド”_FF(CVT_1.5)</t>
        </is>
      </c>
      <c r="D180" s="13" t="inlineStr">
        <is>
          <t>2026年6月10日</t>
        </is>
      </c>
      <c r="E180" s="13" t="inlineStr">
        <is>
          <t>スポーツ走行</t>
        </is>
      </c>
      <c r="F180" s="13" t="n">
        <v>5</v>
      </c>
      <c r="G180" s="13" t="n">
        <v>5</v>
      </c>
      <c r="H180" s="13" t="n">
        <v>5</v>
      </c>
      <c r="I180" s="13" t="n">
        <v>3</v>
      </c>
      <c r="J180" s="13" t="n">
        <v>5</v>
      </c>
      <c r="K180" s="13" t="n">
        <v>2</v>
      </c>
      <c r="L180" s="13" t="inlineStr">
        <is>
          <t>シエンタちゃん(ΦωΦ)</t>
        </is>
      </c>
      <c r="M180" s="14" t="inlineStr">
        <is>
          <t>ホワイトパールの車体が綺麗で洗車が楽チンな処</t>
        </is>
      </c>
      <c r="N180" s="14" t="inlineStr">
        <is>
          <t>アームレストが欲しいです(´･ω･`)</t>
        </is>
      </c>
      <c r="O180" s="14" t="inlineStr">
        <is>
          <t>７シーターにはとても思えないですﾌﾌﾌ</t>
        </is>
      </c>
      <c r="P180" s="13" t="inlineStr">
        <is>
          <t>https://minkara.carview.co.jp/car/toyota/sienta/review/detail.aspx?cid=455893</t>
        </is>
      </c>
    </row>
    <row r="181">
      <c r="A181" s="8" t="inlineStr">
        <is>
          <t>シエンタ</t>
        </is>
      </c>
      <c r="B181" s="8" t="n">
        <v>2022</v>
      </c>
      <c r="C181" s="8" t="inlineStr">
        <is>
          <t>不明</t>
        </is>
      </c>
      <c r="D181" s="8" t="inlineStr">
        <is>
          <t>2026年6月2日</t>
        </is>
      </c>
      <c r="E181" s="8" t="inlineStr">
        <is>
          <t>買い物</t>
        </is>
      </c>
      <c r="F181" s="8" t="n">
        <v>3</v>
      </c>
      <c r="G181" s="8" t="n">
        <v>3</v>
      </c>
      <c r="H181" s="8" t="n"/>
      <c r="I181" s="8" t="n"/>
      <c r="J181" s="8" t="n"/>
      <c r="K181" s="8" t="n"/>
      <c r="L181" s="8" t="inlineStr">
        <is>
          <t>？😅</t>
        </is>
      </c>
      <c r="M181" s="14" t="n"/>
      <c r="N181" s="14" t="n"/>
      <c r="O181" s="14" t="inlineStr">
        <is>
          <t>？😅</t>
        </is>
      </c>
      <c r="P181" s="8" t="inlineStr">
        <is>
          <t>https://minkara.carview.co.jp/car/toyota/sienta/review/detail.aspx?cid=455327</t>
        </is>
      </c>
    </row>
    <row r="182">
      <c r="A182" s="13" t="inlineStr">
        <is>
          <t>エスティマ</t>
        </is>
      </c>
      <c r="B182" s="13" t="n">
        <v>2012</v>
      </c>
      <c r="C182" s="13" t="inlineStr">
        <is>
          <t>アエラス_7人乗り(CVT_2.4)</t>
        </is>
      </c>
      <c r="D182" s="13" t="inlineStr">
        <is>
          <t>2026年8月17日</t>
        </is>
      </c>
      <c r="E182" s="13" t="inlineStr">
        <is>
          <t>通勤通学</t>
        </is>
      </c>
      <c r="F182" s="13" t="n">
        <v>4</v>
      </c>
      <c r="G182" s="13" t="n">
        <v>4</v>
      </c>
      <c r="H182" s="13" t="n">
        <v>4</v>
      </c>
      <c r="I182" s="13" t="n">
        <v>4</v>
      </c>
      <c r="J182" s="13" t="n">
        <v>4</v>
      </c>
      <c r="K182" s="13" t="n">
        <v>3</v>
      </c>
      <c r="L182" s="13" t="inlineStr">
        <is>
          <t>14年経っても、まだまだ現役</t>
        </is>
      </c>
      <c r="M182" s="14" t="inlineStr">
        <is>
          <t>4人乗りレイアウトにすることで、室内空間に ゆとりがあること。</t>
        </is>
      </c>
      <c r="N182" s="14" t="inlineStr">
        <is>
          <t>認定中古車の保証が切れたとたんに、エアコンコンプレッサー故障…</t>
        </is>
      </c>
      <c r="O182" s="14" t="inlineStr">
        <is>
          <t>購入当時から、若干擦り傷つくっちゃったけど、ほどよい大きさと、広々空間は家族にとっても大活躍な存在です</t>
        </is>
      </c>
      <c r="P182" s="13" t="inlineStr">
        <is>
          <t>https://minkara.carview.co.jp/car/toyota/estima/review/detail.aspx?cid=460666</t>
        </is>
      </c>
    </row>
    <row r="183">
      <c r="A183" s="8" t="inlineStr">
        <is>
          <t>エスティマ</t>
        </is>
      </c>
      <c r="B183" s="8" t="n">
        <v>2006</v>
      </c>
      <c r="C183" s="8" t="inlineStr">
        <is>
          <t>不明</t>
        </is>
      </c>
      <c r="D183" s="8" t="inlineStr">
        <is>
          <t>2026年8月15日</t>
        </is>
      </c>
      <c r="E183" s="8" t="inlineStr">
        <is>
          <t>レジャー</t>
        </is>
      </c>
      <c r="F183" s="8" t="n">
        <v>5</v>
      </c>
      <c r="G183" s="8" t="n">
        <v>5</v>
      </c>
      <c r="H183" s="8" t="n">
        <v>4</v>
      </c>
      <c r="I183" s="8" t="n">
        <v>4</v>
      </c>
      <c r="J183" s="8" t="n">
        <v>5</v>
      </c>
      <c r="K183" s="8" t="n">
        <v>5</v>
      </c>
      <c r="L183" s="8" t="inlineStr">
        <is>
          <t>コスパの良い車</t>
        </is>
      </c>
      <c r="M183" s="14" t="inlineStr">
        <is>
          <t>【値段】 100万あればそこそこの状態のものが手に入る。 【走行性能】 アルヴェル、ノアヴォク他同クラスミニバンと比べて腰高感はなくコーナーでも車格の割に頭の入りが良い印象。 2.4Lなので決して速い訳ではないが高速道路で流れに合わせて走るには十分なパワーはある。 ただし、120キロ〜巡航は少ししんどいかも。 【積載量】 3列目が床下に格納できるので2列目の後ろのスペースがかなり広く使える。 なので日常的に車に積む大概のものはエスティマには入り込むのでアルヴェルやハイエースクラスが必要かなと思うシーンはない。 【その他】 設計自体は古いがあまり気にならないし今時のギラギラした感じの車が苦手なのでいい塩梅。</t>
        </is>
      </c>
      <c r="N183" s="14" t="inlineStr">
        <is>
          <t>【走行性能】 3.5Lモデルならトルクモリモリなので高速道路での巡航は割と楽だろうけど2.4Lは100キロ以上出す時は少し神経使う。（気を抜くとすぐ速度が落ちるので。 【エンジン】 2AZなのでエンジンを事前に見極めないといけないのが少しアレ 【ブレーキ】 1.7トンの巨漢を方押し1ポッドのブレーキは少々心許ない。</t>
        </is>
      </c>
      <c r="O183" s="14" t="inlineStr">
        <is>
          <t>ファミリーカーとして、アウトドア用途では十分すぎる性能でコスパも良いのでみんなもエスティマに乗りましょう。</t>
        </is>
      </c>
      <c r="P183" s="8" t="inlineStr">
        <is>
          <t>https://minkara.carview.co.jp/car/toyota/estima/review/detail.aspx?cid=460548</t>
        </is>
      </c>
    </row>
    <row r="184">
      <c r="A184" s="13" t="inlineStr">
        <is>
          <t>エスティマ</t>
        </is>
      </c>
      <c r="B184" s="13" t="n">
        <v>2006</v>
      </c>
      <c r="C184" s="13" t="inlineStr">
        <is>
          <t>不明</t>
        </is>
      </c>
      <c r="D184" s="13" t="inlineStr">
        <is>
          <t>2026年8月15日</t>
        </is>
      </c>
      <c r="E184" s="13" t="inlineStr">
        <is>
          <t>買い物</t>
        </is>
      </c>
      <c r="F184" s="13" t="n">
        <v>3</v>
      </c>
      <c r="G184" s="13" t="n"/>
      <c r="H184" s="13" t="n"/>
      <c r="I184" s="13" t="n"/>
      <c r="J184" s="13" t="n"/>
      <c r="K184" s="13" t="n"/>
      <c r="L184" s="13" t="inlineStr">
        <is>
          <t>友達から安く購入しました。</t>
        </is>
      </c>
      <c r="M184" s="14" t="n"/>
      <c r="N184" s="14" t="n"/>
      <c r="O184" s="14" t="inlineStr">
        <is>
          <t>16万キロ走ってますがやはりトヨタは強いですね。</t>
        </is>
      </c>
      <c r="P184" s="13" t="inlineStr">
        <is>
          <t>https://minkara.carview.co.jp/car/toyota/estima/review/detail.aspx?cid=460540</t>
        </is>
      </c>
    </row>
    <row r="185">
      <c r="A185" s="8" t="inlineStr">
        <is>
          <t>エスティマ</t>
        </is>
      </c>
      <c r="B185" s="8" t="n">
        <v>2016</v>
      </c>
      <c r="C185" s="8" t="inlineStr">
        <is>
          <t>アエラス プレミアムG_7人乗り_4WD(CVT_2.4)</t>
        </is>
      </c>
      <c r="D185" s="8" t="inlineStr">
        <is>
          <t>2026年8月8日</t>
        </is>
      </c>
      <c r="E185" s="8" t="inlineStr">
        <is>
          <t>通勤通学</t>
        </is>
      </c>
      <c r="F185" s="8" t="n">
        <v>5</v>
      </c>
      <c r="G185" s="8" t="n"/>
      <c r="H185" s="8" t="n"/>
      <c r="I185" s="8" t="n"/>
      <c r="J185" s="8" t="n"/>
      <c r="K185" s="8" t="n"/>
      <c r="L185" s="8" t="inlineStr">
        <is>
          <t>普通</t>
        </is>
      </c>
      <c r="M185" s="14" t="n"/>
      <c r="N185" s="14" t="n"/>
      <c r="O185" s="14" t="inlineStr">
        <is>
          <t>普通</t>
        </is>
      </c>
      <c r="P185" s="8" t="inlineStr">
        <is>
          <t>https://minkara.carview.co.jp/car/toyota/estima/review/detail.aspx?cid=459999</t>
        </is>
      </c>
    </row>
    <row r="186">
      <c r="A186" s="13" t="inlineStr">
        <is>
          <t>エスティマ</t>
        </is>
      </c>
      <c r="B186" s="13" t="n">
        <v>2016</v>
      </c>
      <c r="C186" s="13" t="inlineStr">
        <is>
          <t>アエラス プレミアム_7人乗り(CVT_2.4)</t>
        </is>
      </c>
      <c r="D186" s="13" t="inlineStr">
        <is>
          <t>2026年7月13日</t>
        </is>
      </c>
      <c r="E186" s="13" t="inlineStr">
        <is>
          <t>レジャー</t>
        </is>
      </c>
      <c r="F186" s="13" t="n">
        <v>5</v>
      </c>
      <c r="G186" s="13" t="n">
        <v>5</v>
      </c>
      <c r="H186" s="13" t="n">
        <v>4</v>
      </c>
      <c r="I186" s="13" t="n">
        <v>3</v>
      </c>
      <c r="J186" s="13" t="n">
        <v>4</v>
      </c>
      <c r="K186" s="13" t="n">
        <v>3</v>
      </c>
      <c r="L186" s="13" t="inlineStr">
        <is>
          <t>ファミリーカー（後部座席はVIP）ながらのスポーティなスタイ…</t>
        </is>
      </c>
      <c r="M186" s="14" t="inlineStr">
        <is>
          <t>乗れば分かる</t>
        </is>
      </c>
      <c r="N186" s="14" t="inlineStr">
        <is>
          <t>内装にもう少し高級感を持たせたい</t>
        </is>
      </c>
      <c r="O186" s="14" t="inlineStr">
        <is>
          <t>どんなスタイルのレジャーにも合う丁度良いサイズ感 にもかかわらず、乗り手の気持ちに応えるべくレスポンス良くエンジンがまわる かと言って激しくない とてもよい車です</t>
        </is>
      </c>
      <c r="P186" s="13" t="inlineStr">
        <is>
          <t>https://minkara.carview.co.jp/car/toyota/estima/review/detail.aspx?cid=458169</t>
        </is>
      </c>
    </row>
    <row r="187">
      <c r="A187" s="8" t="inlineStr">
        <is>
          <t>エスティマ</t>
        </is>
      </c>
      <c r="B187" s="8" t="n">
        <v>2014</v>
      </c>
      <c r="C187" s="8" t="inlineStr">
        <is>
          <t>2.4アエラス“プレミアム エディション”_7人乗り(CVT_2.4)</t>
        </is>
      </c>
      <c r="D187" s="8" t="inlineStr">
        <is>
          <t>2026年7月12日</t>
        </is>
      </c>
      <c r="E187" s="8" t="inlineStr">
        <is>
          <t>レジャー</t>
        </is>
      </c>
      <c r="F187" s="8" t="n">
        <v>5</v>
      </c>
      <c r="G187" s="8" t="n">
        <v>5</v>
      </c>
      <c r="H187" s="8" t="n">
        <v>4</v>
      </c>
      <c r="I187" s="8" t="n">
        <v>3</v>
      </c>
      <c r="J187" s="8" t="n">
        <v>5</v>
      </c>
      <c r="K187" s="8" t="n">
        <v>3</v>
      </c>
      <c r="L187" s="8" t="inlineStr">
        <is>
          <t>操作性が良い</t>
        </is>
      </c>
      <c r="M187" s="14" t="inlineStr">
        <is>
          <t>高速道路でも風の抵抗を受けにくくとても運転しやすい。見た目もエスティマの中でも圧倒的にいいと思う</t>
        </is>
      </c>
      <c r="N187" s="14" t="inlineStr">
        <is>
          <t>年式が古いので最近の車と比較すると相場面は劣る</t>
        </is>
      </c>
      <c r="O187" s="14" t="inlineStr">
        <is>
          <t>ファミリーカーとしては最高にいいと思う。</t>
        </is>
      </c>
      <c r="P187" s="8" t="inlineStr">
        <is>
          <t>https://minkara.carview.co.jp/car/toyota/estima/review/detail.aspx?cid=458038</t>
        </is>
      </c>
    </row>
    <row r="188">
      <c r="A188" s="13" t="inlineStr">
        <is>
          <t>エスティマ</t>
        </is>
      </c>
      <c r="B188" s="13" t="n">
        <v>2006</v>
      </c>
      <c r="C188" s="13" t="inlineStr">
        <is>
          <t>アエラス“Gパッケージ”(AT_3.5_8人乗)</t>
        </is>
      </c>
      <c r="D188" s="13" t="inlineStr">
        <is>
          <t>2026年7月11日</t>
        </is>
      </c>
      <c r="E188" s="13" t="inlineStr">
        <is>
          <t>通勤通学</t>
        </is>
      </c>
      <c r="F188" s="13" t="n">
        <v>5</v>
      </c>
      <c r="G188" s="13" t="n">
        <v>5</v>
      </c>
      <c r="H188" s="13" t="n">
        <v>5</v>
      </c>
      <c r="I188" s="13" t="n">
        <v>5</v>
      </c>
      <c r="J188" s="13" t="n">
        <v>5</v>
      </c>
      <c r="K188" s="13" t="n">
        <v>5</v>
      </c>
      <c r="L188" s="13" t="inlineStr">
        <is>
          <t>アエラス</t>
        </is>
      </c>
      <c r="M188" s="14" t="inlineStr">
        <is>
          <t>パワー</t>
        </is>
      </c>
      <c r="N188" s="14" t="inlineStr">
        <is>
          <t>整備で後悔する箇所、プラグ交換 エアクリーナーフィルター交換 冷却水交換 制動距離が長い</t>
        </is>
      </c>
      <c r="O188" s="14" t="inlineStr">
        <is>
          <t>たまにでっかいマウスに見える。</t>
        </is>
      </c>
      <c r="P188" s="13" t="inlineStr">
        <is>
          <t>https://minkara.carview.co.jp/car/toyota/estima/review/detail.aspx?cid=457989</t>
        </is>
      </c>
    </row>
    <row r="189">
      <c r="A189" s="8" t="inlineStr">
        <is>
          <t>エスティマ</t>
        </is>
      </c>
      <c r="B189" s="8" t="n">
        <v>2007</v>
      </c>
      <c r="C189" s="8" t="inlineStr">
        <is>
          <t>アエラス“G-エディション”_7人乗り_FF(CVT_2.4)</t>
        </is>
      </c>
      <c r="D189" s="8" t="inlineStr">
        <is>
          <t>2026年7月9日</t>
        </is>
      </c>
      <c r="E189" s="8" t="inlineStr">
        <is>
          <t>レジャー</t>
        </is>
      </c>
      <c r="F189" s="8" t="n">
        <v>5</v>
      </c>
      <c r="G189" s="8" t="n">
        <v>5</v>
      </c>
      <c r="H189" s="8" t="n">
        <v>5</v>
      </c>
      <c r="I189" s="8" t="n">
        <v>5</v>
      </c>
      <c r="J189" s="8" t="n">
        <v>5</v>
      </c>
      <c r="K189" s="8" t="n">
        <v>3</v>
      </c>
      <c r="L189" s="8" t="inlineStr">
        <is>
          <t>天才タマゴ</t>
        </is>
      </c>
      <c r="M189" s="14" t="inlineStr">
        <is>
          <t>とても大きな車ですので遠出も楽ちんで荷物が増えてもへっちゃらです。</t>
        </is>
      </c>
      <c r="N189" s="14" t="inlineStr">
        <is>
          <t>燃費が多少悪いことくらいです。</t>
        </is>
      </c>
      <c r="O189" s="14" t="inlineStr">
        <is>
          <t>最高です。笑</t>
        </is>
      </c>
      <c r="P189" s="8" t="inlineStr">
        <is>
          <t>https://minkara.carview.co.jp/car/toyota/estima/review/detail.aspx?cid=457906</t>
        </is>
      </c>
    </row>
    <row r="190">
      <c r="A190" s="13" t="inlineStr">
        <is>
          <t>エスティマ</t>
        </is>
      </c>
      <c r="B190" s="13" t="n">
        <v>2009</v>
      </c>
      <c r="C190" s="13" t="inlineStr">
        <is>
          <t>アエラス_7人乗り_4WD(AT_3.5)</t>
        </is>
      </c>
      <c r="D190" s="13" t="inlineStr">
        <is>
          <t>2026年7月7日</t>
        </is>
      </c>
      <c r="E190" s="13" t="inlineStr">
        <is>
          <t>レジャー</t>
        </is>
      </c>
      <c r="F190" s="13" t="n">
        <v>3</v>
      </c>
      <c r="G190" s="13" t="n">
        <v>4</v>
      </c>
      <c r="H190" s="13" t="n">
        <v>3</v>
      </c>
      <c r="I190" s="13" t="n">
        <v>3</v>
      </c>
      <c r="J190" s="13" t="n">
        <v>4</v>
      </c>
      <c r="K190" s="13" t="n">
        <v>3</v>
      </c>
      <c r="L190" s="13" t="inlineStr">
        <is>
          <t>古く見えないデザイン</t>
        </is>
      </c>
      <c r="M190" s="14" t="inlineStr">
        <is>
          <t>三列目を使ってもトランクが深くて広いので荷物はかなり積める方だと思います。また三列目を格納すれば、元祖？スーパーリラックスモードで快適な4人乗り。（私は運転専門ですが） 同乗している家族が寝たらV6サウンドを楽しめるので長距離が苦にならない。</t>
        </is>
      </c>
      <c r="N190" s="14" t="inlineStr">
        <is>
          <t>燃料タンクが小さい。（これ以上のスペースがないのは承知してます。） ルーフに弾く雨音が凄い。 悪名高きヘッドライト、噂には聞いていたがこんなに暗いとは。</t>
        </is>
      </c>
      <c r="O190" s="14" t="inlineStr">
        <is>
          <t>ちょうど2年37000キロ走りましたが、エンジンかけるたびにセルの音にニヤニヤ、走り出せばトルクがあるので余裕のある運転が出来る。 全く飽きませんが、職場が遠くなりそうなので近々乗り換えるかもしれません。</t>
        </is>
      </c>
      <c r="P190" s="13" t="inlineStr">
        <is>
          <t>https://minkara.carview.co.jp/car/toyota/estima/review/detail.aspx?cid=457787</t>
        </is>
      </c>
    </row>
    <row r="191">
      <c r="A191" s="8" t="inlineStr">
        <is>
          <t>エスティマ</t>
        </is>
      </c>
      <c r="B191" s="8" t="n">
        <v>2010</v>
      </c>
      <c r="C191" s="8" t="inlineStr">
        <is>
          <t>AERAS G-Edition</t>
        </is>
      </c>
      <c r="D191" s="8" t="inlineStr">
        <is>
          <t>2026年7月3日</t>
        </is>
      </c>
      <c r="E191" s="8" t="inlineStr">
        <is>
          <t>通勤通学</t>
        </is>
      </c>
      <c r="F191" s="8" t="n">
        <v>5</v>
      </c>
      <c r="G191" s="8" t="n">
        <v>4</v>
      </c>
      <c r="H191" s="8" t="n">
        <v>2</v>
      </c>
      <c r="I191" s="8" t="n">
        <v>3</v>
      </c>
      <c r="J191" s="8" t="n">
        <v>3</v>
      </c>
      <c r="K191" s="8" t="n">
        <v>3</v>
      </c>
      <c r="L191" s="8" t="inlineStr">
        <is>
          <t>こんなに長く乗るとは！</t>
        </is>
      </c>
      <c r="M191" s="14" t="inlineStr">
        <is>
          <t>正直特に無いが、洗車した後の姿見たらまぁ良いかって思う。</t>
        </is>
      </c>
      <c r="N191" s="14" t="inlineStr">
        <is>
          <t>最近塗装が剥がれてきた</t>
        </is>
      </c>
      <c r="O191" s="14" t="inlineStr">
        <is>
          <t>腰下新品なんで長く乗れるんだけど、塗装が剥がれてショック</t>
        </is>
      </c>
      <c r="P191" s="8" t="inlineStr">
        <is>
          <t>https://minkara.carview.co.jp/car/toyota/estima/review/detail.aspx?cid=457488</t>
        </is>
      </c>
    </row>
    <row r="192">
      <c r="A192" s="13" t="inlineStr">
        <is>
          <t>エスティマ</t>
        </is>
      </c>
      <c r="B192" s="13" t="n">
        <v>2006</v>
      </c>
      <c r="C192" s="13" t="inlineStr">
        <is>
          <t>不明</t>
        </is>
      </c>
      <c r="D192" s="13" t="inlineStr">
        <is>
          <t>2026年7月2日</t>
        </is>
      </c>
      <c r="E192" s="13" t="inlineStr">
        <is>
          <t>レジャー</t>
        </is>
      </c>
      <c r="F192" s="13" t="n">
        <v>4</v>
      </c>
      <c r="G192" s="13" t="n">
        <v>5</v>
      </c>
      <c r="H192" s="13" t="n">
        <v>4</v>
      </c>
      <c r="I192" s="13" t="n">
        <v>5</v>
      </c>
      <c r="J192" s="13" t="n">
        <v>4</v>
      </c>
      <c r="K192" s="13" t="n">
        <v>3</v>
      </c>
      <c r="L192" s="13" t="inlineStr">
        <is>
          <t>やはりエスティマは良い！</t>
        </is>
      </c>
      <c r="M192" s="14" t="inlineStr">
        <is>
          <t>エスティマはやはり居住空間の良さと快適さなのかと思いますね… 一言で言いますと アルファード（ベルファイア）未満ボクシー（ノア）以上のポジショニングで 一番いいなぁと思うのはスクウェアなミニバンが多いなかで、この天才タマゴの可愛らしさと表情が気に入ってます。</t>
        </is>
      </c>
      <c r="N192" s="14" t="inlineStr">
        <is>
          <t>エスティマで良く言われますオイル過剰消費問題は前期車では感じましたが、今の中期ですとかなり軽減されている様子です。 ただエスティマに乗るならなるべくなら3,500km辺りでオイル交換するとエンジンの調子は良いと感じます。</t>
        </is>
      </c>
      <c r="O192" s="14" t="inlineStr">
        <is>
          <t>エスティマは使い勝手も良く同乗する家族や友人も疲れにくいシートで近場も長距離も充分に満足できる車内空間を有しているので 海、山、キャンプ、スキースノボ、何でも使い勝手は良いです。</t>
        </is>
      </c>
      <c r="P192" s="13" t="inlineStr">
        <is>
          <t>https://minkara.carview.co.jp/car/toyota/estima/review/detail.aspx?cid=457411</t>
        </is>
      </c>
    </row>
    <row r="193">
      <c r="A193" s="8" t="inlineStr">
        <is>
          <t>エスティマ</t>
        </is>
      </c>
      <c r="B193" s="8" t="n">
        <v>1998</v>
      </c>
      <c r="C193" s="8" t="inlineStr">
        <is>
          <t>V-Limited</t>
        </is>
      </c>
      <c r="D193" s="8" t="inlineStr">
        <is>
          <t>2026年6月22日</t>
        </is>
      </c>
      <c r="E193" s="8" t="inlineStr">
        <is>
          <t>その他</t>
        </is>
      </c>
      <c r="F193" s="8" t="n">
        <v>5</v>
      </c>
      <c r="G193" s="8" t="n">
        <v>5</v>
      </c>
      <c r="H193" s="8" t="n">
        <v>5</v>
      </c>
      <c r="I193" s="8" t="n">
        <v>3</v>
      </c>
      <c r="J193" s="8" t="n">
        <v>3</v>
      </c>
      <c r="K193" s="8" t="n">
        <v>1</v>
      </c>
      <c r="L193" s="8" t="inlineStr">
        <is>
          <t>28年経ったけどまだまだ乗ります</t>
        </is>
      </c>
      <c r="M193" s="14" t="inlineStr">
        <is>
          <t>全て</t>
        </is>
      </c>
      <c r="N193" s="14" t="inlineStr">
        <is>
          <t>部品がない</t>
        </is>
      </c>
      <c r="O193" s="14" t="inlineStr">
        <is>
          <t>10点</t>
        </is>
      </c>
      <c r="P193" s="8" t="inlineStr">
        <is>
          <t>https://minkara.carview.co.jp/car/toyota/estima/review/detail.aspx?cid=456722</t>
        </is>
      </c>
    </row>
    <row r="194">
      <c r="A194" s="13" t="inlineStr">
        <is>
          <t>エスティマ</t>
        </is>
      </c>
      <c r="B194" s="13" t="n">
        <v>2007</v>
      </c>
      <c r="C194" s="13" t="inlineStr">
        <is>
          <t>G (CVT_2.4_7人乗り)</t>
        </is>
      </c>
      <c r="D194" s="13" t="inlineStr">
        <is>
          <t>2026年6月7日</t>
        </is>
      </c>
      <c r="E194" s="13" t="inlineStr">
        <is>
          <t>買い物</t>
        </is>
      </c>
      <c r="F194" s="13" t="n">
        <v>5</v>
      </c>
      <c r="G194" s="13" t="n">
        <v>5</v>
      </c>
      <c r="H194" s="13" t="n">
        <v>5</v>
      </c>
      <c r="I194" s="13" t="n">
        <v>5</v>
      </c>
      <c r="J194" s="13" t="n">
        <v>5</v>
      </c>
      <c r="K194" s="13" t="n">
        <v>2</v>
      </c>
      <c r="L194" s="13" t="inlineStr">
        <is>
          <t>広くて乗りやすい。</t>
        </is>
      </c>
      <c r="M194" s="14" t="n"/>
      <c r="N194" s="14" t="n"/>
      <c r="O194" s="14" t="inlineStr">
        <is>
          <t>ファミリーカーです。 三列目を格納して二列目を最後列に下げてゆったりリムジン仕様です。</t>
        </is>
      </c>
      <c r="P194" s="13" t="inlineStr">
        <is>
          <t>https://minkara.carview.co.jp/car/toyota/estima/review/detail.aspx?cid=455709</t>
        </is>
      </c>
    </row>
    <row r="195">
      <c r="A195" s="8" t="inlineStr">
        <is>
          <t>エスティマ</t>
        </is>
      </c>
      <c r="B195" s="8" t="n">
        <v>2006</v>
      </c>
      <c r="C195" s="8" t="inlineStr">
        <is>
          <t>G(AT_3.5_7人乗)</t>
        </is>
      </c>
      <c r="D195" s="8" t="inlineStr">
        <is>
          <t>2026年5月11日</t>
        </is>
      </c>
      <c r="E195" s="8" t="inlineStr">
        <is>
          <t>レジャー</t>
        </is>
      </c>
      <c r="F195" s="8" t="n">
        <v>5</v>
      </c>
      <c r="G195" s="8" t="n">
        <v>5</v>
      </c>
      <c r="H195" s="8" t="n">
        <v>5</v>
      </c>
      <c r="I195" s="8" t="n">
        <v>4</v>
      </c>
      <c r="J195" s="8" t="n">
        <v>5</v>
      </c>
      <c r="K195" s="8" t="n">
        <v>3</v>
      </c>
      <c r="L195" s="8" t="inlineStr">
        <is>
          <t>あっちこっち釣りに行っても疲れない😂</t>
        </is>
      </c>
      <c r="M195" s="14" t="inlineStr">
        <is>
          <t>どうしても3.5Lに乗って見たくて探しました。 トルクがとんでもなくてアクセル全開なんてほとんど使いません笑</t>
        </is>
      </c>
      <c r="N195" s="14" t="inlineStr">
        <is>
          <t>6ATがよわよわなので、壊さないようにそっと乗る予定です😂</t>
        </is>
      </c>
      <c r="O195" s="14" t="inlineStr">
        <is>
          <t>20年物で自動車税爆上がりですが見つけました😆</t>
        </is>
      </c>
      <c r="P195" s="8" t="inlineStr">
        <is>
          <t>https://minkara.carview.co.jp/car/toyota/estima/review/detail.aspx?cid=453786</t>
        </is>
      </c>
    </row>
    <row r="196">
      <c r="A196" s="13" t="inlineStr">
        <is>
          <t>エスティマ</t>
        </is>
      </c>
      <c r="B196" s="13" t="n">
        <v>2010</v>
      </c>
      <c r="C196" s="13" t="inlineStr">
        <is>
          <t>AERAS G-Edition</t>
        </is>
      </c>
      <c r="D196" s="13" t="inlineStr">
        <is>
          <t>2026年5月8日</t>
        </is>
      </c>
      <c r="E196" s="13" t="inlineStr">
        <is>
          <t>買い物</t>
        </is>
      </c>
      <c r="F196" s="13" t="n">
        <v>4</v>
      </c>
      <c r="G196" s="13" t="n">
        <v>4</v>
      </c>
      <c r="H196" s="13" t="n">
        <v>4</v>
      </c>
      <c r="I196" s="13" t="n">
        <v>3</v>
      </c>
      <c r="J196" s="13" t="n">
        <v>3</v>
      </c>
      <c r="K196" s="13" t="n">
        <v>3</v>
      </c>
      <c r="L196" s="13" t="inlineStr">
        <is>
          <t>やっぱりエスティマ</t>
        </is>
      </c>
      <c r="M196" s="14" t="inlineStr">
        <is>
          <t>運転のしやすさ</t>
        </is>
      </c>
      <c r="N196" s="14" t="n"/>
      <c r="O196" s="14" t="inlineStr">
        <is>
          <t>人が乗れて、荷物も載せれる、車のサイズもちょうど良い</t>
        </is>
      </c>
      <c r="P196" s="13" t="inlineStr">
        <is>
          <t>https://minkara.carview.co.jp/car/toyota/estima/review/detail.aspx?cid=453576</t>
        </is>
      </c>
    </row>
    <row r="197">
      <c r="A197" s="8" t="inlineStr">
        <is>
          <t>エスティマ</t>
        </is>
      </c>
      <c r="B197" s="8" t="n">
        <v>2013</v>
      </c>
      <c r="C197" s="8" t="inlineStr">
        <is>
          <t>2.4アエラス“プレミアム エディション”_7人乗り(CVT_2.4)</t>
        </is>
      </c>
      <c r="D197" s="8" t="inlineStr">
        <is>
          <t>2026年4月30日</t>
        </is>
      </c>
      <c r="E197" s="8" t="n"/>
      <c r="F197" s="8" t="n">
        <v>4</v>
      </c>
      <c r="G197" s="8" t="n"/>
      <c r="H197" s="8" t="n"/>
      <c r="I197" s="8" t="n"/>
      <c r="J197" s="8" t="n"/>
      <c r="K197" s="8" t="n"/>
      <c r="L197" s="8" t="inlineStr">
        <is>
          <t>乗りやすい</t>
        </is>
      </c>
      <c r="M197" s="14" t="inlineStr">
        <is>
          <t>扱いやすい、丁度良い大きさ</t>
        </is>
      </c>
      <c r="N197" s="14" t="inlineStr">
        <is>
          <t>ナビがダメ マップ更新が10年で終了するのに、社外品へ交換するのに取り付け断られた</t>
        </is>
      </c>
      <c r="O197" s="14" t="inlineStr">
        <is>
          <t>概ね良い車だと思う</t>
        </is>
      </c>
      <c r="P197" s="8" t="inlineStr">
        <is>
          <t>https://minkara.carview.co.jp/car/toyota/estima/review/detail.aspx?cid=452854</t>
        </is>
      </c>
    </row>
    <row r="198">
      <c r="A198" s="13" t="inlineStr">
        <is>
          <t>エスティマ</t>
        </is>
      </c>
      <c r="B198" s="13" t="n">
        <v>2006</v>
      </c>
      <c r="C198" s="13" t="inlineStr">
        <is>
          <t>不明</t>
        </is>
      </c>
      <c r="D198" s="13" t="inlineStr">
        <is>
          <t>2026年4月27日</t>
        </is>
      </c>
      <c r="E198" s="13" t="inlineStr">
        <is>
          <t>レジャー</t>
        </is>
      </c>
      <c r="F198" s="13" t="n">
        <v>5</v>
      </c>
      <c r="G198" s="13" t="n">
        <v>5</v>
      </c>
      <c r="H198" s="13" t="n">
        <v>4</v>
      </c>
      <c r="I198" s="13" t="n">
        <v>4</v>
      </c>
      <c r="J198" s="13" t="n">
        <v>2</v>
      </c>
      <c r="K198" s="13" t="n">
        <v>3</v>
      </c>
      <c r="L198" s="13" t="inlineStr">
        <is>
          <t>街乗りしやすい車</t>
        </is>
      </c>
      <c r="M198" s="14" t="n"/>
      <c r="N198" s="14" t="n"/>
      <c r="O198" s="14" t="inlineStr">
        <is>
          <t>シートが固く感じるけど運転はしやすい</t>
        </is>
      </c>
      <c r="P198" s="13" t="inlineStr">
        <is>
          <t>https://minkara.carview.co.jp/car/toyota/estima/review/detail.aspx?cid=452657</t>
        </is>
      </c>
    </row>
    <row r="199">
      <c r="A199" s="8" t="inlineStr">
        <is>
          <t>エスティマ</t>
        </is>
      </c>
      <c r="B199" s="8" t="n">
        <v>2008</v>
      </c>
      <c r="C199" s="8" t="inlineStr">
        <is>
          <t>不明</t>
        </is>
      </c>
      <c r="D199" s="8" t="inlineStr">
        <is>
          <t>2026年4月26日</t>
        </is>
      </c>
      <c r="E199" s="8" t="inlineStr">
        <is>
          <t>通勤通学</t>
        </is>
      </c>
      <c r="F199" s="8" t="n">
        <v>5</v>
      </c>
      <c r="G199" s="8" t="n">
        <v>4</v>
      </c>
      <c r="H199" s="8" t="n">
        <v>3</v>
      </c>
      <c r="I199" s="8" t="n">
        <v>3</v>
      </c>
      <c r="J199" s="8" t="n">
        <v>4</v>
      </c>
      <c r="K199" s="8" t="n">
        <v>3</v>
      </c>
      <c r="L199" s="8" t="inlineStr">
        <is>
          <t>使い勝手良い</t>
        </is>
      </c>
      <c r="M199" s="14" t="inlineStr">
        <is>
          <t>車内広く使える</t>
        </is>
      </c>
      <c r="N199" s="14" t="n"/>
      <c r="O199" s="14" t="inlineStr">
        <is>
          <t>中古相場では安くて使い勝手良いから満足</t>
        </is>
      </c>
      <c r="P199" s="8" t="inlineStr">
        <is>
          <t>https://minkara.carview.co.jp/car/toyota/estima/review/detail.aspx?cid=452559</t>
        </is>
      </c>
    </row>
    <row r="200">
      <c r="A200" s="13" t="inlineStr">
        <is>
          <t>エスティマ</t>
        </is>
      </c>
      <c r="B200" s="13" t="n">
        <v>2008</v>
      </c>
      <c r="C200" s="13" t="inlineStr">
        <is>
          <t>不明</t>
        </is>
      </c>
      <c r="D200" s="13" t="inlineStr">
        <is>
          <t>2026年4月26日</t>
        </is>
      </c>
      <c r="E200" s="13" t="inlineStr">
        <is>
          <t>通勤通学</t>
        </is>
      </c>
      <c r="F200" s="13" t="n">
        <v>5</v>
      </c>
      <c r="G200" s="13" t="n">
        <v>4</v>
      </c>
      <c r="H200" s="13" t="n">
        <v>3</v>
      </c>
      <c r="I200" s="13" t="n">
        <v>3</v>
      </c>
      <c r="J200" s="13" t="n">
        <v>4</v>
      </c>
      <c r="K200" s="13" t="n">
        <v>3</v>
      </c>
      <c r="L200" s="13" t="inlineStr">
        <is>
          <t>使い勝手良い</t>
        </is>
      </c>
      <c r="M200" s="14" t="inlineStr">
        <is>
          <t>車内広く使える</t>
        </is>
      </c>
      <c r="N200" s="14" t="n"/>
      <c r="O200" s="14" t="inlineStr">
        <is>
          <t>中古相場では安くて使い勝手良いから満足</t>
        </is>
      </c>
      <c r="P200" s="13" t="inlineStr">
        <is>
          <t>https://minkara.carview.co.jp/car/toyota/estima/review/detail.aspx?cid=452558</t>
        </is>
      </c>
    </row>
    <row r="201">
      <c r="A201" s="8" t="inlineStr">
        <is>
          <t>エスティマ</t>
        </is>
      </c>
      <c r="B201" s="8" t="n">
        <v>2014</v>
      </c>
      <c r="C201" s="8" t="inlineStr">
        <is>
          <t>2.4アエラス“プレミアム エディション”_7人乗り(CVT_2.4)</t>
        </is>
      </c>
      <c r="D201" s="8" t="inlineStr">
        <is>
          <t>2026年4月25日</t>
        </is>
      </c>
      <c r="E201" s="8" t="inlineStr">
        <is>
          <t>レジャー</t>
        </is>
      </c>
      <c r="F201" s="8" t="n">
        <v>5</v>
      </c>
      <c r="G201" s="8" t="n">
        <v>5</v>
      </c>
      <c r="H201" s="8" t="n">
        <v>4</v>
      </c>
      <c r="I201" s="8" t="n">
        <v>5</v>
      </c>
      <c r="J201" s="8" t="n">
        <v>5</v>
      </c>
      <c r="K201" s="8" t="n">
        <v>5</v>
      </c>
      <c r="L201" s="8" t="inlineStr">
        <is>
          <t>ワンボックスで１番良い</t>
        </is>
      </c>
      <c r="M201" s="14" t="n"/>
      <c r="N201" s="14" t="n"/>
      <c r="O201" s="14" t="inlineStr">
        <is>
          <t>ロールが少なくてコーナーリングが楽、最高！</t>
        </is>
      </c>
      <c r="P201" s="8" t="inlineStr">
        <is>
          <t>https://minkara.carview.co.jp/car/toyota/estima/review/detail.aspx?cid=452426</t>
        </is>
      </c>
    </row>
    <row r="202">
      <c r="A202" s="13" t="inlineStr">
        <is>
          <t>エスティマ</t>
        </is>
      </c>
      <c r="B202" s="13" t="n">
        <v>2006</v>
      </c>
      <c r="C202" s="13" t="inlineStr">
        <is>
          <t>不明</t>
        </is>
      </c>
      <c r="D202" s="13" t="inlineStr">
        <is>
          <t>2026年4月22日</t>
        </is>
      </c>
      <c r="E202" s="13" t="inlineStr">
        <is>
          <t>レジャー</t>
        </is>
      </c>
      <c r="F202" s="13" t="n">
        <v>5</v>
      </c>
      <c r="G202" s="13" t="n">
        <v>5</v>
      </c>
      <c r="H202" s="13" t="n">
        <v>4</v>
      </c>
      <c r="I202" s="13" t="n">
        <v>4</v>
      </c>
      <c r="J202" s="13" t="n">
        <v>4</v>
      </c>
      <c r="K202" s="13" t="n">
        <v>4</v>
      </c>
      <c r="L202" s="13" t="inlineStr">
        <is>
          <t>TEIN車高調+純正ホイール重視</t>
        </is>
      </c>
      <c r="M202" s="14" t="n"/>
      <c r="N202" s="14" t="n"/>
      <c r="O202" s="14" t="inlineStr">
        <is>
          <t>ローダウンで純正ホイールなので走行性能は抜群です</t>
        </is>
      </c>
      <c r="P202" s="13" t="inlineStr">
        <is>
          <t>https://minkara.carview.co.jp/car/toyota/estima/review/detail.aspx?cid=452219</t>
        </is>
      </c>
    </row>
    <row r="203">
      <c r="A203" s="8" t="inlineStr">
        <is>
          <t>エスティマ</t>
        </is>
      </c>
      <c r="B203" s="8" t="n">
        <v>2006</v>
      </c>
      <c r="C203" s="8" t="inlineStr">
        <is>
          <t>アエラス(CVT_2.4_7人乗)</t>
        </is>
      </c>
      <c r="D203" s="8" t="inlineStr">
        <is>
          <t>2026年4月16日</t>
        </is>
      </c>
      <c r="E203" s="8" t="inlineStr">
        <is>
          <t>レジャー</t>
        </is>
      </c>
      <c r="F203" s="8" t="n">
        <v>5</v>
      </c>
      <c r="G203" s="8" t="n">
        <v>5</v>
      </c>
      <c r="H203" s="8" t="n">
        <v>5</v>
      </c>
      <c r="I203" s="8" t="n">
        <v>5</v>
      </c>
      <c r="J203" s="8" t="n">
        <v>5</v>
      </c>
      <c r="K203" s="8" t="n">
        <v>4</v>
      </c>
      <c r="L203" s="8" t="inlineStr">
        <is>
          <t>相棒</t>
        </is>
      </c>
      <c r="M203" s="14" t="inlineStr">
        <is>
          <t>20年乗っても壊れない 3列シートが隠れて荷物が積める。 キャプテンシートが良い フロントカメラ、サイドカメラが便利 14スピーカで映画館レベル</t>
        </is>
      </c>
      <c r="N203" s="14" t="inlineStr">
        <is>
          <t>カーナビのソフトの更新が出来ない 窓枠のパッキンが劣化、交換済 リアのテレビが小さく感じます。</t>
        </is>
      </c>
      <c r="O203" s="14" t="inlineStr">
        <is>
          <t>20年前の車とは思えないくらい優雅 5人家族に最適</t>
        </is>
      </c>
      <c r="P203" s="8" t="inlineStr">
        <is>
          <t>https://minkara.carview.co.jp/car/toyota/estima/review/detail.aspx?cid=451736</t>
        </is>
      </c>
    </row>
    <row r="204">
      <c r="A204" s="13" t="inlineStr">
        <is>
          <t>エスティマ</t>
        </is>
      </c>
      <c r="B204" s="13" t="n">
        <v>2016</v>
      </c>
      <c r="C204" s="13" t="inlineStr">
        <is>
          <t>アエラス プレミアムG_7人乗り(CVT_2.4)</t>
        </is>
      </c>
      <c r="D204" s="13" t="inlineStr">
        <is>
          <t>2026年3月31日</t>
        </is>
      </c>
      <c r="E204" s="13" t="inlineStr">
        <is>
          <t>通勤通学</t>
        </is>
      </c>
      <c r="F204" s="13" t="n">
        <v>5</v>
      </c>
      <c r="G204" s="13" t="n">
        <v>4</v>
      </c>
      <c r="H204" s="13" t="n">
        <v>3</v>
      </c>
      <c r="I204" s="13" t="n">
        <v>3</v>
      </c>
      <c r="J204" s="13" t="n">
        <v>4</v>
      </c>
      <c r="K204" s="13" t="n">
        <v>2</v>
      </c>
      <c r="L204" s="13" t="inlineStr">
        <is>
          <t>つかいやすい</t>
        </is>
      </c>
      <c r="M204" s="14" t="n"/>
      <c r="N204" s="14" t="n"/>
      <c r="O204" s="14" t="inlineStr">
        <is>
          <t>つかいやすい</t>
        </is>
      </c>
      <c r="P204" s="13" t="inlineStr">
        <is>
          <t>https://minkara.carview.co.jp/car/toyota/estima/review/detail.aspx?cid=450434</t>
        </is>
      </c>
    </row>
    <row r="205">
      <c r="A205" s="8" t="inlineStr">
        <is>
          <t>エスティマ</t>
        </is>
      </c>
      <c r="B205" s="8" t="n">
        <v>2013</v>
      </c>
      <c r="C205" s="8" t="inlineStr">
        <is>
          <t>アエラス“レザーパッケージ”_7人乗り(AT_3.5)</t>
        </is>
      </c>
      <c r="D205" s="8" t="inlineStr">
        <is>
          <t>2026年3月12日</t>
        </is>
      </c>
      <c r="E205" s="8" t="inlineStr">
        <is>
          <t>通勤通学</t>
        </is>
      </c>
      <c r="F205" s="8" t="n">
        <v>4</v>
      </c>
      <c r="G205" s="8" t="n">
        <v>5</v>
      </c>
      <c r="H205" s="8" t="n">
        <v>5</v>
      </c>
      <c r="I205" s="8" t="n">
        <v>2</v>
      </c>
      <c r="J205" s="8" t="n">
        <v>5</v>
      </c>
      <c r="K205" s="8" t="n">
        <v>2</v>
      </c>
      <c r="L205" s="8" t="inlineStr">
        <is>
          <t>希少な3.5リッターV6ミニバン</t>
        </is>
      </c>
      <c r="M205" s="14" t="inlineStr">
        <is>
          <t>なんと言っても3.5リッター280馬力による圧倒的な動力性能。</t>
        </is>
      </c>
      <c r="N205" s="14" t="inlineStr">
        <is>
          <t>中古車市場でのV6 3.5 4WDに球数が極端に少ないこと・・・。</t>
        </is>
      </c>
      <c r="O205" s="14" t="inlineStr">
        <is>
          <t>3.5リッター280馬力による圧倒的な動力性能が100万円そこそこで味わえる。</t>
        </is>
      </c>
      <c r="P205" s="8" t="inlineStr">
        <is>
          <t>https://minkara.carview.co.jp/car/toyota/estima/review/detail.aspx?cid=448962</t>
        </is>
      </c>
    </row>
    <row r="206">
      <c r="A206" s="13" t="inlineStr">
        <is>
          <t>エスティマ</t>
        </is>
      </c>
      <c r="B206" s="13" t="n">
        <v>2013</v>
      </c>
      <c r="C206" s="13" t="inlineStr">
        <is>
          <t>2.4アエラス“プレミアム エディション”_7人乗り(CVT_2.4)</t>
        </is>
      </c>
      <c r="D206" s="13" t="inlineStr">
        <is>
          <t>2026年3月9日</t>
        </is>
      </c>
      <c r="E206" s="13" t="inlineStr">
        <is>
          <t>通勤通学</t>
        </is>
      </c>
      <c r="F206" s="13" t="n">
        <v>5</v>
      </c>
      <c r="G206" s="13" t="n">
        <v>5</v>
      </c>
      <c r="H206" s="13" t="n">
        <v>4</v>
      </c>
      <c r="I206" s="13" t="n">
        <v>4</v>
      </c>
      <c r="J206" s="13" t="n">
        <v>4</v>
      </c>
      <c r="K206" s="13" t="n">
        <v>4</v>
      </c>
      <c r="L206" s="13" t="inlineStr">
        <is>
          <t>やっぱり後期フェイスのエアロ付き！</t>
        </is>
      </c>
      <c r="M206" s="14" t="n"/>
      <c r="N206" s="14" t="n"/>
      <c r="O206" s="14" t="inlineStr">
        <is>
          <t>ミニバン、ファミリーカーを探してるけど箱型が苦手な人には特におすすめです！7人乗り、8人乗りの設定があり7人乗りモデルは2列目がキャプテンシートで3列目を畳めば同世代の20系のアルベルにも劣らない広々贅沢空間を満喫できます！</t>
        </is>
      </c>
      <c r="P206" s="13" t="inlineStr">
        <is>
          <t>https://minkara.carview.co.jp/car/toyota/estima/review/detail.aspx?cid=448782</t>
        </is>
      </c>
    </row>
    <row r="207">
      <c r="A207" s="8" t="inlineStr">
        <is>
          <t>エスティマ</t>
        </is>
      </c>
      <c r="B207" s="8" t="n">
        <v>2016</v>
      </c>
      <c r="C207" s="8" t="inlineStr">
        <is>
          <t>アエラス_7人乗り(CVT_2.4)</t>
        </is>
      </c>
      <c r="D207" s="8" t="inlineStr">
        <is>
          <t>2026年3月3日</t>
        </is>
      </c>
      <c r="E207" s="8" t="inlineStr">
        <is>
          <t>通勤通学</t>
        </is>
      </c>
      <c r="F207" s="8" t="n">
        <v>5</v>
      </c>
      <c r="G207" s="8" t="n"/>
      <c r="H207" s="8" t="n"/>
      <c r="I207" s="8" t="n"/>
      <c r="J207" s="8" t="n"/>
      <c r="K207" s="8" t="n"/>
      <c r="L207" s="8" t="inlineStr">
        <is>
          <t>やっぱりトヨタだな</t>
        </is>
      </c>
      <c r="M207" s="14" t="inlineStr">
        <is>
          <t>エスティマ最終型 満足です</t>
        </is>
      </c>
      <c r="N207" s="14" t="inlineStr">
        <is>
          <t>燃費が悪い ウチの車庫に入れるために2㎝ローダウン（ドレスアップ目的ではなく）</t>
        </is>
      </c>
      <c r="O207" s="14" t="inlineStr">
        <is>
          <t>満足 ずっと乗りたい</t>
        </is>
      </c>
      <c r="P207" s="8" t="inlineStr">
        <is>
          <t>https://minkara.carview.co.jp/car/toyota/estima/review/detail.aspx?cid=448269</t>
        </is>
      </c>
    </row>
    <row r="208">
      <c r="A208" s="13" t="inlineStr">
        <is>
          <t>エスティマ</t>
        </is>
      </c>
      <c r="B208" s="13" t="n">
        <v>2001</v>
      </c>
      <c r="C208" s="13" t="inlineStr">
        <is>
          <t>不明</t>
        </is>
      </c>
      <c r="D208" s="13" t="inlineStr">
        <is>
          <t>2026年2月10日</t>
        </is>
      </c>
      <c r="E208" s="13" t="inlineStr">
        <is>
          <t>レジャー</t>
        </is>
      </c>
      <c r="F208" s="13" t="n">
        <v>5</v>
      </c>
      <c r="G208" s="13" t="n">
        <v>5</v>
      </c>
      <c r="H208" s="13" t="n">
        <v>4</v>
      </c>
      <c r="I208" s="13" t="n">
        <v>4</v>
      </c>
      <c r="J208" s="13" t="n">
        <v>4</v>
      </c>
      <c r="K208" s="13" t="n">
        <v>4</v>
      </c>
      <c r="L208" s="13" t="inlineStr">
        <is>
          <t>横風に強いミニバン</t>
        </is>
      </c>
      <c r="M208" s="14" t="inlineStr">
        <is>
          <t>低重心で安定した走り</t>
        </is>
      </c>
      <c r="N208" s="14" t="inlineStr">
        <is>
          <t>安全装備</t>
        </is>
      </c>
      <c r="O208" s="14" t="inlineStr">
        <is>
          <t>高速での燃費は伸びる。</t>
        </is>
      </c>
      <c r="P208" s="13" t="inlineStr">
        <is>
          <t>https://minkara.carview.co.jp/car/toyota/estima/review/detail.aspx?cid=446647</t>
        </is>
      </c>
    </row>
    <row r="209">
      <c r="A209" s="8" t="inlineStr">
        <is>
          <t>エスティマ</t>
        </is>
      </c>
      <c r="B209" s="8" t="n">
        <v>2009</v>
      </c>
      <c r="C209" s="8" t="inlineStr">
        <is>
          <t>アエラス“Gエディション”_7人乗り(CVT_2.4)</t>
        </is>
      </c>
      <c r="D209" s="8" t="inlineStr">
        <is>
          <t>2026年1月31日</t>
        </is>
      </c>
      <c r="E209" s="8" t="inlineStr">
        <is>
          <t>通勤通学</t>
        </is>
      </c>
      <c r="F209" s="8" t="n">
        <v>5</v>
      </c>
      <c r="G209" s="8" t="n">
        <v>4</v>
      </c>
      <c r="H209" s="8" t="n">
        <v>4</v>
      </c>
      <c r="I209" s="8" t="n">
        <v>4</v>
      </c>
      <c r="J209" s="8" t="n">
        <v>3</v>
      </c>
      <c r="K209" s="8" t="n">
        <v>5</v>
      </c>
      <c r="L209" s="8" t="inlineStr">
        <is>
          <t>故障がほとんんどおきていない</t>
        </is>
      </c>
      <c r="M209" s="14" t="inlineStr">
        <is>
          <t>タイトルにある通り、故障がほとんど起きていません。6ヶ月毎の点検、5000km毎のオイル交換を行なってきたからでしょうか。故障？って思い付くのはオイルパンシールからのオイル漏れ、ウオーターポンプ交換くらいです。</t>
        </is>
      </c>
      <c r="N209" s="14" t="inlineStr">
        <is>
          <t>車中泊をするので室内が狭いこと。運転では アルファードとかの様に大きくないので運転がしやすいです、</t>
        </is>
      </c>
      <c r="O209" s="14" t="inlineStr">
        <is>
          <t>おすすめ度のもあるように ⭐️5 です。</t>
        </is>
      </c>
      <c r="P209" s="8" t="inlineStr">
        <is>
          <t>https://minkara.carview.co.jp/car/toyota/estima/review/detail.aspx?cid=445913</t>
        </is>
      </c>
    </row>
    <row r="210">
      <c r="A210" s="13" t="inlineStr">
        <is>
          <t>エスティマ</t>
        </is>
      </c>
      <c r="B210" s="13" t="n">
        <v>2008</v>
      </c>
      <c r="C210" s="13" t="inlineStr">
        <is>
          <t>アエラス_8人乗り(AT_3.5)</t>
        </is>
      </c>
      <c r="D210" s="13" t="inlineStr">
        <is>
          <t>2026年1月19日</t>
        </is>
      </c>
      <c r="E210" s="13" t="inlineStr">
        <is>
          <t>仕事</t>
        </is>
      </c>
      <c r="F210" s="13" t="n">
        <v>5</v>
      </c>
      <c r="G210" s="13" t="n">
        <v>5</v>
      </c>
      <c r="H210" s="13" t="n">
        <v>5</v>
      </c>
      <c r="I210" s="13" t="n">
        <v>4</v>
      </c>
      <c r="J210" s="13" t="n">
        <v>5</v>
      </c>
      <c r="K210" s="13" t="n">
        <v>2</v>
      </c>
      <c r="L210" s="13" t="inlineStr">
        <is>
          <t>遠方の仕事に便利</t>
        </is>
      </c>
      <c r="M210" s="14" t="inlineStr">
        <is>
          <t>3列目シートが床下収納になる点が大変満足してます。 V6 3.5 のパワーユニットも申し分ないですね</t>
        </is>
      </c>
      <c r="N210" s="14" t="inlineStr">
        <is>
          <t>燃費かな</t>
        </is>
      </c>
      <c r="O210" s="14" t="inlineStr">
        <is>
          <t>長距離運転が楽で荷物も良く乗ります。 よく出来た車だと思います。</t>
        </is>
      </c>
      <c r="P210" s="13" t="inlineStr">
        <is>
          <t>https://minkara.carview.co.jp/car/toyota/estima/review/detail.aspx?cid=445095</t>
        </is>
      </c>
    </row>
    <row r="211">
      <c r="A211" s="8" t="inlineStr">
        <is>
          <t>エスティマ</t>
        </is>
      </c>
      <c r="B211" s="8" t="n">
        <v>2013</v>
      </c>
      <c r="C211" s="8" t="inlineStr">
        <is>
          <t>アエラス_7人乗り(CVT_2.4)</t>
        </is>
      </c>
      <c r="D211" s="8" t="inlineStr">
        <is>
          <t>2026年1月17日</t>
        </is>
      </c>
      <c r="E211" s="8" t="inlineStr">
        <is>
          <t>買い物</t>
        </is>
      </c>
      <c r="F211" s="8" t="n">
        <v>5</v>
      </c>
      <c r="G211" s="8" t="n">
        <v>5</v>
      </c>
      <c r="H211" s="8" t="n">
        <v>5</v>
      </c>
      <c r="I211" s="8" t="n">
        <v>5</v>
      </c>
      <c r="J211" s="8" t="n">
        <v>4</v>
      </c>
      <c r="K211" s="8" t="n">
        <v>5</v>
      </c>
      <c r="L211" s="8" t="inlineStr">
        <is>
          <t>good!</t>
        </is>
      </c>
      <c r="M211" s="14" t="inlineStr">
        <is>
          <t>この車体に2.4Lでパワー不足は感じない。運転も比較的しやすいとおもう。内装も気に入っていて、以前乗っていた2台はベージュだったが今回はブラック系で安っぽさはなく高級感がある。外装の純正ホイールもデザインが良い。</t>
        </is>
      </c>
      <c r="N211" s="14" t="inlineStr">
        <is>
          <t>前車の3.0LV6エンジンに比べるとエンジン音が少し気になるかも。走行距離の関係もあるが、音がある方が走ってる感じがして良い人もいるかな。あと運転席周りなど夜間とにかく暗く感じる。ブラック基調なので出来ればフットライトやカーテシを標準装備してたら良かったとあもう。フル乗車だと荷物の載せれる量は限られる。</t>
        </is>
      </c>
      <c r="O211" s="14" t="inlineStr">
        <is>
          <t>デザイン性や走行性はすごく良い。 家族で乗るミニバンには充分おすすめできる。出来れば安全面でコーナーセンサーは標準装備ならなお良かった。</t>
        </is>
      </c>
      <c r="P211" s="8" t="inlineStr">
        <is>
          <t>https://minkara.carview.co.jp/car/toyota/estima/review/detail.aspx?cid=444922</t>
        </is>
      </c>
    </row>
    <row r="212">
      <c r="A212" s="13" t="inlineStr">
        <is>
          <t>ウィッシュ</t>
        </is>
      </c>
      <c r="B212" s="13" t="n">
        <v>2005</v>
      </c>
      <c r="C212" s="13" t="inlineStr">
        <is>
          <t>G(CVT_2.0)</t>
        </is>
      </c>
      <c r="D212" s="13" t="inlineStr">
        <is>
          <t>2026年8月18日</t>
        </is>
      </c>
      <c r="E212" s="13" t="inlineStr">
        <is>
          <t>通勤通学</t>
        </is>
      </c>
      <c r="F212" s="13" t="n">
        <v>4</v>
      </c>
      <c r="G212" s="13" t="n">
        <v>4</v>
      </c>
      <c r="H212" s="13" t="n">
        <v>3</v>
      </c>
      <c r="I212" s="13" t="n">
        <v>3</v>
      </c>
      <c r="J212" s="13" t="n">
        <v>4</v>
      </c>
      <c r="K212" s="13" t="n">
        <v>5</v>
      </c>
      <c r="L212" s="13" t="inlineStr">
        <is>
          <t>初めての新車</t>
        </is>
      </c>
      <c r="M212" s="14" t="inlineStr">
        <is>
          <t>外観が好みだった。 人も物も十分に乗せられ、子供が小さい頃はこれで車内泊旅行にもいけた。</t>
        </is>
      </c>
      <c r="N212" s="14" t="inlineStr">
        <is>
          <t>不満と言う不満は無かった</t>
        </is>
      </c>
      <c r="O212" s="14" t="inlineStr">
        <is>
          <t>買ってから初回車検までに6万㌔以上乗った車。結果的に気に入っていたんだと思います。C25とは用途被りであった為、手放すしか無かった。</t>
        </is>
      </c>
      <c r="P212" s="13" t="inlineStr">
        <is>
          <t>https://minkara.carview.co.jp/car/toyota/wish/review/detail.aspx?cid=460745</t>
        </is>
      </c>
    </row>
    <row r="213">
      <c r="A213" s="8" t="inlineStr">
        <is>
          <t>ウィッシュ</t>
        </is>
      </c>
      <c r="B213" s="8" t="n">
        <v>2005</v>
      </c>
      <c r="C213" s="8" t="inlineStr">
        <is>
          <t>X “Aero Sports パッケージ”(AT_1.8)</t>
        </is>
      </c>
      <c r="D213" s="8" t="inlineStr">
        <is>
          <t>2026年8月11日</t>
        </is>
      </c>
      <c r="E213" s="8" t="n"/>
      <c r="F213" s="8" t="n">
        <v>5</v>
      </c>
      <c r="G213" s="8" t="n"/>
      <c r="H213" s="8" t="n"/>
      <c r="I213" s="8" t="n"/>
      <c r="J213" s="8" t="n"/>
      <c r="K213" s="8" t="n"/>
      <c r="L213" s="8" t="inlineStr">
        <is>
          <t>ウィッシュ10系最適です</t>
        </is>
      </c>
      <c r="M213" s="14" t="inlineStr">
        <is>
          <t>壊れない。 スタイリッシュ 荷物がたくさん積める 非常時7人のり</t>
        </is>
      </c>
      <c r="N213" s="14" t="inlineStr">
        <is>
          <t>特にありません</t>
        </is>
      </c>
      <c r="O213" s="14" t="inlineStr">
        <is>
          <t>買い換えの候補がありませんr</t>
        </is>
      </c>
      <c r="P213" s="8" t="inlineStr">
        <is>
          <t>https://minkara.carview.co.jp/car/toyota/wish/review/detail.aspx?cid=460208</t>
        </is>
      </c>
    </row>
    <row r="214">
      <c r="A214" s="13" t="inlineStr">
        <is>
          <t>ウィッシュ</t>
        </is>
      </c>
      <c r="B214" s="13" t="n">
        <v>2015</v>
      </c>
      <c r="C214" s="13" t="inlineStr">
        <is>
          <t>1.8S_7人乗り(CVT_1.8)</t>
        </is>
      </c>
      <c r="D214" s="13" t="inlineStr">
        <is>
          <t>2026年8月2日</t>
        </is>
      </c>
      <c r="E214" s="13" t="inlineStr">
        <is>
          <t>レジャー</t>
        </is>
      </c>
      <c r="F214" s="13" t="n">
        <v>5</v>
      </c>
      <c r="G214" s="13" t="n">
        <v>5</v>
      </c>
      <c r="H214" s="13" t="n">
        <v>4</v>
      </c>
      <c r="I214" s="13" t="n">
        <v>4</v>
      </c>
      <c r="J214" s="13" t="n">
        <v>5</v>
      </c>
      <c r="K214" s="13" t="n">
        <v>5</v>
      </c>
      <c r="L214" s="13" t="inlineStr">
        <is>
          <t>約10年お世話になりました。</t>
        </is>
      </c>
      <c r="M214" s="14" t="inlineStr">
        <is>
          <t>①燃費が良い。高速15km/h 最高メータ読み20km/l ②パワーそこそこ ③4名までなら荷室が広く旅行も問題無。 ④扱いやすいサイズ ⑤サンルーフ設定あり ⑥インチダウン可能サイズが15インチ(冬タイヤが安価)</t>
        </is>
      </c>
      <c r="N214" s="14" t="inlineStr">
        <is>
          <t>①Aピラーが邪魔(何度かヒヤリ) ②1.8はクルコン設定無</t>
        </is>
      </c>
      <c r="O214" s="14" t="inlineStr">
        <is>
          <t>子連れに後部ヒンジドアは合わない＆手狭になり今回断腸の想いで手放しました。 妻に"10年乗ります"宣言して購入後、ホントに気に入っており、どこかドライブ行きたいと思わせる愛車でした。手放した今、街中で同車種とすれ違うと目で追いかけてます。 幼少期から親父の影響でサンルーフ好きになり、運転する際は大雨以外年中チルトして走行してました。 不満な点はありましたが、それ以上に満足点が沢山あって、手元に残せるなら残したい、再販売されるようなことがあれば絶対買い直したい、沢山DIYでメンテやカスタムさせてもらいました。 日頃のメンテ等のおかげてトラブルは一度も起きず、売却する際も10年10万キロ走行とは思えない高値で買取いただき、最後まで家族思いの愛車でした。 この先も、私の絶対的愛車基準はウィッシュなんだろうなと。</t>
        </is>
      </c>
      <c r="P214" s="13" t="inlineStr">
        <is>
          <t>https://minkara.carview.co.jp/car/toyota/wish/review/detail.aspx?cid=459520</t>
        </is>
      </c>
    </row>
    <row r="215">
      <c r="A215" s="8" t="inlineStr">
        <is>
          <t>ウィッシュ</t>
        </is>
      </c>
      <c r="B215" s="8" t="n">
        <v>2005</v>
      </c>
      <c r="C215" s="8" t="inlineStr">
        <is>
          <t>X “Aero Sports パッケージ”(AT_1.8)</t>
        </is>
      </c>
      <c r="D215" s="8" t="inlineStr">
        <is>
          <t>2026年7月25日</t>
        </is>
      </c>
      <c r="E215" s="8" t="inlineStr">
        <is>
          <t>レジャー</t>
        </is>
      </c>
      <c r="F215" s="8" t="n">
        <v>5</v>
      </c>
      <c r="G215" s="8" t="n"/>
      <c r="H215" s="8" t="n"/>
      <c r="I215" s="8" t="n"/>
      <c r="J215" s="8" t="n"/>
      <c r="K215" s="8" t="n"/>
      <c r="L215" s="8" t="inlineStr">
        <is>
          <t>もう日本では走ってないかも。台湾でタクシーへ</t>
        </is>
      </c>
      <c r="M215" s="14" t="inlineStr">
        <is>
          <t>エンジンは1.8リッターNAですが十分パワーもあり、ワインディングでも走りやすい個体。</t>
        </is>
      </c>
      <c r="N215" s="14" t="inlineStr">
        <is>
          <t>リアのネジレがあり、リアゲート、Aピラーからきしみが聞こえるのは今年で20年目のせいかも（笑）</t>
        </is>
      </c>
      <c r="O215" s="14" t="inlineStr">
        <is>
          <t>我が家のロードランナー！長距離では燃費もいまだに16km以上はしります。ちなみに2026年7月現在、2006年式ZNE10Ｇは中古車市場には1台もありません。あれば台湾に輸出される見たいです。</t>
        </is>
      </c>
      <c r="P215" s="8" t="inlineStr">
        <is>
          <t>https://minkara.carview.co.jp/car/toyota/wish/review/detail.aspx?cid=458951</t>
        </is>
      </c>
    </row>
    <row r="216">
      <c r="A216" s="13" t="inlineStr">
        <is>
          <t>ウィッシュ</t>
        </is>
      </c>
      <c r="B216" s="13" t="n">
        <v>2010</v>
      </c>
      <c r="C216" s="13" t="inlineStr">
        <is>
          <t>1.8X“HIDセレクション”_7人乗り_(CVT_1.8)</t>
        </is>
      </c>
      <c r="D216" s="13" t="inlineStr">
        <is>
          <t>2026年6月21日</t>
        </is>
      </c>
      <c r="E216" s="13" t="inlineStr">
        <is>
          <t>レジャー</t>
        </is>
      </c>
      <c r="F216" s="13" t="n">
        <v>4</v>
      </c>
      <c r="G216" s="13" t="n">
        <v>3</v>
      </c>
      <c r="H216" s="13" t="n">
        <v>3</v>
      </c>
      <c r="I216" s="13" t="n">
        <v>3</v>
      </c>
      <c r="J216" s="13" t="n">
        <v>5</v>
      </c>
      <c r="K216" s="13" t="n">
        <v>4</v>
      </c>
      <c r="L216" s="13" t="inlineStr">
        <is>
          <t>コスパがいい</t>
        </is>
      </c>
      <c r="M216" s="14" t="inlineStr">
        <is>
          <t>車中泊できるくらい広い 壊れない シンプルなデザイン 中古が安い グリルがぶつぶつしてないから洗車しやすい</t>
        </is>
      </c>
      <c r="N216" s="14" t="inlineStr">
        <is>
          <t>内装が質素 内装のビビり音がすごい 前期のオーディオレス6スピーカーだから2列目にスピーカーが無いのが最悪 3列目にスピーカーなんていらない エアコン吹き出し口がよく壊れる 段差やカーブでミシミシ音がする</t>
        </is>
      </c>
      <c r="O216" s="14" t="inlineStr">
        <is>
          <t>トヨタって感じ 壊れない安い金がかからない 広い</t>
        </is>
      </c>
      <c r="P216" s="13" t="inlineStr">
        <is>
          <t>https://minkara.carview.co.jp/car/toyota/wish/review/detail.aspx?cid=456594</t>
        </is>
      </c>
    </row>
    <row r="217">
      <c r="A217" s="8" t="inlineStr">
        <is>
          <t>ウィッシュ</t>
        </is>
      </c>
      <c r="B217" s="8" t="n"/>
      <c r="C217" s="8" t="inlineStr">
        <is>
          <t>不明 (発売年月不明)</t>
        </is>
      </c>
      <c r="D217" s="8" t="inlineStr">
        <is>
          <t>2026年5月21日</t>
        </is>
      </c>
      <c r="E217" s="8" t="inlineStr">
        <is>
          <t>通勤通学</t>
        </is>
      </c>
      <c r="F217" s="8" t="n">
        <v>5</v>
      </c>
      <c r="G217" s="8" t="n">
        <v>4</v>
      </c>
      <c r="H217" s="8" t="n">
        <v>5</v>
      </c>
      <c r="I217" s="8" t="n">
        <v>5</v>
      </c>
      <c r="J217" s="8" t="n">
        <v>5</v>
      </c>
      <c r="K217" s="8" t="n">
        <v>4</v>
      </c>
      <c r="L217" s="8" t="inlineStr">
        <is>
          <t>いい車です。</t>
        </is>
      </c>
      <c r="M217" s="14" t="inlineStr">
        <is>
          <t>ZGE20W 143psって、以前乗っていた4AG-EU135psよりも馬力は上。しかしピーキーな高回転エンジンではなく、大人の乗り味。2Lクラスのミニバンには負けないですね。</t>
        </is>
      </c>
      <c r="N217" s="14" t="inlineStr">
        <is>
          <t>内装がプラスチッキーで安っぽい。純正シート生地がやけに糸くずやゴミを吸い寄せる。仕方がないけど、3列目シートはあくまでもエマージェンシー用。</t>
        </is>
      </c>
      <c r="O217" s="14" t="inlineStr">
        <is>
          <t>3列目シートを畳んでステーションワゴンとして使っています。燃費も高速では1リッターあたり22kmまで伸びるので経済的。</t>
        </is>
      </c>
      <c r="P217" s="8" t="inlineStr">
        <is>
          <t>https://minkara.carview.co.jp/car/toyota/wish/review/detail.aspx?cid=454473</t>
        </is>
      </c>
    </row>
    <row r="218">
      <c r="A218" s="13" t="inlineStr">
        <is>
          <t>ウィッシュ</t>
        </is>
      </c>
      <c r="B218" s="13" t="n">
        <v>2010</v>
      </c>
      <c r="C218" s="13" t="inlineStr">
        <is>
          <t>1.8X“HIDセレクション”_7人乗り_(CVT_1.8)</t>
        </is>
      </c>
      <c r="D218" s="13" t="inlineStr">
        <is>
          <t>2026年5月19日</t>
        </is>
      </c>
      <c r="E218" s="13" t="n"/>
      <c r="F218" s="13" t="n">
        <v>5</v>
      </c>
      <c r="G218" s="13" t="n"/>
      <c r="H218" s="13" t="n"/>
      <c r="I218" s="13" t="n"/>
      <c r="J218" s="13" t="n"/>
      <c r="K218" s="13" t="n"/>
      <c r="L218" s="13" t="inlineStr">
        <is>
          <t>ウィッシュ2代乗り</t>
        </is>
      </c>
      <c r="M218" s="14" t="inlineStr">
        <is>
          <t>乗りやすくて室内が広い</t>
        </is>
      </c>
      <c r="N218" s="14" t="inlineStr">
        <is>
          <t>10系より小物入れが少ない</t>
        </is>
      </c>
      <c r="O218" s="14" t="inlineStr">
        <is>
          <t>ファミリカーとして十分な車ですねー</t>
        </is>
      </c>
      <c r="P218" s="13" t="inlineStr">
        <is>
          <t>https://minkara.carview.co.jp/car/toyota/wish/review/detail.aspx?cid=454333</t>
        </is>
      </c>
    </row>
    <row r="219">
      <c r="A219" s="8" t="inlineStr">
        <is>
          <t>ウィッシュ</t>
        </is>
      </c>
      <c r="B219" s="8" t="n">
        <v>2005</v>
      </c>
      <c r="C219" s="8" t="inlineStr">
        <is>
          <t>X “Aero Sports パッケージ”(AT_1.8)</t>
        </is>
      </c>
      <c r="D219" s="8" t="inlineStr">
        <is>
          <t>2026年5月6日</t>
        </is>
      </c>
      <c r="E219" s="8" t="inlineStr">
        <is>
          <t>その他</t>
        </is>
      </c>
      <c r="F219" s="8" t="n">
        <v>5</v>
      </c>
      <c r="G219" s="8" t="n">
        <v>5</v>
      </c>
      <c r="H219" s="8" t="n">
        <v>5</v>
      </c>
      <c r="I219" s="8" t="n">
        <v>4</v>
      </c>
      <c r="J219" s="8" t="n">
        <v>4</v>
      </c>
      <c r="K219" s="8" t="n">
        <v>3</v>
      </c>
      <c r="L219" s="8" t="inlineStr">
        <is>
          <t>みんなの願いを叶える1台</t>
        </is>
      </c>
      <c r="M219" s="14" t="n"/>
      <c r="N219" s="14" t="n"/>
      <c r="O219" s="14" t="inlineStr">
        <is>
          <t>ほんとに良い車</t>
        </is>
      </c>
      <c r="P219" s="8" t="inlineStr">
        <is>
          <t>https://minkara.carview.co.jp/car/toyota/wish/review/detail.aspx?cid=453405</t>
        </is>
      </c>
    </row>
    <row r="220">
      <c r="A220" s="13" t="inlineStr">
        <is>
          <t>ウィッシュ</t>
        </is>
      </c>
      <c r="B220" s="13" t="n">
        <v>2007</v>
      </c>
      <c r="C220" s="13" t="inlineStr">
        <is>
          <t>X Lエディション</t>
        </is>
      </c>
      <c r="D220" s="13" t="inlineStr">
        <is>
          <t>2026年4月22日</t>
        </is>
      </c>
      <c r="E220" s="13" t="n"/>
      <c r="F220" s="13" t="n">
        <v>4</v>
      </c>
      <c r="G220" s="13" t="n"/>
      <c r="H220" s="13" t="n"/>
      <c r="I220" s="13" t="n"/>
      <c r="J220" s="13" t="n"/>
      <c r="K220" s="13" t="n"/>
      <c r="L220" s="13" t="inlineStr">
        <is>
          <t>免許取って初めて買った車！</t>
        </is>
      </c>
      <c r="M220" s="14" t="n"/>
      <c r="N220" s="14" t="n"/>
      <c r="O220" s="14" t="inlineStr">
        <is>
          <t>新車で買ってもうすぐ19年でかい故障もなく乗ることができてます！</t>
        </is>
      </c>
      <c r="P220" s="13" t="inlineStr">
        <is>
          <t>https://minkara.carview.co.jp/car/toyota/wish/review/detail.aspx?cid=452147</t>
        </is>
      </c>
    </row>
    <row r="221">
      <c r="A221" s="8" t="inlineStr">
        <is>
          <t>ウィッシュ</t>
        </is>
      </c>
      <c r="B221" s="8" t="n">
        <v>2010</v>
      </c>
      <c r="C221" s="8" t="inlineStr">
        <is>
          <t>不明</t>
        </is>
      </c>
      <c r="D221" s="8" t="inlineStr">
        <is>
          <t>2026年2月22日</t>
        </is>
      </c>
      <c r="E221" s="8" t="inlineStr">
        <is>
          <t>通勤通学</t>
        </is>
      </c>
      <c r="F221" s="8" t="n">
        <v>5</v>
      </c>
      <c r="G221" s="8" t="n">
        <v>5</v>
      </c>
      <c r="H221" s="8" t="n">
        <v>4</v>
      </c>
      <c r="I221" s="8" t="n">
        <v>5</v>
      </c>
      <c r="J221" s="8" t="n">
        <v>3</v>
      </c>
      <c r="K221" s="8" t="n">
        <v>3</v>
      </c>
      <c r="L221" s="8" t="inlineStr">
        <is>
          <t>家族との思い出</t>
        </is>
      </c>
      <c r="M221" s="14" t="inlineStr">
        <is>
          <t>落ち着く</t>
        </is>
      </c>
      <c r="N221" s="14" t="inlineStr">
        <is>
          <t>ちょっと狭い</t>
        </is>
      </c>
      <c r="O221" s="14" t="inlineStr">
        <is>
          <t>ドライブにぴったりです！</t>
        </is>
      </c>
      <c r="P221" s="8" t="inlineStr">
        <is>
          <t>https://minkara.carview.co.jp/car/toyota/wish/review/detail.aspx?cid=447569</t>
        </is>
      </c>
    </row>
    <row r="222">
      <c r="A222" s="13" t="inlineStr">
        <is>
          <t>ウィッシュ</t>
        </is>
      </c>
      <c r="B222" s="13" t="n">
        <v>2015</v>
      </c>
      <c r="C222" s="13" t="inlineStr">
        <is>
          <t>1.8S_7人乗り(CVT_1.8)</t>
        </is>
      </c>
      <c r="D222" s="13" t="inlineStr">
        <is>
          <t>2025年12月14日</t>
        </is>
      </c>
      <c r="E222" s="13" t="inlineStr">
        <is>
          <t>通勤通学</t>
        </is>
      </c>
      <c r="F222" s="13" t="n">
        <v>5</v>
      </c>
      <c r="G222" s="13" t="n">
        <v>5</v>
      </c>
      <c r="H222" s="13" t="n">
        <v>5</v>
      </c>
      <c r="I222" s="13" t="n">
        <v>5</v>
      </c>
      <c r="J222" s="13" t="n">
        <v>5</v>
      </c>
      <c r="K222" s="13" t="n">
        <v>5</v>
      </c>
      <c r="L222" s="13" t="inlineStr">
        <is>
          <t>生活の相棒</t>
        </is>
      </c>
      <c r="M222" s="14" t="inlineStr">
        <is>
          <t>1800ccのエンジンで高速性能、巡航性能、燃費性能が良い車です。日頃の生活に欠かせない相棒です。</t>
        </is>
      </c>
      <c r="N222" s="14" t="inlineStr">
        <is>
          <t>高級車の装備を求めないならば、不満はありません。基本装備で問題はありません。</t>
        </is>
      </c>
      <c r="O222" s="14" t="inlineStr">
        <is>
          <t>走る、止まるを基本に運転操作に必要な装備、ゲートシフトによる誤操作防止、車両価格共に満足です。</t>
        </is>
      </c>
      <c r="P222" s="13" t="inlineStr">
        <is>
          <t>https://minkara.carview.co.jp/car/toyota/wish/review/detail.aspx?cid=442462</t>
        </is>
      </c>
    </row>
    <row r="223">
      <c r="A223" s="8" t="inlineStr">
        <is>
          <t>ウィッシュ</t>
        </is>
      </c>
      <c r="B223" s="8" t="n">
        <v>2012</v>
      </c>
      <c r="C223" s="8" t="inlineStr">
        <is>
          <t>1.8A_7人乗り_4WD(CVT_1.8)</t>
        </is>
      </c>
      <c r="D223" s="8" t="inlineStr">
        <is>
          <t>2025年12月3日</t>
        </is>
      </c>
      <c r="E223" s="8" t="inlineStr">
        <is>
          <t>通勤通学</t>
        </is>
      </c>
      <c r="F223" s="8" t="n">
        <v>5</v>
      </c>
      <c r="G223" s="8" t="n"/>
      <c r="H223" s="8" t="n"/>
      <c r="I223" s="8" t="n"/>
      <c r="J223" s="8" t="n"/>
      <c r="K223" s="8" t="n"/>
      <c r="L223" s="8" t="inlineStr">
        <is>
          <t>まだまだ乗るぞ！</t>
        </is>
      </c>
      <c r="M223" s="14" t="inlineStr">
        <is>
          <t>使い勝手が良い</t>
        </is>
      </c>
      <c r="N223" s="14" t="inlineStr">
        <is>
          <t>ない</t>
        </is>
      </c>
      <c r="O223" s="14" t="inlineStr">
        <is>
          <t>まだまだ乗るぞ！</t>
        </is>
      </c>
      <c r="P223" s="8" t="inlineStr">
        <is>
          <t>https://minkara.carview.co.jp/car/toyota/wish/review/detail.aspx?cid=441696</t>
        </is>
      </c>
    </row>
    <row r="224">
      <c r="A224" s="13" t="inlineStr">
        <is>
          <t>ウィッシュ</t>
        </is>
      </c>
      <c r="B224" s="13" t="n">
        <v>2009</v>
      </c>
      <c r="C224" s="13" t="inlineStr">
        <is>
          <t>2.0Z_6人乗り(CVT_2.0)</t>
        </is>
      </c>
      <c r="D224" s="13" t="inlineStr">
        <is>
          <t>2025年11月22日</t>
        </is>
      </c>
      <c r="E224" s="13" t="inlineStr">
        <is>
          <t>通勤通学</t>
        </is>
      </c>
      <c r="F224" s="13" t="n">
        <v>5</v>
      </c>
      <c r="G224" s="13" t="n">
        <v>3</v>
      </c>
      <c r="H224" s="13" t="n">
        <v>4</v>
      </c>
      <c r="I224" s="13" t="n">
        <v>3</v>
      </c>
      <c r="J224" s="13" t="n">
        <v>5</v>
      </c>
      <c r="K224" s="13" t="n">
        <v>5</v>
      </c>
      <c r="L224" s="13" t="inlineStr">
        <is>
          <t>バルブマチックもトラブル無くパワフル</t>
        </is>
      </c>
      <c r="M224" s="14" t="inlineStr">
        <is>
          <t>通常の使用ではどんな場面でも気にせず加速できるトルク感。</t>
        </is>
      </c>
      <c r="N224" s="14" t="inlineStr">
        <is>
          <t>・クルコンのアップダウンの刻みがもう少し細かいとよい。 ・運転席の座面がもう少し低いと運転に集中できるかも。 ・凹凸を越えた際のユサユサ感。ボディが撚れてパッキンが擦れるキュッキュッって音がする。 ・冷えた状態から暖機までのトルコンが滑ってる時間帯が嫌。</t>
        </is>
      </c>
      <c r="O224" s="14" t="inlineStr">
        <is>
          <t>通勤メインで使っています。異常なほど荷物が積めて、パワフルな割に燃費がよい。ちょっと不思議なクルマ。デザインが未だ古さを感じさせないのも〇。</t>
        </is>
      </c>
      <c r="P224" s="13" t="inlineStr">
        <is>
          <t>https://minkara.carview.co.jp/car/toyota/wish/review/detail.aspx?cid=440824</t>
        </is>
      </c>
    </row>
    <row r="225">
      <c r="A225" s="8" t="inlineStr">
        <is>
          <t>ウィッシュ</t>
        </is>
      </c>
      <c r="B225" s="8" t="n">
        <v>2009</v>
      </c>
      <c r="C225" s="8" t="inlineStr">
        <is>
          <t>1.8X_7人乗り_4WD(CVT_1.8)</t>
        </is>
      </c>
      <c r="D225" s="8" t="inlineStr">
        <is>
          <t>2025年10月6日</t>
        </is>
      </c>
      <c r="E225" s="8" t="inlineStr">
        <is>
          <t>通勤通学</t>
        </is>
      </c>
      <c r="F225" s="8" t="n">
        <v>5</v>
      </c>
      <c r="G225" s="8" t="n">
        <v>5</v>
      </c>
      <c r="H225" s="8" t="n">
        <v>5</v>
      </c>
      <c r="I225" s="8" t="n">
        <v>1</v>
      </c>
      <c r="J225" s="8" t="n">
        <v>5</v>
      </c>
      <c r="K225" s="8" t="n">
        <v>3</v>
      </c>
      <c r="L225" s="8" t="inlineStr">
        <is>
          <t>今考えたらお得な車だった。</t>
        </is>
      </c>
      <c r="M225" s="14" t="inlineStr">
        <is>
          <t>色々あったが15年21万キロ持ってくれた事。 いじりやすかった。</t>
        </is>
      </c>
      <c r="N225" s="14" t="inlineStr">
        <is>
          <t>マフラーが錆びやすかった。</t>
        </is>
      </c>
      <c r="O225" s="14" t="inlineStr">
        <is>
          <t>子供が小さかったからスライドドア車の購入を考えていたが、大きくなったら要らんだろとウィッシュを購入。 結果大正解だったと思います。</t>
        </is>
      </c>
      <c r="P225" s="8" t="inlineStr">
        <is>
          <t>https://minkara.carview.co.jp/car/toyota/wish/review/detail.aspx?cid=437467</t>
        </is>
      </c>
    </row>
    <row r="226">
      <c r="A226" s="13" t="inlineStr">
        <is>
          <t>ウィッシュ</t>
        </is>
      </c>
      <c r="B226" s="13" t="n">
        <v>2003</v>
      </c>
      <c r="C226" s="13" t="inlineStr">
        <is>
          <t>X“S_パッケージ”(AT_1.8)</t>
        </is>
      </c>
      <c r="D226" s="13" t="inlineStr">
        <is>
          <t>2025年9月10日</t>
        </is>
      </c>
      <c r="E226" s="13" t="inlineStr">
        <is>
          <t>レジャー</t>
        </is>
      </c>
      <c r="F226" s="13" t="n">
        <v>5</v>
      </c>
      <c r="G226" s="13" t="n">
        <v>5</v>
      </c>
      <c r="H226" s="13" t="n">
        <v>5</v>
      </c>
      <c r="I226" s="13" t="n">
        <v>5</v>
      </c>
      <c r="J226" s="13" t="n">
        <v>5</v>
      </c>
      <c r="K226" s="13" t="n">
        <v>5</v>
      </c>
      <c r="L226" s="13" t="inlineStr">
        <is>
          <t>経済車かな</t>
        </is>
      </c>
      <c r="M226" s="14" t="inlineStr">
        <is>
          <t>運転しやすいし燃費も良く荷物も沢山積めるから文句無し</t>
        </is>
      </c>
      <c r="N226" s="14" t="inlineStr">
        <is>
          <t>なし</t>
        </is>
      </c>
      <c r="O226" s="14" t="inlineStr">
        <is>
          <t>故障もなく消耗品のみ交換して早22年目！ とても優秀な車です。</t>
        </is>
      </c>
      <c r="P226" s="13" t="inlineStr">
        <is>
          <t>https://minkara.carview.co.jp/car/toyota/wish/review/detail.aspx?cid=435322</t>
        </is>
      </c>
    </row>
    <row r="227">
      <c r="A227" s="8" t="inlineStr">
        <is>
          <t>ウィッシュ</t>
        </is>
      </c>
      <c r="B227" s="8" t="n"/>
      <c r="C227" s="8" t="inlineStr">
        <is>
          <t>不明 (発売年月不明)</t>
        </is>
      </c>
      <c r="D227" s="8" t="inlineStr">
        <is>
          <t>2025年8月12日</t>
        </is>
      </c>
      <c r="E227" s="8" t="inlineStr">
        <is>
          <t>買い物</t>
        </is>
      </c>
      <c r="F227" s="8" t="n">
        <v>3</v>
      </c>
      <c r="G227" s="8" t="n"/>
      <c r="H227" s="8" t="n"/>
      <c r="I227" s="8" t="n"/>
      <c r="J227" s="8" t="n"/>
      <c r="K227" s="8" t="n"/>
      <c r="L227" s="8" t="inlineStr">
        <is>
          <t>まだまだ走ります</t>
        </is>
      </c>
      <c r="M227" s="14" t="inlineStr">
        <is>
          <t>15年経過しましたが走りは健在です。（135,000キロ）</t>
        </is>
      </c>
      <c r="N227" s="14" t="inlineStr">
        <is>
          <t>燃費がもう少し良ければ・・・</t>
        </is>
      </c>
      <c r="O227" s="14" t="inlineStr">
        <is>
          <t>ウイッシュは故障もなく劣化した部品さえ交換すればまだまだ乗れるいい車です。</t>
        </is>
      </c>
      <c r="P227" s="8" t="inlineStr">
        <is>
          <t>https://minkara.carview.co.jp/car/toyota/wish/review/detail.aspx?cid=433047</t>
        </is>
      </c>
    </row>
    <row r="228">
      <c r="A228" s="13" t="inlineStr">
        <is>
          <t>ウィッシュ</t>
        </is>
      </c>
      <c r="B228" s="13" t="n">
        <v>2009</v>
      </c>
      <c r="C228" s="13" t="inlineStr">
        <is>
          <t>不明</t>
        </is>
      </c>
      <c r="D228" s="13" t="inlineStr">
        <is>
          <t>2025年5月30日</t>
        </is>
      </c>
      <c r="E228" s="13" t="inlineStr">
        <is>
          <t>通勤通学</t>
        </is>
      </c>
      <c r="F228" s="13" t="n">
        <v>5</v>
      </c>
      <c r="G228" s="13" t="n">
        <v>3</v>
      </c>
      <c r="H228" s="13" t="n">
        <v>2</v>
      </c>
      <c r="I228" s="13" t="n">
        <v>4</v>
      </c>
      <c r="J228" s="13" t="n">
        <v>5</v>
      </c>
      <c r="K228" s="13" t="n">
        <v>3</v>
      </c>
      <c r="L228" s="13" t="inlineStr">
        <is>
          <t>乗ってみたかった車の1つ</t>
        </is>
      </c>
      <c r="M228" s="14" t="n"/>
      <c r="N228" s="14" t="n"/>
      <c r="O228" s="14" t="inlineStr">
        <is>
          <t>物や人を乗せたいけどヴォクシーほど高さは要らない じゃあこれかシエンタかなって思います（トヨタで非ハイブリッドなら） 何より自分がDラー時代の頃良く触るプラットフォームなのでイジりやすいし…</t>
        </is>
      </c>
      <c r="P228" s="13" t="inlineStr">
        <is>
          <t>https://minkara.carview.co.jp/car/toyota/wish/review/detail.aspx?cid=427470</t>
        </is>
      </c>
    </row>
    <row r="229">
      <c r="A229" s="8" t="inlineStr">
        <is>
          <t>ウィッシュ</t>
        </is>
      </c>
      <c r="B229" s="8" t="n"/>
      <c r="C229" s="8" t="inlineStr">
        <is>
          <t>不明 (発売年月不明)</t>
        </is>
      </c>
      <c r="D229" s="8" t="inlineStr">
        <is>
          <t>2025年5月29日</t>
        </is>
      </c>
      <c r="E229" s="8" t="inlineStr">
        <is>
          <t>レジャー</t>
        </is>
      </c>
      <c r="F229" s="8" t="n">
        <v>4</v>
      </c>
      <c r="G229" s="8" t="n">
        <v>4</v>
      </c>
      <c r="H229" s="8" t="n">
        <v>5</v>
      </c>
      <c r="I229" s="8" t="n">
        <v>5</v>
      </c>
      <c r="J229" s="8" t="n">
        <v>5</v>
      </c>
      <c r="K229" s="8" t="n">
        <v>4</v>
      </c>
      <c r="L229" s="8" t="inlineStr">
        <is>
          <t>高速で伸びる！</t>
        </is>
      </c>
      <c r="M229" s="14" t="inlineStr">
        <is>
          <t>走る、曲がる、止まるは100点。加速は背中にGを味わえます。高速道路ではハイブリッド車もビックリ、リッター22㎞は楽勝です。また、3列目シートを倒せば巨大なラゲージスペースが誕生。ツーリングワゴンとしても大活躍です。</t>
        </is>
      </c>
      <c r="N229" s="14" t="inlineStr">
        <is>
          <t>プラスチッキーな内装の貧弱さ&amp;収納スペースの少ないところ。</t>
        </is>
      </c>
      <c r="O229" s="14" t="inlineStr">
        <is>
          <t>「1.8S」の足回りと143psのパワーは、ここぞ！というところで、「おー、なかなか」という感激を味わえます。荷物も積めるので普段使いに最適ですね。</t>
        </is>
      </c>
      <c r="P229" s="8" t="inlineStr">
        <is>
          <t>https://minkara.carview.co.jp/car/toyota/wish/review/detail.aspx?cid=427408</t>
        </is>
      </c>
    </row>
    <row r="230">
      <c r="A230" s="13" t="inlineStr">
        <is>
          <t>ウィッシュ</t>
        </is>
      </c>
      <c r="B230" s="13" t="n">
        <v>2010</v>
      </c>
      <c r="C230" s="13" t="inlineStr">
        <is>
          <t>2.0Z</t>
        </is>
      </c>
      <c r="D230" s="13" t="inlineStr">
        <is>
          <t>2025年5月25日</t>
        </is>
      </c>
      <c r="E230" s="13" t="inlineStr">
        <is>
          <t>その他</t>
        </is>
      </c>
      <c r="F230" s="13" t="n">
        <v>5</v>
      </c>
      <c r="G230" s="13" t="n"/>
      <c r="H230" s="13" t="n"/>
      <c r="I230" s="13" t="n"/>
      <c r="J230" s="13" t="n"/>
      <c r="K230" s="13" t="n"/>
      <c r="L230" s="13" t="inlineStr">
        <is>
          <t>スムーズな乗り心地、峠も快適走りのミニバン。</t>
        </is>
      </c>
      <c r="M230" s="14" t="inlineStr">
        <is>
          <t>リアサスがダブルウィッシュボーンで優れた操縦安定性、横風にも強く高速道路も家族5人で快適。一度下道でカタログ値以上の16.9㎞／ℓの燃費を出したことがある下道で2県ほどまたいで日帰りで350㎞程。高速では17㎞／ℓ（クルコン利用でメータ表示100㎞/hで850㎞走行うち150㎞程下道）。車高が1600㎜とミニバンの中では低く屋根にジェットバック積んでも2.1m以内に収まるので大概の立体駐車場に入れる。・6人乗りのミニバンの中ではコンパクトなサイズと高速でもゆとりあるパワー、スムーズなCVTの制御と高い高速安定性。2列目キャプテンシート足元がかなりの広さ。故障が少ない。13万キロ走っているが故障して交換したのはイグニッションコイルとプラグ。後席がヒンジドアの為、軽くて車体剛性がある。2列目シートがフラットに畳める為長尺物が乗せやすい（27インチママチャリが立てては入らないが横に倒せば乗る、17（215/50/17）インチのタイヤが8本乗せられた）。</t>
        </is>
      </c>
      <c r="N230" s="14" t="inlineStr">
        <is>
          <t>純正のクルーズコントロールが110㎞／ｈまでしかセット出来ず新東名の120㎞／ｈ区間でクルコンが120㎞／ｈの設定で使えないこと。・カーナビがインダッシュで8インチや9インチが入らないこと。コンパクトで扱いやすいボディサイズゆえ6人乗車時の荷室が狭い。</t>
        </is>
      </c>
      <c r="O230" s="14" t="inlineStr">
        <is>
          <t>コンパクトで車高が低く、剛性のある車体に2000㏄のゆとりあるエンジンで、少し車高の高いステーションワゴンのような乗り味です。Zグレードと４駆のみリアサスがダブルウィッシュボーンとなっており、背の高い上級ミニバンでは得られない高速安定性と上質な操縦性能が有り後継車種が出なかった事が非常に残念でならない。当時車体価格258万円で売ってくれたトヨタに感謝。</t>
        </is>
      </c>
      <c r="P230" s="13" t="inlineStr">
        <is>
          <t>https://minkara.carview.co.jp/car/toyota/wish/review/detail.aspx?cid=427113</t>
        </is>
      </c>
    </row>
    <row r="231">
      <c r="A231" s="8" t="inlineStr">
        <is>
          <t>ウィッシュ</t>
        </is>
      </c>
      <c r="B231" s="8" t="n">
        <v>2009</v>
      </c>
      <c r="C231" s="8" t="inlineStr">
        <is>
          <t>1.8S_7人乗り_4WD(CVT_1.8)</t>
        </is>
      </c>
      <c r="D231" s="8" t="inlineStr">
        <is>
          <t>2025年5月20日</t>
        </is>
      </c>
      <c r="E231" s="8" t="inlineStr">
        <is>
          <t>通勤通学</t>
        </is>
      </c>
      <c r="F231" s="8" t="n">
        <v>4</v>
      </c>
      <c r="G231" s="8" t="n">
        <v>4</v>
      </c>
      <c r="H231" s="8" t="n">
        <v>4</v>
      </c>
      <c r="I231" s="8" t="n">
        <v>3</v>
      </c>
      <c r="J231" s="8" t="n">
        <v>5</v>
      </c>
      <c r="K231" s="8" t="n">
        <v>4</v>
      </c>
      <c r="L231" s="8" t="inlineStr">
        <is>
          <t>思っていたよりも…</t>
        </is>
      </c>
      <c r="M231" s="14" t="inlineStr">
        <is>
          <t>ヴェルファイア(20系)と比べると加速が良い 思っていたより室内が広い 緊急用の3列目シート 3列目を収納すればトランク広々使える</t>
        </is>
      </c>
      <c r="N231" s="14" t="inlineStr">
        <is>
          <t>せめてポジション球くらいは交換しようと思いましたが、作業スペースが全くなく手がキズだらけになり断念 トランク下収納スペースの雨漏り…</t>
        </is>
      </c>
      <c r="O231" s="14" t="inlineStr">
        <is>
          <t>外観デザインは今見ても好感が持てます 先進装備はもちろんありませんが、当時はあの値段でこの車が買えたのかと思うとコスパ良過ぎですね</t>
        </is>
      </c>
      <c r="P231" s="8" t="inlineStr">
        <is>
          <t>https://minkara.carview.co.jp/car/toyota/wish/review/detail.aspx?cid=426755</t>
        </is>
      </c>
    </row>
    <row r="232">
      <c r="A232" s="13" t="inlineStr">
        <is>
          <t>ウィッシュ</t>
        </is>
      </c>
      <c r="B232" s="13" t="n">
        <v>2012</v>
      </c>
      <c r="C232" s="13" t="inlineStr">
        <is>
          <t>1.8Sエアロツアラー4WD</t>
        </is>
      </c>
      <c r="D232" s="13" t="inlineStr">
        <is>
          <t>2025年5月6日</t>
        </is>
      </c>
      <c r="E232" s="13" t="inlineStr">
        <is>
          <t>レジャー</t>
        </is>
      </c>
      <c r="F232" s="13" t="n">
        <v>4</v>
      </c>
      <c r="G232" s="13" t="n">
        <v>3</v>
      </c>
      <c r="H232" s="13" t="n">
        <v>3</v>
      </c>
      <c r="I232" s="13" t="n">
        <v>3</v>
      </c>
      <c r="J232" s="13" t="n">
        <v>3</v>
      </c>
      <c r="K232" s="13" t="n">
        <v>4</v>
      </c>
      <c r="L232" s="13" t="inlineStr">
        <is>
          <t>燃費いがいと良い</t>
        </is>
      </c>
      <c r="M232" s="14" t="inlineStr">
        <is>
          <t>燃費が遠出18くらい出て、車中泊もできるので満足</t>
        </is>
      </c>
      <c r="N232" s="14" t="inlineStr">
        <is>
          <t>シートが合わなくて6時間くらい運転すると全身痛くなる</t>
        </is>
      </c>
      <c r="O232" s="14" t="inlineStr">
        <is>
          <t>ステップワゴンより良い車 燃費いいし</t>
        </is>
      </c>
      <c r="P232" s="13" t="inlineStr">
        <is>
          <t>https://minkara.carview.co.jp/car/toyota/wish/review/detail.aspx?cid=425801</t>
        </is>
      </c>
    </row>
    <row r="233">
      <c r="A233" s="8" t="inlineStr">
        <is>
          <t>ウィッシュ</t>
        </is>
      </c>
      <c r="B233" s="8" t="n">
        <v>2003</v>
      </c>
      <c r="C233" s="8" t="inlineStr">
        <is>
          <t>不明</t>
        </is>
      </c>
      <c r="D233" s="8" t="inlineStr">
        <is>
          <t>2025年4月5日</t>
        </is>
      </c>
      <c r="E233" s="8" t="inlineStr">
        <is>
          <t>通勤通学</t>
        </is>
      </c>
      <c r="F233" s="8" t="n">
        <v>4</v>
      </c>
      <c r="G233" s="8" t="n">
        <v>3</v>
      </c>
      <c r="H233" s="8" t="n">
        <v>4</v>
      </c>
      <c r="I233" s="8" t="n">
        <v>4</v>
      </c>
      <c r="J233" s="8" t="n">
        <v>4</v>
      </c>
      <c r="K233" s="8" t="n">
        <v>3</v>
      </c>
      <c r="L233" s="8" t="inlineStr">
        <is>
          <t>wish cones true</t>
        </is>
      </c>
      <c r="M233" s="14" t="n"/>
      <c r="N233" s="14" t="n"/>
      <c r="O233" s="14" t="inlineStr">
        <is>
          <t>可もなく不可もなく</t>
        </is>
      </c>
      <c r="P233" s="8" t="inlineStr">
        <is>
          <t>https://minkara.carview.co.jp/car/toyota/wish/review/detail.aspx?cid=423129</t>
        </is>
      </c>
    </row>
    <row r="234">
      <c r="A234" s="13" t="inlineStr">
        <is>
          <t>ウィッシュ</t>
        </is>
      </c>
      <c r="B234" s="13" t="n">
        <v>2009</v>
      </c>
      <c r="C234" s="13" t="inlineStr">
        <is>
          <t>1.8S</t>
        </is>
      </c>
      <c r="D234" s="13" t="inlineStr">
        <is>
          <t>2025年3月3日</t>
        </is>
      </c>
      <c r="E234" s="13" t="n"/>
      <c r="F234" s="13" t="n">
        <v>5</v>
      </c>
      <c r="G234" s="13" t="n"/>
      <c r="H234" s="13" t="n"/>
      <c r="I234" s="13" t="n"/>
      <c r="J234" s="13" t="n"/>
      <c r="K234" s="13" t="n"/>
      <c r="L234" s="13" t="inlineStr">
        <is>
          <t>過去最高の車？</t>
        </is>
      </c>
      <c r="M234" s="14" t="inlineStr">
        <is>
          <t>視界が広く外から丸見え、収納が多く何処に入れたか思い出せない？</t>
        </is>
      </c>
      <c r="N234" s="14" t="inlineStr">
        <is>
          <t>置いてあるだけなので、タイヤの扁平率がおかしい。 走ろうとすると必ず空気が少ない。 交換タイヤ代が高い。 バッテリーが直ぐあがる。</t>
        </is>
      </c>
      <c r="O234" s="14" t="inlineStr">
        <is>
          <t>手放さない。売らない。</t>
        </is>
      </c>
      <c r="P234" s="13" t="inlineStr">
        <is>
          <t>https://minkara.carview.co.jp/car/toyota/wish/review/detail.aspx?cid=420440</t>
        </is>
      </c>
    </row>
    <row r="235">
      <c r="A235" s="8" t="inlineStr">
        <is>
          <t>ウィッシュ</t>
        </is>
      </c>
      <c r="B235" s="8" t="n">
        <v>2005</v>
      </c>
      <c r="C235" s="8" t="inlineStr">
        <is>
          <t>Z(CVT_2.0)</t>
        </is>
      </c>
      <c r="D235" s="8" t="inlineStr">
        <is>
          <t>2025年2月20日</t>
        </is>
      </c>
      <c r="E235" s="8" t="inlineStr">
        <is>
          <t>通勤通学</t>
        </is>
      </c>
      <c r="F235" s="8" t="n">
        <v>3</v>
      </c>
      <c r="G235" s="8" t="n">
        <v>3</v>
      </c>
      <c r="H235" s="8" t="n">
        <v>3</v>
      </c>
      <c r="I235" s="8" t="n">
        <v>3</v>
      </c>
      <c r="J235" s="8" t="n">
        <v>3</v>
      </c>
      <c r="K235" s="8" t="n">
        <v>3</v>
      </c>
      <c r="L235" s="8" t="inlineStr">
        <is>
          <t>壊れない車</t>
        </is>
      </c>
      <c r="M235" s="14" t="inlineStr">
        <is>
          <t>16年間故障が1度もないこと</t>
        </is>
      </c>
      <c r="N235" s="14" t="inlineStr">
        <is>
          <t>内装が、安っぽい</t>
        </is>
      </c>
      <c r="O235" s="14" t="inlineStr">
        <is>
          <t>今は、温泉めぐりドライブ</t>
        </is>
      </c>
      <c r="P235" s="8" t="inlineStr">
        <is>
          <t>https://minkara.carview.co.jp/car/toyota/wish/review/detail.aspx?cid=419507</t>
        </is>
      </c>
    </row>
    <row r="236">
      <c r="A236" s="13" t="inlineStr">
        <is>
          <t>ウィッシュ</t>
        </is>
      </c>
      <c r="B236" s="13" t="n">
        <v>2010</v>
      </c>
      <c r="C236" s="13" t="inlineStr">
        <is>
          <t>2.0Z</t>
        </is>
      </c>
      <c r="D236" s="13" t="inlineStr">
        <is>
          <t>2025年1月5日</t>
        </is>
      </c>
      <c r="E236" s="13" t="inlineStr">
        <is>
          <t>レジャー</t>
        </is>
      </c>
      <c r="F236" s="13" t="n">
        <v>4</v>
      </c>
      <c r="G236" s="13" t="n">
        <v>4</v>
      </c>
      <c r="H236" s="13" t="n">
        <v>4</v>
      </c>
      <c r="I236" s="13" t="n">
        <v>4</v>
      </c>
      <c r="J236" s="13" t="n">
        <v>4</v>
      </c>
      <c r="K236" s="13" t="n">
        <v>4</v>
      </c>
      <c r="L236" s="13" t="inlineStr">
        <is>
          <t>子育てに活躍してくれました。</t>
        </is>
      </c>
      <c r="M236" s="14" t="inlineStr">
        <is>
          <t>・子供用のチャリが二台載り、よく広場に遊びに行けました。 ・リアシートリクライニングするので、同乗者が楽に乗れました。</t>
        </is>
      </c>
      <c r="N236" s="14" t="inlineStr">
        <is>
          <t>・塗装が、剥げてきて、経年劣化と思いきや、メーカーリコールで再塗装してもらえました。 ・付いてたホイールが、1.8のやつで、アンバランスでした。</t>
        </is>
      </c>
      <c r="O236" s="14" t="inlineStr">
        <is>
          <t>子育て時期でしたが、十分に活躍してくれました。売ってから気付きましたが、コスパ良かったです。</t>
        </is>
      </c>
      <c r="P236" s="13" t="inlineStr">
        <is>
          <t>https://minkara.carview.co.jp/car/toyota/wish/review/detail.aspx?cid=415923</t>
        </is>
      </c>
    </row>
    <row r="237">
      <c r="A237" s="8" t="inlineStr">
        <is>
          <t>ウィッシュ</t>
        </is>
      </c>
      <c r="B237" s="8" t="n">
        <v>2015</v>
      </c>
      <c r="C237" s="8" t="inlineStr">
        <is>
          <t>1.8S_7人乗り_4WD(CVT_1.8)</t>
        </is>
      </c>
      <c r="D237" s="8" t="inlineStr">
        <is>
          <t>2024年12月26日</t>
        </is>
      </c>
      <c r="E237" s="8" t="inlineStr">
        <is>
          <t>通勤通学</t>
        </is>
      </c>
      <c r="F237" s="8" t="n">
        <v>5</v>
      </c>
      <c r="G237" s="8" t="n">
        <v>3</v>
      </c>
      <c r="H237" s="8" t="n">
        <v>5</v>
      </c>
      <c r="I237" s="8" t="n">
        <v>5</v>
      </c>
      <c r="J237" s="8" t="n">
        <v>3</v>
      </c>
      <c r="K237" s="8" t="n">
        <v>5</v>
      </c>
      <c r="L237" s="8" t="inlineStr">
        <is>
          <t>20万㎞走ってます(￣▽￣;)💨</t>
        </is>
      </c>
      <c r="M237" s="14" t="n"/>
      <c r="N237" s="14" t="n"/>
      <c r="O237" s="14" t="inlineStr">
        <is>
          <t>これからいっしょ頑張ります</t>
        </is>
      </c>
      <c r="P237" s="8" t="inlineStr">
        <is>
          <t>https://minkara.carview.co.jp/car/toyota/wish/review/detail.aspx?cid=415060</t>
        </is>
      </c>
    </row>
    <row r="238">
      <c r="A238" s="13" t="inlineStr">
        <is>
          <t>ウィッシュ</t>
        </is>
      </c>
      <c r="B238" s="13" t="n">
        <v>2013</v>
      </c>
      <c r="C238" s="13" t="inlineStr">
        <is>
          <t>不明</t>
        </is>
      </c>
      <c r="D238" s="13" t="inlineStr">
        <is>
          <t>2024年12月16日</t>
        </is>
      </c>
      <c r="E238" s="13" t="inlineStr">
        <is>
          <t>通勤通学</t>
        </is>
      </c>
      <c r="F238" s="13" t="n">
        <v>5</v>
      </c>
      <c r="G238" s="13" t="n">
        <v>4</v>
      </c>
      <c r="H238" s="13" t="n">
        <v>5</v>
      </c>
      <c r="I238" s="13" t="n">
        <v>4</v>
      </c>
      <c r="J238" s="13" t="n"/>
      <c r="K238" s="13" t="n">
        <v>5</v>
      </c>
      <c r="L238" s="13" t="inlineStr">
        <is>
          <t>すごく良い車</t>
        </is>
      </c>
      <c r="M238" s="14" t="inlineStr">
        <is>
          <t>故障知らずの良い車 逆に故障が無くて心配になりましたw</t>
        </is>
      </c>
      <c r="N238" s="14" t="inlineStr">
        <is>
          <t>塗装剥がれ</t>
        </is>
      </c>
      <c r="O238" s="14" t="inlineStr">
        <is>
          <t>新車から11年所有しました パールホワイトの塗装剥がれが数回ありまして、その都度サービスで再塗装してましたが、新たに剥がれる前にお別れしました。 それ以外は、全てにおいて大満足です。 可能であれば違うカラーでまた乗りたいです</t>
        </is>
      </c>
      <c r="P238" s="13" t="inlineStr">
        <is>
          <t>https://minkara.carview.co.jp/car/toyota/wish/review/detail.aspx?cid=414352</t>
        </is>
      </c>
    </row>
    <row r="239">
      <c r="A239" s="8" t="inlineStr">
        <is>
          <t>ウィッシュ</t>
        </is>
      </c>
      <c r="B239" s="8" t="n">
        <v>2009</v>
      </c>
      <c r="C239" s="8" t="inlineStr">
        <is>
          <t>2.0G_7人乗り(CVT_2.0)</t>
        </is>
      </c>
      <c r="D239" s="8" t="inlineStr">
        <is>
          <t>2024年12月8日</t>
        </is>
      </c>
      <c r="E239" s="8" t="inlineStr">
        <is>
          <t>通勤通学</t>
        </is>
      </c>
      <c r="F239" s="8" t="n">
        <v>5</v>
      </c>
      <c r="G239" s="8" t="n">
        <v>4</v>
      </c>
      <c r="H239" s="8" t="n">
        <v>4</v>
      </c>
      <c r="I239" s="8" t="n">
        <v>3</v>
      </c>
      <c r="J239" s="8" t="n">
        <v>5</v>
      </c>
      <c r="K239" s="8" t="n">
        <v>5</v>
      </c>
      <c r="L239" s="8" t="inlineStr">
        <is>
          <t>ベストサイズ</t>
        </is>
      </c>
      <c r="M239" s="14" t="inlineStr">
        <is>
          <t>ロールーフミニバン 絶滅危惧種ですが人によっては最高です、積載量が多いのに走りもいい 燃費も古いガソリン車にしては17km前後と頑張ってる 最低限の安全は確保</t>
        </is>
      </c>
      <c r="N239" s="14" t="inlineStr">
        <is>
          <t>乗り心地、静粛性は中の下 3列目は酷い、普段遣いは無理なレベルなので非常用としてなら有</t>
        </is>
      </c>
      <c r="O239" s="14" t="inlineStr">
        <is>
          <t>旅行、キャンプ、車中泊等に荷物が多い場面でも、いい働きをしてくれる相棒 シエンタ、フリードよりも走りはいい！！</t>
        </is>
      </c>
      <c r="P239" s="8" t="inlineStr">
        <is>
          <t>https://minkara.carview.co.jp/car/toyota/wish/review/detail.aspx?cid=413715</t>
        </is>
      </c>
    </row>
    <row r="240">
      <c r="A240" s="13" t="inlineStr">
        <is>
          <t>ウィッシュ</t>
        </is>
      </c>
      <c r="B240" s="13" t="n">
        <v>2007</v>
      </c>
      <c r="C240" s="13" t="inlineStr">
        <is>
          <t>不明</t>
        </is>
      </c>
      <c r="D240" s="13" t="inlineStr">
        <is>
          <t>2024年12月6日</t>
        </is>
      </c>
      <c r="E240" s="13" t="n"/>
      <c r="F240" s="13" t="n">
        <v>2</v>
      </c>
      <c r="G240" s="13" t="n"/>
      <c r="H240" s="13" t="n"/>
      <c r="I240" s="13" t="n"/>
      <c r="J240" s="13" t="n"/>
      <c r="K240" s="13" t="n"/>
      <c r="L240" s="13" t="inlineStr">
        <is>
          <t>２０代の頃から１７年乗ってます</t>
        </is>
      </c>
      <c r="M240" s="14" t="inlineStr">
        <is>
          <t>とにかく壊れない。積載量が必要十分。</t>
        </is>
      </c>
      <c r="N240" s="14" t="inlineStr">
        <is>
          <t>現行の車両と比較すると燃費が悪い。</t>
        </is>
      </c>
      <c r="O240" s="14" t="inlineStr">
        <is>
          <t>平凡でありふれた車だが、メンテナンスもロクに出来ていないにも関わらず、故障もない。今では愛着が湧いております。</t>
        </is>
      </c>
      <c r="P240" s="13" t="inlineStr">
        <is>
          <t>https://minkara.carview.co.jp/car/toyota/wish/review/detail.aspx?cid=413525</t>
        </is>
      </c>
    </row>
    <row r="241">
      <c r="A241" s="8" t="inlineStr">
        <is>
          <t>ウィッシュ</t>
        </is>
      </c>
      <c r="B241" s="8" t="n">
        <v>2009</v>
      </c>
      <c r="C241" s="8" t="inlineStr">
        <is>
          <t>2.0Z_6人乗り(CVT_2.0)</t>
        </is>
      </c>
      <c r="D241" s="8" t="inlineStr">
        <is>
          <t>2024年11月25日</t>
        </is>
      </c>
      <c r="E241" s="8" t="inlineStr">
        <is>
          <t>通勤通学</t>
        </is>
      </c>
      <c r="F241" s="8" t="n">
        <v>4</v>
      </c>
      <c r="G241" s="8" t="n">
        <v>5</v>
      </c>
      <c r="H241" s="8" t="n">
        <v>4</v>
      </c>
      <c r="I241" s="8" t="n">
        <v>3</v>
      </c>
      <c r="J241" s="8" t="n">
        <v>4</v>
      </c>
      <c r="K241" s="8" t="n">
        <v>4</v>
      </c>
      <c r="L241" s="8" t="inlineStr">
        <is>
          <t>かっちょいい💮</t>
        </is>
      </c>
      <c r="M241" s="14" t="inlineStr">
        <is>
          <t>10系の1.8から乗り換えですが、パワー感が段違い❗特にスポーツモード時の中間加速は排気量以上の加速感です⤴️巡航時の静粛性も上がってますね❗</t>
        </is>
      </c>
      <c r="N241" s="14" t="inlineStr">
        <is>
          <t>視界と収納はは10系に軍配。 操作系も10系の方が適度な重さがあったけど、20系はアクセルもステアリングも軽すぎて変な感じ。</t>
        </is>
      </c>
      <c r="O241" s="14" t="inlineStr">
        <is>
          <t>これ１台でほとんどこなせますよ❗ 買い物から長距離ドライブから何でもござれ💮</t>
        </is>
      </c>
      <c r="P241" s="8" t="inlineStr">
        <is>
          <t>https://minkara.carview.co.jp/car/toyota/wish/review/detail.aspx?cid=412746</t>
        </is>
      </c>
    </row>
    <row r="242">
      <c r="A242" s="13" t="inlineStr">
        <is>
          <t>プリウスα</t>
        </is>
      </c>
      <c r="B242" s="13" t="n">
        <v>2013</v>
      </c>
      <c r="C242" s="13" t="inlineStr">
        <is>
          <t>S“チューンブラック”_5人乗り(CVT_1.8)</t>
        </is>
      </c>
      <c r="D242" s="13" t="inlineStr">
        <is>
          <t>2026年6月26日</t>
        </is>
      </c>
      <c r="E242" s="13" t="inlineStr">
        <is>
          <t>仕事</t>
        </is>
      </c>
      <c r="F242" s="13" t="n">
        <v>2</v>
      </c>
      <c r="G242" s="13" t="n">
        <v>1</v>
      </c>
      <c r="H242" s="13" t="n">
        <v>1</v>
      </c>
      <c r="I242" s="13" t="n">
        <v>2</v>
      </c>
      <c r="J242" s="13" t="n">
        <v>4</v>
      </c>
      <c r="K242" s="13" t="n">
        <v>3</v>
      </c>
      <c r="L242" s="13" t="inlineStr">
        <is>
          <t>中途半端</t>
        </is>
      </c>
      <c r="M242" s="14" t="inlineStr">
        <is>
          <t>・所有しているジャガーXFよりも中は広い ・意外に後ろ見やすい ・車幅が狭いので狭い所も入って行ける</t>
        </is>
      </c>
      <c r="N242" s="14" t="inlineStr">
        <is>
          <t>・走りはハナクソ アクセル踏んでも踏んでも進まない。最初乗った時は壊れてるのかと思った。 ・ハンドル切っても思った以上に曲がらない。 ・燃費も思ったより良く無い。 ・安っぽいインテリアなんとかならんの？？</t>
        </is>
      </c>
      <c r="O242" s="14" t="inlineStr">
        <is>
          <t>一言で言えば「微妙」 燃費も思ったより良く無い 定番のリアスポイラーのクリアー飛び などなど… 小さい割に運転しづらいし わかりにくいシフト 足回りもグニャグニャなのに 段差を拾う ドレもコレも中途半端</t>
        </is>
      </c>
      <c r="P242" s="13" t="inlineStr">
        <is>
          <t>https://minkara.carview.co.jp/car/toyota/prius_alpha/review/detail.aspx?cid=456997</t>
        </is>
      </c>
    </row>
    <row r="243">
      <c r="A243" s="8" t="inlineStr">
        <is>
          <t>プリウスα</t>
        </is>
      </c>
      <c r="B243" s="8" t="n">
        <v>2013</v>
      </c>
      <c r="C243" s="8" t="inlineStr">
        <is>
          <t>不明</t>
        </is>
      </c>
      <c r="D243" s="8" t="inlineStr">
        <is>
          <t>2026年6月23日</t>
        </is>
      </c>
      <c r="E243" s="8" t="inlineStr">
        <is>
          <t>通勤通学</t>
        </is>
      </c>
      <c r="F243" s="8" t="n">
        <v>4</v>
      </c>
      <c r="G243" s="8" t="n">
        <v>2</v>
      </c>
      <c r="H243" s="8" t="n">
        <v>4</v>
      </c>
      <c r="I243" s="8" t="n">
        <v>3</v>
      </c>
      <c r="J243" s="8" t="n">
        <v>4</v>
      </c>
      <c r="K243" s="8" t="n">
        <v>4</v>
      </c>
      <c r="L243" s="8" t="inlineStr">
        <is>
          <t>燃費良い</t>
        </is>
      </c>
      <c r="M243" s="14" t="n"/>
      <c r="N243" s="14" t="n"/>
      <c r="O243" s="14" t="inlineStr">
        <is>
          <t>日帰り温泉用に購入</t>
        </is>
      </c>
      <c r="P243" s="8" t="inlineStr">
        <is>
          <t>https://minkara.carview.co.jp/car/toyota/prius_alpha/review/detail.aspx?cid=456762</t>
        </is>
      </c>
    </row>
    <row r="244">
      <c r="A244" s="13" t="inlineStr">
        <is>
          <t>プリウスα</t>
        </is>
      </c>
      <c r="B244" s="13" t="n">
        <v>2011</v>
      </c>
      <c r="C244" s="13" t="inlineStr">
        <is>
          <t>G（7人乗り）</t>
        </is>
      </c>
      <c r="D244" s="13" t="inlineStr">
        <is>
          <t>2026年6月23日</t>
        </is>
      </c>
      <c r="E244" s="13" t="inlineStr">
        <is>
          <t>通勤通学</t>
        </is>
      </c>
      <c r="F244" s="13" t="n">
        <v>5</v>
      </c>
      <c r="G244" s="13" t="n">
        <v>4</v>
      </c>
      <c r="H244" s="13" t="n">
        <v>3</v>
      </c>
      <c r="I244" s="13" t="n">
        <v>4</v>
      </c>
      <c r="J244" s="13" t="n">
        <v>5</v>
      </c>
      <c r="K244" s="13" t="n">
        <v>5</v>
      </c>
      <c r="L244" s="13" t="inlineStr">
        <is>
          <t>丁度いい大きさ</t>
        </is>
      </c>
      <c r="M244" s="14" t="inlineStr">
        <is>
          <t>大きすぎず、かと言って小さいわけでない。 何かにつけて、『丁度いい』って表現が最適解</t>
        </is>
      </c>
      <c r="N244" s="14" t="inlineStr">
        <is>
          <t>ボディー剛性が弱い</t>
        </is>
      </c>
      <c r="O244" s="14" t="inlineStr">
        <is>
          <t>丁度いい</t>
        </is>
      </c>
      <c r="P244" s="13" t="inlineStr">
        <is>
          <t>https://minkara.carview.co.jp/car/toyota/prius_alpha/review/detail.aspx?cid=456748</t>
        </is>
      </c>
    </row>
    <row r="245">
      <c r="A245" s="8" t="inlineStr">
        <is>
          <t>プリウスα</t>
        </is>
      </c>
      <c r="B245" s="8" t="n">
        <v>2011</v>
      </c>
      <c r="C245" s="8" t="inlineStr">
        <is>
          <t>不明</t>
        </is>
      </c>
      <c r="D245" s="8" t="inlineStr">
        <is>
          <t>2026年6月21日</t>
        </is>
      </c>
      <c r="E245" s="8" t="inlineStr">
        <is>
          <t>レジャー</t>
        </is>
      </c>
      <c r="F245" s="8" t="n">
        <v>5</v>
      </c>
      <c r="G245" s="8" t="n">
        <v>3</v>
      </c>
      <c r="H245" s="8" t="n">
        <v>2</v>
      </c>
      <c r="I245" s="8" t="n">
        <v>2</v>
      </c>
      <c r="J245" s="8" t="n">
        <v>2</v>
      </c>
      <c r="K245" s="8" t="n">
        <v>5</v>
      </c>
      <c r="L245" s="8" t="inlineStr">
        <is>
          <t>かなり旧式の割には、意外と古さは感じないぞ</t>
        </is>
      </c>
      <c r="M245" s="14" t="inlineStr">
        <is>
          <t>安価なカスタムが楽しめる</t>
        </is>
      </c>
      <c r="N245" s="14" t="inlineStr">
        <is>
          <t>乗り心地が良くない、ふらつく。ハイブリッドは走らない。</t>
        </is>
      </c>
      <c r="O245" s="14" t="inlineStr">
        <is>
          <t>古さは感じないが...この車は確かに、プリウスミサイルとなりうる。シフトレバーのDレンジとRレンジの位置はよく逆にしていまい、間違えることがある。なので、ここが嫌い。</t>
        </is>
      </c>
      <c r="P245" s="8" t="inlineStr">
        <is>
          <t>https://minkara.carview.co.jp/car/toyota/prius_alpha/review/detail.aspx?cid=456634</t>
        </is>
      </c>
    </row>
    <row r="246">
      <c r="A246" s="13" t="inlineStr">
        <is>
          <t>プリウスα</t>
        </is>
      </c>
      <c r="B246" s="13" t="n">
        <v>2013</v>
      </c>
      <c r="C246" s="13" t="inlineStr">
        <is>
          <t>S“チューンブラック”_7人乗り(CVT_1.8)</t>
        </is>
      </c>
      <c r="D246" s="13" t="inlineStr">
        <is>
          <t>2026年6月19日</t>
        </is>
      </c>
      <c r="E246" s="13" t="inlineStr">
        <is>
          <t>通勤通学</t>
        </is>
      </c>
      <c r="F246" s="13" t="n">
        <v>5</v>
      </c>
      <c r="G246" s="13" t="n">
        <v>5</v>
      </c>
      <c r="H246" s="13" t="n">
        <v>3</v>
      </c>
      <c r="I246" s="13" t="n">
        <v>4</v>
      </c>
      <c r="J246" s="13" t="n">
        <v>5</v>
      </c>
      <c r="K246" s="13" t="n">
        <v>5</v>
      </c>
      <c r="L246" s="13" t="inlineStr">
        <is>
          <t>コスパ最強</t>
        </is>
      </c>
      <c r="M246" s="14" t="inlineStr">
        <is>
          <t>燃費がとても良くて荷物も沢山乗ります笑 壊れる所もほぼ無いですし、世界一お金のかからないファミリーカーだと思います。</t>
        </is>
      </c>
      <c r="N246" s="14" t="inlineStr">
        <is>
          <t>元々乗っていた車が3.5Lのハイブリッド車だったのでパワーのなさが少し寂しいです。 必要十分なのですがね…</t>
        </is>
      </c>
      <c r="O246" s="14" t="inlineStr">
        <is>
          <t>買って後悔はない車だと思います リセールが0になることは100%ありえない車種ですし、 実用性もバッチリです👌</t>
        </is>
      </c>
      <c r="P246" s="13" t="inlineStr">
        <is>
          <t>https://minkara.carview.co.jp/car/toyota/prius_alpha/review/detail.aspx?cid=456458</t>
        </is>
      </c>
    </row>
    <row r="247">
      <c r="A247" s="8" t="inlineStr">
        <is>
          <t>プリウスα</t>
        </is>
      </c>
      <c r="B247" s="8" t="n">
        <v>2012</v>
      </c>
      <c r="C247" s="8" t="inlineStr">
        <is>
          <t>Ｓ Ｌセレクション</t>
        </is>
      </c>
      <c r="D247" s="8" t="inlineStr">
        <is>
          <t>2026年5月23日</t>
        </is>
      </c>
      <c r="E247" s="8" t="inlineStr">
        <is>
          <t>レジャー</t>
        </is>
      </c>
      <c r="F247" s="8" t="n">
        <v>5</v>
      </c>
      <c r="G247" s="8" t="n">
        <v>4</v>
      </c>
      <c r="H247" s="8" t="n">
        <v>3</v>
      </c>
      <c r="I247" s="8" t="n">
        <v>3</v>
      </c>
      <c r="J247" s="8" t="n">
        <v>4</v>
      </c>
      <c r="K247" s="8" t="n">
        <v>5</v>
      </c>
      <c r="L247" s="8" t="inlineStr">
        <is>
          <t>コスパ最強車</t>
        </is>
      </c>
      <c r="M247" s="14" t="inlineStr">
        <is>
          <t>乗りやすく使いやすい車です。</t>
        </is>
      </c>
      <c r="N247" s="14" t="inlineStr">
        <is>
          <t>特別不満な点はなくしいて言うのなら四駆じゃないくらいです。 今の所冬も普通に乗れるし全く不便はないですけどね！！</t>
        </is>
      </c>
      <c r="O247" s="14" t="inlineStr">
        <is>
          <t>レジャー＆買い物などに使用してます！ とても満足しています！</t>
        </is>
      </c>
      <c r="P247" s="8" t="inlineStr">
        <is>
          <t>https://minkara.carview.co.jp/car/toyota/prius_alpha/review/detail.aspx?cid=454622</t>
        </is>
      </c>
    </row>
    <row r="248">
      <c r="A248" s="13" t="inlineStr">
        <is>
          <t>プリウスα</t>
        </is>
      </c>
      <c r="B248" s="13" t="n">
        <v>2012</v>
      </c>
      <c r="C248" s="13" t="inlineStr">
        <is>
          <t>S_5人乗り</t>
        </is>
      </c>
      <c r="D248" s="13" t="inlineStr">
        <is>
          <t>2026年5月18日</t>
        </is>
      </c>
      <c r="E248" s="13" t="inlineStr">
        <is>
          <t>レジャー</t>
        </is>
      </c>
      <c r="F248" s="13" t="n">
        <v>5</v>
      </c>
      <c r="G248" s="13" t="n">
        <v>2</v>
      </c>
      <c r="H248" s="13" t="n">
        <v>4</v>
      </c>
      <c r="I248" s="13" t="n">
        <v>3</v>
      </c>
      <c r="J248" s="13" t="n">
        <v>4</v>
      </c>
      <c r="K248" s="13" t="n">
        <v>5</v>
      </c>
      <c r="L248" s="13" t="inlineStr">
        <is>
          <t>素人が頑張ります笑</t>
        </is>
      </c>
      <c r="M248" s="14" t="n"/>
      <c r="N248" s="14" t="n"/>
      <c r="O248" s="14" t="inlineStr">
        <is>
          <t>前期プリウスαのダメな所を治し中です</t>
        </is>
      </c>
      <c r="P248" s="13" t="inlineStr">
        <is>
          <t>https://minkara.carview.co.jp/car/toyota/prius_alpha/review/detail.aspx?cid=454283</t>
        </is>
      </c>
    </row>
    <row r="249">
      <c r="A249" s="8" t="inlineStr">
        <is>
          <t>プリウスα</t>
        </is>
      </c>
      <c r="B249" s="8" t="n">
        <v>2012</v>
      </c>
      <c r="C249" s="8" t="inlineStr">
        <is>
          <t>S“ツーリングセレクション”5人乗り</t>
        </is>
      </c>
      <c r="D249" s="8" t="inlineStr">
        <is>
          <t>2026年5月9日</t>
        </is>
      </c>
      <c r="E249" s="8" t="inlineStr">
        <is>
          <t>通勤通学</t>
        </is>
      </c>
      <c r="F249" s="8" t="n">
        <v>4</v>
      </c>
      <c r="G249" s="8" t="n">
        <v>3</v>
      </c>
      <c r="H249" s="8" t="n">
        <v>3</v>
      </c>
      <c r="I249" s="8" t="n">
        <v>3</v>
      </c>
      <c r="J249" s="8" t="n">
        <v>3</v>
      </c>
      <c r="K249" s="8" t="n">
        <v>4</v>
      </c>
      <c r="L249" s="8" t="inlineStr">
        <is>
          <t>コストパフォーマンスカー</t>
        </is>
      </c>
      <c r="M249" s="14" t="inlineStr">
        <is>
          <t>息子から185000キロで譲り受け現在では315000キロになりメインバッテリー、ブレーキ類は無交換、トラブルも無い</t>
        </is>
      </c>
      <c r="N249" s="14" t="inlineStr">
        <is>
          <t>微妙な車高の為、立体駐車場に入らない事がある。 毎回パワーモードを押しておりメモリー機能が欲しい</t>
        </is>
      </c>
      <c r="O249" s="14" t="inlineStr">
        <is>
          <t>ワンボックス不要な四人家族にお勧めのファミリーカー</t>
        </is>
      </c>
      <c r="P249" s="8" t="inlineStr">
        <is>
          <t>https://minkara.carview.co.jp/car/toyota/prius_alpha/review/detail.aspx?cid=453636</t>
        </is>
      </c>
    </row>
    <row r="250">
      <c r="A250" s="13" t="inlineStr">
        <is>
          <t>プリウスα</t>
        </is>
      </c>
      <c r="B250" s="13" t="n">
        <v>2014</v>
      </c>
      <c r="C250" s="13" t="inlineStr">
        <is>
          <t>S“Lセレクション”_5人乗り(CVT_1.8)</t>
        </is>
      </c>
      <c r="D250" s="13" t="inlineStr">
        <is>
          <t>2026年4月27日</t>
        </is>
      </c>
      <c r="E250" s="13" t="inlineStr">
        <is>
          <t>通勤通学</t>
        </is>
      </c>
      <c r="F250" s="13" t="n">
        <v>3</v>
      </c>
      <c r="G250" s="13" t="n">
        <v>4</v>
      </c>
      <c r="H250" s="13" t="n">
        <v>2</v>
      </c>
      <c r="I250" s="13" t="n">
        <v>4</v>
      </c>
      <c r="J250" s="13" t="n">
        <v>5</v>
      </c>
      <c r="K250" s="13" t="n">
        <v>5</v>
      </c>
      <c r="L250" s="13" t="inlineStr">
        <is>
          <t>とても良い車ではあるが、少し手を加えたらもっと良くなる。</t>
        </is>
      </c>
      <c r="M250" s="14" t="inlineStr">
        <is>
          <t>・ステーションワゴンの形が好きなので外観はとても気に入っている。 ・燃費がよい ・低グレードなので色んな機能が省かれているのだが逆にシンプルで良い。</t>
        </is>
      </c>
      <c r="N250" s="14" t="inlineStr">
        <is>
          <t>・ちょっとした山道で曲がらない(足回りの交換+ボディ補強パーツを入れることで劇的にかわります) ・保険の料率クラスがプリウスと同じなので保険料が高くなってしまう。</t>
        </is>
      </c>
      <c r="O250" s="14" t="inlineStr">
        <is>
          <t>普段遣いには不満のないとてもいい車です。 ただ、走る場所によっては少し不満を感じるかもしれないのですが、部品の交換をすることで最近の車に引けを取らないくらいに走行性能が良くなります。</t>
        </is>
      </c>
      <c r="P250" s="13" t="inlineStr">
        <is>
          <t>https://minkara.carview.co.jp/car/toyota/prius_alpha/review/detail.aspx?cid=452599</t>
        </is>
      </c>
    </row>
    <row r="251">
      <c r="A251" s="8" t="inlineStr">
        <is>
          <t>プリウスα</t>
        </is>
      </c>
      <c r="B251" s="8" t="n">
        <v>2017</v>
      </c>
      <c r="C251" s="8" t="inlineStr">
        <is>
          <t>S_5人乗り(CVT_1.8)</t>
        </is>
      </c>
      <c r="D251" s="8" t="inlineStr">
        <is>
          <t>2026年4月22日</t>
        </is>
      </c>
      <c r="E251" s="8" t="inlineStr">
        <is>
          <t>通勤通学</t>
        </is>
      </c>
      <c r="F251" s="8" t="n">
        <v>5</v>
      </c>
      <c r="G251" s="8" t="n">
        <v>3</v>
      </c>
      <c r="H251" s="8" t="n">
        <v>5</v>
      </c>
      <c r="I251" s="8" t="n">
        <v>5</v>
      </c>
      <c r="J251" s="8" t="n">
        <v>5</v>
      </c>
      <c r="K251" s="8" t="n">
        <v>4</v>
      </c>
      <c r="L251" s="8" t="inlineStr">
        <is>
          <t>広い室内</t>
        </is>
      </c>
      <c r="M251" s="14" t="n"/>
      <c r="N251" s="14" t="n"/>
      <c r="O251" s="14" t="inlineStr">
        <is>
          <t>全てが80点</t>
        </is>
      </c>
      <c r="P251" s="8" t="inlineStr">
        <is>
          <t>https://minkara.carview.co.jp/car/toyota/prius_alpha/review/detail.aspx?cid=452185</t>
        </is>
      </c>
    </row>
    <row r="252">
      <c r="A252" s="13" t="inlineStr">
        <is>
          <t>プリウスα</t>
        </is>
      </c>
      <c r="B252" s="13" t="n">
        <v>2012</v>
      </c>
      <c r="C252" s="13" t="inlineStr">
        <is>
          <t>S_5人乗り</t>
        </is>
      </c>
      <c r="D252" s="13" t="inlineStr">
        <is>
          <t>2026年4月6日</t>
        </is>
      </c>
      <c r="E252" s="13" t="n"/>
      <c r="F252" s="13" t="n">
        <v>5</v>
      </c>
      <c r="G252" s="13" t="n"/>
      <c r="H252" s="13" t="n"/>
      <c r="I252" s="13" t="n"/>
      <c r="J252" s="13" t="n"/>
      <c r="K252" s="13" t="n"/>
      <c r="L252" s="13" t="inlineStr">
        <is>
          <t>エコ最高</t>
        </is>
      </c>
      <c r="M252" s="14" t="n"/>
      <c r="N252" s="14" t="n"/>
      <c r="O252" s="14" t="inlineStr">
        <is>
          <t>乗り心地は普通ですが、燃費がいいです。</t>
        </is>
      </c>
      <c r="P252" s="13" t="inlineStr">
        <is>
          <t>https://minkara.carview.co.jp/car/toyota/prius_alpha/review/detail.aspx?cid=450965</t>
        </is>
      </c>
    </row>
    <row r="253">
      <c r="A253" s="8" t="inlineStr">
        <is>
          <t>プリウスα</t>
        </is>
      </c>
      <c r="B253" s="8" t="n">
        <v>2012</v>
      </c>
      <c r="C253" s="8" t="inlineStr">
        <is>
          <t>S_7人乗り(CVT_1.8)</t>
        </is>
      </c>
      <c r="D253" s="8" t="inlineStr">
        <is>
          <t>2026年4月5日</t>
        </is>
      </c>
      <c r="E253" s="8" t="inlineStr">
        <is>
          <t>通勤通学</t>
        </is>
      </c>
      <c r="F253" s="8" t="n">
        <v>5</v>
      </c>
      <c r="G253" s="8" t="n">
        <v>4</v>
      </c>
      <c r="H253" s="8" t="n">
        <v>4</v>
      </c>
      <c r="I253" s="8" t="n">
        <v>4</v>
      </c>
      <c r="J253" s="8" t="n">
        <v>4</v>
      </c>
      <c r="K253" s="8" t="n">
        <v>5</v>
      </c>
      <c r="L253" s="8" t="inlineStr">
        <is>
          <t>世界のトヨタ</t>
        </is>
      </c>
      <c r="M253" s="14" t="n"/>
      <c r="N253" s="14" t="n"/>
      <c r="O253" s="14" t="inlineStr">
        <is>
          <t>可もなく不可もなくといった感じですね</t>
        </is>
      </c>
      <c r="P253" s="8" t="inlineStr">
        <is>
          <t>https://minkara.carview.co.jp/car/toyota/prius_alpha/review/detail.aspx?cid=450831</t>
        </is>
      </c>
    </row>
    <row r="254">
      <c r="A254" s="13" t="inlineStr">
        <is>
          <t>プリウスα</t>
        </is>
      </c>
      <c r="B254" s="13" t="n">
        <v>2013</v>
      </c>
      <c r="C254" s="13" t="inlineStr">
        <is>
          <t>S“チューンブラック”_5人乗り(CVT_1.8)</t>
        </is>
      </c>
      <c r="D254" s="13" t="inlineStr">
        <is>
          <t>2026年3月21日</t>
        </is>
      </c>
      <c r="E254" s="13" t="inlineStr">
        <is>
          <t>通勤通学</t>
        </is>
      </c>
      <c r="F254" s="13" t="n">
        <v>5</v>
      </c>
      <c r="G254" s="13" t="n"/>
      <c r="H254" s="13" t="n"/>
      <c r="I254" s="13" t="n"/>
      <c r="J254" s="13" t="n"/>
      <c r="K254" s="13" t="n"/>
      <c r="L254" s="13" t="inlineStr">
        <is>
          <t>カスタムカー</t>
        </is>
      </c>
      <c r="M254" s="14" t="n"/>
      <c r="N254" s="14" t="n"/>
      <c r="O254" s="14" t="inlineStr">
        <is>
          <t>ファミリーカーに抜擢</t>
        </is>
      </c>
      <c r="P254" s="13" t="inlineStr">
        <is>
          <t>https://minkara.carview.co.jp/car/toyota/prius_alpha/review/detail.aspx?cid=449610</t>
        </is>
      </c>
    </row>
    <row r="255">
      <c r="A255" s="8" t="inlineStr">
        <is>
          <t>プリウスα</t>
        </is>
      </c>
      <c r="B255" s="8" t="n">
        <v>2017</v>
      </c>
      <c r="C255" s="8" t="inlineStr">
        <is>
          <t>S“チューン ブラック II”_5人乗り(CVT_1.8)</t>
        </is>
      </c>
      <c r="D255" s="8" t="inlineStr">
        <is>
          <t>2026年3月5日</t>
        </is>
      </c>
      <c r="E255" s="8" t="inlineStr">
        <is>
          <t>レジャー</t>
        </is>
      </c>
      <c r="F255" s="8" t="n">
        <v>5</v>
      </c>
      <c r="G255" s="8" t="n">
        <v>4</v>
      </c>
      <c r="H255" s="8" t="n">
        <v>4</v>
      </c>
      <c r="I255" s="8" t="n">
        <v>5</v>
      </c>
      <c r="J255" s="8" t="n">
        <v>3</v>
      </c>
      <c r="K255" s="8" t="n">
        <v>4</v>
      </c>
      <c r="L255" s="8" t="inlineStr">
        <is>
          <t>後輪の動きがいい。あまりバタバタしない</t>
        </is>
      </c>
      <c r="M255" s="14" t="inlineStr">
        <is>
          <t>アイポイントがフィールダーより高く運転しやすい</t>
        </is>
      </c>
      <c r="N255" s="14" t="inlineStr">
        <is>
          <t>２０１５年式のカローラフィールダーハイブリッドからの乗り換えなのですが（2018年式Sチューン ブラック II）意外と便利装備がついてない（ドアロックでミラー閉やリバース時ミラが下がる等)</t>
        </is>
      </c>
      <c r="O255" s="14" t="inlineStr">
        <is>
          <t>まだいろんなシチュエーションでの運転してないので何とも言えませんがハイブリッド自体はフィールダーに比べパワフルで運転がしやすい。</t>
        </is>
      </c>
      <c r="P255" s="8" t="inlineStr">
        <is>
          <t>https://minkara.carview.co.jp/car/toyota/prius_alpha/review/detail.aspx?cid=448461</t>
        </is>
      </c>
    </row>
    <row r="256">
      <c r="A256" s="13" t="inlineStr">
        <is>
          <t>プリウスα</t>
        </is>
      </c>
      <c r="B256" s="13" t="n">
        <v>2012</v>
      </c>
      <c r="C256" s="13" t="inlineStr">
        <is>
          <t>S_5人乗り</t>
        </is>
      </c>
      <c r="D256" s="13" t="inlineStr">
        <is>
          <t>2026年3月4日</t>
        </is>
      </c>
      <c r="E256" s="13" t="inlineStr">
        <is>
          <t>通勤通学</t>
        </is>
      </c>
      <c r="F256" s="13" t="n">
        <v>3</v>
      </c>
      <c r="G256" s="13" t="n">
        <v>3</v>
      </c>
      <c r="H256" s="13" t="n">
        <v>3</v>
      </c>
      <c r="I256" s="13" t="n">
        <v>3</v>
      </c>
      <c r="J256" s="13" t="n">
        <v>3</v>
      </c>
      <c r="K256" s="13" t="n">
        <v>3</v>
      </c>
      <c r="L256" s="13" t="inlineStr">
        <is>
          <t>普通</t>
        </is>
      </c>
      <c r="M256" s="14" t="n"/>
      <c r="N256" s="14" t="n"/>
      <c r="O256" s="14" t="inlineStr">
        <is>
          <t>ごく普通 スピードは イマイチ 燃費も イマイチ まぁまぁ こんなもん</t>
        </is>
      </c>
      <c r="P256" s="13" t="inlineStr">
        <is>
          <t>https://minkara.carview.co.jp/car/toyota/prius_alpha/review/detail.aspx?cid=448337</t>
        </is>
      </c>
    </row>
    <row r="257">
      <c r="A257" s="8" t="inlineStr">
        <is>
          <t>プリウスα</t>
        </is>
      </c>
      <c r="B257" s="8" t="n">
        <v>2014</v>
      </c>
      <c r="C257" s="8" t="inlineStr">
        <is>
          <t>S_5人乗り(CVT_1.8)</t>
        </is>
      </c>
      <c r="D257" s="8" t="inlineStr">
        <is>
          <t>2026年2月25日</t>
        </is>
      </c>
      <c r="E257" s="8" t="inlineStr">
        <is>
          <t>通勤通学</t>
        </is>
      </c>
      <c r="F257" s="8" t="n">
        <v>4</v>
      </c>
      <c r="G257" s="8" t="n">
        <v>3</v>
      </c>
      <c r="H257" s="8" t="n">
        <v>3</v>
      </c>
      <c r="I257" s="8" t="n">
        <v>2</v>
      </c>
      <c r="J257" s="8" t="n">
        <v>4</v>
      </c>
      <c r="K257" s="8" t="n">
        <v>5</v>
      </c>
      <c r="L257" s="8" t="inlineStr">
        <is>
          <t>優等生</t>
        </is>
      </c>
      <c r="M257" s="14" t="inlineStr">
        <is>
          <t>荷室の広さ。燃費。純正オーディオの音質。車体のサイズ。ハンドリング。オプションの常灯付きフォグを含めた灯火類。パノラマルーフの明るさ</t>
        </is>
      </c>
      <c r="N257" s="14" t="inlineStr">
        <is>
          <t>ロードノイズ。固めの純正サス。よくすれ違う。ブレーキ。リアテールのデザイン。</t>
        </is>
      </c>
      <c r="O257" s="14" t="inlineStr">
        <is>
          <t>優等生過ぎて手放す理由が見当たらない。 買って後悔はなかった。</t>
        </is>
      </c>
      <c r="P257" s="8" t="inlineStr">
        <is>
          <t>https://minkara.carview.co.jp/car/toyota/prius_alpha/review/detail.aspx?cid=447780</t>
        </is>
      </c>
    </row>
    <row r="258">
      <c r="A258" s="13" t="inlineStr">
        <is>
          <t>プリウスα</t>
        </is>
      </c>
      <c r="B258" s="13" t="n">
        <v>2011</v>
      </c>
      <c r="C258" s="13" t="inlineStr">
        <is>
          <t>不明</t>
        </is>
      </c>
      <c r="D258" s="13" t="inlineStr">
        <is>
          <t>2026年2月17日</t>
        </is>
      </c>
      <c r="E258" s="13" t="inlineStr">
        <is>
          <t>レジャー</t>
        </is>
      </c>
      <c r="F258" s="13" t="n">
        <v>5</v>
      </c>
      <c r="G258" s="13" t="n">
        <v>3</v>
      </c>
      <c r="H258" s="13" t="n">
        <v>3</v>
      </c>
      <c r="I258" s="13" t="n">
        <v>3</v>
      </c>
      <c r="J258" s="13" t="n">
        <v>3</v>
      </c>
      <c r="K258" s="13" t="n">
        <v>3</v>
      </c>
      <c r="L258" s="13" t="inlineStr">
        <is>
          <t>まあ</t>
        </is>
      </c>
      <c r="M258" s="14" t="n"/>
      <c r="N258" s="14" t="n"/>
      <c r="O258" s="14" t="inlineStr">
        <is>
          <t>燃費いいしそこそこの広さがありいい</t>
        </is>
      </c>
      <c r="P258" s="13" t="inlineStr">
        <is>
          <t>https://minkara.carview.co.jp/car/toyota/prius_alpha/review/detail.aspx?cid=447194</t>
        </is>
      </c>
    </row>
    <row r="259">
      <c r="A259" s="8" t="inlineStr">
        <is>
          <t>プリウスα</t>
        </is>
      </c>
      <c r="B259" s="8" t="n">
        <v>2014</v>
      </c>
      <c r="C259" s="8" t="inlineStr">
        <is>
          <t>S_5人乗り(CVT_1.8)</t>
        </is>
      </c>
      <c r="D259" s="8" t="inlineStr">
        <is>
          <t>2026年2月17日</t>
        </is>
      </c>
      <c r="E259" s="8" t="inlineStr">
        <is>
          <t>レジャー</t>
        </is>
      </c>
      <c r="F259" s="8" t="n">
        <v>4</v>
      </c>
      <c r="G259" s="8" t="n">
        <v>4</v>
      </c>
      <c r="H259" s="8" t="n">
        <v>3</v>
      </c>
      <c r="I259" s="8" t="n">
        <v>4</v>
      </c>
      <c r="J259" s="8" t="n">
        <v>5</v>
      </c>
      <c r="K259" s="8" t="n">
        <v>5</v>
      </c>
      <c r="L259" s="8" t="inlineStr">
        <is>
          <t>ガソリンタダ⁉️</t>
        </is>
      </c>
      <c r="M259" s="14" t="n"/>
      <c r="N259" s="14" t="n"/>
      <c r="O259" s="14" t="inlineStr">
        <is>
          <t>V6 3.5Lって、昭和の遺物でした🤣</t>
        </is>
      </c>
      <c r="P259" s="8" t="inlineStr">
        <is>
          <t>https://minkara.carview.co.jp/car/toyota/prius_alpha/review/detail.aspx?cid=447173</t>
        </is>
      </c>
    </row>
    <row r="260">
      <c r="A260" s="13" t="inlineStr">
        <is>
          <t>プリウスα</t>
        </is>
      </c>
      <c r="B260" s="13" t="n">
        <v>2011</v>
      </c>
      <c r="C260" s="13" t="inlineStr">
        <is>
          <t>不明</t>
        </is>
      </c>
      <c r="D260" s="13" t="inlineStr">
        <is>
          <t>2026年2月3日</t>
        </is>
      </c>
      <c r="E260" s="13" t="inlineStr">
        <is>
          <t>通勤通学</t>
        </is>
      </c>
      <c r="F260" s="13" t="n">
        <v>5</v>
      </c>
      <c r="G260" s="13" t="n">
        <v>4</v>
      </c>
      <c r="H260" s="13" t="n">
        <v>3</v>
      </c>
      <c r="I260" s="13" t="n">
        <v>4</v>
      </c>
      <c r="J260" s="13" t="n">
        <v>5</v>
      </c>
      <c r="K260" s="13" t="n">
        <v>3</v>
      </c>
      <c r="L260" s="13" t="inlineStr">
        <is>
          <t>車内広々！！</t>
        </is>
      </c>
      <c r="M260" s="14" t="n"/>
      <c r="N260" s="14" t="n"/>
      <c r="O260" s="14" t="inlineStr">
        <is>
          <t>一言で最高かな</t>
        </is>
      </c>
      <c r="P260" s="13" t="inlineStr">
        <is>
          <t>https://minkara.carview.co.jp/car/toyota/prius_alpha/review/detail.aspx?cid=446181</t>
        </is>
      </c>
    </row>
    <row r="261">
      <c r="A261" s="8" t="inlineStr">
        <is>
          <t>プリウスα</t>
        </is>
      </c>
      <c r="B261" s="8" t="n">
        <v>2011</v>
      </c>
      <c r="C261" s="8" t="inlineStr">
        <is>
          <t>S ツーリングセレクション（5人乗り）</t>
        </is>
      </c>
      <c r="D261" s="8" t="inlineStr">
        <is>
          <t>2026年2月3日</t>
        </is>
      </c>
      <c r="E261" s="8" t="inlineStr">
        <is>
          <t>通勤通学</t>
        </is>
      </c>
      <c r="F261" s="8" t="n">
        <v>5</v>
      </c>
      <c r="G261" s="8" t="n">
        <v>2</v>
      </c>
      <c r="H261" s="8" t="n">
        <v>3</v>
      </c>
      <c r="I261" s="8" t="n">
        <v>3</v>
      </c>
      <c r="J261" s="8" t="n">
        <v>3</v>
      </c>
      <c r="K261" s="8" t="n">
        <v>3</v>
      </c>
      <c r="L261" s="8" t="inlineStr">
        <is>
          <t>ハイブリッドなんで静か</t>
        </is>
      </c>
      <c r="M261" s="14" t="n"/>
      <c r="N261" s="14" t="n"/>
      <c r="O261" s="14" t="inlineStr">
        <is>
          <t>静かで壊れにくい</t>
        </is>
      </c>
      <c r="P261" s="8" t="inlineStr">
        <is>
          <t>https://minkara.carview.co.jp/car/toyota/prius_alpha/review/detail.aspx?cid=446160</t>
        </is>
      </c>
    </row>
    <row r="262">
      <c r="A262" s="13" t="inlineStr">
        <is>
          <t>プリウスα</t>
        </is>
      </c>
      <c r="B262" s="13" t="n">
        <v>2011</v>
      </c>
      <c r="C262" s="13" t="inlineStr">
        <is>
          <t>G(５人乗り）</t>
        </is>
      </c>
      <c r="D262" s="13" t="inlineStr">
        <is>
          <t>2026年1月13日</t>
        </is>
      </c>
      <c r="E262" s="13" t="inlineStr">
        <is>
          <t>仕事</t>
        </is>
      </c>
      <c r="F262" s="13" t="n">
        <v>5</v>
      </c>
      <c r="G262" s="13" t="n">
        <v>3</v>
      </c>
      <c r="H262" s="13" t="n">
        <v>2</v>
      </c>
      <c r="I262" s="13" t="n">
        <v>2</v>
      </c>
      <c r="J262" s="13" t="n">
        <v>5</v>
      </c>
      <c r="K262" s="13" t="n">
        <v>4</v>
      </c>
      <c r="L262" s="13" t="inlineStr">
        <is>
          <t>経済的なクルマです</t>
        </is>
      </c>
      <c r="M262" s="14" t="inlineStr">
        <is>
          <t>設計も古いクルマだと思いますが、その分メンテナンス費用も安いですし、積載性がとにかく高いです。速くありませんが、その分、乗員を安全に目的地に送り届ける仕事をキチンとこなしてくれる信頼できる車です。</t>
        </is>
      </c>
      <c r="N262" s="14" t="inlineStr">
        <is>
          <t>内装はそれなりです。</t>
        </is>
      </c>
      <c r="O262" s="14" t="inlineStr">
        <is>
          <t>あらゆる場面で利用でき、実用性高い良い選択だと思います。</t>
        </is>
      </c>
      <c r="P262" s="13" t="inlineStr">
        <is>
          <t>https://minkara.carview.co.jp/car/toyota/prius_alpha/review/detail.aspx?cid=444583</t>
        </is>
      </c>
    </row>
    <row r="263">
      <c r="A263" s="8" t="inlineStr">
        <is>
          <t>プリウスα</t>
        </is>
      </c>
      <c r="B263" s="8" t="n">
        <v>2013</v>
      </c>
      <c r="C263" s="8" t="inlineStr">
        <is>
          <t>S“チューンブラック”_5人乗り(CVT_1.8)</t>
        </is>
      </c>
      <c r="D263" s="8" t="inlineStr">
        <is>
          <t>2026年1月7日</t>
        </is>
      </c>
      <c r="E263" s="8" t="inlineStr">
        <is>
          <t>通勤通学</t>
        </is>
      </c>
      <c r="F263" s="8" t="n">
        <v>5</v>
      </c>
      <c r="G263" s="8" t="n">
        <v>5</v>
      </c>
      <c r="H263" s="8" t="n">
        <v>5</v>
      </c>
      <c r="I263" s="8" t="n">
        <v>4</v>
      </c>
      <c r="J263" s="8" t="n">
        <v>5</v>
      </c>
      <c r="K263" s="8" t="n">
        <v>5</v>
      </c>
      <c r="L263" s="8" t="inlineStr">
        <is>
          <t>自分好みの車</t>
        </is>
      </c>
      <c r="M263" s="14" t="inlineStr">
        <is>
          <t>スタイル</t>
        </is>
      </c>
      <c r="N263" s="14" t="inlineStr">
        <is>
          <t>少し地味</t>
        </is>
      </c>
      <c r="O263" s="14" t="inlineStr">
        <is>
          <t>毎日見ていても飽きない</t>
        </is>
      </c>
      <c r="P263" s="8" t="inlineStr">
        <is>
          <t>https://minkara.carview.co.jp/car/toyota/prius_alpha/review/detail.aspx?cid=444166</t>
        </is>
      </c>
    </row>
    <row r="264">
      <c r="A264" s="13" t="inlineStr">
        <is>
          <t>プリウスα</t>
        </is>
      </c>
      <c r="B264" s="13" t="n">
        <v>2013</v>
      </c>
      <c r="C264" s="13" t="inlineStr">
        <is>
          <t>G“チューンブラック”_5人乗り(CVT_1.8)</t>
        </is>
      </c>
      <c r="D264" s="13" t="inlineStr">
        <is>
          <t>2025年12月22日</t>
        </is>
      </c>
      <c r="E264" s="13" t="inlineStr">
        <is>
          <t>仕事</t>
        </is>
      </c>
      <c r="F264" s="13" t="n">
        <v>4</v>
      </c>
      <c r="G264" s="13" t="n">
        <v>3</v>
      </c>
      <c r="H264" s="13" t="n">
        <v>4</v>
      </c>
      <c r="I264" s="13" t="n">
        <v>3</v>
      </c>
      <c r="J264" s="13" t="n">
        <v>5</v>
      </c>
      <c r="K264" s="13" t="n">
        <v>5</v>
      </c>
      <c r="L264" s="13" t="inlineStr">
        <is>
          <t>コスパと使用感の最適解</t>
        </is>
      </c>
      <c r="M264" s="14" t="inlineStr">
        <is>
          <t>タイトルの通りです デザインや質感はまずまず。高級感は少ないけどちゃっちくみえちゃう部分も少ない 手に触れたり見える部分はそれなりに見える様にできてます 家族四人で荷物を積んで旅行に行くのも余裕。 もちろんミニバンのが広々ですが後ろに大人二人乗っても全然余裕の広さ。 それにミニバンではこの燃費は難しいと思います 高速でも踏めばしっかり加速するのでトロくて疲れる事は皆無です 回生ブレーキでブレーキも減りにくい バッテリーもくたびれにくい 15万キロ近く乗りましたが消耗品以外故障知らずでした</t>
        </is>
      </c>
      <c r="N264" s="14" t="inlineStr">
        <is>
          <t>謎のシフトレバー 30プリウスよりはマシだがあのシフトレバーの操作感のせいでプリウスはミサイル化しているのでは、、、 車自体が静かな分ロードノイズはうるさい アスファルトが古いエリアになると結構うるさいです 体感ですが直進安定性は低いです</t>
        </is>
      </c>
      <c r="O264" s="14" t="inlineStr">
        <is>
          <t>細かいとこを気にしなければコスパ、デザイン、積載量、快適性の優等生です。 ミニバンまではちょっとなーというファミリー、アウトドア等、趣味に使う方、万能です。</t>
        </is>
      </c>
      <c r="P264" s="13" t="inlineStr">
        <is>
          <t>https://minkara.carview.co.jp/car/toyota/prius_alpha/review/detail.aspx?cid=443016</t>
        </is>
      </c>
    </row>
    <row r="265">
      <c r="A265" s="8" t="inlineStr">
        <is>
          <t>プリウスα</t>
        </is>
      </c>
      <c r="B265" s="8" t="n">
        <v>2012</v>
      </c>
      <c r="C265" s="8" t="inlineStr">
        <is>
          <t>G ツーリングセレクション_7人乗り(CVT_1.8)</t>
        </is>
      </c>
      <c r="D265" s="8" t="inlineStr">
        <is>
          <t>2025年12月1日</t>
        </is>
      </c>
      <c r="E265" s="8" t="inlineStr">
        <is>
          <t>買い物</t>
        </is>
      </c>
      <c r="F265" s="8" t="n">
        <v>5</v>
      </c>
      <c r="G265" s="8" t="n">
        <v>5</v>
      </c>
      <c r="H265" s="8" t="n"/>
      <c r="I265" s="8" t="n"/>
      <c r="J265" s="8" t="n"/>
      <c r="K265" s="8" t="n"/>
      <c r="L265" s="8" t="inlineStr">
        <is>
          <t>普通の良い車</t>
        </is>
      </c>
      <c r="M265" s="14" t="n"/>
      <c r="N265" s="14" t="n"/>
      <c r="O265" s="14" t="inlineStr">
        <is>
          <t>普通に、良い車</t>
        </is>
      </c>
      <c r="P265" s="8" t="inlineStr">
        <is>
          <t>https://minkara.carview.co.jp/car/toyota/prius_alpha/review/detail.aspx?cid=441574</t>
        </is>
      </c>
    </row>
    <row r="266">
      <c r="A266" s="13" t="inlineStr">
        <is>
          <t>プリウスα</t>
        </is>
      </c>
      <c r="B266" s="13" t="n">
        <v>2013</v>
      </c>
      <c r="C266" s="13" t="inlineStr">
        <is>
          <t>S“チューンブラック”_5人乗り(CVT_1.8)</t>
        </is>
      </c>
      <c r="D266" s="13" t="inlineStr">
        <is>
          <t>2025年11月19日</t>
        </is>
      </c>
      <c r="E266" s="13" t="inlineStr">
        <is>
          <t>スポーツ走行</t>
        </is>
      </c>
      <c r="F266" s="13" t="n">
        <v>5</v>
      </c>
      <c r="G266" s="13" t="n">
        <v>4</v>
      </c>
      <c r="H266" s="13" t="n">
        <v>4</v>
      </c>
      <c r="I266" s="13" t="n">
        <v>4</v>
      </c>
      <c r="J266" s="13" t="n">
        <v>5</v>
      </c>
      <c r="K266" s="13" t="n">
        <v>5</v>
      </c>
      <c r="L266" s="13" t="inlineStr">
        <is>
          <t>峠でもちゃんと速い</t>
        </is>
      </c>
      <c r="M266" s="14" t="inlineStr">
        <is>
          <t>加速もブレーキもエンジンブレーキも全て申し分無い程度の性能</t>
        </is>
      </c>
      <c r="N266" s="14" t="inlineStr">
        <is>
          <t>Aピラーが太すぎて右コーナー先が見えずらいのと、ABSがたまに邪魔してきます</t>
        </is>
      </c>
      <c r="O266" s="14" t="inlineStr">
        <is>
          <t>サーキットで走らせても多分速そう めちゃくちゃいい車です。</t>
        </is>
      </c>
      <c r="P266" s="13" t="inlineStr">
        <is>
          <t>https://minkara.carview.co.jp/car/toyota/prius_alpha/review/detail.aspx?cid=440659</t>
        </is>
      </c>
    </row>
    <row r="267">
      <c r="A267" s="8" t="inlineStr">
        <is>
          <t>プリウスα</t>
        </is>
      </c>
      <c r="B267" s="8" t="n">
        <v>2014</v>
      </c>
      <c r="C267" s="8" t="inlineStr">
        <is>
          <t>S“ツーリングセレクション”_5人乗り(CVT_1.8)</t>
        </is>
      </c>
      <c r="D267" s="8" t="inlineStr">
        <is>
          <t>2025年11月9日</t>
        </is>
      </c>
      <c r="E267" s="8" t="inlineStr">
        <is>
          <t>通勤通学</t>
        </is>
      </c>
      <c r="F267" s="8" t="n">
        <v>4</v>
      </c>
      <c r="G267" s="8" t="n">
        <v>4</v>
      </c>
      <c r="H267" s="8" t="n">
        <v>3</v>
      </c>
      <c r="I267" s="8" t="n">
        <v>4</v>
      </c>
      <c r="J267" s="8" t="n">
        <v>5</v>
      </c>
      <c r="K267" s="8" t="n">
        <v>5</v>
      </c>
      <c r="L267" s="8" t="inlineStr">
        <is>
          <t>初のトヨタのハイブリッド</t>
        </is>
      </c>
      <c r="M267" s="14" t="inlineStr">
        <is>
          <t>良いのではないでしょうか</t>
        </is>
      </c>
      <c r="N267" s="14" t="inlineStr">
        <is>
          <t>室内が質素</t>
        </is>
      </c>
      <c r="O267" s="14" t="inlineStr">
        <is>
          <t>室内も広く実用的です。</t>
        </is>
      </c>
      <c r="P267" s="8" t="inlineStr">
        <is>
          <t>https://minkara.carview.co.jp/car/toyota/prius_alpha/review/detail.aspx?cid=440005</t>
        </is>
      </c>
    </row>
    <row r="268">
      <c r="A268" s="13" t="inlineStr">
        <is>
          <t>プリウスα</t>
        </is>
      </c>
      <c r="B268" s="13" t="n">
        <v>2011</v>
      </c>
      <c r="C268" s="13" t="inlineStr">
        <is>
          <t>G(５人乗り）</t>
        </is>
      </c>
      <c r="D268" s="13" t="inlineStr">
        <is>
          <t>2025年10月8日</t>
        </is>
      </c>
      <c r="E268" s="13" t="inlineStr">
        <is>
          <t>レジャー</t>
        </is>
      </c>
      <c r="F268" s="13" t="n">
        <v>3</v>
      </c>
      <c r="G268" s="13" t="n"/>
      <c r="H268" s="13" t="n"/>
      <c r="I268" s="13" t="n"/>
      <c r="J268" s="13" t="n"/>
      <c r="K268" s="13" t="n"/>
      <c r="L268" s="13" t="inlineStr">
        <is>
          <t>ハイブリッド</t>
        </is>
      </c>
      <c r="M268" s="14" t="inlineStr">
        <is>
          <t>燃費が良い</t>
        </is>
      </c>
      <c r="N268" s="14" t="inlineStr">
        <is>
          <t>なし</t>
        </is>
      </c>
      <c r="O268" s="14" t="inlineStr">
        <is>
          <t>コスパ良し</t>
        </is>
      </c>
      <c r="P268" s="13" t="inlineStr">
        <is>
          <t>https://minkara.carview.co.jp/car/toyota/prius_alpha/review/detail.aspx?cid=437639</t>
        </is>
      </c>
    </row>
    <row r="269">
      <c r="A269" s="8" t="inlineStr">
        <is>
          <t>プリウスα</t>
        </is>
      </c>
      <c r="B269" s="8" t="n">
        <v>2011</v>
      </c>
      <c r="C269" s="8" t="inlineStr">
        <is>
          <t>S ツーリングセレクション（5人乗り）</t>
        </is>
      </c>
      <c r="D269" s="8" t="inlineStr">
        <is>
          <t>2025年10月8日</t>
        </is>
      </c>
      <c r="E269" s="8" t="inlineStr">
        <is>
          <t>通勤通学</t>
        </is>
      </c>
      <c r="F269" s="8" t="n">
        <v>4</v>
      </c>
      <c r="G269" s="8" t="n">
        <v>4</v>
      </c>
      <c r="H269" s="8" t="n">
        <v>3</v>
      </c>
      <c r="I269" s="8" t="n">
        <v>4</v>
      </c>
      <c r="J269" s="8" t="n">
        <v>4</v>
      </c>
      <c r="K269" s="8" t="n">
        <v>4</v>
      </c>
      <c r="L269" s="8" t="inlineStr">
        <is>
          <t>乗り心地も良く、低燃費です。</t>
        </is>
      </c>
      <c r="M269" s="14" t="n"/>
      <c r="N269" s="14" t="n"/>
      <c r="O269" s="14" t="inlineStr">
        <is>
          <t>少しずつ自分好みに、整備して永く付き合えると思います。</t>
        </is>
      </c>
      <c r="P269" s="8" t="inlineStr">
        <is>
          <t>https://minkara.carview.co.jp/car/toyota/prius_alpha/review/detail.aspx?cid=437622</t>
        </is>
      </c>
    </row>
    <row r="270">
      <c r="A270" s="13" t="inlineStr">
        <is>
          <t>プリウスα</t>
        </is>
      </c>
      <c r="B270" s="13" t="n">
        <v>2017</v>
      </c>
      <c r="C270" s="13" t="inlineStr">
        <is>
          <t>S“チューン ブラック II”_5人乗り(CVT_1.8)</t>
        </is>
      </c>
      <c r="D270" s="13" t="inlineStr">
        <is>
          <t>2025年9月29日</t>
        </is>
      </c>
      <c r="E270" s="13" t="inlineStr">
        <is>
          <t>レジャー</t>
        </is>
      </c>
      <c r="F270" s="13" t="n">
        <v>5</v>
      </c>
      <c r="G270" s="13" t="n">
        <v>4</v>
      </c>
      <c r="H270" s="13" t="n">
        <v>4</v>
      </c>
      <c r="I270" s="13" t="n">
        <v>3</v>
      </c>
      <c r="J270" s="13" t="n">
        <v>4</v>
      </c>
      <c r="K270" s="13" t="n">
        <v>4</v>
      </c>
      <c r="L270" s="13" t="inlineStr">
        <is>
          <t>ミニ天才たまご</t>
        </is>
      </c>
      <c r="M270" s="14" t="inlineStr">
        <is>
          <t>長距離運転でも疲れない。後部座席でも快適。 荷物も結構積める。</t>
        </is>
      </c>
      <c r="N270" s="14" t="inlineStr">
        <is>
          <t>車体の割に重量感を感じる。後部座席大人3名はしんどい</t>
        </is>
      </c>
      <c r="O270" s="14" t="inlineStr">
        <is>
          <t>不満な点を満足な点が凌駕している。</t>
        </is>
      </c>
      <c r="P270" s="13" t="inlineStr">
        <is>
          <t>https://minkara.carview.co.jp/car/toyota/prius_alpha/review/detail.aspx?cid=436916</t>
        </is>
      </c>
    </row>
    <row r="271">
      <c r="A271" s="8" t="inlineStr">
        <is>
          <t>プリウスα</t>
        </is>
      </c>
      <c r="B271" s="8" t="n">
        <v>2012</v>
      </c>
      <c r="C271" s="8" t="inlineStr">
        <is>
          <t>G</t>
        </is>
      </c>
      <c r="D271" s="8" t="inlineStr">
        <is>
          <t>2025年9月23日</t>
        </is>
      </c>
      <c r="E271" s="8" t="inlineStr">
        <is>
          <t>通勤通学</t>
        </is>
      </c>
      <c r="F271" s="8" t="n">
        <v>5</v>
      </c>
      <c r="G271" s="8" t="n">
        <v>4</v>
      </c>
      <c r="H271" s="8" t="n">
        <v>3</v>
      </c>
      <c r="I271" s="8" t="n">
        <v>5</v>
      </c>
      <c r="J271" s="8" t="n">
        <v>5</v>
      </c>
      <c r="K271" s="8" t="n">
        <v>5</v>
      </c>
      <c r="L271" s="8" t="inlineStr">
        <is>
          <t>プリウスはいい車だわ。</t>
        </is>
      </c>
      <c r="M271" s="14" t="inlineStr">
        <is>
          <t>燃費に振り切った造り。</t>
        </is>
      </c>
      <c r="N271" s="14" t="inlineStr">
        <is>
          <t>とくにない</t>
        </is>
      </c>
      <c r="O271" s="14" t="inlineStr">
        <is>
          <t>燃費に振り切った造りが良い。</t>
        </is>
      </c>
      <c r="P271" s="8" t="inlineStr">
        <is>
          <t>https://minkara.carview.co.jp/car/toyota/prius_alpha/review/detail.aspx?cid=436308</t>
        </is>
      </c>
    </row>
    <row r="272">
      <c r="A272" s="13" t="inlineStr">
        <is>
          <t>アイシス</t>
        </is>
      </c>
      <c r="B272" s="13" t="n">
        <v>2009</v>
      </c>
      <c r="C272" s="13" t="inlineStr">
        <is>
          <t>L“G-エディション”(CVT_2.0)</t>
        </is>
      </c>
      <c r="D272" s="13" t="inlineStr">
        <is>
          <t>2026年5月18日</t>
        </is>
      </c>
      <c r="E272" s="13" t="inlineStr">
        <is>
          <t>通勤通学</t>
        </is>
      </c>
      <c r="F272" s="13" t="n">
        <v>5</v>
      </c>
      <c r="G272" s="13" t="n">
        <v>4</v>
      </c>
      <c r="H272" s="13" t="n">
        <v>5</v>
      </c>
      <c r="I272" s="13" t="n">
        <v>4</v>
      </c>
      <c r="J272" s="13" t="n">
        <v>4</v>
      </c>
      <c r="K272" s="13" t="n">
        <v>4</v>
      </c>
      <c r="L272" s="13" t="inlineStr">
        <is>
          <t>コスパ良く、取り回しの良い車</t>
        </is>
      </c>
      <c r="M272" s="14" t="inlineStr">
        <is>
          <t>ミニバンにしては車高が高すぎず、スタビライザーが効いてセダンみたいな乗り味。 人も荷物も積めるのに、大きすぎず扱いやすい。</t>
        </is>
      </c>
      <c r="N272" s="14" t="inlineStr">
        <is>
          <t>Aピラーが太くて右側の歩行者が完全に死角に入ることがあるので、カーブや交差点は注意が必要。徐行直進していると、横断中の歩行者がしばらく同じ死角に入り、突然現れた時にはびっくりしました。</t>
        </is>
      </c>
      <c r="O272" s="14" t="inlineStr">
        <is>
          <t>シンプルなデザインが良く働く車に合ってる。 走行距離が200000ｋｍ超えてなお、燃費が良く、加速が良い。 燃費も2リッターにしてはかなり良い。 頑丈な車</t>
        </is>
      </c>
      <c r="P272" s="13" t="inlineStr">
        <is>
          <t>https://minkara.carview.co.jp/car/toyota/isis/review/detail.aspx?cid=454275</t>
        </is>
      </c>
    </row>
    <row r="273">
      <c r="A273" s="8" t="inlineStr">
        <is>
          <t>アイシス</t>
        </is>
      </c>
      <c r="B273" s="8" t="n">
        <v>2010</v>
      </c>
      <c r="C273" s="8" t="inlineStr">
        <is>
          <t>プラタナ“ブラックリミテッド”(CVT_2.0)</t>
        </is>
      </c>
      <c r="D273" s="8" t="inlineStr">
        <is>
          <t>2026年5月1日</t>
        </is>
      </c>
      <c r="E273" s="8" t="n"/>
      <c r="F273" s="8" t="n">
        <v>4</v>
      </c>
      <c r="G273" s="8" t="n"/>
      <c r="H273" s="8" t="n"/>
      <c r="I273" s="8" t="n"/>
      <c r="J273" s="8" t="n"/>
      <c r="K273" s="8" t="n"/>
      <c r="L273" s="8" t="inlineStr">
        <is>
          <t>7人乗りは初めての車です</t>
        </is>
      </c>
      <c r="M273" s="14" t="inlineStr">
        <is>
          <t>3家族が1台の車で移動出来る7人乗りは便利</t>
        </is>
      </c>
      <c r="N273" s="14" t="inlineStr">
        <is>
          <t>高速時の燃費は14kmあったけど、今は買い物使いで年間で4,000kmだから 6km/Lと燃費が悪い</t>
        </is>
      </c>
      <c r="O273" s="14" t="inlineStr">
        <is>
          <t>今は夫婦2人でしか使用していないがたまに子供が帰省した際は便利です。 もう少し遠距離を使わないといけないけど…メインは買い物になっているが 病院通いには車がないと不便だからこれからも乗り続けたいと思う。</t>
        </is>
      </c>
      <c r="P273" s="8" t="inlineStr">
        <is>
          <t>https://minkara.carview.co.jp/car/toyota/isis/review/detail.aspx?cid=452941</t>
        </is>
      </c>
    </row>
    <row r="274">
      <c r="A274" s="13" t="inlineStr">
        <is>
          <t>アイシス</t>
        </is>
      </c>
      <c r="B274" s="13" t="n">
        <v>2005</v>
      </c>
      <c r="C274" s="13" t="inlineStr">
        <is>
          <t>PLATANA(CVT_2.0)</t>
        </is>
      </c>
      <c r="D274" s="13" t="inlineStr">
        <is>
          <t>2026年3月7日</t>
        </is>
      </c>
      <c r="E274" s="13" t="inlineStr">
        <is>
          <t>買い物</t>
        </is>
      </c>
      <c r="F274" s="13" t="n">
        <v>3</v>
      </c>
      <c r="G274" s="13" t="n">
        <v>3</v>
      </c>
      <c r="H274" s="13" t="n">
        <v>4</v>
      </c>
      <c r="I274" s="13" t="n">
        <v>2</v>
      </c>
      <c r="J274" s="13" t="n">
        <v>4</v>
      </c>
      <c r="K274" s="13" t="n">
        <v>1</v>
      </c>
      <c r="L274" s="13" t="inlineStr">
        <is>
          <t>子育て世代にウルトラマッチ</t>
        </is>
      </c>
      <c r="M274" s="14" t="inlineStr">
        <is>
          <t>ちょうどいい広さ。 我が家の家族構成は私と家内、息子2人の4人世帯ですが4人乗車にはぴったりです。 もう少し子供たちが大きくなれば逆にもっと小さい車でも十分なのですが、未就学児2人いると実は荷物がかさばります。 チャイルドシートとジュニアシートを取り付けた時点でどの車も2列目って潰れるんですよ。 3人乗れるベンチシートであっても、現代日本では子供用の椅子を別途装着することが義務づけられていますから、これが結構幅をとる。 三列目を倒してベビーカーを積んでも、なお買い物した荷物やお泊まりの荷物も載るのでレジャーにちょうどいいです。 これが軽自動車だと子供椅子二脚にベビーカーを後ろに押し込むとかなり窮屈です。 あわせて、三列目シートが跳ね上げ式ではなく床下収納なのもポイントアップです。 跳ね上げでは高さは稼げても幅が狭くなり、視界も悪くなります。床収納でフラットになる点は荷物の積みやすさとしては好感触。 5ナンバーサイズの車体(プラタナのみ謎のブリフェンやエアロバンパーが標準なので3ナンバーと化しますが)は女性でも扱いやすく、家内がメインで運転する日常カーとしては申し分なし。 外装デザインもおとなしめで、ファミリーユースにより向いています。 全高が低くセダンの延長として乗れるミニバンは今や貴重です。 エンジンパワーは十分なので街乗りで困ることもないでしょう。</t>
        </is>
      </c>
      <c r="N274" s="14" t="inlineStr">
        <is>
          <t>左側のセンターピラーレスも売りのひとつですが、いまいち発揮される場所がありません。 実際ピラーがドアに埋め込まれてるだけなので助手席ドア、左後ろスライドドアはごっつ重いです。 経年劣化によるものかうまくドアが噛まない(閉まらない)ことも多々。 ラウムからの引き継ぎでピラーレスとなっていますが特にこれで助かったこととかは皆無です。 燃費が悪いです。 このクラスにしてアルファード並の燃費の悪さには閉口します。 街中の買い物でチョイ乗りが続くと6km、遠乗りでも10km/l程度が関の山なのはまさに20アルファードと同じぐらいなのでわざわざ小さいアイシスにしてる意味が… これは前期の1AZエンジンです、後期のエンジン特に1.8は燃費性能にも優れていると聞きました。 直噴ゆえオイル食いの問題、煤汚れの問題、燃費悪い問題は無視できないレベルなので今からアイシスを中古で狙いたい場合は絶対中期以降をおすすめします。 中期からエンジン変更、また内装も良くなってます。 前期のみプラタナであっても物理鍵がないとエンジンかけられません。(中期以降はプッシュボタンスタート) ドアノブに触れるだけで開錠するスマートエントリーシステムはあるので、中途半端。 内装で言うともうひとつ、中期以降はオプティトロンメーターがほぼ標準です(細かいグレード差異はあります)。前期のメーターは非常に安っぽい。尚更前期を今更買う利点は無いでしょう。 ステアリングがやたら重い。 パワステは車種によって味付けが全く異なる箇所ですが、楽チンなはずのミニバンでこの重さは謎。 同時所有のクラウンアスリート、ヴェルファイアの方が断然軽いです。 乗り心地は中の下といったところ。 特に助手席は膝置きも無いしテーブルにチェンジするギミックのおかげで大人の男性が座るには狭苦しいです。 足まわりのヘタリがどの程度進行してるかはわかりませんが、突き上げもひどく快適とは言い難い部分もあります。まぁ軽よりはマシ。 三列目は緊急用です。一応座れるけど…程度。かなり窮屈なので三列を常用する場合はノアヴォク以上の車格必須。 潰して荷室にするぶんには満点。</t>
        </is>
      </c>
      <c r="O274" s="14" t="inlineStr">
        <is>
          <t>本当は仕事で機材運搬用に買いましたが嫁にとられたのでほぼ100%家族でお出かけカー・日常の買い物カーです。 その用途としては必要十分すぎます、私の稼ぎなら軽自動車になるところを嫁の強い希望で(軽は死ぬから嫌！だそう。私はそんなことないと思いますけどね…)無理して買いましたがまぁ確かに軽よりは頑丈な気がするのでこれはこれで良かったかなと。 アルファード他この時期のトヨタ車に多く採用された2.4の2AZと並んでこの2.0の1AZエンジンはイマイチ。 パワフルですしアタリを引けばオイル食いも無く寿命の長い良いエンジンですが… 改良後の中期以降を買えばもっと満足度は高かったかなと思います。タラレバなのでわかんないですけどね。 今から中古で狙う場合は先代シエンタ、先代フリードの中古価格が高くて手が出ない場合 もしくはノアヴォクステゴンが高くて手が出ない場合 これらの中間的な立ち位置で中途半端とも言えるしちょうどいいとも言えるこの車はプレマシーと並んでお買い得カーだと思います。価格面で。 アイシスが好きだ、という方はともかく、中古の値段以外は全て他の車に負けてますのでコスパカーとして妥協で選ぶ場合は後悔しないようよく検討してください。 自分はこのサイズでスライドドアならなんでもよかったので気に入らない点は多々ありますがおおむね満足です。</t>
        </is>
      </c>
      <c r="P274" s="13" t="inlineStr">
        <is>
          <t>https://minkara.carview.co.jp/car/toyota/isis/review/detail.aspx?cid=448527</t>
        </is>
      </c>
    </row>
    <row r="275">
      <c r="A275" s="8" t="inlineStr">
        <is>
          <t>アイシス</t>
        </is>
      </c>
      <c r="B275" s="8" t="n">
        <v>2004</v>
      </c>
      <c r="C275" s="8" t="inlineStr">
        <is>
          <t>PLATANA_4WD(AT_2.0)</t>
        </is>
      </c>
      <c r="D275" s="8" t="inlineStr">
        <is>
          <t>2026年2月21日</t>
        </is>
      </c>
      <c r="E275" s="8" t="n"/>
      <c r="F275" s="8" t="n">
        <v>5</v>
      </c>
      <c r="G275" s="8" t="n"/>
      <c r="H275" s="8" t="n"/>
      <c r="I275" s="8" t="n"/>
      <c r="J275" s="8" t="n"/>
      <c r="K275" s="8" t="n"/>
      <c r="L275" s="8" t="inlineStr">
        <is>
          <t>家族いないのにファミリーカー</t>
        </is>
      </c>
      <c r="M275" s="14" t="n"/>
      <c r="N275" s="14" t="n"/>
      <c r="O275" s="14" t="inlineStr">
        <is>
          <t>１８年乗りました</t>
        </is>
      </c>
      <c r="P275" s="8" t="inlineStr">
        <is>
          <t>https://minkara.carview.co.jp/car/toyota/isis/review/detail.aspx?cid=447462</t>
        </is>
      </c>
    </row>
    <row r="276">
      <c r="A276" s="13" t="inlineStr">
        <is>
          <t>アイシス</t>
        </is>
      </c>
      <c r="B276" s="13" t="n">
        <v>2004</v>
      </c>
      <c r="C276" s="13" t="inlineStr">
        <is>
          <t>PLATANA(AT_2.0)</t>
        </is>
      </c>
      <c r="D276" s="13" t="inlineStr">
        <is>
          <t>2026年1月29日</t>
        </is>
      </c>
      <c r="E276" s="13" t="inlineStr">
        <is>
          <t>買い物</t>
        </is>
      </c>
      <c r="F276" s="13" t="n">
        <v>3</v>
      </c>
      <c r="G276" s="13" t="n">
        <v>4</v>
      </c>
      <c r="H276" s="13" t="n">
        <v>3</v>
      </c>
      <c r="I276" s="13" t="n">
        <v>3</v>
      </c>
      <c r="J276" s="13" t="n">
        <v>4</v>
      </c>
      <c r="K276" s="13" t="n">
        <v>2</v>
      </c>
      <c r="L276" s="13" t="inlineStr">
        <is>
          <t>ローミニバン</t>
        </is>
      </c>
      <c r="M276" s="14" t="inlineStr">
        <is>
          <t>約３メートルの長物も載せます。 馬力は期待出来ませんが、旋回性能は意外と安定してます！ 私のイチオシポイントです！ マニュアルモード CVTが有るのも選定基準でした。</t>
        </is>
      </c>
      <c r="N276" s="14" t="inlineStr">
        <is>
          <t>ヘビー級のミニバンでは無い7人乗りの中で比較的燃費も悪く無いとはいえ、流石に20年も前になるので比較は難しい〜 街なか10.5/㍑は微妙ですね</t>
        </is>
      </c>
      <c r="O276" s="14" t="inlineStr">
        <is>
          <t>ローフォルムで両側スライドドア 左にはピラーが無くて乗り降りはしやすいです。弊害として、やや剛性は落ちますので、若干の軋み音は許容してます。 下部のフレームが強い為、安定性はその分増してる様に思えます。 個人的にコーナリングの安定性に起因してる部分もあるかと！ ホンダのオデッセイRB1も乗ってましたが、居住性以外はあまり差が無い様です。 後はエクステリア・内装等勿論差は歴然ですが 悪くは無いのです。</t>
        </is>
      </c>
      <c r="P276" s="13" t="inlineStr">
        <is>
          <t>https://minkara.carview.co.jp/car/toyota/isis/review/detail.aspx?cid=445745</t>
        </is>
      </c>
    </row>
    <row r="277">
      <c r="A277" s="8" t="inlineStr">
        <is>
          <t>アイシス</t>
        </is>
      </c>
      <c r="B277" s="8" t="n">
        <v>2005</v>
      </c>
      <c r="C277" s="8" t="inlineStr">
        <is>
          <t>PLATANA_4WD(CVT_2.0)</t>
        </is>
      </c>
      <c r="D277" s="8" t="inlineStr">
        <is>
          <t>2026年1月21日</t>
        </is>
      </c>
      <c r="E277" s="8" t="inlineStr">
        <is>
          <t>通勤通学</t>
        </is>
      </c>
      <c r="F277" s="8" t="n">
        <v>5</v>
      </c>
      <c r="G277" s="8" t="n">
        <v>5</v>
      </c>
      <c r="H277" s="8" t="n">
        <v>5</v>
      </c>
      <c r="I277" s="8" t="n">
        <v>5</v>
      </c>
      <c r="J277" s="8" t="n">
        <v>5</v>
      </c>
      <c r="K277" s="8" t="n">
        <v>2</v>
      </c>
      <c r="L277" s="8" t="inlineStr">
        <is>
          <t>なぜ後継車が出なかったのか。</t>
        </is>
      </c>
      <c r="M277" s="14" t="inlineStr">
        <is>
          <t>2Lのミニバンでスライドドア、高くないルーフ。 意外とよく回るエンジン+CVT。</t>
        </is>
      </c>
      <c r="N277" s="14" t="inlineStr">
        <is>
          <t>思ったより燃費が伸びない リアデフが弱いっぽい 仕方ない事だけど3列目シートの人権は低め</t>
        </is>
      </c>
      <c r="O277" s="14" t="inlineStr">
        <is>
          <t>既に生産終了してますがなかなか良い車だったと思います。ノア/ヴォクシーでは背が高すぎる、シエンタでは小さすぎるという、ちょうど中間の使い勝手の良いモデルでした。 ベースのウィッシュが無くなってしまい、フルモデルチェンジすらされず販売終了になったのが惜しいと思いました。</t>
        </is>
      </c>
      <c r="P277" s="8" t="inlineStr">
        <is>
          <t>https://minkara.carview.co.jp/car/toyota/isis/review/detail.aspx?cid=445178</t>
        </is>
      </c>
    </row>
    <row r="278">
      <c r="A278" s="13" t="inlineStr">
        <is>
          <t>アイシス</t>
        </is>
      </c>
      <c r="B278" s="13" t="n">
        <v>2009</v>
      </c>
      <c r="C278" s="13" t="inlineStr">
        <is>
          <t>プラタナ(CVT_2.0)</t>
        </is>
      </c>
      <c r="D278" s="13" t="inlineStr">
        <is>
          <t>2025年12月21日</t>
        </is>
      </c>
      <c r="E278" s="13" t="inlineStr">
        <is>
          <t>仕事</t>
        </is>
      </c>
      <c r="F278" s="13" t="n">
        <v>3</v>
      </c>
      <c r="G278" s="13" t="n">
        <v>3</v>
      </c>
      <c r="H278" s="13" t="n">
        <v>3</v>
      </c>
      <c r="I278" s="13" t="n">
        <v>4</v>
      </c>
      <c r="J278" s="13" t="n">
        <v>4</v>
      </c>
      <c r="K278" s="13" t="n">
        <v>3</v>
      </c>
      <c r="L278" s="13" t="inlineStr">
        <is>
          <t>長い</t>
        </is>
      </c>
      <c r="M278" s="14" t="n"/>
      <c r="N278" s="14" t="n"/>
      <c r="O278" s="14" t="inlineStr">
        <is>
          <t>荷物は乗る方だと思う 運転下手な自分には長くて扱いづらい所も</t>
        </is>
      </c>
      <c r="P278" s="13" t="inlineStr">
        <is>
          <t>https://minkara.carview.co.jp/car/toyota/isis/review/detail.aspx?cid=442942</t>
        </is>
      </c>
    </row>
    <row r="279">
      <c r="A279" s="8" t="inlineStr">
        <is>
          <t>アイシス</t>
        </is>
      </c>
      <c r="B279" s="8" t="n">
        <v>2009</v>
      </c>
      <c r="C279" s="8" t="inlineStr">
        <is>
          <t>プラタナ(CVT_2.0)</t>
        </is>
      </c>
      <c r="D279" s="8" t="inlineStr">
        <is>
          <t>2025年11月22日</t>
        </is>
      </c>
      <c r="E279" s="8" t="inlineStr">
        <is>
          <t>レジャー</t>
        </is>
      </c>
      <c r="F279" s="8" t="n">
        <v>5</v>
      </c>
      <c r="G279" s="8" t="n">
        <v>4</v>
      </c>
      <c r="H279" s="8" t="n">
        <v>5</v>
      </c>
      <c r="I279" s="8" t="n">
        <v>4</v>
      </c>
      <c r="J279" s="8" t="n">
        <v>5</v>
      </c>
      <c r="K279" s="8" t="n">
        <v>5</v>
      </c>
      <c r="L279" s="8" t="inlineStr">
        <is>
          <t>パノラマSLIDEドアがサイコー‼️（微笑笑）</t>
        </is>
      </c>
      <c r="M279" s="14" t="inlineStr">
        <is>
          <t>７速ＣVＴ、FFなので長距離時にガソリン車両にしては燃費が良い。荷物もそれなりに積載できるの遠出時に重宝してる。</t>
        </is>
      </c>
      <c r="N279" s="14" t="inlineStr">
        <is>
          <t>無い。</t>
        </is>
      </c>
      <c r="O279" s="14" t="inlineStr">
        <is>
          <t>排気量が2000なのでそれなりにパワー感が有る。</t>
        </is>
      </c>
      <c r="P279" s="8" t="inlineStr">
        <is>
          <t>https://minkara.carview.co.jp/car/toyota/isis/review/detail.aspx?cid=440863</t>
        </is>
      </c>
    </row>
    <row r="280">
      <c r="A280" s="13" t="inlineStr">
        <is>
          <t>アイシス</t>
        </is>
      </c>
      <c r="B280" s="13" t="n">
        <v>2004</v>
      </c>
      <c r="C280" s="13" t="inlineStr">
        <is>
          <t>不明</t>
        </is>
      </c>
      <c r="D280" s="13" t="inlineStr">
        <is>
          <t>2025年11月11日</t>
        </is>
      </c>
      <c r="E280" s="13" t="inlineStr">
        <is>
          <t>通勤通学</t>
        </is>
      </c>
      <c r="F280" s="13" t="n">
        <v>5</v>
      </c>
      <c r="G280" s="13" t="n">
        <v>1</v>
      </c>
      <c r="H280" s="13" t="n">
        <v>1</v>
      </c>
      <c r="I280" s="13" t="n">
        <v>2</v>
      </c>
      <c r="J280" s="13" t="n">
        <v>3</v>
      </c>
      <c r="K280" s="13" t="n">
        <v>3</v>
      </c>
      <c r="L280" s="13" t="inlineStr">
        <is>
          <t>な</t>
        </is>
      </c>
      <c r="M280" s="14" t="n"/>
      <c r="N280" s="14" t="n"/>
      <c r="O280" s="14" t="inlineStr">
        <is>
          <t>な</t>
        </is>
      </c>
      <c r="P280" s="13" t="inlineStr">
        <is>
          <t>https://minkara.carview.co.jp/car/toyota/isis/review/detail.aspx?cid=440095</t>
        </is>
      </c>
    </row>
    <row r="281">
      <c r="A281" s="8" t="inlineStr">
        <is>
          <t>アイシス</t>
        </is>
      </c>
      <c r="B281" s="8" t="n">
        <v>2013</v>
      </c>
      <c r="C281" s="8" t="inlineStr">
        <is>
          <t>L“Xセレクション”(CVT_1.8)</t>
        </is>
      </c>
      <c r="D281" s="8" t="inlineStr">
        <is>
          <t>2025年9月26日</t>
        </is>
      </c>
      <c r="E281" s="8" t="inlineStr">
        <is>
          <t>仕事</t>
        </is>
      </c>
      <c r="F281" s="8" t="n">
        <v>5</v>
      </c>
      <c r="G281" s="8" t="n">
        <v>5</v>
      </c>
      <c r="H281" s="8" t="n">
        <v>5</v>
      </c>
      <c r="I281" s="8" t="n">
        <v>5</v>
      </c>
      <c r="J281" s="8" t="n">
        <v>5</v>
      </c>
      <c r="K281" s="8" t="n">
        <v>5</v>
      </c>
      <c r="L281" s="8" t="inlineStr">
        <is>
          <t>可愛くて❤️力持ちで優しくてフアフア可愛いぃw</t>
        </is>
      </c>
      <c r="M281" s="14" t="inlineStr">
        <is>
          <t>アイシスだから全身全部 でもフロントの滑らかなとこ？が好き❤️</t>
        </is>
      </c>
      <c r="N281" s="14" t="inlineStr">
        <is>
          <t>見た目が優しい感じだし色が柔らかい優しい感じだから煽られやすい？かなぁ あとフロントが見づらいねなんか棒が太い？やつがあとドアが不思議な感じだから片方だけぐちぐちいってなんか不安になるかなぁ まぁアイシスだからいいけどね！！</t>
        </is>
      </c>
      <c r="O281" s="14" t="inlineStr">
        <is>
          <t>デザインが好きな人で実用性があるクルマが欲しい方はアイシスいいんじゃない？</t>
        </is>
      </c>
      <c r="P281" s="8" t="inlineStr">
        <is>
          <t>https://minkara.carview.co.jp/car/toyota/isis/review/detail.aspx?cid=436582</t>
        </is>
      </c>
    </row>
    <row r="282">
      <c r="A282" s="13" t="inlineStr">
        <is>
          <t>アイシス</t>
        </is>
      </c>
      <c r="B282" s="13" t="n">
        <v>2009</v>
      </c>
      <c r="C282" s="13" t="inlineStr">
        <is>
          <t>プラタナ“リミテッド”(CVT_2.0)</t>
        </is>
      </c>
      <c r="D282" s="13" t="inlineStr">
        <is>
          <t>2025年9月23日</t>
        </is>
      </c>
      <c r="E282" s="13" t="inlineStr">
        <is>
          <t>通勤通学</t>
        </is>
      </c>
      <c r="F282" s="13" t="n">
        <v>5</v>
      </c>
      <c r="G282" s="13" t="n">
        <v>4</v>
      </c>
      <c r="H282" s="13" t="n">
        <v>4</v>
      </c>
      <c r="I282" s="13" t="n">
        <v>4</v>
      </c>
      <c r="J282" s="13" t="n">
        <v>5</v>
      </c>
      <c r="K282" s="13" t="n">
        <v>3</v>
      </c>
      <c r="L282" s="13" t="inlineStr">
        <is>
          <t>使いかってが良い</t>
        </is>
      </c>
      <c r="M282" s="14" t="inlineStr">
        <is>
          <t>走りはそこそこで運転しやすい</t>
        </is>
      </c>
      <c r="N282" s="14" t="n"/>
      <c r="O282" s="14" t="inlineStr">
        <is>
          <t>可もなく不可もなく</t>
        </is>
      </c>
      <c r="P282" s="13" t="inlineStr">
        <is>
          <t>https://minkara.carview.co.jp/car/toyota/isis/review/detail.aspx?cid=436312</t>
        </is>
      </c>
    </row>
    <row r="283">
      <c r="A283" s="8" t="inlineStr">
        <is>
          <t>アイシス</t>
        </is>
      </c>
      <c r="B283" s="8" t="n">
        <v>2007</v>
      </c>
      <c r="C283" s="8" t="inlineStr">
        <is>
          <t>2.0プラタナ リミテッド</t>
        </is>
      </c>
      <c r="D283" s="8" t="inlineStr">
        <is>
          <t>2025年8月28日</t>
        </is>
      </c>
      <c r="E283" s="8" t="inlineStr">
        <is>
          <t>通勤通学</t>
        </is>
      </c>
      <c r="F283" s="8" t="n">
        <v>5</v>
      </c>
      <c r="G283" s="8" t="n">
        <v>5</v>
      </c>
      <c r="H283" s="8" t="n">
        <v>5</v>
      </c>
      <c r="I283" s="8" t="n">
        <v>5</v>
      </c>
      <c r="J283" s="8" t="n">
        <v>5</v>
      </c>
      <c r="K283" s="8" t="n">
        <v>4</v>
      </c>
      <c r="L283" s="8" t="inlineStr">
        <is>
          <t>大好きだったアイシスに乗れて幸せ。</t>
        </is>
      </c>
      <c r="M283" s="14" t="inlineStr">
        <is>
          <t>大変良いクルマだと思ってます。 トヨタの真面目なクルマ。 シートアレンジ豊富。走りが楽しい。 安心して乗れる居住性。 アイシスを長い年数に渡って生産してくれて感謝です。大切に乗ります。</t>
        </is>
      </c>
      <c r="N283" s="14" t="inlineStr">
        <is>
          <t>今のところありません。？</t>
        </is>
      </c>
      <c r="O283" s="14" t="inlineStr">
        <is>
          <t>車高が高くも低くもなく、丁度いいです。 トヨタの真面目なクルマって感じします。時代を感じないデザイン。 運転は乗りやすいです。加速する時のエンジン音もいいです。あと洗車しやすい。掃除しやすい。私的にはアイシスはトヨタの名車だと思ってます。</t>
        </is>
      </c>
      <c r="P283" s="8" t="inlineStr">
        <is>
          <t>https://minkara.carview.co.jp/car/toyota/isis/review/detail.aspx?cid=434304</t>
        </is>
      </c>
    </row>
    <row r="284">
      <c r="A284" s="13" t="inlineStr">
        <is>
          <t>アイシス</t>
        </is>
      </c>
      <c r="B284" s="13" t="n">
        <v>2012</v>
      </c>
      <c r="C284" s="13" t="inlineStr">
        <is>
          <t>プラタナ(CVT_2.0)</t>
        </is>
      </c>
      <c r="D284" s="13" t="inlineStr">
        <is>
          <t>2025年8月5日</t>
        </is>
      </c>
      <c r="E284" s="13" t="inlineStr">
        <is>
          <t>買い物</t>
        </is>
      </c>
      <c r="F284" s="13" t="n">
        <v>5</v>
      </c>
      <c r="G284" s="13" t="n">
        <v>5</v>
      </c>
      <c r="H284" s="13" t="n">
        <v>5</v>
      </c>
      <c r="I284" s="13" t="n">
        <v>5</v>
      </c>
      <c r="J284" s="13" t="n">
        <v>5</v>
      </c>
      <c r="K284" s="13" t="n">
        <v>3</v>
      </c>
      <c r="L284" s="13" t="inlineStr">
        <is>
          <t>顔は男前だと思うけどケツがイマイチ…</t>
        </is>
      </c>
      <c r="M284" s="14" t="n"/>
      <c r="N284" s="14" t="inlineStr">
        <is>
          <t>ウエルキャブ仕様なので2列目が単独シートなので思いの外狭い。アイシスの一番のいい点が…（苦笑）</t>
        </is>
      </c>
      <c r="O284" s="14" t="inlineStr">
        <is>
          <t>バランスはいい車やと思います。</t>
        </is>
      </c>
      <c r="P284" s="13" t="inlineStr">
        <is>
          <t>https://minkara.carview.co.jp/car/toyota/isis/review/detail.aspx?cid=432476</t>
        </is>
      </c>
    </row>
    <row r="285">
      <c r="A285" s="8" t="inlineStr">
        <is>
          <t>アイシス</t>
        </is>
      </c>
      <c r="B285" s="8" t="n">
        <v>2004</v>
      </c>
      <c r="C285" s="8" t="inlineStr">
        <is>
          <t>PLATANA(AT_1.8)</t>
        </is>
      </c>
      <c r="D285" s="8" t="inlineStr">
        <is>
          <t>2025年7月29日</t>
        </is>
      </c>
      <c r="E285" s="8" t="inlineStr">
        <is>
          <t>通勤通学</t>
        </is>
      </c>
      <c r="F285" s="8" t="n">
        <v>5</v>
      </c>
      <c r="G285" s="8" t="n">
        <v>4</v>
      </c>
      <c r="H285" s="8" t="n">
        <v>4</v>
      </c>
      <c r="I285" s="8" t="n">
        <v>4</v>
      </c>
      <c r="J285" s="8" t="n">
        <v>5</v>
      </c>
      <c r="K285" s="8" t="n">
        <v>4</v>
      </c>
      <c r="L285" s="8" t="inlineStr">
        <is>
          <t>大きすぎず、小さすぎず</t>
        </is>
      </c>
      <c r="M285" s="14" t="inlineStr">
        <is>
          <t>人も荷物もそこそこ入る大きさ！イスも倒れて（バンプ）満足です。15年乗ってます！</t>
        </is>
      </c>
      <c r="N285" s="14" t="inlineStr">
        <is>
          <t>足まわりが緩い感じがしますので、4駆用のバネを入れております</t>
        </is>
      </c>
      <c r="O285" s="14" t="inlineStr">
        <is>
          <t>何と言っても、左セカンドのピラーな無いのが広くていいですね</t>
        </is>
      </c>
      <c r="P285" s="8" t="inlineStr">
        <is>
          <t>https://minkara.carview.co.jp/car/toyota/isis/review/detail.aspx?cid=431875</t>
        </is>
      </c>
    </row>
    <row r="286">
      <c r="A286" s="13" t="inlineStr">
        <is>
          <t>アイシス</t>
        </is>
      </c>
      <c r="B286" s="13" t="n">
        <v>2016</v>
      </c>
      <c r="C286" s="13" t="inlineStr">
        <is>
          <t>G(CVT_1.8)</t>
        </is>
      </c>
      <c r="D286" s="13" t="inlineStr">
        <is>
          <t>2025年5月26日</t>
        </is>
      </c>
      <c r="E286" s="13" t="inlineStr">
        <is>
          <t>通勤通学</t>
        </is>
      </c>
      <c r="F286" s="13" t="n">
        <v>5</v>
      </c>
      <c r="G286" s="13" t="n">
        <v>4</v>
      </c>
      <c r="H286" s="13" t="n">
        <v>4</v>
      </c>
      <c r="I286" s="13" t="n">
        <v>3</v>
      </c>
      <c r="J286" s="13" t="n">
        <v>4</v>
      </c>
      <c r="K286" s="13" t="n">
        <v>4</v>
      </c>
      <c r="L286" s="13" t="inlineStr">
        <is>
          <t>使い勝手が良い車ですよ</t>
        </is>
      </c>
      <c r="M286" s="14" t="inlineStr">
        <is>
          <t>運転、乗り降りしやすく、長距離ドライブしても余り疲れを感じません。後部座席の変形も効くので、状況（人orもの）によって対応可能です。犬をゲージごと積んだり、コントラバスを積んだ事もあります。</t>
        </is>
      </c>
      <c r="N286" s="14" t="inlineStr">
        <is>
          <t>補助タイヤの固定を外すのに、結構時間が掛かったように思います。交換する機材がマット下に隠してありますので・・・</t>
        </is>
      </c>
      <c r="O286" s="14" t="inlineStr">
        <is>
          <t>中古車で購入しかできないですが、2016年以降の年式を選ばれた方が良いですよ。新型エンジンが載っているので、燃費も良いと思います。</t>
        </is>
      </c>
      <c r="P286" s="13" t="inlineStr">
        <is>
          <t>https://minkara.carview.co.jp/car/toyota/isis/review/detail.aspx?cid=427198</t>
        </is>
      </c>
    </row>
    <row r="287">
      <c r="A287" s="8" t="inlineStr">
        <is>
          <t>アイシス</t>
        </is>
      </c>
      <c r="B287" s="8" t="n">
        <v>2013</v>
      </c>
      <c r="C287" s="8" t="inlineStr">
        <is>
          <t>プラタナ“Vセレクション”(CVT_1.8)</t>
        </is>
      </c>
      <c r="D287" s="8" t="inlineStr">
        <is>
          <t>2025年5月9日</t>
        </is>
      </c>
      <c r="E287" s="8" t="inlineStr">
        <is>
          <t>通勤通学</t>
        </is>
      </c>
      <c r="F287" s="8" t="n">
        <v>5</v>
      </c>
      <c r="G287" s="8" t="n">
        <v>5</v>
      </c>
      <c r="H287" s="8" t="n">
        <v>3</v>
      </c>
      <c r="I287" s="8" t="n">
        <v>4</v>
      </c>
      <c r="J287" s="8" t="n">
        <v>5</v>
      </c>
      <c r="K287" s="8" t="n">
        <v>3</v>
      </c>
      <c r="L287" s="8" t="inlineStr">
        <is>
          <t>お気に入り</t>
        </is>
      </c>
      <c r="M287" s="14" t="inlineStr">
        <is>
          <t>シンプルなデザイン スライドドア</t>
        </is>
      </c>
      <c r="N287" s="14" t="n"/>
      <c r="O287" s="14" t="inlineStr">
        <is>
          <t>2列目広々で乗りやすい 荷物がたくさん載せられる</t>
        </is>
      </c>
      <c r="P287" s="8" t="inlineStr">
        <is>
          <t>https://minkara.carview.co.jp/car/toyota/isis/review/detail.aspx?cid=426017</t>
        </is>
      </c>
    </row>
    <row r="288">
      <c r="A288" s="13" t="inlineStr">
        <is>
          <t>アイシス</t>
        </is>
      </c>
      <c r="B288" s="13" t="n">
        <v>2013</v>
      </c>
      <c r="C288" s="13" t="inlineStr">
        <is>
          <t>L(CVT_1.8)</t>
        </is>
      </c>
      <c r="D288" s="13" t="inlineStr">
        <is>
          <t>2025年3月10日</t>
        </is>
      </c>
      <c r="E288" s="13" t="n"/>
      <c r="F288" s="13" t="n">
        <v>4</v>
      </c>
      <c r="G288" s="13" t="n"/>
      <c r="H288" s="13" t="n"/>
      <c r="I288" s="13" t="n"/>
      <c r="J288" s="13" t="n"/>
      <c r="K288" s="13" t="n"/>
      <c r="L288" s="13" t="inlineStr">
        <is>
          <t>ナローアイシス(5ナンバー)なのに結構モノが積める!</t>
        </is>
      </c>
      <c r="M288" s="14" t="inlineStr">
        <is>
          <t>トヨタ車の中でも使い回しパーツ^h^7…もとい、汎用パーツが多用されているっぽい車種なので、某オクなどで中古部品がそこそこ安価で手に入る点。</t>
        </is>
      </c>
      <c r="N288" s="14" t="inlineStr">
        <is>
          <t>もう生産終了しているので新ネタの社外パーツなどは開発・発売が絶望的なところ。</t>
        </is>
      </c>
      <c r="O288" s="14" t="inlineStr">
        <is>
          <t>新車購入から10年経過でもう色々吹っ切れてきたので後はお楽しみ(好き勝手に魔改造)しかないので大満足! 弄って乗れる実寸大プラモデルと言っても過言ではないｗ</t>
        </is>
      </c>
      <c r="P288" s="13" t="inlineStr">
        <is>
          <t>https://minkara.carview.co.jp/car/toyota/isis/review/detail.aspx?cid=421009</t>
        </is>
      </c>
    </row>
    <row r="289">
      <c r="A289" s="8" t="inlineStr">
        <is>
          <t>アイシス</t>
        </is>
      </c>
      <c r="B289" s="8" t="n">
        <v>2013</v>
      </c>
      <c r="C289" s="8" t="inlineStr">
        <is>
          <t>プラタナ(CVT_1.8)</t>
        </is>
      </c>
      <c r="D289" s="8" t="inlineStr">
        <is>
          <t>2025年1月8日</t>
        </is>
      </c>
      <c r="E289" s="8" t="inlineStr">
        <is>
          <t>通勤通学</t>
        </is>
      </c>
      <c r="F289" s="8" t="n">
        <v>5</v>
      </c>
      <c r="G289" s="8" t="n">
        <v>4</v>
      </c>
      <c r="H289" s="8" t="n">
        <v>3</v>
      </c>
      <c r="I289" s="8" t="n">
        <v>3</v>
      </c>
      <c r="J289" s="8" t="n">
        <v>5</v>
      </c>
      <c r="K289" s="8" t="n">
        <v>4</v>
      </c>
      <c r="L289" s="8" t="inlineStr">
        <is>
          <t>七人乗れるカローラ</t>
        </is>
      </c>
      <c r="M289" s="14" t="inlineStr">
        <is>
          <t>七人乗りの時の荷室スペースの底が深いのでかなり高いスーツケースも楽に積める。</t>
        </is>
      </c>
      <c r="N289" s="14" t="inlineStr">
        <is>
          <t>今のところ特にないかな。 古い中古なので、最新装備はあるわけもなく。</t>
        </is>
      </c>
      <c r="O289" s="14" t="inlineStr">
        <is>
          <t>40万そこそこで、このパッケージなら、もう十分花丸120点です。</t>
        </is>
      </c>
      <c r="P289" s="8" t="inlineStr">
        <is>
          <t>https://minkara.carview.co.jp/car/toyota/isis/review/detail.aspx?cid=416140</t>
        </is>
      </c>
    </row>
    <row r="290">
      <c r="A290" s="13" t="inlineStr">
        <is>
          <t>アイシス</t>
        </is>
      </c>
      <c r="B290" s="13" t="n">
        <v>2016</v>
      </c>
      <c r="C290" s="13" t="inlineStr">
        <is>
          <t>プラタナ(CVT_1.8)</t>
        </is>
      </c>
      <c r="D290" s="13" t="inlineStr">
        <is>
          <t>2024年12月19日</t>
        </is>
      </c>
      <c r="E290" s="13" t="inlineStr">
        <is>
          <t>レジャー</t>
        </is>
      </c>
      <c r="F290" s="13" t="n">
        <v>5</v>
      </c>
      <c r="G290" s="13" t="n"/>
      <c r="H290" s="13" t="n"/>
      <c r="I290" s="13" t="n"/>
      <c r="J290" s="13" t="n"/>
      <c r="K290" s="13" t="n"/>
      <c r="L290" s="13" t="inlineStr">
        <is>
          <t>高い信頼性。12年間故障なし！</t>
        </is>
      </c>
      <c r="M290" s="14" t="inlineStr">
        <is>
          <t>運転がしやすい。7人乗り。</t>
        </is>
      </c>
      <c r="N290" s="14" t="inlineStr">
        <is>
          <t>なし</t>
        </is>
      </c>
      <c r="O290" s="14" t="inlineStr">
        <is>
          <t>子供たちの部活遠征の送迎からキャンプまで、何一つ問題なく、楽しく利用しています。</t>
        </is>
      </c>
      <c r="P290" s="13" t="inlineStr">
        <is>
          <t>https://minkara.carview.co.jp/car/toyota/isis/review/detail.aspx?cid=414598</t>
        </is>
      </c>
    </row>
    <row r="291">
      <c r="A291" s="8" t="inlineStr">
        <is>
          <t>アイシス</t>
        </is>
      </c>
      <c r="B291" s="8" t="n">
        <v>2011</v>
      </c>
      <c r="C291" s="8" t="inlineStr">
        <is>
          <t>プラタナ“Vセレクション・ホワイトインテリアパッケージ”(CVT_1.8)</t>
        </is>
      </c>
      <c r="D291" s="8" t="inlineStr">
        <is>
          <t>2024年12月3日</t>
        </is>
      </c>
      <c r="E291" s="8" t="inlineStr">
        <is>
          <t>通勤通学</t>
        </is>
      </c>
      <c r="F291" s="8" t="n">
        <v>5</v>
      </c>
      <c r="G291" s="8" t="n">
        <v>5</v>
      </c>
      <c r="H291" s="8" t="n">
        <v>3</v>
      </c>
      <c r="I291" s="8" t="n">
        <v>3</v>
      </c>
      <c r="J291" s="8" t="n">
        <v>5</v>
      </c>
      <c r="K291" s="8" t="n">
        <v>2</v>
      </c>
      <c r="L291" s="8" t="inlineStr">
        <is>
          <t>丁度良い中途半端</t>
        </is>
      </c>
      <c r="M291" s="14" t="inlineStr">
        <is>
          <t>スタイルがお気に入り、ミニバンなのに低床で視線は低め、３列目シートの床下収納がGood イジる人も周辺で見かけないのでカブらないのも◯</t>
        </is>
      </c>
      <c r="N291" s="14" t="inlineStr">
        <is>
          <t>後席は空調吹き出し口が無く車内の温度が変え難い、あとは燃費がもう少し良ければ…</t>
        </is>
      </c>
      <c r="O291" s="14" t="inlineStr">
        <is>
          <t>トヨタ好きでNOAH・VOXYでは大き過ぎる、値段が高すぎるという方に良いのではないでしょうか？左側の開口部が大きいく、３列目シートを倒せば荷物もそれなりに載りますし、装備も必要最低限でシンプル、わりと長期間製造されていたので高年式も狙えるのに価格が低め。自分は非常に気に入っております。</t>
        </is>
      </c>
      <c r="P291" s="8" t="inlineStr">
        <is>
          <t>https://minkara.carview.co.jp/car/toyota/isis/review/detail.aspx?cid=413323</t>
        </is>
      </c>
    </row>
    <row r="292">
      <c r="A292" s="13" t="inlineStr">
        <is>
          <t>アイシス</t>
        </is>
      </c>
      <c r="B292" s="13" t="n">
        <v>2005</v>
      </c>
      <c r="C292" s="13" t="inlineStr">
        <is>
          <t>PLATANA(CVT_2.0)</t>
        </is>
      </c>
      <c r="D292" s="13" t="inlineStr">
        <is>
          <t>2024年11月16日</t>
        </is>
      </c>
      <c r="E292" s="13" t="inlineStr">
        <is>
          <t>買い物</t>
        </is>
      </c>
      <c r="F292" s="13" t="n">
        <v>4</v>
      </c>
      <c r="G292" s="13" t="n">
        <v>4</v>
      </c>
      <c r="H292" s="13" t="n">
        <v>4</v>
      </c>
      <c r="I292" s="13" t="n">
        <v>4</v>
      </c>
      <c r="J292" s="13" t="n">
        <v>5</v>
      </c>
      <c r="K292" s="13" t="n">
        <v>3</v>
      </c>
      <c r="L292" s="13" t="inlineStr">
        <is>
          <t>大家族でも窮屈しない！</t>
        </is>
      </c>
      <c r="M292" s="14" t="inlineStr">
        <is>
          <t>我が家は6人で出かける際でも とてもゆったり乗っています！ ラゲッジスペースにベビーカー積んでも問題なし！ 両側電スラなのでこどもの乗り降りもスムーズ 助手席側がピラーレスなので広く感じます</t>
        </is>
      </c>
      <c r="N292" s="14" t="n"/>
      <c r="O292" s="14" t="inlineStr">
        <is>
          <t>ストリームからの乗り換えですが 車高調がついて低くしてても乗ったら視線が高いし 広々した室内なので子供が乗っていても 足元が空いているので荷物もそのままおけちゃいます。</t>
        </is>
      </c>
      <c r="P292" s="13" t="inlineStr">
        <is>
          <t>https://minkara.carview.co.jp/car/toyota/isis/review/detail.aspx?cid=411951</t>
        </is>
      </c>
    </row>
    <row r="293">
      <c r="A293" s="8" t="inlineStr">
        <is>
          <t>アイシス</t>
        </is>
      </c>
      <c r="B293" s="8" t="n">
        <v>2005</v>
      </c>
      <c r="C293" s="8" t="inlineStr">
        <is>
          <t>PLATANA(CVT_2.0)</t>
        </is>
      </c>
      <c r="D293" s="8" t="inlineStr">
        <is>
          <t>2024年10月15日</t>
        </is>
      </c>
      <c r="E293" s="8" t="inlineStr">
        <is>
          <t>通勤通学</t>
        </is>
      </c>
      <c r="F293" s="8" t="n">
        <v>4</v>
      </c>
      <c r="G293" s="8" t="n">
        <v>3</v>
      </c>
      <c r="H293" s="8" t="n">
        <v>4</v>
      </c>
      <c r="I293" s="8" t="n">
        <v>4</v>
      </c>
      <c r="J293" s="8" t="n">
        <v>4</v>
      </c>
      <c r="K293" s="8" t="n">
        <v>2</v>
      </c>
      <c r="L293" s="8" t="inlineStr">
        <is>
          <t>普通車</t>
        </is>
      </c>
      <c r="M293" s="14" t="inlineStr">
        <is>
          <t>ミニバンにしては細いので運転しやすいかも？</t>
        </is>
      </c>
      <c r="N293" s="14" t="inlineStr">
        <is>
          <t>助手席は腰が痛い…</t>
        </is>
      </c>
      <c r="O293" s="14" t="inlineStr">
        <is>
          <t>値段も手頃で人も沢山乗れる。 燃費は悪いです。</t>
        </is>
      </c>
      <c r="P293" s="8" t="inlineStr">
        <is>
          <t>https://minkara.carview.co.jp/car/toyota/isis/review/detail.aspx?cid=409183</t>
        </is>
      </c>
    </row>
    <row r="294">
      <c r="A294" s="13" t="inlineStr">
        <is>
          <t>アイシス</t>
        </is>
      </c>
      <c r="B294" s="13" t="n">
        <v>2012</v>
      </c>
      <c r="C294" s="13" t="inlineStr">
        <is>
          <t>platana`v-selection white interior package</t>
        </is>
      </c>
      <c r="D294" s="13" t="inlineStr">
        <is>
          <t>2024年9月14日</t>
        </is>
      </c>
      <c r="E294" s="13" t="inlineStr">
        <is>
          <t>通勤通学</t>
        </is>
      </c>
      <c r="F294" s="13" t="n">
        <v>4</v>
      </c>
      <c r="G294" s="13" t="n">
        <v>5</v>
      </c>
      <c r="H294" s="13" t="n">
        <v>4</v>
      </c>
      <c r="I294" s="13" t="n">
        <v>3</v>
      </c>
      <c r="J294" s="13" t="n">
        <v>4</v>
      </c>
      <c r="K294" s="13" t="n">
        <v>3</v>
      </c>
      <c r="L294" s="13" t="inlineStr">
        <is>
          <t>今の時代でも通用するポテンシャルを持ってる車</t>
        </is>
      </c>
      <c r="M294" s="14" t="inlineStr">
        <is>
          <t>アイシスの魅力はやはり助手席パノラマオープンドア。 チャイルドシートの載せ替えや、子供の乗り降りにもかなり重宝。全てがちょうどよく、歴代の車両の中で、1番かも。</t>
        </is>
      </c>
      <c r="N294" s="14" t="inlineStr">
        <is>
          <t>あえて言うなら、Aピラーが極太なので、左前方、右前方の視界は悪いです。 あとは1.8リッターなので、ちょっと力不足かな。</t>
        </is>
      </c>
      <c r="O294" s="14" t="inlineStr">
        <is>
          <t>フロントの視界を除くと、不満がない。 どうせすぐ乗り換えるだろうと思って買った車だったので、相当なボロ車なのですが、もうちょっと程度の良いアイシスにしとけば良かったと後悔するくらい。</t>
        </is>
      </c>
      <c r="P294" s="13" t="inlineStr">
        <is>
          <t>https://minkara.carview.co.jp/car/toyota/isis/review/detail.aspx?cid=406890</t>
        </is>
      </c>
    </row>
    <row r="295">
      <c r="A295" s="8" t="inlineStr">
        <is>
          <t>アイシス</t>
        </is>
      </c>
      <c r="B295" s="8" t="n">
        <v>2011</v>
      </c>
      <c r="C295" s="8" t="inlineStr">
        <is>
          <t>L(CVT_1.8)</t>
        </is>
      </c>
      <c r="D295" s="8" t="inlineStr">
        <is>
          <t>2024年9月13日</t>
        </is>
      </c>
      <c r="E295" s="8" t="inlineStr">
        <is>
          <t>通勤通学</t>
        </is>
      </c>
      <c r="F295" s="8" t="n">
        <v>4</v>
      </c>
      <c r="G295" s="8" t="n">
        <v>3</v>
      </c>
      <c r="H295" s="8" t="n">
        <v>3</v>
      </c>
      <c r="I295" s="8" t="n">
        <v>4</v>
      </c>
      <c r="J295" s="8" t="n">
        <v>4</v>
      </c>
      <c r="K295" s="8" t="n"/>
      <c r="L295" s="8" t="inlineStr">
        <is>
          <t>値段以上に活躍する車</t>
        </is>
      </c>
      <c r="M295" s="14" t="inlineStr">
        <is>
          <t>購入して一番以外だったのは、思ったより加速が良い事です。エンジン始動時の音も好き。マフラー変えたら良い音すると思います。 あと、乗り心地よく(ノーマルはとにかく柔らかい)荷物も沢山積めます。</t>
        </is>
      </c>
      <c r="N295" s="14" t="inlineStr">
        <is>
          <t>外観ノーマルですが、大分古さを感じる様になりました。年数たてばどの車もぶち当たる壁ですね。愛があれば乗り越えられる。</t>
        </is>
      </c>
      <c r="O295" s="14" t="inlineStr">
        <is>
          <t>アイシス購入の目的は子供が野球チームに入っていたので、何かと便利につかえるかなと。結果、色々と役立ったので買って良かったです。 踏んだらエンジン音が煩いですが、普通に乗る分には静かで乗り心地も良くこれからも乗っていきたいと思います。</t>
        </is>
      </c>
      <c r="P295" s="8" t="inlineStr">
        <is>
          <t>https://minkara.carview.co.jp/car/toyota/isis/review/detail.aspx?cid=406816</t>
        </is>
      </c>
    </row>
    <row r="296">
      <c r="A296" s="13" t="inlineStr">
        <is>
          <t>アイシス</t>
        </is>
      </c>
      <c r="B296" s="13" t="n">
        <v>2009</v>
      </c>
      <c r="C296" s="13" t="inlineStr">
        <is>
          <t>プラタナ(CVT_2.0)</t>
        </is>
      </c>
      <c r="D296" s="13" t="inlineStr">
        <is>
          <t>2024年9月9日</t>
        </is>
      </c>
      <c r="E296" s="13" t="inlineStr">
        <is>
          <t>買い物</t>
        </is>
      </c>
      <c r="F296" s="13" t="n">
        <v>5</v>
      </c>
      <c r="G296" s="13" t="n">
        <v>5</v>
      </c>
      <c r="H296" s="13" t="n">
        <v>5</v>
      </c>
      <c r="I296" s="13" t="n">
        <v>5</v>
      </c>
      <c r="J296" s="13" t="n">
        <v>3</v>
      </c>
      <c r="K296" s="13" t="n">
        <v>3</v>
      </c>
      <c r="L296" s="13" t="inlineStr">
        <is>
          <t>最高！</t>
        </is>
      </c>
      <c r="M296" s="14" t="n"/>
      <c r="N296" s="14" t="n"/>
      <c r="O296" s="14" t="inlineStr">
        <is>
          <t>送迎</t>
        </is>
      </c>
      <c r="P296" s="13" t="inlineStr">
        <is>
          <t>https://minkara.carview.co.jp/car/toyota/isis/review/detail.aspx?cid=406570</t>
        </is>
      </c>
    </row>
    <row r="297">
      <c r="A297" s="8" t="inlineStr">
        <is>
          <t>アイシス</t>
        </is>
      </c>
      <c r="B297" s="8" t="n">
        <v>2012</v>
      </c>
      <c r="C297" s="8" t="inlineStr">
        <is>
          <t>G_4WD(CVT_1.8)</t>
        </is>
      </c>
      <c r="D297" s="8" t="inlineStr">
        <is>
          <t>2024年9月9日</t>
        </is>
      </c>
      <c r="E297" s="8" t="inlineStr">
        <is>
          <t>通勤通学</t>
        </is>
      </c>
      <c r="F297" s="8" t="n">
        <v>5</v>
      </c>
      <c r="G297" s="8" t="n">
        <v>4</v>
      </c>
      <c r="H297" s="8" t="n">
        <v>5</v>
      </c>
      <c r="I297" s="8" t="n">
        <v>4</v>
      </c>
      <c r="J297" s="8" t="n">
        <v>5</v>
      </c>
      <c r="K297" s="8" t="n">
        <v>3</v>
      </c>
      <c r="L297" s="8" t="inlineStr">
        <is>
          <t>使い勝手抜群</t>
        </is>
      </c>
      <c r="M297" s="14" t="inlineStr">
        <is>
          <t>屋根にカヌーを積むのに丁度いい高さです。</t>
        </is>
      </c>
      <c r="N297" s="14" t="inlineStr">
        <is>
          <t>燃費がイマイチ</t>
        </is>
      </c>
      <c r="O297" s="14" t="inlineStr">
        <is>
          <t>荷物がたくさん積めて、人も４人乗れる満足。</t>
        </is>
      </c>
      <c r="P297" s="8" t="inlineStr">
        <is>
          <t>https://minkara.carview.co.jp/car/toyota/isis/review/detail.aspx?cid=406537</t>
        </is>
      </c>
    </row>
    <row r="298">
      <c r="A298" s="13" t="inlineStr">
        <is>
          <t>アイシス</t>
        </is>
      </c>
      <c r="B298" s="13" t="n">
        <v>2013</v>
      </c>
      <c r="C298" s="13" t="inlineStr">
        <is>
          <t>プラタナ“Vセレクション”(CVT_2.0)</t>
        </is>
      </c>
      <c r="D298" s="13" t="inlineStr">
        <is>
          <t>2024年8月24日</t>
        </is>
      </c>
      <c r="E298" s="13" t="inlineStr">
        <is>
          <t>仕事</t>
        </is>
      </c>
      <c r="F298" s="13" t="n">
        <v>5</v>
      </c>
      <c r="G298" s="13" t="n">
        <v>5</v>
      </c>
      <c r="H298" s="13" t="n">
        <v>4</v>
      </c>
      <c r="I298" s="13" t="n">
        <v>4</v>
      </c>
      <c r="J298" s="13" t="n">
        <v>5</v>
      </c>
      <c r="K298" s="13" t="n">
        <v>4</v>
      </c>
      <c r="L298" s="13" t="inlineStr">
        <is>
          <t>最高のスポーツミニバン</t>
        </is>
      </c>
      <c r="M298" s="14" t="inlineStr">
        <is>
          <t>かっこよし！ 取り回しよし！ 乗車人数よし！ 積載性よし！ 燃費は…まぁ、ほら、ミニバンだから。ね？</t>
        </is>
      </c>
      <c r="N298" s="14" t="inlineStr">
        <is>
          <t>ターボがない マニュアルがない アフターパーツがそんなにない でもクルマそのものの素性が良くて気にならない</t>
        </is>
      </c>
      <c r="O298" s="14" t="inlineStr">
        <is>
          <t>ノアヴォクやアルヴェルをはじめとした「ミニバン！」な車よりも断然使い勝手はいいというのが個人の感想 未就学の怪獣1匹と夫婦で乗るなら断然ハコ型より扱いやすい</t>
        </is>
      </c>
      <c r="P298" s="13" t="inlineStr">
        <is>
          <t>https://minkara.carview.co.jp/car/toyota/isis/review/detail.aspx?cid=405387</t>
        </is>
      </c>
    </row>
    <row r="299">
      <c r="A299" s="8" t="inlineStr">
        <is>
          <t>アイシス</t>
        </is>
      </c>
      <c r="B299" s="8" t="n">
        <v>2005</v>
      </c>
      <c r="C299" s="8" t="inlineStr">
        <is>
          <t>PLATANA(CVT_2.0)</t>
        </is>
      </c>
      <c r="D299" s="8" t="inlineStr">
        <is>
          <t>2024年7月15日</t>
        </is>
      </c>
      <c r="E299" s="8" t="inlineStr">
        <is>
          <t>レジャー</t>
        </is>
      </c>
      <c r="F299" s="8" t="n">
        <v>5</v>
      </c>
      <c r="G299" s="8" t="n">
        <v>3</v>
      </c>
      <c r="H299" s="8" t="n">
        <v>3</v>
      </c>
      <c r="I299" s="8" t="n">
        <v>3</v>
      </c>
      <c r="J299" s="8" t="n">
        <v>3</v>
      </c>
      <c r="K299" s="8" t="n">
        <v>3</v>
      </c>
      <c r="L299" s="8" t="inlineStr">
        <is>
          <t>使い勝手がイイ</t>
        </is>
      </c>
      <c r="M299" s="14" t="inlineStr">
        <is>
          <t>低床ミニバンですが、使い勝手とそこそこ走る点</t>
        </is>
      </c>
      <c r="N299" s="14" t="inlineStr">
        <is>
          <t>リアーのデザインかな</t>
        </is>
      </c>
      <c r="O299" s="14" t="inlineStr">
        <is>
          <t>走りと使い勝手の両立</t>
        </is>
      </c>
      <c r="P299" s="8" t="inlineStr">
        <is>
          <t>https://minkara.carview.co.jp/car/toyota/isis/review/detail.aspx?cid=402179</t>
        </is>
      </c>
    </row>
    <row r="300">
      <c r="A300" s="13" t="inlineStr">
        <is>
          <t>アイシス</t>
        </is>
      </c>
      <c r="B300" s="13" t="n">
        <v>2005</v>
      </c>
      <c r="C300" s="13" t="inlineStr">
        <is>
          <t>PLATANA(CVT_2.0)</t>
        </is>
      </c>
      <c r="D300" s="13" t="inlineStr">
        <is>
          <t>2024年7月2日</t>
        </is>
      </c>
      <c r="E300" s="13" t="inlineStr">
        <is>
          <t>通勤通学</t>
        </is>
      </c>
      <c r="F300" s="13" t="n">
        <v>5</v>
      </c>
      <c r="G300" s="13" t="n">
        <v>5</v>
      </c>
      <c r="H300" s="13" t="n">
        <v>4</v>
      </c>
      <c r="I300" s="13" t="n">
        <v>4</v>
      </c>
      <c r="J300" s="13" t="n">
        <v>5</v>
      </c>
      <c r="K300" s="13" t="n">
        <v>3</v>
      </c>
      <c r="L300" s="13" t="inlineStr">
        <is>
          <t>コスパ最高、イカツい系でない外観が貴重</t>
        </is>
      </c>
      <c r="M300" s="14" t="inlineStr">
        <is>
          <t>外観、コスパ</t>
        </is>
      </c>
      <c r="N300" s="14" t="inlineStr">
        <is>
          <t>燃費かな</t>
        </is>
      </c>
      <c r="O300" s="14" t="inlineStr">
        <is>
          <t>地味ですが堅実な、僕に合ったな車です</t>
        </is>
      </c>
      <c r="P300" s="13" t="inlineStr">
        <is>
          <t>https://minkara.carview.co.jp/car/toyota/isis/review/detail.aspx?cid=401091</t>
        </is>
      </c>
    </row>
    <row r="301">
      <c r="A301" s="8" t="inlineStr">
        <is>
          <t>アイシス</t>
        </is>
      </c>
      <c r="B301" s="8" t="n">
        <v>2004</v>
      </c>
      <c r="C301" s="8" t="inlineStr">
        <is>
          <t>L“X-SELECTION”(AT_2.0)</t>
        </is>
      </c>
      <c r="D301" s="8" t="inlineStr">
        <is>
          <t>2024年6月15日</t>
        </is>
      </c>
      <c r="E301" s="8" t="inlineStr">
        <is>
          <t>レジャー</t>
        </is>
      </c>
      <c r="F301" s="8" t="n">
        <v>3</v>
      </c>
      <c r="G301" s="8" t="n">
        <v>2</v>
      </c>
      <c r="H301" s="8" t="n">
        <v>3</v>
      </c>
      <c r="I301" s="8" t="n">
        <v>3</v>
      </c>
      <c r="J301" s="8" t="n">
        <v>5</v>
      </c>
      <c r="K301" s="8" t="n">
        <v>3</v>
      </c>
      <c r="L301" s="8" t="inlineStr">
        <is>
          <t>構造変更で車中泊仕様に</t>
        </is>
      </c>
      <c r="M301" s="14" t="inlineStr">
        <is>
          <t>タイトルのとおり、貨物車へ構造変更して後部での寝心地を良くしました。 元々シートアレンジで後はフラットになりますが、貨物登録することで税金を抑え、維持費を節約できるのが良いです。 アイシスの前に買った日産ラフェスタも似たような仕様ですが、今回は３人乗りにしました。 帰省した時も、両親乗せて移動できます。</t>
        </is>
      </c>
      <c r="N301" s="14" t="inlineStr">
        <is>
          <t>グレードが違うので仕方ないですが、ラフェスタはバックギアに入れるとドアミラーが自動で下向くし、ロックした時も自動で畳みます。またパノラミックルーフが付いて遊び心がありましたが、アイシスにはそれがありません。 あとラフェスタより視界が悪い。 直噴エンジンの評判が悪い。</t>
        </is>
      </c>
      <c r="O301" s="14" t="inlineStr">
        <is>
          <t>走りやカッコよさは別の車で満たしているので、この車にはそこまで求めていません。 なんだかんだ５ナンバーで収まる車幅で余り苦も無く走れるし、車中泊仕様にしたことで遊び心も満たされる。３人乗りにしたことでおおよそ自身のライフスタイル内では乗車定員を満たせる。シートアレンジ（うちのは３席しかないけど）も豊富なので色んな状況に対応できる。 あとは天下のトヨタ車という事で（古い車ですが）これからもまだまだ乗れるだろうという安心感があることも良いですね。 近所のディーラーも感じがよく頼りになります。 とにかく直噴エンジンによるインテークバルブの煤溜まりが気になる。</t>
        </is>
      </c>
      <c r="P301" s="8" t="inlineStr">
        <is>
          <t>https://minkara.carview.co.jp/car/toyota/isis/review/detail.aspx?cid=399754</t>
        </is>
      </c>
    </row>
    <row r="302">
      <c r="A302" s="13" t="inlineStr">
        <is>
          <t>グランエース</t>
        </is>
      </c>
      <c r="B302" s="13" t="n">
        <v>2019</v>
      </c>
      <c r="C302" s="13" t="inlineStr">
        <is>
          <t>プレミアム_6人乗り(AT_2.8)</t>
        </is>
      </c>
      <c r="D302" s="13" t="inlineStr">
        <is>
          <t>2026年6月18日</t>
        </is>
      </c>
      <c r="E302" s="13" t="inlineStr">
        <is>
          <t>通勤通学</t>
        </is>
      </c>
      <c r="F302" s="13" t="n">
        <v>5</v>
      </c>
      <c r="G302" s="13" t="n">
        <v>5</v>
      </c>
      <c r="H302" s="13" t="n">
        <v>5</v>
      </c>
      <c r="I302" s="13" t="n">
        <v>5</v>
      </c>
      <c r="J302" s="13" t="n">
        <v>4</v>
      </c>
      <c r="K302" s="13" t="n">
        <v>4</v>
      </c>
      <c r="L302" s="13" t="inlineStr">
        <is>
          <t>お気に入り</t>
        </is>
      </c>
      <c r="M302" s="14" t="inlineStr">
        <is>
          <t>意外なことですが、小回りがきく 運転しやすい</t>
        </is>
      </c>
      <c r="N302" s="14" t="inlineStr">
        <is>
          <t>駐車場の枠が小さい</t>
        </is>
      </c>
      <c r="O302" s="14" t="inlineStr">
        <is>
          <t>街乗りも苦ではなく、ミドルワゴンに匹敵する小回りのききやすさ Uターンや左折も楽にできます</t>
        </is>
      </c>
      <c r="P302" s="13" t="inlineStr">
        <is>
          <t>https://minkara.carview.co.jp/car/toyota/granace/review/detail.aspx?cid=456441</t>
        </is>
      </c>
    </row>
    <row r="303">
      <c r="A303" s="8" t="inlineStr">
        <is>
          <t>グランエース</t>
        </is>
      </c>
      <c r="B303" s="8" t="n">
        <v>2019</v>
      </c>
      <c r="C303" s="8" t="inlineStr">
        <is>
          <t>プレミアム_6人乗り(AT_2.8)</t>
        </is>
      </c>
      <c r="D303" s="8" t="inlineStr">
        <is>
          <t>2026年2月14日</t>
        </is>
      </c>
      <c r="E303" s="8" t="inlineStr">
        <is>
          <t>通勤通学</t>
        </is>
      </c>
      <c r="F303" s="8" t="n">
        <v>5</v>
      </c>
      <c r="G303" s="8" t="n">
        <v>4</v>
      </c>
      <c r="H303" s="8" t="n">
        <v>4</v>
      </c>
      <c r="I303" s="8" t="n">
        <v>4</v>
      </c>
      <c r="J303" s="8" t="n">
        <v>2</v>
      </c>
      <c r="K303" s="8" t="n">
        <v>3</v>
      </c>
      <c r="L303" s="8" t="inlineStr">
        <is>
          <t>結果満足</t>
        </is>
      </c>
      <c r="M303" s="14" t="inlineStr">
        <is>
          <t>ハイエースS-GLのDT4WDからの乗り換えだったので、静粛性には感動しました。 一番後ろの人の声が聞こえて会話も普通にできる。 3トン近い重さなのに高速でリッター15km前後までのびる！日本車の中では大きい割にランクルやハイラックス、アルヴェルより取り回しが良い！</t>
        </is>
      </c>
      <c r="N303" s="14" t="inlineStr">
        <is>
          <t>リア席は大きな荷物を積むと人が乗れなくなる。 90Lのスーツケース4つは確かに積めるけど、その倍近くの大きさのものは積むと人は乗れない。ハイエースの時はベッドキットが有れば関係なく車中泊もできた。 後部座席2列目は乗り物酔いする人は酔いやすいらしいです。 静粛性を求めたため、リアの窓が一切開けられないのは不便に思います。</t>
        </is>
      </c>
      <c r="O303" s="14" t="inlineStr">
        <is>
          <t>不便などはありますが、ある程度対処できたりするので良しです！ SNSなどでは酷評されたりしますが、私はお勧めします。</t>
        </is>
      </c>
      <c r="P303" s="8" t="inlineStr">
        <is>
          <t>https://minkara.carview.co.jp/car/toyota/granace/review/detail.aspx?cid=446969</t>
        </is>
      </c>
    </row>
    <row r="304">
      <c r="A304" s="13" t="inlineStr">
        <is>
          <t>グランエース</t>
        </is>
      </c>
      <c r="B304" s="13" t="n">
        <v>2019</v>
      </c>
      <c r="C304" s="13" t="inlineStr">
        <is>
          <t>プレミアム_6人乗り(AT_2.8)</t>
        </is>
      </c>
      <c r="D304" s="13" t="inlineStr">
        <is>
          <t>2024年2月20日</t>
        </is>
      </c>
      <c r="E304" s="13" t="inlineStr">
        <is>
          <t>レジャー</t>
        </is>
      </c>
      <c r="F304" s="13" t="n">
        <v>5</v>
      </c>
      <c r="G304" s="13" t="n">
        <v>3</v>
      </c>
      <c r="H304" s="13" t="n">
        <v>5</v>
      </c>
      <c r="I304" s="13" t="n">
        <v>4</v>
      </c>
      <c r="J304" s="13" t="n">
        <v>3</v>
      </c>
      <c r="K304" s="13" t="n">
        <v>3</v>
      </c>
      <c r="L304" s="13" t="inlineStr">
        <is>
          <t>乗りやすい</t>
        </is>
      </c>
      <c r="M304" s="14" t="inlineStr">
        <is>
          <t>運転しやすい</t>
        </is>
      </c>
      <c r="N304" s="14" t="inlineStr">
        <is>
          <t>足が少し硬め</t>
        </is>
      </c>
      <c r="O304" s="14" t="inlineStr">
        <is>
          <t>車庫入れの際、内輪差を1センチ間隔まで攻め安い。</t>
        </is>
      </c>
      <c r="P304" s="13" t="inlineStr">
        <is>
          <t>https://minkara.carview.co.jp/car/toyota/granace/review/detail.aspx?cid=389456</t>
        </is>
      </c>
    </row>
    <row r="305">
      <c r="A305" s="8" t="inlineStr">
        <is>
          <t>グランエース</t>
        </is>
      </c>
      <c r="B305" s="8" t="n">
        <v>2019</v>
      </c>
      <c r="C305" s="8" t="inlineStr">
        <is>
          <t>プレミアム_6人乗り(AT_2.8)</t>
        </is>
      </c>
      <c r="D305" s="8" t="inlineStr">
        <is>
          <t>2023年3月26日</t>
        </is>
      </c>
      <c r="E305" s="8" t="inlineStr">
        <is>
          <t>買い物</t>
        </is>
      </c>
      <c r="F305" s="8" t="n">
        <v>5</v>
      </c>
      <c r="G305" s="8" t="n"/>
      <c r="H305" s="8" t="n">
        <v>5</v>
      </c>
      <c r="I305" s="8" t="n"/>
      <c r="J305" s="8" t="n"/>
      <c r="K305" s="8" t="n">
        <v>5</v>
      </c>
      <c r="L305" s="8" t="inlineStr">
        <is>
          <t>注目度大</t>
        </is>
      </c>
      <c r="M305" s="14" t="inlineStr">
        <is>
          <t>室内のサイズも広く、 運転しやすく、視界もいいので満足です。</t>
        </is>
      </c>
      <c r="N305" s="14" t="inlineStr">
        <is>
          <t>今のところ見当たらないです</t>
        </is>
      </c>
      <c r="O305" s="14" t="inlineStr">
        <is>
          <t>室内も広く皆が広々座れて長距離などとても楽です。</t>
        </is>
      </c>
      <c r="P305" s="8" t="inlineStr">
        <is>
          <t>https://minkara.carview.co.jp/car/toyota/granace/review/detail.aspx?cid=361320</t>
        </is>
      </c>
    </row>
    <row r="306">
      <c r="A306" s="13" t="inlineStr">
        <is>
          <t>グランエース</t>
        </is>
      </c>
      <c r="B306" s="13" t="n">
        <v>2019</v>
      </c>
      <c r="C306" s="13" t="inlineStr">
        <is>
          <t>プレミアム_6人乗り(AT_2.8)</t>
        </is>
      </c>
      <c r="D306" s="13" t="inlineStr">
        <is>
          <t>2023年2月17日</t>
        </is>
      </c>
      <c r="E306" s="13" t="inlineStr">
        <is>
          <t>レジャー</t>
        </is>
      </c>
      <c r="F306" s="13" t="n">
        <v>5</v>
      </c>
      <c r="G306" s="13" t="n"/>
      <c r="H306" s="13" t="n">
        <v>5</v>
      </c>
      <c r="I306" s="13" t="n">
        <v>4</v>
      </c>
      <c r="J306" s="13" t="n">
        <v>3</v>
      </c>
      <c r="K306" s="13" t="n">
        <v>4</v>
      </c>
      <c r="L306" s="13" t="inlineStr">
        <is>
          <t>広い</t>
        </is>
      </c>
      <c r="M306" s="14" t="inlineStr">
        <is>
          <t>大きな車体の割に感覚が掴みやすい。</t>
        </is>
      </c>
      <c r="N306" s="14" t="inlineStr">
        <is>
          <t>リアのガラスが開かない</t>
        </is>
      </c>
      <c r="O306" s="14" t="inlineStr">
        <is>
          <t>普段使いもしやすく、意外と運転もしやすい</t>
        </is>
      </c>
      <c r="P306" s="13" t="inlineStr">
        <is>
          <t>https://minkara.carview.co.jp/car/toyota/granace/review/detail.aspx?cid=357676</t>
        </is>
      </c>
    </row>
    <row r="307">
      <c r="A307" s="8" t="inlineStr">
        <is>
          <t>グランエース</t>
        </is>
      </c>
      <c r="B307" s="8" t="n">
        <v>2019</v>
      </c>
      <c r="C307" s="8" t="inlineStr">
        <is>
          <t>プレミアム_6人乗り(AT_2.8)</t>
        </is>
      </c>
      <c r="D307" s="8" t="inlineStr">
        <is>
          <t>2022年11月27日</t>
        </is>
      </c>
      <c r="E307" s="8" t="inlineStr">
        <is>
          <t>レジャー</t>
        </is>
      </c>
      <c r="F307" s="8" t="n">
        <v>5</v>
      </c>
      <c r="G307" s="8" t="n">
        <v>3</v>
      </c>
      <c r="H307" s="8" t="n">
        <v>4</v>
      </c>
      <c r="I307" s="8" t="n">
        <v>4</v>
      </c>
      <c r="J307" s="8" t="n">
        <v>2</v>
      </c>
      <c r="K307" s="8" t="n">
        <v>4</v>
      </c>
      <c r="L307" s="8" t="inlineStr">
        <is>
          <t>走る応接室</t>
        </is>
      </c>
      <c r="M307" s="14" t="inlineStr">
        <is>
          <t>室内の広さ 街中で同じ車に遭遇しない。</t>
        </is>
      </c>
      <c r="N307" s="14" t="inlineStr">
        <is>
          <t>車の大きさの割に荷物があまり積めない</t>
        </is>
      </c>
      <c r="O307" s="14" t="inlineStr">
        <is>
          <t>概ね満足！</t>
        </is>
      </c>
      <c r="P307" s="8" t="inlineStr">
        <is>
          <t>https://minkara.carview.co.jp/car/toyota/granace/review/detail.aspx?cid=350703</t>
        </is>
      </c>
    </row>
    <row r="308">
      <c r="A308" s="13" t="inlineStr">
        <is>
          <t>グランエース</t>
        </is>
      </c>
      <c r="B308" s="13" t="n">
        <v>2019</v>
      </c>
      <c r="C308" s="13" t="inlineStr">
        <is>
          <t>プレミアム_6人乗り(AT_2.8)</t>
        </is>
      </c>
      <c r="D308" s="13" t="inlineStr">
        <is>
          <t>2022年7月26日</t>
        </is>
      </c>
      <c r="E308" s="13" t="inlineStr">
        <is>
          <t>レジャー</t>
        </is>
      </c>
      <c r="F308" s="13" t="n">
        <v>5</v>
      </c>
      <c r="G308" s="13" t="n">
        <v>4</v>
      </c>
      <c r="H308" s="13" t="n">
        <v>4</v>
      </c>
      <c r="I308" s="13" t="n">
        <v>5</v>
      </c>
      <c r="J308" s="13" t="n">
        <v>3</v>
      </c>
      <c r="K308" s="13" t="n">
        <v>5</v>
      </c>
      <c r="L308" s="13" t="inlineStr">
        <is>
          <t>乗り心地が良い</t>
        </is>
      </c>
      <c r="M308" s="14" t="inlineStr">
        <is>
          <t>ボディーサイズが大きい割に取り回しが楽 機能面もとても良い 燃費も良い</t>
        </is>
      </c>
      <c r="N308" s="14" t="inlineStr">
        <is>
          <t>運転席周りが質素、せめてアームレストが欲しい アフターパーツを充実してほしい 座席への乗り降りが１段多い</t>
        </is>
      </c>
      <c r="O308" s="14" t="inlineStr">
        <is>
          <t>大きいサイズの車が好きで、駐車場もあり、取り回しも苦にならなければ絶対買いの車です。</t>
        </is>
      </c>
      <c r="P308" s="13" t="inlineStr">
        <is>
          <t>https://minkara.carview.co.jp/car/toyota/granace/review/detail.aspx?cid=338735</t>
        </is>
      </c>
    </row>
    <row r="309">
      <c r="A309" s="8" t="inlineStr">
        <is>
          <t>グランエース</t>
        </is>
      </c>
      <c r="B309" s="8" t="n">
        <v>2019</v>
      </c>
      <c r="C309" s="8" t="inlineStr">
        <is>
          <t>プレミアム_6人乗り(AT_2.8)</t>
        </is>
      </c>
      <c r="D309" s="8" t="inlineStr">
        <is>
          <t>2022年2月8日</t>
        </is>
      </c>
      <c r="E309" s="8" t="inlineStr">
        <is>
          <t>通勤通学</t>
        </is>
      </c>
      <c r="F309" s="8" t="n">
        <v>5</v>
      </c>
      <c r="G309" s="8" t="n">
        <v>5</v>
      </c>
      <c r="H309" s="8" t="n">
        <v>5</v>
      </c>
      <c r="I309" s="8" t="n">
        <v>5</v>
      </c>
      <c r="J309" s="8" t="n">
        <v>3</v>
      </c>
      <c r="K309" s="8" t="n">
        <v>5</v>
      </c>
      <c r="L309" s="8" t="inlineStr">
        <is>
          <t>重たくてデカい割に良い</t>
        </is>
      </c>
      <c r="M309" s="14" t="inlineStr">
        <is>
          <t>ハイエースナローからの乗り換えなので、雲泥の差。エンジン音は、グランエースを知らない人が3列目に乗ると「え？ディーゼル？」と言うほど静か。安全性能も高くて、何より乗ってる人に不満が出ない。</t>
        </is>
      </c>
      <c r="N309" s="14" t="inlineStr">
        <is>
          <t>前席のアームレストがない。 助手席オットマン欲しかった。</t>
        </is>
      </c>
      <c r="O309" s="14" t="inlineStr">
        <is>
          <t>控えめに言ってめちゃくちゃ良い！</t>
        </is>
      </c>
      <c r="P309" s="8" t="inlineStr">
        <is>
          <t>https://minkara.carview.co.jp/car/toyota/granace/review/detail.aspx?cid=322709</t>
        </is>
      </c>
    </row>
    <row r="310">
      <c r="A310" s="13" t="inlineStr">
        <is>
          <t>グランエース</t>
        </is>
      </c>
      <c r="B310" s="13" t="n">
        <v>2019</v>
      </c>
      <c r="C310" s="13" t="inlineStr">
        <is>
          <t>プレミアム_6人乗り(AT_2.8)</t>
        </is>
      </c>
      <c r="D310" s="13" t="inlineStr">
        <is>
          <t>2022年1月5日</t>
        </is>
      </c>
      <c r="E310" s="13" t="inlineStr">
        <is>
          <t>レジャー</t>
        </is>
      </c>
      <c r="F310" s="13" t="n">
        <v>2</v>
      </c>
      <c r="G310" s="13" t="n">
        <v>2</v>
      </c>
      <c r="H310" s="13" t="n">
        <v>2</v>
      </c>
      <c r="I310" s="13" t="n">
        <v>3</v>
      </c>
      <c r="J310" s="13" t="n">
        <v>2</v>
      </c>
      <c r="K310" s="13" t="n">
        <v>1</v>
      </c>
      <c r="L310" s="13" t="inlineStr">
        <is>
          <t>コミュニティバスみたい</t>
        </is>
      </c>
      <c r="M310" s="14" t="inlineStr">
        <is>
          <t>遠くの田舎へ家族で移動するため、ワンボックスを乗り継いできました。前車のメルセデスのVは新車からトラブル続きで今度は安心して乗れる車と思い、トヨタで同じ大きさがあり迷わず安心のトヨタにしました・広い道をまっすぐ走るには快適です。真夏の炎天下の渋滞でもエアコンは効きました。</t>
        </is>
      </c>
      <c r="N310" s="14" t="inlineStr">
        <is>
          <t>業務用ベース車のようなトラック的な操作部分はカタログの画像に写ってなく納車されてあまりにレトロ的でがっかりですが（装備表には小さく記載ありましがた。。）ある意味故障もなさそうと思えば納得です。運転席、助手席は疲れるシートです。（だいぶ前に乗ったグランドハイエースは良かった思い出が）サスが柔らかく高速でのコーナが怖く、走行音やエンジン音がうるさいです。 街乗りはしませんが駐車に困ります・</t>
        </is>
      </c>
      <c r="O310" s="14" t="inlineStr">
        <is>
          <t>送迎用にできた車なようで、送迎用で後ろに乗る分には快適なようです。田舎までの１３００キロの送迎目的には後ろに乗る家族にはクリアなようです。</t>
        </is>
      </c>
      <c r="P310" s="13" t="inlineStr">
        <is>
          <t>https://minkara.carview.co.jp/car/toyota/granace/review/detail.aspx?cid=319161</t>
        </is>
      </c>
    </row>
    <row r="311">
      <c r="A311" s="8" t="inlineStr">
        <is>
          <t>グランエース</t>
        </is>
      </c>
      <c r="B311" s="8" t="n">
        <v>2019</v>
      </c>
      <c r="C311" s="8" t="inlineStr">
        <is>
          <t>プレミアム_6人乗り(AT_2.8)</t>
        </is>
      </c>
      <c r="D311" s="8" t="inlineStr">
        <is>
          <t>2021年3月1日</t>
        </is>
      </c>
      <c r="E311" s="8" t="inlineStr">
        <is>
          <t>レジャー</t>
        </is>
      </c>
      <c r="F311" s="8" t="n">
        <v>5</v>
      </c>
      <c r="G311" s="8" t="n">
        <v>4</v>
      </c>
      <c r="H311" s="8" t="n">
        <v>4</v>
      </c>
      <c r="I311" s="8" t="n">
        <v>4</v>
      </c>
      <c r="J311" s="8" t="n">
        <v>4</v>
      </c>
      <c r="K311" s="8" t="n">
        <v>3</v>
      </c>
      <c r="L311" s="8" t="inlineStr">
        <is>
          <t>でかい</t>
        </is>
      </c>
      <c r="M311" s="14" t="inlineStr">
        <is>
          <t>でかいところ</t>
        </is>
      </c>
      <c r="N311" s="14" t="inlineStr">
        <is>
          <t>でかすぎるところ</t>
        </is>
      </c>
      <c r="O311" s="14" t="inlineStr">
        <is>
          <t>同じエンジンのプラドより確実に速いです。 低速も高速域での加速も。 取り回しも全く問題なし。 ほぼ同じ車幅のランクル200より全然運転しやすいです！ とてもよいクルマですね！</t>
        </is>
      </c>
      <c r="P311" s="8" t="inlineStr">
        <is>
          <t>https://minkara.carview.co.jp/car/toyota/granace/review/detail.aspx?cid=284816</t>
        </is>
      </c>
    </row>
    <row r="312">
      <c r="A312" s="13" t="inlineStr">
        <is>
          <t>グランエース</t>
        </is>
      </c>
      <c r="B312" s="13" t="n">
        <v>2019</v>
      </c>
      <c r="C312" s="13" t="inlineStr">
        <is>
          <t>プレミアム_6人乗り(AT_2.8)</t>
        </is>
      </c>
      <c r="D312" s="13" t="inlineStr">
        <is>
          <t>2020年3月9日</t>
        </is>
      </c>
      <c r="E312" s="13" t="inlineStr">
        <is>
          <t>その他</t>
        </is>
      </c>
      <c r="F312" s="13" t="n">
        <v>5</v>
      </c>
      <c r="G312" s="13" t="n"/>
      <c r="H312" s="13" t="n"/>
      <c r="I312" s="13" t="n"/>
      <c r="J312" s="13" t="n"/>
      <c r="K312" s="13" t="n"/>
      <c r="L312" s="13" t="inlineStr">
        <is>
          <t>トヨタ 巨大ミニバン『グランエース』に乗ってみた(・ω・)ノ</t>
        </is>
      </c>
      <c r="M312" s="14" t="inlineStr">
        <is>
          <t>走行性能や乗り心地のところでも記載しましたが、やはり車体の大きさ、重さを感じさせない走りですね!(^^)! ストレスを感じることがなく、コーナーを曲がる時にも安定しているので、全長が5m以上もあるクルマだということを忘れてしまいそうです！( *´艸｀) ルームミラーには「デジタルインナーミラー」を採用。 車内が乗員や荷物で満たされた状態でも良好な後方視界を得る事ができます。 大きいドアミラーとデジタルルームミラーのおかげで、周囲の状況もつかみやすかったです！(*^^*) また、静粛性もよく、車内にいればディーゼルっぽさもそれほど感じませんでした。 運転席に乗っていて･･･ですから、後席ならさらにディーゼル感は感じないでしょうね！</t>
        </is>
      </c>
      <c r="N312" s="14" t="inlineStr">
        <is>
          <t>FRレイアウトであるため仕方がないですが、フロアが若干高く、ステップを利用しての乗降となります。 １段目のステップの高さが結構高いので、幼いお子さんやお年寄りは乗りづらいかもしれませんね。。</t>
        </is>
      </c>
      <c r="O312" s="14" t="inlineStr">
        <is>
          <t>『おもてなし』として送迎をするという、今までになかったジャンルにトヨタはグランエースを投入しました！ VIPをはじめとするショーファー用として、また高級リゾートなどの送迎用として、少数のお客様を大切に運ぶための車！ 調べてみると、こうした送迎には今までメルセデス・ベンツのVクラスなどが用いられていたようですが、この車両をグランエースにスイッチしてもらうことが導入の目的･･･という記事もありました！ 実際、現在の受注状況は法人が7割を占めているとか。 と言いつつも、もちろん個人で購入する方もいらっしゃるでしょう！(*^^*) 運転を楽しむ！というよりは、後ろの席でゆったりとくつろぐ！というのが本来この車のあるべき姿でしょうね！(#^.^#) ご家族想いのお父さんはグランエース買って家族旅行！なんてのもイイかもですね！( *´艸｀)(笑) 国内でも人気の高いミニバンのラインナップに、ちょっと違うジャンルとして新たに加わったグランエース！ 誰かこれで毎日会社まで送迎してくれないかなぁ･･･あっ！心の声が･･･(￣▽￣)(笑) 東京オリンピックではVIPの送迎等に頻繁に使用されるんでしょうね！(*ﾟ∀ﾟ)(ﾟ∀ﾟ*) 弊社のふぅちんが試乗、内装の紹介をしている動画もありますので、良かったらそちらもご覧くださいね！(*^^*) ↓ ↓ ↓ ↓ ★☆★☆★☆★☆★☆★☆★☆★☆★☆★☆★☆★☆★☆★☆★☆★☆★☆★☆★☆ 専用設計されたトヨタ グランエース用のカーマットをご購入の際は、是非ともFJ CRAFTの商品をご検討ください！(*´▽｀*) 【楽天市場】→ トヨタ グランエース 商品一覧 【ヤフーショッピング】→ トヨタ グランエース 商品一覧 ★マット選びに悩んだら → 失敗しないカーマット選び ★マットの生地でお悩みの方は → 無料生地サンプル請求 ★☆★☆★☆★☆★☆★☆★☆★☆★☆★☆★☆★☆★☆★☆★☆★☆★☆★☆★☆</t>
        </is>
      </c>
      <c r="P312" s="13" t="inlineStr">
        <is>
          <t>https://minkara.carview.co.jp/car/toyota/granace/review/detail.aspx?cid=253568</t>
        </is>
      </c>
    </row>
  </sheetData>
  <autoFilter ref="A1:P31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34"/>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4" customWidth="1" min="3" max="3"/>
    <col width="12" customWidth="1" min="4" max="4"/>
    <col width="16" customWidth="1" min="5" max="5"/>
    <col width="24" customWidth="1" min="6" max="6"/>
    <col width="18" customWidth="1" min="7" max="7"/>
    <col width="18" customWidth="1" min="8" max="8"/>
    <col width="34" customWidth="1" min="9" max="9"/>
    <col width="34" customWidth="1" min="10" max="10"/>
  </cols>
  <sheetData>
    <row r="1" ht="32" customHeight="1">
      <c r="A1" s="7" t="inlineStr">
        <is>
          <t>車種</t>
        </is>
      </c>
      <c r="B1" s="7" t="inlineStr">
        <is>
          <t>世代</t>
        </is>
      </c>
      <c r="C1" s="7" t="inlineStr">
        <is>
          <t>不具合装置</t>
        </is>
      </c>
      <c r="D1" s="7" t="inlineStr">
        <is>
          <t>通報件数</t>
        </is>
      </c>
      <c r="E1" s="7" t="inlineStr">
        <is>
          <t>構成比(%)</t>
        </is>
      </c>
      <c r="F1" s="7" t="inlineStr">
        <is>
          <t>発生時の
中央走行距離(km)</t>
        </is>
      </c>
      <c r="G1" s="7" t="inlineStr">
        <is>
          <t>対象年式
最古</t>
        </is>
      </c>
      <c r="H1" s="7" t="inlineStr">
        <is>
          <t>対象年式
最新</t>
        </is>
      </c>
      <c r="I1" s="7" t="inlineStr">
        <is>
          <t>型式</t>
        </is>
      </c>
      <c r="J1" s="7" t="inlineStr">
        <is>
          <t>代表事例（直近3件）</t>
        </is>
      </c>
    </row>
    <row r="2">
      <c r="A2" s="13" t="inlineStr">
        <is>
          <t>アルファード</t>
        </is>
      </c>
      <c r="B2" s="13" t="inlineStr">
        <is>
          <t>（車種全体）</t>
        </is>
      </c>
      <c r="C2" s="13" t="inlineStr">
        <is>
          <t>車枠・車体</t>
        </is>
      </c>
      <c r="D2" s="15" t="n">
        <v>115</v>
      </c>
      <c r="E2" s="17" t="n">
        <v>22.1</v>
      </c>
      <c r="F2" s="15" t="n">
        <v>72000</v>
      </c>
      <c r="G2" s="13" t="n">
        <v>2002</v>
      </c>
      <c r="H2" s="13" t="n">
        <v>2024</v>
      </c>
      <c r="I2" s="14" t="inlineStr">
        <is>
          <t>-, 3BA-AGH30W, 6AA-AAHH40W, 6AA-AAHH45W, DAA-ATH20, DAA-ATH20W, DAA-AYH30W, DBA-AGH30W, DBA-ANH10W, DBA-ANH20E, DBA-ANH20W, DBA-ANH25, DBA-ANH25W, DBA-GGH20W, DBA-GGH25W, DBA-GGH30W, DBA-GGH35W, TA-MNH15W, UA-ANH10W, ZA-ATH10W, 不明</t>
        </is>
      </c>
      <c r="J2" s="14" t="inlineStr">
        <is>
          <t>[2026-03-31 DBA-GGH30W 2018/01 120000km] ボンネットモールディング取り付け部のほとんどが破損し、グラグラな状態になった。
[2026-03-29 DBA-GGH25W 2014/11 67767km] 高速道路を１００ｋｍ／ｈで走行時、フロントグリルのメッキパーツが走行時の風圧により脱落・飛翔した。
[2025-10-25 DBA-AGH30W 2017/04 174749km] ボンネットモールディングの樹脂取付部が破損し、外れた。</t>
        </is>
      </c>
    </row>
    <row r="3">
      <c r="A3" s="8" t="inlineStr">
        <is>
          <t>アルファード</t>
        </is>
      </c>
      <c r="B3" s="8" t="inlineStr">
        <is>
          <t>（車種全体）</t>
        </is>
      </c>
      <c r="C3" s="8" t="inlineStr">
        <is>
          <t>エンジン</t>
        </is>
      </c>
      <c r="D3" s="11" t="n">
        <v>111</v>
      </c>
      <c r="E3" s="9" t="n">
        <v>21.3</v>
      </c>
      <c r="F3" s="11" t="n">
        <v>83303</v>
      </c>
      <c r="G3" s="8" t="n">
        <v>2002</v>
      </c>
      <c r="H3" s="8" t="n">
        <v>2017</v>
      </c>
      <c r="I3" s="14" t="inlineStr">
        <is>
          <t>ANH20, CAA-ATH10W, CBA-AHN10W, CBA-ANH10W, CBA-ANH15W, CBA-NMH15W, DAA-ATH10W, DAA-ATH20W, DBA-ACR20W改, DBA-AGH30W, DBA-AGH35, DBA-ANH10W, DBA-ANH15W, DBA-ANH20W, DBA-ANH20W改, DBA-ANH25, DBA-ANH25W, DBA-GGH20W, TA-MNH10W, TA-MNH15W, UA-ANH10W, UA-ANH15W, ZA-ATH10W</t>
        </is>
      </c>
      <c r="J3"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t>
        </is>
      </c>
    </row>
    <row r="4">
      <c r="A4" s="13" t="inlineStr">
        <is>
          <t>アルファード</t>
        </is>
      </c>
      <c r="B4" s="13" t="inlineStr">
        <is>
          <t>（車種全体）</t>
        </is>
      </c>
      <c r="C4" s="13" t="inlineStr">
        <is>
          <t>乗車装置</t>
        </is>
      </c>
      <c r="D4" s="15" t="n">
        <v>62</v>
      </c>
      <c r="E4" s="17" t="n">
        <v>11.9</v>
      </c>
      <c r="F4" s="15" t="n">
        <v>60000</v>
      </c>
      <c r="G4" s="13" t="n">
        <v>2002</v>
      </c>
      <c r="H4" s="13" t="n">
        <v>2021</v>
      </c>
      <c r="I4" s="14" t="inlineStr">
        <is>
          <t>3BA-AGH35W, 6AA-AYH30W, ANH10W, CAA-ATH10W, CBA-ANH10W, CBA-ANH15W, DBA-AGH30W, DBA-AGH35W, DBA-ANH10W, DBA-ANH15W, DBA-ANH20W, DBA-ANH25W, DBA-GGH20W, TA-MNH10W, TA-MNH15, TA-MNH15W, UA-ANH10W, UA-ANH15W</t>
        </is>
      </c>
      <c r="J4" s="14" t="inlineStr">
        <is>
          <t>[2026-03-22 DBA-ANH20W 2009/05 125100km] 助手席側の自動ドアが上手く開閉しない。
[2025-06-03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t>
        </is>
      </c>
    </row>
    <row r="5">
      <c r="A5" s="8" t="inlineStr">
        <is>
          <t>アルファード</t>
        </is>
      </c>
      <c r="B5" s="8" t="inlineStr">
        <is>
          <t>（車種全体）</t>
        </is>
      </c>
      <c r="C5" s="8" t="inlineStr">
        <is>
          <t>動力伝達</t>
        </is>
      </c>
      <c r="D5" s="11" t="n">
        <v>56</v>
      </c>
      <c r="E5" s="9" t="n">
        <v>10.7</v>
      </c>
      <c r="F5" s="11" t="n">
        <v>70680</v>
      </c>
      <c r="G5" s="8" t="n">
        <v>2002</v>
      </c>
      <c r="H5" s="8" t="n">
        <v>2018</v>
      </c>
      <c r="I5" s="14" t="inlineStr">
        <is>
          <t>ATH10W, CAA-ATH10W, CBA-ANH10W, DAA-ATH10W, DAA-ATH20W, DBA-AGH30W, DBA-ANH10W, DBA-ANH15W, DBA-ANH20W, DBA-ANH20W改, DBA-ANH25W, DBA-GGH20W, DBA-GGH30W, DBA-GGH35W, TA-MNH10W, UA-ANH10W, ZA-ATH10W</t>
        </is>
      </c>
      <c r="J5"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6">
      <c r="A6" s="13" t="inlineStr">
        <is>
          <t>アルファード</t>
        </is>
      </c>
      <c r="B6" s="13" t="inlineStr">
        <is>
          <t>（車種全体）</t>
        </is>
      </c>
      <c r="C6" s="13" t="inlineStr">
        <is>
          <t>電動機(モーター)</t>
        </is>
      </c>
      <c r="D6" s="15" t="n">
        <v>51</v>
      </c>
      <c r="E6" s="17" t="n">
        <v>9.800000000000001</v>
      </c>
      <c r="F6" s="15" t="n">
        <v>120000</v>
      </c>
      <c r="G6" s="13" t="n">
        <v>2000</v>
      </c>
      <c r="H6" s="13" t="n">
        <v>2021</v>
      </c>
      <c r="I6" s="14" t="inlineStr">
        <is>
          <t>6AA-AYH30W, ATH10W-PR-G, CAA-ATH10, CAA-ATH10W, DAA-ATH10W, DAA-ATH20W, ZA-ATH10, ZA-ATH10W</t>
        </is>
      </c>
      <c r="J6" s="14" t="inlineStr">
        <is>
          <t>[2025-06-03 6AA-AYH30W 2021/06 150000km] ハイブリッド異常が出て、エンジンがかからなくなった。
[2021-07-14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t>
        </is>
      </c>
    </row>
    <row r="7">
      <c r="A7" s="8" t="inlineStr">
        <is>
          <t>アルファード</t>
        </is>
      </c>
      <c r="B7" s="8" t="inlineStr">
        <is>
          <t>（車種全体）</t>
        </is>
      </c>
      <c r="C7" s="8" t="inlineStr">
        <is>
          <t>制動装置</t>
        </is>
      </c>
      <c r="D7" s="11" t="n">
        <v>25</v>
      </c>
      <c r="E7" s="9" t="n">
        <v>4.8</v>
      </c>
      <c r="F7" s="11" t="n">
        <v>71000</v>
      </c>
      <c r="G7" s="8" t="n">
        <v>2003</v>
      </c>
      <c r="H7" s="8" t="n">
        <v>2025</v>
      </c>
      <c r="I7" s="14" t="inlineStr">
        <is>
          <t>6AA-AAHH40W, CAA-ATH10W, CBA-ANH15W, DAA-ATH10W, DAA-ATH20W, DAA-AYH30W, DBA-AGH30W, DBA-AGH35, DBA-AGH35W, DBA-ANH10W, DBA-ANH15W, TA-MNH10W, TA-MNH15W, UA-ANH10, ZA-ATH10W</t>
        </is>
      </c>
      <c r="J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
[2024-06-03 DAA-AYH30W 2018/05 38100km] 運転中に飛び出し事案が有った際に衝突被害軽減ブレーキが作動しなかった。【ＡＳＶ検索対象】</t>
        </is>
      </c>
    </row>
    <row r="8">
      <c r="A8" s="13" t="inlineStr">
        <is>
          <t>アルファード</t>
        </is>
      </c>
      <c r="B8" s="13" t="inlineStr">
        <is>
          <t>（車種全体）</t>
        </is>
      </c>
      <c r="C8" s="13" t="inlineStr">
        <is>
          <t>その他</t>
        </is>
      </c>
      <c r="D8" s="15" t="n">
        <v>23</v>
      </c>
      <c r="E8" s="17" t="n">
        <v>4.4</v>
      </c>
      <c r="F8" s="15" t="n">
        <v>101200</v>
      </c>
      <c r="G8" s="13" t="n">
        <v>2003</v>
      </c>
      <c r="H8" s="13" t="n">
        <v>2025</v>
      </c>
      <c r="I8" s="14" t="inlineStr">
        <is>
          <t>3BA-AGH30W, 3BA-AGH40W, 6AA-AAHH40W, 6AA-AAHH45W, 6AA-AYH30W, CAA-ATH10W, CBA-ANH10W, DAA-ATH20, DAA-ATH20W, DAA-AYH30W, DBA-AGH30W, DBA-AGH35W, DBA-AHN10W, TA-MNH10W, ZA-ATH10W</t>
        </is>
      </c>
      <c r="J8"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9">
      <c r="A9" s="8" t="inlineStr">
        <is>
          <t>アルファード</t>
        </is>
      </c>
      <c r="B9" s="8" t="inlineStr">
        <is>
          <t>（車種全体）</t>
        </is>
      </c>
      <c r="C9" s="8" t="inlineStr">
        <is>
          <t>保安灯火</t>
        </is>
      </c>
      <c r="D9" s="11" t="n">
        <v>23</v>
      </c>
      <c r="E9" s="9" t="n">
        <v>4.4</v>
      </c>
      <c r="F9" s="11" t="n">
        <v>53000</v>
      </c>
      <c r="G9" s="8" t="n">
        <v>2003</v>
      </c>
      <c r="H9" s="8" t="n">
        <v>2023</v>
      </c>
      <c r="I9" s="14" t="inlineStr">
        <is>
          <t>3BA-AGH30W, 3BA-AGH35W, CAA-ATH10W, CBA-ANH10W, CBA-MNH10W, DBA-AGH35W, DBA-ANH10W, DBA-ANH20W, DBA-ANH25W, MNH10W, TA-MNH10W, TA-MNH15W</t>
        </is>
      </c>
      <c r="J9"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10">
      <c r="A10" s="13" t="inlineStr">
        <is>
          <t>アルファード</t>
        </is>
      </c>
      <c r="B10" s="13" t="inlineStr">
        <is>
          <t>（車種全体）</t>
        </is>
      </c>
      <c r="C10" s="13" t="inlineStr">
        <is>
          <t>かじ取り</t>
        </is>
      </c>
      <c r="D10" s="15" t="n">
        <v>21</v>
      </c>
      <c r="E10" s="17" t="n">
        <v>4</v>
      </c>
      <c r="F10" s="15" t="n">
        <v>75000</v>
      </c>
      <c r="G10" s="13" t="n">
        <v>2002</v>
      </c>
      <c r="H10" s="13" t="n">
        <v>2025</v>
      </c>
      <c r="I10" s="14" t="inlineStr">
        <is>
          <t>3BA-AGH30W, 3BA-AGH40W, 3BA-AGH45W, AGH30W, CBA-ANH10W, DBA-AGH30W, DBA-ANH10W, DBA-ANH20W, DBA-ANH25W, DBA-GGH20W, DBA-GGH25W, TA-MNH10W, TA-MNH15W, UA-ANH10W</t>
        </is>
      </c>
      <c r="J10"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
[2022-12-20 TA-MNH15W 2003/06 185612km] 交差点で曲がろうとした際にハンドルが固まって全く動かなくなった。ディーラーで調査の結果、ステアリングコラムブラケットの交換が行われた。</t>
        </is>
      </c>
    </row>
    <row r="11">
      <c r="A11" s="8" t="inlineStr">
        <is>
          <t>アルファード</t>
        </is>
      </c>
      <c r="B11" s="8" t="inlineStr">
        <is>
          <t>（車種全体）</t>
        </is>
      </c>
      <c r="C11" s="8" t="inlineStr">
        <is>
          <t>電気装置</t>
        </is>
      </c>
      <c r="D11" s="11" t="n">
        <v>12</v>
      </c>
      <c r="E11" s="9" t="n">
        <v>2.3</v>
      </c>
      <c r="F11" s="11" t="n">
        <v>82000</v>
      </c>
      <c r="G11" s="8" t="n">
        <v>2003</v>
      </c>
      <c r="H11" s="8" t="n">
        <v>2023</v>
      </c>
      <c r="I11" s="14" t="inlineStr">
        <is>
          <t>3BA-AGH30W, 6AA-AAHH45W, CAA-ATH10W, CBA-ANH10W, DAA-ATH20W, DBA-AGH30W, DBA-ANH15W, DBA-ANH20W, ZA-ATH10W</t>
        </is>
      </c>
      <c r="J11"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[2024-11-30 6AA-AAHH45W 2023/08 ?km] 補機バッテリーが上がった。
[2024-11-20 6AA-AAHH45W 2023/11 ?km] １週間ほど停車しておくとバッテリーが上がる。</t>
        </is>
      </c>
    </row>
    <row r="12">
      <c r="A12" s="13" t="inlineStr">
        <is>
          <t>アルファード</t>
        </is>
      </c>
      <c r="B12" s="13" t="inlineStr">
        <is>
          <t>（車種全体）</t>
        </is>
      </c>
      <c r="C12" s="13" t="inlineStr">
        <is>
          <t>排ｶﾞｽ･騒音</t>
        </is>
      </c>
      <c r="D12" s="15" t="n">
        <v>10</v>
      </c>
      <c r="E12" s="17" t="n">
        <v>1.9</v>
      </c>
      <c r="F12" s="15" t="n">
        <v>76600</v>
      </c>
      <c r="G12" s="13" t="n">
        <v>2002</v>
      </c>
      <c r="H12" s="13" t="n">
        <v>2007</v>
      </c>
      <c r="I12" s="14" t="inlineStr">
        <is>
          <t>CAA-ATH10W, CBA-ANH10W, CBA-ANH15W, CBA-MNH10W, TA-MNH15W, UA-ANH10W, UA-ANH15W</t>
        </is>
      </c>
      <c r="J12"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13">
      <c r="A13" s="8" t="inlineStr">
        <is>
          <t>アルファード</t>
        </is>
      </c>
      <c r="B13" s="8" t="inlineStr">
        <is>
          <t>（車種全体）</t>
        </is>
      </c>
      <c r="C13" s="8" t="inlineStr">
        <is>
          <t>走行装置</t>
        </is>
      </c>
      <c r="D13" s="11" t="n">
        <v>7</v>
      </c>
      <c r="E13" s="9" t="n">
        <v>1.3</v>
      </c>
      <c r="F13" s="11" t="n">
        <v>60000</v>
      </c>
      <c r="G13" s="8" t="n">
        <v>2005</v>
      </c>
      <c r="H13" s="8" t="n">
        <v>2024</v>
      </c>
      <c r="I13" s="14" t="inlineStr">
        <is>
          <t>3BA-AGH40W, CAA-ATH10W, DAA-ATH10W, DBA-ANH10W, DBA-ANH25, TA-MNH15W</t>
        </is>
      </c>
      <c r="J13"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
[2021-06-07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
[2017-09-08 DBA-ANH10W 2007/05 70000km] ７００００ｋｍ程度の走行距離であるにも関わらず、左前輪のベアリングから異音が出るようになった。</t>
        </is>
      </c>
    </row>
    <row r="14">
      <c r="A14" s="13" t="inlineStr">
        <is>
          <t>アルファード</t>
        </is>
      </c>
      <c r="B14" s="13" t="inlineStr">
        <is>
          <t>（車種全体）</t>
        </is>
      </c>
      <c r="C14" s="13" t="inlineStr">
        <is>
          <t>燃料装置</t>
        </is>
      </c>
      <c r="D14" s="15" t="n">
        <v>4</v>
      </c>
      <c r="E14" s="17" t="n">
        <v>0.8</v>
      </c>
      <c r="F14" s="15" t="n">
        <v>210000</v>
      </c>
      <c r="G14" s="13" t="n">
        <v>2003</v>
      </c>
      <c r="H14" s="13" t="n">
        <v>2011</v>
      </c>
      <c r="I14" s="14" t="inlineStr">
        <is>
          <t>CBA-ANH10W, DBA-ANH10W, DBA-GGH25W, UA-ANH15W</t>
        </is>
      </c>
      <c r="J14"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
[2020-06-21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t>
        </is>
      </c>
    </row>
    <row r="15">
      <c r="A15" s="8" t="inlineStr">
        <is>
          <t>アルファード</t>
        </is>
      </c>
      <c r="B15" s="8" t="inlineStr">
        <is>
          <t>（車種全体）</t>
        </is>
      </c>
      <c r="C15" s="8" t="inlineStr">
        <is>
          <t>緩衝装置</t>
        </is>
      </c>
      <c r="D15" s="11" t="n">
        <v>1</v>
      </c>
      <c r="E15" s="9" t="n">
        <v>0.2</v>
      </c>
      <c r="F15" s="11" t="n">
        <v>33000</v>
      </c>
      <c r="G15" s="8" t="n"/>
      <c r="H15" s="8" t="n"/>
      <c r="I15" s="14" t="inlineStr">
        <is>
          <t>TA-MNH10W</t>
        </is>
      </c>
      <c r="J15" s="14" t="inlineStr">
        <is>
          <t>[2008-01-21 TA-MNH10W  33000km] 車高調整式サスペンションのスプリング部分が、錆の影響により折損した。</t>
        </is>
      </c>
    </row>
    <row r="16">
      <c r="A16" s="13" t="inlineStr">
        <is>
          <t>アルファード</t>
        </is>
      </c>
      <c r="B16" s="13" t="inlineStr">
        <is>
          <t>20系</t>
        </is>
      </c>
      <c r="C16" s="13" t="inlineStr">
        <is>
          <t>車枠・車体</t>
        </is>
      </c>
      <c r="D16" s="15" t="n">
        <v>83</v>
      </c>
      <c r="E16" s="17" t="n">
        <v>51.2</v>
      </c>
      <c r="F16" s="15" t="n">
        <v>77500</v>
      </c>
      <c r="G16" s="13" t="n">
        <v>2008</v>
      </c>
      <c r="H16" s="13" t="n">
        <v>2014</v>
      </c>
      <c r="I16" s="14" t="inlineStr">
        <is>
          <t>DAA-ATH20, DAA-ATH20W, DBA-ANH20E, DBA-ANH20W, DBA-ANH25, DBA-ANH25W, DBA-GGH20W, DBA-GGH25W</t>
        </is>
      </c>
      <c r="J16" s="14" t="inlineStr">
        <is>
          <t>[2026-03-29 DBA-GGH25W 2014/11 67767km] 高速道路を１００ｋｍ／ｈで走行時、フロントグリルのメッキパーツが走行時の風圧により脱落・飛翔した。
[2024-11-07 DBA-ANH20W 2010/03 132800km] 車体天面の塗装に浮きが発生している。
[2024-08-13 DBA-GGH20W 2010/02 97000km] ホワイトパール色塗装の車で、ピラー部の塗装が剥離した。</t>
        </is>
      </c>
    </row>
    <row r="17">
      <c r="A17" s="8" t="inlineStr">
        <is>
          <t>アルファード</t>
        </is>
      </c>
      <c r="B17" s="8" t="inlineStr">
        <is>
          <t>20系</t>
        </is>
      </c>
      <c r="C17" s="8" t="inlineStr">
        <is>
          <t>エンジン</t>
        </is>
      </c>
      <c r="D17" s="11" t="n">
        <v>40</v>
      </c>
      <c r="E17" s="9" t="n">
        <v>24.7</v>
      </c>
      <c r="F17" s="11" t="n">
        <v>82000</v>
      </c>
      <c r="G17" s="8" t="n">
        <v>2008</v>
      </c>
      <c r="H17" s="8" t="n">
        <v>2014</v>
      </c>
      <c r="I17" s="14" t="inlineStr">
        <is>
          <t>DAA-ATH20W, DBA-ACR20W改, DBA-ANH20W, DBA-ANH20W改, DBA-ANH25, DBA-ANH25W, DBA-GGH20W</t>
        </is>
      </c>
      <c r="J17" s="14" t="inlineStr">
        <is>
          <t>[2023-11-05 DBA-ANH20W 2011/03 128000km] エンジンからガラガラ音がし、信号で停止したらエンジンが停止し、エンジンランプとオイルランプが点灯した。整備工場でバランスシャフトのギアが削れ、その破片がオイルストレーナに詰まり、オイルが吸い上げられなくなり、エンジンブローをおこしたと診断された。
[2022-10-03 DBA-ANH20W 2014/03 180000km] エンジンから異音がし、販売店に申告したところ、オイルを補充が行われ、使用を再開したが、補充から２日後の高速運転中にオイル警告灯が点灯し、そこから１ｋｍも走らないうちにエンジンが焼き付き、走行不能になった。
[2022-09-21 DBA-ANH20W 2011/09 101800km] 車検でエンジンオイルの減りが早い事が分かった。</t>
        </is>
      </c>
    </row>
    <row r="18">
      <c r="A18" s="13" t="inlineStr">
        <is>
          <t>アルファード</t>
        </is>
      </c>
      <c r="B18" s="13" t="inlineStr">
        <is>
          <t>20系</t>
        </is>
      </c>
      <c r="C18" s="13" t="inlineStr">
        <is>
          <t>動力伝達</t>
        </is>
      </c>
      <c r="D18" s="15" t="n">
        <v>12</v>
      </c>
      <c r="E18" s="17" t="n">
        <v>7.4</v>
      </c>
      <c r="F18" s="15" t="n">
        <v>67000</v>
      </c>
      <c r="G18" s="13" t="n">
        <v>2008</v>
      </c>
      <c r="H18" s="13" t="n">
        <v>2013</v>
      </c>
      <c r="I18" s="14" t="inlineStr">
        <is>
          <t>DAA-ATH20W, DBA-ANH20W, DBA-ANH20W改, DBA-ANH25W, DBA-GGH20W</t>
        </is>
      </c>
      <c r="J18" s="14" t="inlineStr">
        <is>
          <t>[2019-08-22 DBA-ANH25W 2009/10 80369km] エレクトロマグネチックＣＴＬカップリングの損傷により、車をバックさせて駐車しようとしたときにタイヤの切り返しがスムーズ行かず、ゴトゴトと音がして車がバックできなかった。
[2019-06-10 DBA-ANH20W 2010/12 65000km] 変速機の不良により、信号待ち停止から発進するときに小突かれたようなショックが出るようになった。
[2019-05-27 DBA-ANH20W 2009/10 70000km] 坂道を上がる時、停止後、ブレーキペダルを離すと後ろに下がっていく。</t>
        </is>
      </c>
    </row>
    <row r="19">
      <c r="A19" s="8" t="inlineStr">
        <is>
          <t>アルファード</t>
        </is>
      </c>
      <c r="B19" s="8" t="inlineStr">
        <is>
          <t>20系</t>
        </is>
      </c>
      <c r="C19" s="8" t="inlineStr">
        <is>
          <t>かじ取り</t>
        </is>
      </c>
      <c r="D19" s="11" t="n">
        <v>8</v>
      </c>
      <c r="E19" s="9" t="n">
        <v>4.9</v>
      </c>
      <c r="F19" s="11" t="n">
        <v>75000</v>
      </c>
      <c r="G19" s="8" t="n">
        <v>2008</v>
      </c>
      <c r="H19" s="8" t="n">
        <v>2014</v>
      </c>
      <c r="I19" s="14" t="inlineStr">
        <is>
          <t>DBA-ANH20W, DBA-ANH25W, DBA-GGH20W, DBA-GGH25W</t>
        </is>
      </c>
      <c r="J19" s="14" t="inlineStr">
        <is>
          <t>[2019-12-18 DBA-ANH25W 2014/07 120000km] ハンドルからコトコト音がする。
[2017-10-11 DBA-GGH25W 2009/09 86300km] ハンドルを軽く左右に揺すると、運転席足元からコトコトと音がする。
[2017-09-08 DBA-ANH25W 2010/04 75000km] ステアリングシャフトの不良により、段差を乗り越えたときなどにハンドルが著しくガタつくようになった。</t>
        </is>
      </c>
    </row>
    <row r="20">
      <c r="A20" s="13" t="inlineStr">
        <is>
          <t>アルファード</t>
        </is>
      </c>
      <c r="B20" s="13" t="inlineStr">
        <is>
          <t>20系</t>
        </is>
      </c>
      <c r="C20" s="13" t="inlineStr">
        <is>
          <t>乗車装置</t>
        </is>
      </c>
      <c r="D20" s="15" t="n">
        <v>7</v>
      </c>
      <c r="E20" s="17" t="n">
        <v>4.3</v>
      </c>
      <c r="F20" s="15" t="n">
        <v>82000</v>
      </c>
      <c r="G20" s="13" t="n">
        <v>2008</v>
      </c>
      <c r="H20" s="13" t="n">
        <v>2013</v>
      </c>
      <c r="I20" s="14" t="inlineStr">
        <is>
          <t>DBA-ANH20W, DBA-ANH25W, DBA-GGH20W</t>
        </is>
      </c>
      <c r="J20" s="14" t="inlineStr">
        <is>
          <t>[2026-03-22 DBA-ANH20W 2009/05 125100km] 助手席側の自動ドアが上手く開閉しない。
[2020-06-24 DBA-ANH25W 2009/12 96500km] リモコンキーで開錠操作をすると、解除されるロックの音がするが、物理的にロックが解除されず、ドアが開かない。
[2017-10-25 DBA-ANH20W 2009/01 82000km] 自動スライドドアの作動が安定せず、開けている途中でガガガッという異音がしてスムーズに開閉しない。その後症状が悪化し、ある程度開いたところから、突然反転して閉まってくるようになった。</t>
        </is>
      </c>
    </row>
    <row r="21">
      <c r="A21" s="8" t="inlineStr">
        <is>
          <t>アルファード</t>
        </is>
      </c>
      <c r="B21" s="8" t="inlineStr">
        <is>
          <t>20系</t>
        </is>
      </c>
      <c r="C21" s="8" t="inlineStr">
        <is>
          <t>その他</t>
        </is>
      </c>
      <c r="D21" s="11" t="n">
        <v>2</v>
      </c>
      <c r="E21" s="9" t="n">
        <v>1.2</v>
      </c>
      <c r="F21" s="11" t="n">
        <v>81600</v>
      </c>
      <c r="G21" s="8" t="n">
        <v>2012</v>
      </c>
      <c r="H21" s="8" t="n">
        <v>2013</v>
      </c>
      <c r="I21" s="14" t="inlineStr">
        <is>
          <t>DAA-ATH20, DAA-ATH20W</t>
        </is>
      </c>
      <c r="J21" s="14" t="inlineStr">
        <is>
          <t>[2017-03-28 DAA-ATH20 2013/05 81600km] 後席用エアコンで暖房を使用する時、前席の設定温度が低いと後席の設定温度まで到達していないのにも関わらず、エンジンが停止するため、冷却水温度が上がらず寒い。
[2013-06-12 DAA-ATH20W 2012/03 12000km] メーターパネルの電源基板の不良により、高速道路を走行中に突然メーター表示が全て消えた。</t>
        </is>
      </c>
    </row>
    <row r="22">
      <c r="A22" s="13" t="inlineStr">
        <is>
          <t>アルファード</t>
        </is>
      </c>
      <c r="B22" s="13" t="inlineStr">
        <is>
          <t>20系</t>
        </is>
      </c>
      <c r="C22" s="13" t="inlineStr">
        <is>
          <t>保安灯火</t>
        </is>
      </c>
      <c r="D22" s="15" t="n">
        <v>2</v>
      </c>
      <c r="E22" s="17" t="n">
        <v>1.2</v>
      </c>
      <c r="F22" s="15" t="n">
        <v>135000</v>
      </c>
      <c r="G22" s="13" t="n">
        <v>2009</v>
      </c>
      <c r="H22" s="13" t="n">
        <v>2011</v>
      </c>
      <c r="I22" s="14" t="inlineStr">
        <is>
          <t>DBA-ANH20W, DBA-ANH25W</t>
        </is>
      </c>
      <c r="J22" s="14" t="inlineStr">
        <is>
          <t>[2019-06-25 DBA-ANH20W 2011/11 24278km] サンルーフのウェザーストリップの劣化による水漏れにより、ワイヤーハーネス及びジャンクションコネクターに不具合が発生したため、エンジンを切り駐車していた車のバックランプが点いたままになり、エンジンをかけたらシフトがＰレンジに入っているにも関わらずＲが点いたままでプープーとバックする時の音がずっとしている症状が発生した。
[2015-05-16 DBA-ANH25W 2009/08 135000km] フロントガラスの下側左右のゴムが折れて剥がれた。</t>
        </is>
      </c>
    </row>
    <row r="23">
      <c r="A23" s="8" t="inlineStr">
        <is>
          <t>アルファード</t>
        </is>
      </c>
      <c r="B23" s="8" t="inlineStr">
        <is>
          <t>20系</t>
        </is>
      </c>
      <c r="C23" s="8" t="inlineStr">
        <is>
          <t>制動装置</t>
        </is>
      </c>
      <c r="D23" s="11" t="n">
        <v>2</v>
      </c>
      <c r="E23" s="9" t="n">
        <v>1.2</v>
      </c>
      <c r="F23" s="11" t="n">
        <v>180000</v>
      </c>
      <c r="G23" s="8" t="n">
        <v>2013</v>
      </c>
      <c r="H23" s="8" t="n">
        <v>2013</v>
      </c>
      <c r="I23" s="14" t="inlineStr">
        <is>
          <t>DAA-ATH20W</t>
        </is>
      </c>
      <c r="J23" s="14" t="inlineStr">
        <is>
          <t>[2022-09-19 DAA-ATH20W 2013/01 180000km] 高速道路走行中、突然メーターパネルの警告ランプと「ハイブリッドシステムエラーです安全な場所に停車してください」と表示され、避難するためブレーキペダルを踏んだが全く効かず、車線変更をして惰性で路肩に停車した。車線変更の際、車のコントロールがうまくできず、メーターパネルには「４ＷＤ」と表示されていた。路肩でしばらくエンジンを入り切り繰り返すうちに、エラー表示が解除されブレーキも復帰したため、ゆっくりと高速を降り、最寄りのディーラーへ持ち込んだ。
[2017-12-27 DAA-ATH20W 2013/05 93000km] 気温が高くなると、ブレーキ用油圧ポンプの作動音が非常に大きくなる。</t>
        </is>
      </c>
    </row>
    <row r="24">
      <c r="A24" s="13" t="inlineStr">
        <is>
          <t>アルファード</t>
        </is>
      </c>
      <c r="B24" s="13" t="inlineStr">
        <is>
          <t>20系</t>
        </is>
      </c>
      <c r="C24" s="13" t="inlineStr">
        <is>
          <t>電動機(モーター)</t>
        </is>
      </c>
      <c r="D24" s="15" t="n">
        <v>2</v>
      </c>
      <c r="E24" s="17" t="n">
        <v>1.2</v>
      </c>
      <c r="F24" s="15" t="n">
        <v>148000</v>
      </c>
      <c r="G24" s="13" t="n">
        <v>2012</v>
      </c>
      <c r="H24" s="13" t="n">
        <v>2013</v>
      </c>
      <c r="I24" s="14" t="inlineStr">
        <is>
          <t>DAA-ATH20W</t>
        </is>
      </c>
      <c r="J24" s="14" t="inlineStr">
        <is>
          <t>[2017-07-26 DAA-ATH20W 2012/04 148000km] ハイブリッドインバーターの不良により、一般道を走行中にハイブリッド警告灯が点灯するとともに加速できなくなり、惰性で路肩に流れ着いた。その後何回かイグニッションスイッチをオンオフして５分位で始動したが、後日エンジンが始動出来なくなった。
[2017-01-25 DAA-ATH20W 2013/05 79000km] 朝にハイブリッドシステムを始動したところ、エンジン始動に３回失敗し、ハイブリッドシステムチェックと表示された。</t>
        </is>
      </c>
    </row>
    <row r="25">
      <c r="A25" s="8" t="inlineStr">
        <is>
          <t>アルファード</t>
        </is>
      </c>
      <c r="B25" s="8" t="inlineStr">
        <is>
          <t>20系</t>
        </is>
      </c>
      <c r="C25" s="8" t="inlineStr">
        <is>
          <t>電気装置</t>
        </is>
      </c>
      <c r="D25" s="11" t="n">
        <v>2</v>
      </c>
      <c r="E25" s="9" t="n">
        <v>1.2</v>
      </c>
      <c r="F25" s="11" t="n">
        <v>82000</v>
      </c>
      <c r="G25" s="8" t="n">
        <v>2009</v>
      </c>
      <c r="H25" s="8" t="n">
        <v>2014</v>
      </c>
      <c r="I25" s="14" t="inlineStr">
        <is>
          <t>DAA-ATH20W, DBA-ANH20W</t>
        </is>
      </c>
      <c r="J25" s="14" t="inlineStr">
        <is>
          <t>[2022-08-31 DAA-ATH20W 2014/03 76701km] 国道の交差点で右折のため停車。対向車がなくなり発進したところ、カクンと言う振動とともに動力が無くなり惰性のみで進むようになる。エンジン・ＶＳＣ・ハイブリッド警告灯が点灯し、安全なところに停車して下さいと表示されるも、ハイブリッドシステムが起動せず走行不能となった。ディーラーに修理依頼したところ、インバータ付きコンバータＡＳＳＹ交換となった。
[2017-10-25 DBA-ANH20W 2009/01 82000km] オルタネーター（発電機）の不良により、夜間走行中に突然メーターなどの電装関係が点滅しはじめ、その後車両が失速をし、路肩に停車したところ、そのまま走行不能になった。</t>
        </is>
      </c>
    </row>
    <row r="26">
      <c r="A26" s="13" t="inlineStr">
        <is>
          <t>アルファード</t>
        </is>
      </c>
      <c r="B26" s="13" t="inlineStr">
        <is>
          <t>20系</t>
        </is>
      </c>
      <c r="C26" s="13" t="inlineStr">
        <is>
          <t>燃料装置</t>
        </is>
      </c>
      <c r="D26" s="15" t="n">
        <v>1</v>
      </c>
      <c r="E26" s="17" t="n">
        <v>0.6</v>
      </c>
      <c r="F26" s="15" t="n">
        <v>91700</v>
      </c>
      <c r="G26" s="13" t="n">
        <v>2011</v>
      </c>
      <c r="H26" s="13" t="n">
        <v>2011</v>
      </c>
      <c r="I26" s="14" t="inlineStr">
        <is>
          <t>DBA-GGH25W</t>
        </is>
      </c>
      <c r="J26" s="14" t="inlineStr">
        <is>
          <t>[2025-09-18 DBA-GGH25W 2011/01 91700km] エンジン警告灯が頻繁に点灯するようになり、高速走行中に加速せず、振動するようになった。検査の結果、燃料タンクの内側のアルミメッキが剥がれ、詰まったものと診断された。</t>
        </is>
      </c>
    </row>
    <row r="27">
      <c r="A27" s="8" t="inlineStr">
        <is>
          <t>アルファード</t>
        </is>
      </c>
      <c r="B27" s="8" t="inlineStr">
        <is>
          <t>20系</t>
        </is>
      </c>
      <c r="C27" s="8" t="inlineStr">
        <is>
          <t>走行装置</t>
        </is>
      </c>
      <c r="D27" s="11" t="n">
        <v>1</v>
      </c>
      <c r="E27" s="9" t="n">
        <v>0.6</v>
      </c>
      <c r="F27" s="11" t="n">
        <v>88600</v>
      </c>
      <c r="G27" s="8" t="n">
        <v>2010</v>
      </c>
      <c r="H27" s="8" t="n">
        <v>2010</v>
      </c>
      <c r="I27" s="14" t="inlineStr">
        <is>
          <t>DBA-ANH25</t>
        </is>
      </c>
      <c r="J27" s="14" t="inlineStr">
        <is>
          <t>[2021-06-07 DBA-ANH25 2010/04 88600km] 株式会社ジェイテクト製のハブベアリングを装着したところ、舗装路にて３００ｋｍ程度の走行にて著大ながたつきを生じ、異音を伴う。走行時にフロア振動が発生するとともカーブ走行時にはハンドルがとられるなど安定性が損なわれた。</t>
        </is>
      </c>
    </row>
    <row r="28">
      <c r="A28" s="13" t="inlineStr">
        <is>
          <t>アルファード</t>
        </is>
      </c>
      <c r="B28" s="13" t="inlineStr">
        <is>
          <t>30系前期</t>
        </is>
      </c>
      <c r="C28" s="13" t="inlineStr">
        <is>
          <t>車枠・車体</t>
        </is>
      </c>
      <c r="D28" s="15" t="n">
        <v>9</v>
      </c>
      <c r="E28" s="17" t="n">
        <v>31</v>
      </c>
      <c r="F28" s="15" t="n">
        <v>100000</v>
      </c>
      <c r="G28" s="13" t="n">
        <v>2015</v>
      </c>
      <c r="H28" s="13" t="n">
        <v>2017</v>
      </c>
      <c r="I28" s="14" t="inlineStr">
        <is>
          <t>DAA-AYH30W, DBA-AGH30W, DBA-ANH25W</t>
        </is>
      </c>
      <c r="J28" s="14" t="inlineStr">
        <is>
          <t>[2025-10-25 DBA-AGH30W 2017/04 174749km] ボンネットモールディングの樹脂取付部が破損し、外れた。
[2025-03-26 DBA-AGH30W 2016/07 56600km] 高速道路を走行中、ボンネットモールディングが飛んで行って、後続車に当たる事故になった。
[2025-01-26 DBA-AGH30W 2017/02 109000km] 走行中にボンネット先端のメッキ加飾パーツが脱落した。</t>
        </is>
      </c>
    </row>
    <row r="29">
      <c r="A29" s="8" t="inlineStr">
        <is>
          <t>アルファード</t>
        </is>
      </c>
      <c r="B29" s="8" t="inlineStr">
        <is>
          <t>30系前期</t>
        </is>
      </c>
      <c r="C29" s="8" t="inlineStr">
        <is>
          <t>動力伝達</t>
        </is>
      </c>
      <c r="D29" s="11" t="n">
        <v>7</v>
      </c>
      <c r="E29" s="9" t="n">
        <v>24.1</v>
      </c>
      <c r="F29" s="11" t="n">
        <v>70680</v>
      </c>
      <c r="G29" s="8" t="n">
        <v>2015</v>
      </c>
      <c r="H29" s="8" t="n">
        <v>2017</v>
      </c>
      <c r="I29" s="14" t="inlineStr">
        <is>
          <t>DBA-AGH30W</t>
        </is>
      </c>
      <c r="J29" s="14" t="inlineStr">
        <is>
          <t>[2026-02-09 DBA-AGH30W 2016/11 80000km] 走行中にシフトレバーからウイーンと異音がするようになった。整備工場で確認したところデフからの音で、解消するには交換が必要と診断された。
[2025-06-01 DBA-AGH30W 2016/10 57000km] ＣＶＴから異音がするようになった。ディーラーで確認した結果、トランスミッション内部のベアリングが壊れている可能性があり、交換が必要と診断された。
[2025-04-11 DBA-AGH30W 2015/10 46500km] 国道を走行中、アクセルペダルを踏み込んでもスカスカで加速できない症状が発生した。</t>
        </is>
      </c>
    </row>
    <row r="30">
      <c r="A30" s="13" t="inlineStr">
        <is>
          <t>アルファード</t>
        </is>
      </c>
      <c r="B30" s="13" t="inlineStr">
        <is>
          <t>30系前期</t>
        </is>
      </c>
      <c r="C30" s="13" t="inlineStr">
        <is>
          <t>制動装置</t>
        </is>
      </c>
      <c r="D30" s="15" t="n">
        <v>4</v>
      </c>
      <c r="E30" s="17" t="n">
        <v>13.8</v>
      </c>
      <c r="F30" s="15" t="n">
        <v>40000</v>
      </c>
      <c r="G30" s="13" t="n">
        <v>2015</v>
      </c>
      <c r="H30" s="13" t="n">
        <v>2017</v>
      </c>
      <c r="I30" s="14" t="inlineStr">
        <is>
          <t>DBA-AGH30W, DBA-AGH35, DBA-AGH35W</t>
        </is>
      </c>
      <c r="J30" s="14" t="inlineStr">
        <is>
          <t>[2021-10-06 DBA-AGH30W 2016/10 70000km] ３年目車検目前で高速道路で１１０ｋｍ／ｈ程で走行時に急ブレーキではない制動をした時にハンドルに振動が出るようになった。
[2020-10-05 DBA-AGH35 2015/07 40000km] ブレーキパットを押さえる金具の上部分が軟弱な金属のため、曲がってブレーキローターに干渉し、キーキーなるようになった。
[2018-10-07 DBA-AGH35W 2017/08 6141km] 電動パーキングをオートモードにしていても、エンジン始動時にオートモードが勝手にオフにされてしまう。電動パーキングブレーキのリコール（国４２６５）に関係無く発生している。</t>
        </is>
      </c>
    </row>
    <row r="31">
      <c r="A31" s="8" t="inlineStr">
        <is>
          <t>アルファード</t>
        </is>
      </c>
      <c r="B31" s="8" t="inlineStr">
        <is>
          <t>30系前期</t>
        </is>
      </c>
      <c r="C31" s="8" t="inlineStr">
        <is>
          <t>エンジン</t>
        </is>
      </c>
      <c r="D31" s="11" t="n">
        <v>3</v>
      </c>
      <c r="E31" s="9" t="n">
        <v>10.3</v>
      </c>
      <c r="F31" s="11" t="n">
        <v>15000</v>
      </c>
      <c r="G31" s="8" t="n">
        <v>2015</v>
      </c>
      <c r="H31" s="8" t="n">
        <v>2017</v>
      </c>
      <c r="I31" s="14" t="inlineStr">
        <is>
          <t>DBA-AGH30W, DBA-AGH35</t>
        </is>
      </c>
      <c r="J31" s="14" t="inlineStr">
        <is>
          <t>[2020-10-05 DBA-AGH35 2015/07 40000km] リアクランクシールからオイルが漏れ、しずくになっていた。
[2018-11-16 DBA-AGH30W 2017/04 9000km] エンジンの横の冷却水のパイプに亀裂が生じ、冷却水が漏れた。
[2018-03-20 DBA-AGH30W 2015/09 15000km] 減速時に動力が切り離される際、アクセルペダルを放しているのにエンジン回転が上がる。</t>
        </is>
      </c>
    </row>
    <row r="32">
      <c r="A32" s="13" t="inlineStr">
        <is>
          <t>アルファード</t>
        </is>
      </c>
      <c r="B32" s="13" t="inlineStr">
        <is>
          <t>30系前期</t>
        </is>
      </c>
      <c r="C32" s="13" t="inlineStr">
        <is>
          <t>その他</t>
        </is>
      </c>
      <c r="D32" s="15" t="n">
        <v>2</v>
      </c>
      <c r="E32" s="17" t="n">
        <v>6.9</v>
      </c>
      <c r="F32" s="15" t="n">
        <v>78900</v>
      </c>
      <c r="G32" s="13" t="n">
        <v>2015</v>
      </c>
      <c r="H32" s="13" t="n">
        <v>2015</v>
      </c>
      <c r="I32" s="14" t="inlineStr">
        <is>
          <t>DAA-AYH30W, DBA-AGH30W</t>
        </is>
      </c>
      <c r="J32" s="14" t="inlineStr">
        <is>
          <t>[2020-08-05 DAA-AYH30W 2015/11 78900km] エアコンが故障した。
[2018-03-20 DBA-AGH30W 2015/09 15000km] ＡＣＣを使用している際に、前車の減速に併せて減速するのが１～１．５秒ほど遅れて作動するため、前車に接近しすぎることがある。</t>
        </is>
      </c>
    </row>
    <row r="33">
      <c r="A33" s="8" t="inlineStr">
        <is>
          <t>アルファード</t>
        </is>
      </c>
      <c r="B33" s="8" t="inlineStr">
        <is>
          <t>30系前期</t>
        </is>
      </c>
      <c r="C33" s="8" t="inlineStr">
        <is>
          <t>保安灯火</t>
        </is>
      </c>
      <c r="D33" s="11" t="n">
        <v>2</v>
      </c>
      <c r="E33" s="9" t="n">
        <v>6.9</v>
      </c>
      <c r="F33" s="11" t="n">
        <v>69900</v>
      </c>
      <c r="G33" s="8" t="n">
        <v>2015</v>
      </c>
      <c r="H33" s="8" t="n">
        <v>2017</v>
      </c>
      <c r="I33" s="14" t="inlineStr">
        <is>
          <t>DBA-AGH35W</t>
        </is>
      </c>
      <c r="J33" s="14" t="inlineStr">
        <is>
          <t>[2020-06-24 DBA-AGH35W 2015/07 69900km] ワイパーの拭き取りの位置が右側ピラーから１００数ｍｍの位置で停止するため、雨の日に右側前面が確認しづらく安全確認が困難になる。
[2018-02-17 DBA-AGH35W 2017/08 2431km] トヨタ純正のウィンターブレードを装着し、雪道でウィンドウォッシャを使用すると、ワイパーアームとワイパーブレードに当たってしまい、ガラスに当たらない。</t>
        </is>
      </c>
    </row>
    <row r="34">
      <c r="A34" s="13" t="inlineStr">
        <is>
          <t>アルファード</t>
        </is>
      </c>
      <c r="B34" s="13" t="inlineStr">
        <is>
          <t>30系前期</t>
        </is>
      </c>
      <c r="C34" s="13" t="inlineStr">
        <is>
          <t>かじ取り</t>
        </is>
      </c>
      <c r="D34" s="15" t="n">
        <v>1</v>
      </c>
      <c r="E34" s="17" t="n">
        <v>3.4</v>
      </c>
      <c r="F34" s="15" t="n"/>
      <c r="G34" s="13" t="n">
        <v>2015</v>
      </c>
      <c r="H34" s="13" t="n">
        <v>2015</v>
      </c>
      <c r="I34" s="14" t="inlineStr">
        <is>
          <t>AGH30W</t>
        </is>
      </c>
      <c r="J34" s="14" t="inlineStr">
        <is>
          <t>[2015-04-16 AGH30W 2015/03 ?km] ハンドルの中立位置が９０度くらいずれている。</t>
        </is>
      </c>
    </row>
    <row r="35">
      <c r="A35" s="8" t="inlineStr">
        <is>
          <t>アルファード</t>
        </is>
      </c>
      <c r="B35" s="8" t="inlineStr">
        <is>
          <t>30系前期</t>
        </is>
      </c>
      <c r="C35" s="8" t="inlineStr">
        <is>
          <t>乗車装置</t>
        </is>
      </c>
      <c r="D35" s="11" t="n">
        <v>1</v>
      </c>
      <c r="E35" s="9" t="n">
        <v>3.4</v>
      </c>
      <c r="F35" s="11" t="n"/>
      <c r="G35" s="8" t="n">
        <v>2017</v>
      </c>
      <c r="H35" s="8" t="n">
        <v>2017</v>
      </c>
      <c r="I35" s="14" t="inlineStr">
        <is>
          <t>DBA-AGH30W</t>
        </is>
      </c>
      <c r="J35" s="14" t="inlineStr">
        <is>
          <t>[2019-01-07 DBA-AGH30W 2017/03 ?km] 三列目の中央の座席のシートベルトを引き出したあと、引き出し口（天井小開口部）で引っかかり、戻らなくなる。</t>
        </is>
      </c>
    </row>
    <row r="36">
      <c r="A36" s="13" t="inlineStr">
        <is>
          <t>アルファード</t>
        </is>
      </c>
      <c r="B36" s="13" t="inlineStr">
        <is>
          <t>30系後期</t>
        </is>
      </c>
      <c r="C36" s="13" t="inlineStr">
        <is>
          <t>車枠・車体</t>
        </is>
      </c>
      <c r="D36" s="15" t="n">
        <v>10</v>
      </c>
      <c r="E36" s="17" t="n">
        <v>25</v>
      </c>
      <c r="F36" s="15" t="n">
        <v>12600</v>
      </c>
      <c r="G36" s="13" t="n">
        <v>2018</v>
      </c>
      <c r="H36" s="13" t="n">
        <v>2022</v>
      </c>
      <c r="I36" s="14" t="inlineStr">
        <is>
          <t>3BA-AGH30W, DAA-AYH30W, DBA-AGH30W, DBA-GGH30W, DBA-GGH35W</t>
        </is>
      </c>
      <c r="J36" s="14" t="inlineStr">
        <is>
          <t>[2026-03-31 DBA-GGH30W 2018/01 120000km] ボンネットモールディング取り付け部のほとんどが破損し、グラグラな状態になった。
[2023-02-20 3BA-AGH30W 2022/01 ?km] 特定の傾斜が有る場所に停めている状態において、電動ハッチが閉まらなくなる。ディーラーの別の車両でも再現できており、傾斜で歪むからであり、修理不可能と言われている。
[2022-12-14 3BA-AGH30W 2021/03 11300km] ホワイトパール色塗装の車でフロント両側三角窓下の雨染みがよく出る場所にラインが隆起して同所が黄変してきた。リアナンバー両側にも同じ症状が出始めた。</t>
        </is>
      </c>
    </row>
    <row r="37">
      <c r="A37" s="8" t="inlineStr">
        <is>
          <t>アルファード</t>
        </is>
      </c>
      <c r="B37" s="8" t="inlineStr">
        <is>
          <t>30系後期</t>
        </is>
      </c>
      <c r="C37" s="8" t="inlineStr">
        <is>
          <t>保安灯火</t>
        </is>
      </c>
      <c r="D37" s="11" t="n">
        <v>9</v>
      </c>
      <c r="E37" s="9" t="n">
        <v>22.5</v>
      </c>
      <c r="F37" s="11" t="n">
        <v>36000</v>
      </c>
      <c r="G37" s="8" t="n">
        <v>2018</v>
      </c>
      <c r="H37" s="8" t="n">
        <v>2023</v>
      </c>
      <c r="I37" s="14" t="inlineStr">
        <is>
          <t>3BA-AGH30W, 3BA-AGH35W, DBA-AGH35W</t>
        </is>
      </c>
      <c r="J37" s="14" t="inlineStr">
        <is>
          <t>[2026-06-19 3BA-AGH30W 2023/01 45000km] ヘッドライトが点灯した際にしばらくするとメーター内にチェックランプが点灯する。販売店で確認の結果、ヘッドライト左右ロービーム冷却ファンの故障と診断された。
[2026-03-02 3BA-AGH30W 2022/12 16000km] エンジン始動時、ヘッドライトのエラーメッセージが出たり消えたりするようになった。
[2026-01-23 3BA-AGH30W 2022/09 36000km] ヘッドライトの警告が出て、販売店で確認したところ、右ヘッドライトのオートハイビームに関連する冷却ファンが壊れたものと診断された。</t>
        </is>
      </c>
    </row>
    <row r="38">
      <c r="A38" s="13" t="inlineStr">
        <is>
          <t>アルファード</t>
        </is>
      </c>
      <c r="B38" s="13" t="inlineStr">
        <is>
          <t>30系後期</t>
        </is>
      </c>
      <c r="C38" s="13" t="inlineStr">
        <is>
          <t>乗車装置</t>
        </is>
      </c>
      <c r="D38" s="15" t="n">
        <v>7</v>
      </c>
      <c r="E38" s="17" t="n">
        <v>17.5</v>
      </c>
      <c r="F38" s="15" t="n">
        <v>35000</v>
      </c>
      <c r="G38" s="13" t="n">
        <v>2018</v>
      </c>
      <c r="H38" s="13" t="n">
        <v>2021</v>
      </c>
      <c r="I38" s="14" t="inlineStr">
        <is>
          <t>3BA-AGH35W, 6AA-AYH30W, DBA-AGH30W, DBA-AGH35W</t>
        </is>
      </c>
      <c r="J38" s="14" t="inlineStr">
        <is>
          <t>[2025-06-03 6AA-AYH30W 2021/06 150000km] 後席シートベルトバックルが表裏逆に装着されていた。
[2022-12-23 DBA-AGH30W 2018/03 35000km] 徐行運転時も含めて速度に関係なく、加速時やブレーキ時、路面の凹凸が粗い場所を走っていると助手席がガタつく。
[2022-05-30 6AA-AYH30W 2021/04 ?km] 電動スライドドアを開けようとした際に、子供の頭程度の幅だけ開いたところで停止することがある。</t>
        </is>
      </c>
    </row>
    <row r="39">
      <c r="A39" s="8" t="inlineStr">
        <is>
          <t>アルファード</t>
        </is>
      </c>
      <c r="B39" s="8" t="inlineStr">
        <is>
          <t>30系後期</t>
        </is>
      </c>
      <c r="C39" s="8" t="inlineStr">
        <is>
          <t>その他</t>
        </is>
      </c>
      <c r="D39" s="11" t="n">
        <v>5</v>
      </c>
      <c r="E39" s="9" t="n">
        <v>12.5</v>
      </c>
      <c r="F39" s="11" t="n"/>
      <c r="G39" s="8" t="n">
        <v>2019</v>
      </c>
      <c r="H39" s="8" t="n">
        <v>2022</v>
      </c>
      <c r="I39" s="14" t="inlineStr">
        <is>
          <t>3BA-AGH30W, 6AA-AYH30W, DBA-AGH30W, DBA-AGH35W</t>
        </is>
      </c>
      <c r="J39" s="14" t="inlineStr">
        <is>
          <t>[2023-04-17 3BA-AGH30W 2022/11 ?km] 左側の泥よけタイヤハウスのリベットを３つを外すだけでバンパーが外れ、且つ、ライトシステム後ろのＣＡＮ信号コネクタが簡単に外れるため、ＣＡＮインベーダーによる施錠やエンジン始動などが出来、盗難され易い。
[2022-09-09 3BA-AGH30W 2021/03 ?km] 純正カーナビゲーションが、運転中に突然オフ状態に全て機能停止してしまう症状が出る。時間が経つと、元の状態に復帰するが、再びオフになるという症状が繰り返される。
[2022-05-30 6AA-AYH30W 2021/04 ?km] フリップダウンモニターが、車の電源を切ったときに閉じないことがある。モニター背面に白いローラーの跡が３個ついている。</t>
        </is>
      </c>
    </row>
    <row r="40">
      <c r="A40" s="13" t="inlineStr">
        <is>
          <t>アルファード</t>
        </is>
      </c>
      <c r="B40" s="13" t="inlineStr">
        <is>
          <t>30系後期</t>
        </is>
      </c>
      <c r="C40" s="13" t="inlineStr">
        <is>
          <t>電気装置</t>
        </is>
      </c>
      <c r="D40" s="15" t="n">
        <v>3</v>
      </c>
      <c r="E40" s="17" t="n">
        <v>7.5</v>
      </c>
      <c r="F40" s="15" t="n">
        <v>40000</v>
      </c>
      <c r="G40" s="13" t="n">
        <v>2018</v>
      </c>
      <c r="H40" s="13" t="n">
        <v>2023</v>
      </c>
      <c r="I40" s="14" t="inlineStr">
        <is>
          <t>3BA-AGH30W, DBA-AGH30W</t>
        </is>
      </c>
      <c r="J40" s="14" t="inlineStr">
        <is>
          <t>[2026-04-06 DBA-AGH30W 2022/12 40000km] ピッと音がして前の液晶にヘッドライトシステムの故障、販売店にと表示が出た。販売店で確認した結果、右の冷却ファンの故障でヘッドライトの交換が必要と見積もられた。
[2023-05-30 3BA-AGH30W 2023/01 ?km] 車両後部に設置されているオーディオ用アンプが発煙、焼損した。
[2021-04-05 DBA-AGH30W 2018/10 ?km] 信号で停車したところエンストし、ハザードも点灯しなくなった。ディーラが調べたところバッテリー消失と診断された。</t>
        </is>
      </c>
    </row>
    <row r="41">
      <c r="A41" s="8" t="inlineStr">
        <is>
          <t>アルファード</t>
        </is>
      </c>
      <c r="B41" s="8" t="inlineStr">
        <is>
          <t>30系後期</t>
        </is>
      </c>
      <c r="C41" s="8" t="inlineStr">
        <is>
          <t>かじ取り</t>
        </is>
      </c>
      <c r="D41" s="11" t="n">
        <v>2</v>
      </c>
      <c r="E41" s="9" t="n">
        <v>5</v>
      </c>
      <c r="F41" s="11" t="n">
        <v>20000</v>
      </c>
      <c r="G41" s="8" t="n">
        <v>2018</v>
      </c>
      <c r="H41" s="8" t="n">
        <v>2020</v>
      </c>
      <c r="I41" s="14" t="inlineStr">
        <is>
          <t>3BA-AGH30W, DBA-AGH30W</t>
        </is>
      </c>
      <c r="J41" s="14" t="inlineStr">
        <is>
          <t>[2021-02-10 3BA-AGH30W 2020/12 600km] 住宅街を徐行中、「電気異常のためハンドルが重くなります。」の警告と同時にパワーステアリングが効かなくなり走行が困難になった。
[2020-09-13 DBA-AGH30W 2018/12 20000km] 自動運転アシストに従うと、時々車や壁にぶつかりそうになる。</t>
        </is>
      </c>
    </row>
    <row r="42">
      <c r="A42" s="13" t="inlineStr">
        <is>
          <t>アルファード</t>
        </is>
      </c>
      <c r="B42" s="13" t="inlineStr">
        <is>
          <t>30系後期</t>
        </is>
      </c>
      <c r="C42" s="13" t="inlineStr">
        <is>
          <t>動力伝達</t>
        </is>
      </c>
      <c r="D42" s="15" t="n">
        <v>2</v>
      </c>
      <c r="E42" s="17" t="n">
        <v>5</v>
      </c>
      <c r="F42" s="15" t="n">
        <v>6700</v>
      </c>
      <c r="G42" s="13" t="n">
        <v>2018</v>
      </c>
      <c r="H42" s="13" t="n">
        <v>2018</v>
      </c>
      <c r="I42" s="14" t="inlineStr">
        <is>
          <t>DBA-GGH30W, DBA-GGH35W</t>
        </is>
      </c>
      <c r="J42" s="14" t="inlineStr">
        <is>
          <t>[2020-03-04 DBA-GGH35W 2018/06 6700km] せまい道路で対向車とすれ違うために１０ｋｍ／ｈ程度に減速し、再加速するためにアクセルペダルを踏むと、エンジン回転数は上がるが、反応が悪く加速しない。
[2018-11-27 DBA-GGH30W 2018/09 1210km] ４０ｋｍ／ｈぐらいに減速した時に変速ショックとミッション部からカタッカタッと音がする。交差点などで減速（完全停止していない状態）からの加速時にアクセルの反応がなく、一拍おいてから急に加速する。（エコモードＯＮ・ＯＦＦ関係なし）</t>
        </is>
      </c>
    </row>
    <row r="43">
      <c r="A43" s="8" t="inlineStr">
        <is>
          <t>アルファード</t>
        </is>
      </c>
      <c r="B43" s="8" t="inlineStr">
        <is>
          <t>30系後期</t>
        </is>
      </c>
      <c r="C43" s="8" t="inlineStr">
        <is>
          <t>制動装置</t>
        </is>
      </c>
      <c r="D43" s="11" t="n">
        <v>1</v>
      </c>
      <c r="E43" s="9" t="n">
        <v>2.5</v>
      </c>
      <c r="F43" s="11" t="n">
        <v>38100</v>
      </c>
      <c r="G43" s="8" t="n">
        <v>2018</v>
      </c>
      <c r="H43" s="8" t="n">
        <v>2018</v>
      </c>
      <c r="I43" s="14" t="inlineStr">
        <is>
          <t>DAA-AYH30W</t>
        </is>
      </c>
      <c r="J43" s="14" t="inlineStr">
        <is>
          <t>[2024-06-03 DAA-AYH30W 2018/05 38100km] 運転中に飛び出し事案が有った際に衝突被害軽減ブレーキが作動しなかった。【ＡＳＶ検索対象】</t>
        </is>
      </c>
    </row>
    <row r="44">
      <c r="A44" s="13" t="inlineStr">
        <is>
          <t>アルファード</t>
        </is>
      </c>
      <c r="B44" s="13" t="inlineStr">
        <is>
          <t>30系後期</t>
        </is>
      </c>
      <c r="C44" s="13" t="inlineStr">
        <is>
          <t>電動機(モーター)</t>
        </is>
      </c>
      <c r="D44" s="15" t="n">
        <v>1</v>
      </c>
      <c r="E44" s="17" t="n">
        <v>2.5</v>
      </c>
      <c r="F44" s="15" t="n">
        <v>150000</v>
      </c>
      <c r="G44" s="13" t="n">
        <v>2021</v>
      </c>
      <c r="H44" s="13" t="n">
        <v>2021</v>
      </c>
      <c r="I44" s="14" t="inlineStr">
        <is>
          <t>6AA-AYH30W</t>
        </is>
      </c>
      <c r="J44" s="14" t="inlineStr">
        <is>
          <t>[2025-06-03 6AA-AYH30W 2021/06 150000km] ハイブリッド異常が出て、エンジンがかからなくなった。</t>
        </is>
      </c>
    </row>
    <row r="45">
      <c r="A45" s="8" t="inlineStr">
        <is>
          <t>アルファード</t>
        </is>
      </c>
      <c r="B45" s="8" t="inlineStr">
        <is>
          <t>40系</t>
        </is>
      </c>
      <c r="C45" s="8" t="inlineStr">
        <is>
          <t>その他</t>
        </is>
      </c>
      <c r="D45" s="11" t="n">
        <v>3</v>
      </c>
      <c r="E45" s="9" t="n">
        <v>25</v>
      </c>
      <c r="F45" s="11" t="n">
        <v>174000</v>
      </c>
      <c r="G45" s="8" t="n">
        <v>2023</v>
      </c>
      <c r="H45" s="8" t="n">
        <v>2025</v>
      </c>
      <c r="I45" s="14" t="inlineStr">
        <is>
          <t>3BA-AGH40W, 6AA-AAHH40W</t>
        </is>
      </c>
      <c r="J45" s="14" t="inlineStr">
        <is>
          <t>[2025-12-09 3BA-AGH40W 2024/07 ?km] カーナビに行先を設定して首都圏の高速道路を走行中、突然一般道に切り替わる。販売店へ確認を求めた結果、ナビに装着しているテレビキットの影響によるものと説明があった。
[2025-09-17 3BA-AGH40W 2025/05 ?km] アドバンスドパーク機能を使用して駐車したところ、前方の車に衝突してしまった。
[2025-05-27 6AA-AAHH40W 2023/11 174000km] 突然スピードメーター他、全ての計器類が真っ黒になり、何も映らなくなった。</t>
        </is>
      </c>
    </row>
    <row r="46">
      <c r="A46" s="13" t="inlineStr">
        <is>
          <t>アルファード</t>
        </is>
      </c>
      <c r="B46" s="13" t="inlineStr">
        <is>
          <t>40系</t>
        </is>
      </c>
      <c r="C46" s="13" t="inlineStr">
        <is>
          <t>かじ取り</t>
        </is>
      </c>
      <c r="D46" s="15" t="n">
        <v>2</v>
      </c>
      <c r="E46" s="17" t="n">
        <v>16.7</v>
      </c>
      <c r="F46" s="15" t="n">
        <v>10000</v>
      </c>
      <c r="G46" s="13" t="n">
        <v>2025</v>
      </c>
      <c r="H46" s="13" t="n">
        <v>2025</v>
      </c>
      <c r="I46" s="14" t="inlineStr">
        <is>
          <t>3BA-AGH40W, 3BA-AGH45W</t>
        </is>
      </c>
      <c r="J46" s="14" t="inlineStr">
        <is>
          <t>[2025-11-07 3BA-AGH45W 2025/06 10000km] トヨタセーフティセンスのレーントレーシングアシスト中、ハンドルに所定のトルクを掛けていないとハンドルを持っていない警告が頻繁に出る。【ＡＳＶ検索対象】
[2025-02-10 3BA-AGH40W 2025/02 ?km] 車がまっすぐ走らず、右にそれる。</t>
        </is>
      </c>
    </row>
    <row r="47">
      <c r="A47" s="8" t="inlineStr">
        <is>
          <t>アルファード</t>
        </is>
      </c>
      <c r="B47" s="8" t="inlineStr">
        <is>
          <t>40系</t>
        </is>
      </c>
      <c r="C47" s="8" t="inlineStr">
        <is>
          <t>制動装置</t>
        </is>
      </c>
      <c r="D47" s="11" t="n">
        <v>2</v>
      </c>
      <c r="E47" s="9" t="n">
        <v>16.7</v>
      </c>
      <c r="F47" s="11" t="n">
        <v>8700</v>
      </c>
      <c r="G47" s="8" t="n">
        <v>2024</v>
      </c>
      <c r="H47" s="8" t="n">
        <v>2025</v>
      </c>
      <c r="I47" s="14" t="inlineStr">
        <is>
          <t>6AA-AAHH40W</t>
        </is>
      </c>
      <c r="J47" s="14" t="inlineStr">
        <is>
          <t>[2026-03-08 6AA-AAHH40W 2025/07 8700km] ブレーキペダルを踏んで停止しようとすると、３回に一回程度の頻度で停止直前に（５ｋｍ／ｈ程度）でガクンと急ブレーキが勝手にかかる。【ＡＳＶ検索対象】
[2025-02-22 6AA-AAHH40W 2024/11 600km] ブレーキを踏んで停止しようとすると３回に一回程度の頻度で停止直前に（５ｋｍ／ｈ程度）でガクンと急ブレーキが勝手にかかる。【ＡＳＶ検索対象】</t>
        </is>
      </c>
    </row>
    <row r="48">
      <c r="A48" s="13" t="inlineStr">
        <is>
          <t>アルファード</t>
        </is>
      </c>
      <c r="B48" s="13" t="inlineStr">
        <is>
          <t>40系</t>
        </is>
      </c>
      <c r="C48" s="13" t="inlineStr">
        <is>
          <t>車枠・車体</t>
        </is>
      </c>
      <c r="D48" s="15" t="n">
        <v>2</v>
      </c>
      <c r="E48" s="17" t="n">
        <v>16.7</v>
      </c>
      <c r="F48" s="15" t="n">
        <v>11000</v>
      </c>
      <c r="G48" s="13" t="n">
        <v>2023</v>
      </c>
      <c r="H48" s="13" t="n">
        <v>2024</v>
      </c>
      <c r="I48" s="14" t="inlineStr">
        <is>
          <t>6AA-AAHH40W, 6AA-AAHH45W</t>
        </is>
      </c>
      <c r="J48" s="14" t="inlineStr">
        <is>
          <t>[2025-01-22 6AA-AAHH40W 2024/01 ?km] リアスポイラーが成形不良により屋根との整合が取れていない。またフロントバンパーが走行の振動等で下にさがってきている。
[2024-12-25 6AA-AAHH45W 2023/09 11000km] スライドドア上部外板の繋ぎ目に亀裂があり、錆が出てきている。</t>
        </is>
      </c>
    </row>
    <row r="49">
      <c r="A49" s="8" t="inlineStr">
        <is>
          <t>アルファード</t>
        </is>
      </c>
      <c r="B49" s="8" t="inlineStr">
        <is>
          <t>40系</t>
        </is>
      </c>
      <c r="C49" s="8" t="inlineStr">
        <is>
          <t>電気装置</t>
        </is>
      </c>
      <c r="D49" s="11" t="n">
        <v>2</v>
      </c>
      <c r="E49" s="9" t="n">
        <v>16.7</v>
      </c>
      <c r="F49" s="11" t="n"/>
      <c r="G49" s="8" t="n">
        <v>2023</v>
      </c>
      <c r="H49" s="8" t="n">
        <v>2023</v>
      </c>
      <c r="I49" s="14" t="inlineStr">
        <is>
          <t>6AA-AAHH45W</t>
        </is>
      </c>
      <c r="J49" s="14" t="inlineStr">
        <is>
          <t>[2024-11-30 6AA-AAHH45W 2023/08 ?km] 補機バッテリーが上がった。
[2024-11-20 6AA-AAHH45W 2023/11 ?km] １週間ほど停車しておくとバッテリーが上がる。</t>
        </is>
      </c>
    </row>
    <row r="50">
      <c r="A50" s="13" t="inlineStr">
        <is>
          <t>アルファード</t>
        </is>
      </c>
      <c r="B50" s="13" t="inlineStr">
        <is>
          <t>40系</t>
        </is>
      </c>
      <c r="C50" s="13" t="inlineStr">
        <is>
          <t>走行装置</t>
        </is>
      </c>
      <c r="D50" s="15" t="n">
        <v>1</v>
      </c>
      <c r="E50" s="17" t="n">
        <v>8.300000000000001</v>
      </c>
      <c r="F50" s="15" t="n"/>
      <c r="G50" s="13" t="n">
        <v>2024</v>
      </c>
      <c r="H50" s="13" t="n">
        <v>2024</v>
      </c>
      <c r="I50" s="14" t="inlineStr">
        <is>
          <t>3BA-AGH40W</t>
        </is>
      </c>
      <c r="J50" s="14" t="inlineStr">
        <is>
          <t>[2024-06-27 3BA-AGH40W 2024/03 ?km] 納車された車両に装着されていたタイヤに２００～３００ｃｃの水が入っていた。また、現品はＴＯＹＯタイヤであったが、メーカーに問い合わせたところ、ヨコハマタイヤが装着されているべき車だという回答があった。</t>
        </is>
      </c>
    </row>
    <row r="51">
      <c r="A51" s="8" t="inlineStr">
        <is>
          <t>アルファード</t>
        </is>
      </c>
      <c r="B51" s="8" t="inlineStr">
        <is>
          <t>不明</t>
        </is>
      </c>
      <c r="C51" s="8" t="inlineStr">
        <is>
          <t>エンジン</t>
        </is>
      </c>
      <c r="D51" s="11" t="n">
        <v>68</v>
      </c>
      <c r="E51" s="9" t="n">
        <v>24.5</v>
      </c>
      <c r="F51" s="11" t="n">
        <v>91000</v>
      </c>
      <c r="G51" s="8" t="n">
        <v>2002</v>
      </c>
      <c r="H51" s="8" t="n">
        <v>2008</v>
      </c>
      <c r="I51" s="14" t="inlineStr">
        <is>
          <t>ANH20, CAA-ATH10W, CBA-AHN10W, CBA-ANH10W, CBA-ANH15W, CBA-NMH15W, DAA-ATH10W, DBA-ANH10W, DBA-ANH15W, DBA-ANH20W, DBA-ANH25W, TA-MNH10W, TA-MNH15W, UA-ANH10W, UA-ANH15W, ZA-ATH10W</t>
        </is>
      </c>
      <c r="J51" s="14" t="inlineStr">
        <is>
          <t>[2024-10-10 DBA-ANH15W  61997km] バックで駐車場に止めたが、停車位置が悪かったので再度エンジンをかけて軽くブレーキペダルを踏みながらシフトレバーをパーキング位置からドライブに入れようとしたところ、Ｒレンジの所にきたら轟音とスリップ音が重なった音がして車止めを乗り越えブロック塀にぶつかった。その後、パニックになりシフトがドライブに入りすごい勢いで車が前進した。道路向かいに置いてあった車に衝突した。
[2022-09-19 CAA-ATH10W 2004/06 210000km] 突然警告灯が点き、セーフモードになり走行不能になった。ディーラーでインバーター側のウォーターポンプと、インバーターの不良と診断された。
[2022-07-25 TA-MNH10W 2003/12 170000km] エンジンを始動し、ギアをニュートラルにしたところ、エンジンが大きくふけあがった。</t>
        </is>
      </c>
    </row>
    <row r="52">
      <c r="A52" s="13" t="inlineStr">
        <is>
          <t>アルファード</t>
        </is>
      </c>
      <c r="B52" s="13" t="inlineStr">
        <is>
          <t>不明</t>
        </is>
      </c>
      <c r="C52" s="13" t="inlineStr">
        <is>
          <t>電動機(モーター)</t>
        </is>
      </c>
      <c r="D52" s="15" t="n">
        <v>48</v>
      </c>
      <c r="E52" s="17" t="n">
        <v>17.3</v>
      </c>
      <c r="F52" s="15" t="n">
        <v>120000</v>
      </c>
      <c r="G52" s="13" t="n">
        <v>2000</v>
      </c>
      <c r="H52" s="13" t="n">
        <v>2008</v>
      </c>
      <c r="I52" s="14" t="inlineStr">
        <is>
          <t>ATH10W-PR-G, CAA-ATH10, CAA-ATH10W, DAA-ATH10W, ZA-ATH10, ZA-ATH10W</t>
        </is>
      </c>
      <c r="J52" s="14" t="inlineStr">
        <is>
          <t>[2021-07-14 ZA-ATH10W 2003/07 300100km] エネルギーモニター画面でリヤモーター、ＶＳＣ、ブレーキなどの警告と赤の警告が付き、勝手に加速したり出力が落ちたりした。停止してリセットしたら普通に走った。
[2020-11-13 CAA-ATH10W 2005/01 150000km] インバーターの不良により、アクセルペダルを踏んでもパワーが出ないような感じがあった。その後、一般道を走行中にメーターパネルの表示もなく突然停止した。
[2018-06-05 CAA-ATH10W 2004/07 185600km] 走行中に突然ハイブリッドの警告表示とブザーが鳴り、ブレーキが効きにくくなり、エンジンが止まった。</t>
        </is>
      </c>
    </row>
    <row r="53">
      <c r="A53" s="8" t="inlineStr">
        <is>
          <t>アルファード</t>
        </is>
      </c>
      <c r="B53" s="8" t="inlineStr">
        <is>
          <t>不明</t>
        </is>
      </c>
      <c r="C53" s="8" t="inlineStr">
        <is>
          <t>乗車装置</t>
        </is>
      </c>
      <c r="D53" s="11" t="n">
        <v>47</v>
      </c>
      <c r="E53" s="9" t="n">
        <v>16.9</v>
      </c>
      <c r="F53" s="11" t="n">
        <v>60000</v>
      </c>
      <c r="G53" s="8" t="n">
        <v>2002</v>
      </c>
      <c r="H53" s="8" t="n">
        <v>2007</v>
      </c>
      <c r="I53" s="14" t="inlineStr">
        <is>
          <t>ANH10W, CAA-ATH10W, CBA-ANH10W, CBA-ANH15W, DBA-ANH10W, DBA-ANH15W, TA-MNH10W, TA-MNH15, TA-MNH15W, UA-ANH10W, UA-ANH15W</t>
        </is>
      </c>
      <c r="J53" s="14" t="inlineStr">
        <is>
          <t>[2019-01-20 TA-MNH15W 2006/05 70000km] パワースライドドアが開かない。
[2017-12-05 CAA-ATH10W 2006/03 126200km] 電動スライドドアの故障により、スライドドアを開けた後、閉めようとしても途中で反転してしまい、閉められなくなった。
[2016-11-16 DBA-ANH10W 2006/08 50000km] 自動スライドドアのコンピューターが故障し、スライドドアを閉められなくなった。</t>
        </is>
      </c>
    </row>
    <row r="54">
      <c r="A54" s="13" t="inlineStr">
        <is>
          <t>アルファード</t>
        </is>
      </c>
      <c r="B54" s="13" t="inlineStr">
        <is>
          <t>不明</t>
        </is>
      </c>
      <c r="C54" s="13" t="inlineStr">
        <is>
          <t>動力伝達</t>
        </is>
      </c>
      <c r="D54" s="15" t="n">
        <v>35</v>
      </c>
      <c r="E54" s="17" t="n">
        <v>12.6</v>
      </c>
      <c r="F54" s="15" t="n">
        <v>115000</v>
      </c>
      <c r="G54" s="13" t="n">
        <v>2002</v>
      </c>
      <c r="H54" s="13" t="n">
        <v>2008</v>
      </c>
      <c r="I54" s="14" t="inlineStr">
        <is>
          <t>ATH10W, CAA-ATH10W, CBA-ANH10W, DAA-ATH10W, DBA-ANH10W, DBA-ANH15W, TA-MNH10W, UA-ANH10W, ZA-ATH10W</t>
        </is>
      </c>
      <c r="J54" s="14" t="inlineStr">
        <is>
          <t>[2023-09-08 DAA-ATH10W 2008/02 155000km] 駐車場から一般道に出て加速しようとしたら突然動かなくなった。ディーラーで確認した結果ＣＶＴが壊れていると診断された。
[2019-10-17 ATH10W 2005/09 62000km] 発進時、モーターからエンジンに切り替わる際、無理やりクラッチを繋いだようなショックがある。
[2018-09-30 ATH10W 2006/09 207866km] ＣＶＴ（無段変速機）から変速ショックが発生した。</t>
        </is>
      </c>
    </row>
    <row r="55">
      <c r="A55" s="8" t="inlineStr">
        <is>
          <t>アルファード</t>
        </is>
      </c>
      <c r="B55" s="8" t="inlineStr">
        <is>
          <t>不明</t>
        </is>
      </c>
      <c r="C55" s="8" t="inlineStr">
        <is>
          <t>制動装置</t>
        </is>
      </c>
      <c r="D55" s="11" t="n">
        <v>16</v>
      </c>
      <c r="E55" s="9" t="n">
        <v>5.8</v>
      </c>
      <c r="F55" s="11" t="n">
        <v>84000</v>
      </c>
      <c r="G55" s="8" t="n">
        <v>2003</v>
      </c>
      <c r="H55" s="8" t="n">
        <v>2008</v>
      </c>
      <c r="I55" s="14" t="inlineStr">
        <is>
          <t>CAA-ATH10W, CBA-ANH15W, DAA-ATH10W, DBA-ANH10W, DBA-ANH15W, TA-MNH10W, TA-MNH15W, UA-ANH10, ZA-ATH10W</t>
        </is>
      </c>
      <c r="J55" s="14" t="inlineStr">
        <is>
          <t>[2019-06-03 ZA-ATH10W 2003/12 147000km] ５０ｋｍ／ｈぐらいの速度で走行中に、いきなり警告音が鳴り、警告灯（多分すべて）が点灯した。不具合が生じたと思い、左に寄せて止まろうと思ったが、ブレーキが効かなかった。
[2016-08-29   ?km] ブレーキの効きが悪い。
[2015-11-24 CAA-ATH10W 2004/06 138000km] エンジンを始動した時に警告音とＶＳＣ、駐車ブレーキ、ＡＢＳの警告灯が点灯し、ブレーキが効きづらい状態になった。５分後、ＡＢＳアクチュエーター付近から焦げ臭いにおいがしたため、走行を中止した。</t>
        </is>
      </c>
    </row>
    <row r="56">
      <c r="A56" s="13" t="inlineStr">
        <is>
          <t>アルファード</t>
        </is>
      </c>
      <c r="B56" s="13" t="inlineStr">
        <is>
          <t>不明</t>
        </is>
      </c>
      <c r="C56" s="13" t="inlineStr">
        <is>
          <t>その他</t>
        </is>
      </c>
      <c r="D56" s="15" t="n">
        <v>11</v>
      </c>
      <c r="E56" s="17" t="n">
        <v>4</v>
      </c>
      <c r="F56" s="15" t="n">
        <v>123921</v>
      </c>
      <c r="G56" s="13" t="n">
        <v>2003</v>
      </c>
      <c r="H56" s="13" t="n">
        <v>2006</v>
      </c>
      <c r="I56" s="14" t="inlineStr">
        <is>
          <t>6AA-AAHH45W, CAA-ATH10W, CBA-ANH10W, DBA-AHN10W, TA-MNH10W, ZA-ATH10W</t>
        </is>
      </c>
      <c r="J56" s="14" t="inlineStr">
        <is>
          <t>[2024-06-21 6AA-AAHH45W  ?km] 燃料計や走行可能距離表示について、１回の給油量が２４リットル以下であると反応せず、給油しても表示が増えない。
[2019-08-29 ZA-ATH10W 2003/12 200000km] ２０１９年４月７日に発生したＧＰＳのロールオーバーにより、トヨタのＭＯＰカーナビが正常に動かなくなった。
[2016-09-14 CAA-ATH10W 2006/03 180700km] 横滑り防止のセンサー不良により、乾燥した路面で明らかに車が横滑りをしていないのにも関わらず、警報音が鳴ってハンドルが取られるような挙動が出る。</t>
        </is>
      </c>
    </row>
    <row r="57">
      <c r="A57" s="8" t="inlineStr">
        <is>
          <t>アルファード</t>
        </is>
      </c>
      <c r="B57" s="8" t="inlineStr">
        <is>
          <t>不明</t>
        </is>
      </c>
      <c r="C57" s="8" t="inlineStr">
        <is>
          <t>車枠・車体</t>
        </is>
      </c>
      <c r="D57" s="11" t="n">
        <v>11</v>
      </c>
      <c r="E57" s="9" t="n">
        <v>4</v>
      </c>
      <c r="F57" s="11" t="n">
        <v>79200</v>
      </c>
      <c r="G57" s="8" t="n">
        <v>2002</v>
      </c>
      <c r="H57" s="8" t="n">
        <v>2008</v>
      </c>
      <c r="I57" s="14" t="inlineStr">
        <is>
          <t>-, DAA-ATH20W, DBA-ANH10W, DBA-ANH20W, DBA-ANH25W, DBA-GGH20W, TA-MNH15W, UA-ANH10W, ZA-ATH10W, 不明</t>
        </is>
      </c>
      <c r="J57" s="14" t="inlineStr">
        <is>
          <t>[2023-08-30 -  ?km] パールホワイト塗装の車で塗装が剥がれ、錆びた。
[2021-04-05 DBA-GGH20W 2008/01 ?km] パールホワイト色塗装の車で、天井の塗装が剥がれた。
[2021-02-02 DBA-ANH10W 2008/03 79200km] 傷つけたわけでもないのに天井の塗装が剥がれだした。</t>
        </is>
      </c>
    </row>
    <row r="58">
      <c r="A58" s="13" t="inlineStr">
        <is>
          <t>アルファード</t>
        </is>
      </c>
      <c r="B58" s="13" t="inlineStr">
        <is>
          <t>不明</t>
        </is>
      </c>
      <c r="C58" s="13" t="inlineStr">
        <is>
          <t>保安灯火</t>
        </is>
      </c>
      <c r="D58" s="15" t="n">
        <v>10</v>
      </c>
      <c r="E58" s="17" t="n">
        <v>3.6</v>
      </c>
      <c r="F58" s="15" t="n">
        <v>70000</v>
      </c>
      <c r="G58" s="13" t="n">
        <v>2003</v>
      </c>
      <c r="H58" s="13" t="n">
        <v>2008</v>
      </c>
      <c r="I58" s="14" t="inlineStr">
        <is>
          <t>3BA-AGH30W, CAA-ATH10W, CBA-ANH10W, CBA-MNH10W, DBA-ANH10W, MNH10W, TA-MNH10W, TA-MNH15W</t>
        </is>
      </c>
      <c r="J58" s="14" t="inlineStr">
        <is>
          <t>[2025-02-22 3BA-AGH30W  ?km] メーターパネルに「ヘッドランプシステム故障」と 表示が出て警告音が鳴った。
[2016-08-12 TA-MNH10W 2006/07 70000km] ハザードランプが点滅せず、点きっぱなしになった。
[2015-07-15 CBA-ANH10W 2004/07 78000km] 社外品ＨＩＤフォグランプのソケット部が溶解していた。</t>
        </is>
      </c>
    </row>
    <row r="59">
      <c r="A59" s="8" t="inlineStr">
        <is>
          <t>アルファード</t>
        </is>
      </c>
      <c r="B59" s="8" t="inlineStr">
        <is>
          <t>不明</t>
        </is>
      </c>
      <c r="C59" s="8" t="inlineStr">
        <is>
          <t>排ｶﾞｽ･騒音</t>
        </is>
      </c>
      <c r="D59" s="11" t="n">
        <v>10</v>
      </c>
      <c r="E59" s="9" t="n">
        <v>3.6</v>
      </c>
      <c r="F59" s="11" t="n">
        <v>76600</v>
      </c>
      <c r="G59" s="8" t="n">
        <v>2002</v>
      </c>
      <c r="H59" s="8" t="n">
        <v>2007</v>
      </c>
      <c r="I59" s="14" t="inlineStr">
        <is>
          <t>CAA-ATH10W, CBA-ANH10W, CBA-ANH15W, CBA-MNH10W, TA-MNH15W, UA-ANH10W, UA-ANH15W</t>
        </is>
      </c>
      <c r="J59" s="14" t="inlineStr">
        <is>
          <t>[2026-06-01 CBA-MNH10W 2007/12 115000km] エキゾーストフランジの排気漏れ。マフラー付近から振動によるビビリ音が発生した。
[2014-02-02 CBA-ANH10W 2004/06 76600km] Ｏ２センサーの故障により、エンジン始動時、エンジンマークが点灯したままで消えなくなった。
[2013-01-22 TA-MNH15W 2005/02 53000km] エンジンのＯ２センサーが故障し、警告灯が点灯した。</t>
        </is>
      </c>
    </row>
    <row r="60">
      <c r="A60" s="13" t="inlineStr">
        <is>
          <t>アルファード</t>
        </is>
      </c>
      <c r="B60" s="13" t="inlineStr">
        <is>
          <t>不明</t>
        </is>
      </c>
      <c r="C60" s="13" t="inlineStr">
        <is>
          <t>かじ取り</t>
        </is>
      </c>
      <c r="D60" s="15" t="n">
        <v>8</v>
      </c>
      <c r="E60" s="17" t="n">
        <v>2.9</v>
      </c>
      <c r="F60" s="15" t="n">
        <v>110000</v>
      </c>
      <c r="G60" s="13" t="n">
        <v>2002</v>
      </c>
      <c r="H60" s="13" t="n">
        <v>2005</v>
      </c>
      <c r="I60" s="14" t="inlineStr">
        <is>
          <t>CBA-ANH10W, DBA-ANH10W, TA-MNH10W, TA-MNH15W, UA-ANH10W</t>
        </is>
      </c>
      <c r="J60" s="14" t="inlineStr">
        <is>
          <t>[2022-12-20 TA-MNH15W 2003/06 185612km] 交差点で曲がろうとした際にハンドルが固まって全く動かなくなった。ディーラーで調査の結果、ステアリングコラムブラケットの交換が行われた。
[2018-03-08 TA-MNH15W 2002/06 145344km] ３年ほど前からハンドルがガタつき、走行中にブレーキがかかってしまう。
[2015-05-14 TA-MNH15W 2003/05 170000km] ハンドルが異常に軽く、直進時にハンドル遊びが多いため、安定しない。旋回時に停止時と同じハンドルの重さになっている。</t>
        </is>
      </c>
    </row>
    <row r="61">
      <c r="A61" s="8" t="inlineStr">
        <is>
          <t>アルファード</t>
        </is>
      </c>
      <c r="B61" s="8" t="inlineStr">
        <is>
          <t>不明</t>
        </is>
      </c>
      <c r="C61" s="8" t="inlineStr">
        <is>
          <t>走行装置</t>
        </is>
      </c>
      <c r="D61" s="11" t="n">
        <v>5</v>
      </c>
      <c r="E61" s="9" t="n">
        <v>1.8</v>
      </c>
      <c r="F61" s="11" t="n">
        <v>60000</v>
      </c>
      <c r="G61" s="8" t="n">
        <v>2005</v>
      </c>
      <c r="H61" s="8" t="n">
        <v>2007</v>
      </c>
      <c r="I61" s="14" t="inlineStr">
        <is>
          <t>CAA-ATH10W, DAA-ATH10W, DBA-ANH10W, TA-MNH15W</t>
        </is>
      </c>
      <c r="J61" s="14" t="inlineStr">
        <is>
          <t>[2017-09-08 DBA-ANH10W 2007/05 70000km] ７００００ｋｍ程度の走行距離であるにも関わらず、左前輪のベアリングから異音が出るようになった。
[2015-10-16 TA-MNH15W 2007/01 51375km] フロント左ハブベアリングの不良により、モーター音のような異音がするようになった。
[2013-02-22 DBA-ANH10W 2006/03 60000km] エンジンブレーキで減速している時に右フロントアクスルから異音が出た。</t>
        </is>
      </c>
    </row>
    <row r="62">
      <c r="A62" s="13" t="inlineStr">
        <is>
          <t>アルファード</t>
        </is>
      </c>
      <c r="B62" s="13" t="inlineStr">
        <is>
          <t>不明</t>
        </is>
      </c>
      <c r="C62" s="13" t="inlineStr">
        <is>
          <t>電気装置</t>
        </is>
      </c>
      <c r="D62" s="15" t="n">
        <v>5</v>
      </c>
      <c r="E62" s="17" t="n">
        <v>1.8</v>
      </c>
      <c r="F62" s="15" t="n">
        <v>85214</v>
      </c>
      <c r="G62" s="13" t="n">
        <v>2003</v>
      </c>
      <c r="H62" s="13" t="n">
        <v>2006</v>
      </c>
      <c r="I62" s="14" t="inlineStr">
        <is>
          <t>CAA-ATH10W, CBA-ANH10W, DBA-ANH15W, ZA-ATH10W</t>
        </is>
      </c>
      <c r="J62" s="14" t="inlineStr">
        <is>
          <t>[2016-06-22 CAA-ATH10W 2004/03 80000km] 高速道路を走行中に突然車内に異臭が充満した。ハイブリットシステム用バッテリーを覆うフロントセンターコンソールより煙が発生するとともに、より強い異臭が発生したため、停車してバッテリーを冷やそうと思い、フロントセンターコンソールを外そうとしたところ、バッテリーが膨張し異常発熱していた。
[2015-09-17 DBA-ANH15W 2006/06 112672km] 発電機の不良により、駐車場で車庫入れ中にバッテリー警告灯が点灯し、一瞬ハンドルが重くなった。
[2014-08-19 ZA-ATH10W 2003/09 150000km] 平成２４年にサービスキャンペーンで交換したインバーターの電動ウォーターポンプが故障し警告が表示された。</t>
        </is>
      </c>
    </row>
    <row r="63">
      <c r="A63" s="8" t="inlineStr">
        <is>
          <t>アルファード</t>
        </is>
      </c>
      <c r="B63" s="8" t="inlineStr">
        <is>
          <t>不明</t>
        </is>
      </c>
      <c r="C63" s="8" t="inlineStr">
        <is>
          <t>燃料装置</t>
        </is>
      </c>
      <c r="D63" s="11" t="n">
        <v>3</v>
      </c>
      <c r="E63" s="9" t="n">
        <v>1.1</v>
      </c>
      <c r="F63" s="11" t="n">
        <v>210000</v>
      </c>
      <c r="G63" s="8" t="n">
        <v>2003</v>
      </c>
      <c r="H63" s="8" t="n">
        <v>2005</v>
      </c>
      <c r="I63" s="14" t="inlineStr">
        <is>
          <t>CBA-ANH10W, DBA-ANH10W, UA-ANH15W</t>
        </is>
      </c>
      <c r="J63" s="14" t="inlineStr">
        <is>
          <t>[2020-06-21 UA-ANH15W 2003/05 210000km] ガソリンパイプのエア抜き管が錆びて腐食し、穴が開いていたため、ガソリンを満タンに給油したところ、ガソリンが漏れた。
[2018-11-06 CBA-ANH10W  240000km] フューエルフィラーパイプが腐食して穴が開いたため、給油時に燃料が漏れた。
[2017-02-02 DBA-ANH10W 2005/12 72633km] 燃料ポンプのモーターが停止したため、片側２車線道路の右車線で、減速中に突然エンジンが停止した。</t>
        </is>
      </c>
    </row>
    <row r="64">
      <c r="A64" s="13" t="inlineStr">
        <is>
          <t>アルファード</t>
        </is>
      </c>
      <c r="B64" s="13" t="inlineStr">
        <is>
          <t>不明</t>
        </is>
      </c>
      <c r="C64" s="13" t="inlineStr">
        <is>
          <t>緩衝装置</t>
        </is>
      </c>
      <c r="D64" s="15" t="n">
        <v>1</v>
      </c>
      <c r="E64" s="17" t="n">
        <v>0.4</v>
      </c>
      <c r="F64" s="15" t="n">
        <v>33000</v>
      </c>
      <c r="G64" s="13" t="n"/>
      <c r="H64" s="13" t="n"/>
      <c r="I64" s="14" t="inlineStr">
        <is>
          <t>TA-MNH10W</t>
        </is>
      </c>
      <c r="J64" s="14" t="inlineStr">
        <is>
          <t>[2008-01-21 TA-MNH10W  33000km] 車高調整式サスペンションのスプリング部分が、錆の影響により折損した。</t>
        </is>
      </c>
    </row>
    <row r="65">
      <c r="A65" s="8" t="inlineStr">
        <is>
          <t>ヴェルファイア</t>
        </is>
      </c>
      <c r="B65" s="8" t="inlineStr">
        <is>
          <t>（車種全体）</t>
        </is>
      </c>
      <c r="C65" s="8" t="inlineStr">
        <is>
          <t>車枠・車体</t>
        </is>
      </c>
      <c r="D65" s="11" t="n">
        <v>101</v>
      </c>
      <c r="E65" s="9" t="n">
        <v>36.1</v>
      </c>
      <c r="F65" s="11" t="n">
        <v>72000</v>
      </c>
      <c r="G65" s="8" t="n">
        <v>2008</v>
      </c>
      <c r="H65" s="8" t="n">
        <v>2019</v>
      </c>
      <c r="I65" s="14" t="inlineStr">
        <is>
          <t>-, DAA-ATH20, DAA-ATH20W, DAA-AYH30W, DBA-AGH30W, DBA-AGH35W, DBA-ANH20W, DBA-ANH25W, DBA-GGH20W, DBA-GGH20W-NFTSK, DBA-GGH25W</t>
        </is>
      </c>
      <c r="J65" s="14" t="inlineStr">
        <is>
          <t>[2026-06-26 DBA-AGH30W 2018/09 75000km] 洗車時ボンネットのメッキパーツが浮いているのを確認した。自身で外したら取り付け部すべて劣化のため割れていた。
[2026-05-19 DAA-AYH30W 2017/07 52900km] ルーフから雨漏りする。ディーラーで修理対応を受けているが再発を繰り返している。
[2026-03-26 DBA-AGH30W 2018/07 130000km] ボンネットに装飾されているメッキパーツ（ボンネットモール）の端が浮いていたので外してみたら、固定ピンを支える土台が粉砕していた。</t>
        </is>
      </c>
    </row>
    <row r="66">
      <c r="A66" s="13" t="inlineStr">
        <is>
          <t>ヴェルファイア</t>
        </is>
      </c>
      <c r="B66" s="13" t="inlineStr">
        <is>
          <t>（車種全体）</t>
        </is>
      </c>
      <c r="C66" s="13" t="inlineStr">
        <is>
          <t>エンジン</t>
        </is>
      </c>
      <c r="D66" s="15" t="n">
        <v>57</v>
      </c>
      <c r="E66" s="17" t="n">
        <v>20.4</v>
      </c>
      <c r="F66" s="15" t="n">
        <v>72600</v>
      </c>
      <c r="G66" s="13" t="n">
        <v>2008</v>
      </c>
      <c r="H66" s="13" t="n">
        <v>2019</v>
      </c>
      <c r="I66" s="14" t="inlineStr">
        <is>
          <t>ANH20W, DAA-ATH20W, DBA-AGH30W, DBA-AGH35W, DBA-AHN20W, DBA-ANH20, DBA-ANH20W, DBA-ANH25W, DBA-GGH25W, DBA-GGH30W, DBA20-ANH20W</t>
        </is>
      </c>
      <c r="J66" s="14" t="inlineStr">
        <is>
          <t>[2026-06-25 DBA-AGH35W 2015/12 72700km] エンジン故障、インテリジェントクリアランスソナー故障、プリクラッシュセーフティー故障の警告灯が点いた。【ＡＳＶ検索対象】
[2026-02-07 DBA-AGH35W 2019/03 109000km] エンジン直下にオイル漏れがあり、確認したところ、ミッションとエンジンの接合部分からエンジンオイルが漏れていた。
[2023-09-27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t>
        </is>
      </c>
    </row>
    <row r="67">
      <c r="A67" s="8" t="inlineStr">
        <is>
          <t>ヴェルファイア</t>
        </is>
      </c>
      <c r="B67" s="8" t="inlineStr">
        <is>
          <t>（車種全体）</t>
        </is>
      </c>
      <c r="C67" s="8" t="inlineStr">
        <is>
          <t>動力伝達</t>
        </is>
      </c>
      <c r="D67" s="11" t="n">
        <v>36</v>
      </c>
      <c r="E67" s="9" t="n">
        <v>12.9</v>
      </c>
      <c r="F67" s="11" t="n">
        <v>70000</v>
      </c>
      <c r="G67" s="8" t="n">
        <v>2000</v>
      </c>
      <c r="H67" s="8" t="n">
        <v>2026</v>
      </c>
      <c r="I67" s="14" t="inlineStr">
        <is>
          <t>3BA-AGH35W, 6AA-AAHH40W, ANH20, ANH20W, DBA-AGH30W, DBA-AGH35W, DBA-ANH20W, DBA-ANH25W, DBA-GGH20W, DBA-GGH25W</t>
        </is>
      </c>
      <c r="J67"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[2026-02-02 6AA-AAHH40W 2026/01 15km] ギアが上がらない症状が出て、その後、シフトアップセンサー異常の表示が出た。
[2025-07-22 DBA-AGH35W 2016/01 83000km] 走行中にトランスミッションから異音が発生した。ディーラーで確認した結果、載せ替えが必要と診断された。</t>
        </is>
      </c>
    </row>
    <row r="68">
      <c r="A68" s="13" t="inlineStr">
        <is>
          <t>ヴェルファイア</t>
        </is>
      </c>
      <c r="B68" s="13" t="inlineStr">
        <is>
          <t>（車種全体）</t>
        </is>
      </c>
      <c r="C68" s="13" t="inlineStr">
        <is>
          <t>保安灯火</t>
        </is>
      </c>
      <c r="D68" s="15" t="n">
        <v>20</v>
      </c>
      <c r="E68" s="17" t="n">
        <v>7.1</v>
      </c>
      <c r="F68" s="15" t="n">
        <v>27000</v>
      </c>
      <c r="G68" s="13" t="n">
        <v>2008</v>
      </c>
      <c r="H68" s="13" t="n">
        <v>2022</v>
      </c>
      <c r="I68" s="14" t="inlineStr">
        <is>
          <t>3BA-AGH30W, 3BA-AGH35W, DAA-AYH30W, DBA-AGH30W, DBA-AGH35W, DBA-AMH25W, DBA-ANH20W, DBA-ANH25W, DBA-GGH20W</t>
        </is>
      </c>
      <c r="J68" s="14" t="inlineStr">
        <is>
          <t>[2023-12-19 3BA-AGH30W 2022/10 ?km] 走行中にライトシステム故障・販売店へ確認というエラーが出てハイビームが使えなくなった。
[2023-09-15 DBA-ANH20W 2012/09 41100km] 車検の度にすれ違い用前照灯の検査で光度不足のため不合格となる。
[2023-06-07 DBA-AGH30W 2017/03 ?km] ワイパーを作動時にビビリ、ハネが酷い。</t>
        </is>
      </c>
    </row>
    <row r="69">
      <c r="A69" s="8" t="inlineStr">
        <is>
          <t>ヴェルファイア</t>
        </is>
      </c>
      <c r="B69" s="8" t="inlineStr">
        <is>
          <t>（車種全体）</t>
        </is>
      </c>
      <c r="C69" s="8" t="inlineStr">
        <is>
          <t>制動装置</t>
        </is>
      </c>
      <c r="D69" s="11" t="n">
        <v>19</v>
      </c>
      <c r="E69" s="9" t="n">
        <v>6.8</v>
      </c>
      <c r="F69" s="11" t="n">
        <v>43000</v>
      </c>
      <c r="G69" s="8" t="n">
        <v>2008</v>
      </c>
      <c r="H69" s="8" t="n">
        <v>2020</v>
      </c>
      <c r="I69" s="14" t="inlineStr">
        <is>
          <t>6AA-AYH30W, DAA-ATH20W, DAA-AYH30W, DBA-AGH35W, DBA-ANH20W, DBA-ANH25W, DBA-GGH20W, DBA-GGH25W</t>
        </is>
      </c>
      <c r="J69"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0">
      <c r="A70" s="13" t="inlineStr">
        <is>
          <t>ヴェルファイア</t>
        </is>
      </c>
      <c r="B70" s="13" t="inlineStr">
        <is>
          <t>（車種全体）</t>
        </is>
      </c>
      <c r="C70" s="13" t="inlineStr">
        <is>
          <t>かじ取り</t>
        </is>
      </c>
      <c r="D70" s="15" t="n">
        <v>15</v>
      </c>
      <c r="E70" s="17" t="n">
        <v>5.4</v>
      </c>
      <c r="F70" s="15" t="n">
        <v>53800</v>
      </c>
      <c r="G70" s="13" t="n">
        <v>2008</v>
      </c>
      <c r="H70" s="13" t="n">
        <v>2025</v>
      </c>
      <c r="I70" s="14" t="inlineStr">
        <is>
          <t>6AA-AAHH45W, DAA-ATH20W, DBA-ANH20W, DBA-GGH20W</t>
        </is>
      </c>
      <c r="J7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
[2022-10-08 DBA-ANH20W 2012/02 88000km] ハンドルを切るとコッ！コッ！コッ！との音が酷くなった。ディーラーでステアリングのインタミディエイトシャフトのギザギザ部分が減っていると診断された。</t>
        </is>
      </c>
    </row>
    <row r="71">
      <c r="A71" s="8" t="inlineStr">
        <is>
          <t>ヴェルファイア</t>
        </is>
      </c>
      <c r="B71" s="8" t="inlineStr">
        <is>
          <t>（車種全体）</t>
        </is>
      </c>
      <c r="C71" s="8" t="inlineStr">
        <is>
          <t>乗車装置</t>
        </is>
      </c>
      <c r="D71" s="11" t="n">
        <v>14</v>
      </c>
      <c r="E71" s="9" t="n">
        <v>5</v>
      </c>
      <c r="F71" s="11" t="n">
        <v>22000</v>
      </c>
      <c r="G71" s="8" t="n">
        <v>2008</v>
      </c>
      <c r="H71" s="8" t="n">
        <v>2020</v>
      </c>
      <c r="I71" s="14" t="inlineStr">
        <is>
          <t>6AA-AYH30W, DAA-AYH30W, DBA-AGH30W, DBA-ANH20W</t>
        </is>
      </c>
      <c r="J71" s="14" t="inlineStr">
        <is>
          <t>[2022-04-14 DBA-ANH20W 2014/03 82300km] ドアロック装置の故障により、開錠操作をすると音だけがしてドアが開かない。
[2020-09-21 DBA-AGH30W 2017/07 38800km] 発進時とブレーキを踏んだ時にスライドドア左からカクッ、コトッという音が頻繁に鳴るようになった。
[2020-06-26 6AA-AYH30W 2020/02 ?km] 左後部スライドドアの電動ステップが助手席側に出るため、助手席側に立っている人に当たる。</t>
        </is>
      </c>
    </row>
    <row r="72">
      <c r="A72" s="13" t="inlineStr">
        <is>
          <t>ヴェルファイア</t>
        </is>
      </c>
      <c r="B72" s="13" t="inlineStr">
        <is>
          <t>（車種全体）</t>
        </is>
      </c>
      <c r="C72" s="13" t="inlineStr">
        <is>
          <t>その他</t>
        </is>
      </c>
      <c r="D72" s="15" t="n">
        <v>11</v>
      </c>
      <c r="E72" s="17" t="n">
        <v>3.9</v>
      </c>
      <c r="F72" s="15" t="n">
        <v>14500</v>
      </c>
      <c r="G72" s="13" t="n">
        <v>2009</v>
      </c>
      <c r="H72" s="13" t="n">
        <v>2025</v>
      </c>
      <c r="I72" s="14" t="inlineStr">
        <is>
          <t>6AA-AAHH40W, AGH35W, DAA-AYH30W, DBA-AGH35W, DBA-ANH20W, DBA-GGH20W, DBA-GGH20W改, DBA-GGH25W</t>
        </is>
      </c>
      <c r="J72" s="14" t="inlineStr">
        <is>
          <t>[2025-12-26 6AA-AAHH40W 2025/08 ?km] 走行中にメーターパネルが真っ白になり、速度計、燃料計など全て情報が確認できなくなった。
[2017-10-26 DBA-AGH35W 2017/04 9000km] 雨降り時バックカメラに水滴がつき、モニター画面がはっきり見えない。
[2017-10-26 DBA-AGH35W 2017/04 9000km] 工具入れの蓋の爪がすぐ折れる。</t>
        </is>
      </c>
    </row>
    <row r="73">
      <c r="A73" s="8" t="inlineStr">
        <is>
          <t>ヴェルファイア</t>
        </is>
      </c>
      <c r="B73" s="8" t="inlineStr">
        <is>
          <t>（車種全体）</t>
        </is>
      </c>
      <c r="C73" s="8" t="inlineStr">
        <is>
          <t>電気装置</t>
        </is>
      </c>
      <c r="D73" s="11" t="n">
        <v>3</v>
      </c>
      <c r="E73" s="9" t="n">
        <v>1.1</v>
      </c>
      <c r="F73" s="11" t="n">
        <v>63000</v>
      </c>
      <c r="G73" s="8" t="n">
        <v>2008</v>
      </c>
      <c r="H73" s="8" t="n">
        <v>2009</v>
      </c>
      <c r="I73" s="14" t="inlineStr">
        <is>
          <t>DBA-ANH20W, DBA-GGH25W, DBA-ZNH20W</t>
        </is>
      </c>
      <c r="J73"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74">
      <c r="A74" s="13" t="inlineStr">
        <is>
          <t>ヴェルファイア</t>
        </is>
      </c>
      <c r="B74" s="13" t="inlineStr">
        <is>
          <t>（車種全体）</t>
        </is>
      </c>
      <c r="C74" s="13" t="inlineStr">
        <is>
          <t>排ｶﾞｽ･騒音</t>
        </is>
      </c>
      <c r="D74" s="15" t="n">
        <v>2</v>
      </c>
      <c r="E74" s="17" t="n">
        <v>0.7</v>
      </c>
      <c r="F74" s="15" t="n">
        <v>22000</v>
      </c>
      <c r="G74" s="13" t="n">
        <v>2010</v>
      </c>
      <c r="H74" s="13" t="n">
        <v>2010</v>
      </c>
      <c r="I74" s="14" t="inlineStr">
        <is>
          <t>DBA-ANH20W, DBA-GGH25W</t>
        </is>
      </c>
      <c r="J74"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75">
      <c r="A75" s="8" t="inlineStr">
        <is>
          <t>ヴェルファイア</t>
        </is>
      </c>
      <c r="B75" s="8" t="inlineStr">
        <is>
          <t>（車種全体）</t>
        </is>
      </c>
      <c r="C75" s="8" t="inlineStr">
        <is>
          <t>走行装置</t>
        </is>
      </c>
      <c r="D75" s="11" t="n">
        <v>2</v>
      </c>
      <c r="E75" s="9" t="n">
        <v>0.7</v>
      </c>
      <c r="F75" s="11" t="n">
        <v>10263</v>
      </c>
      <c r="G75" s="8" t="n">
        <v>2010</v>
      </c>
      <c r="H75" s="8" t="n">
        <v>2026</v>
      </c>
      <c r="I75" s="14" t="inlineStr">
        <is>
          <t>-, DBA-AMH20W</t>
        </is>
      </c>
      <c r="J75" s="14" t="inlineStr">
        <is>
          <t>[2026-06-01 - 2026/03 ?km] 純正ホイールを車両に装着していない状態で受け取ったところ、裏側のリムに傷がついたものが納品された。
[2011-04-22 DBA-AMH20W 2010/10 10263km] タイヤ交換を自分で行った際に、手締めでボルトを締め付けたところ、クリップボルトが折損した。</t>
        </is>
      </c>
    </row>
    <row r="76">
      <c r="A76" s="13" t="inlineStr">
        <is>
          <t>ヴェルファイア</t>
        </is>
      </c>
      <c r="B76" s="13" t="inlineStr">
        <is>
          <t>20系</t>
        </is>
      </c>
      <c r="C76" s="13" t="inlineStr">
        <is>
          <t>車枠・車体</t>
        </is>
      </c>
      <c r="D76" s="15" t="n">
        <v>77</v>
      </c>
      <c r="E76" s="17" t="n">
        <v>40.1</v>
      </c>
      <c r="F76" s="15" t="n">
        <v>72000</v>
      </c>
      <c r="G76" s="13" t="n">
        <v>2008</v>
      </c>
      <c r="H76" s="13" t="n">
        <v>2014</v>
      </c>
      <c r="I76" s="14" t="inlineStr">
        <is>
          <t>-, DAA-ATH20, DAA-ATH20W, DBA-ANH20W, DBA-ANH25W, DBA-GGH20W, DBA-GGH20W-NFTSK, DBA-GGH25W</t>
        </is>
      </c>
      <c r="J76" s="14" t="inlineStr">
        <is>
          <t>[2025-11-27 DBA-ANH20W 2012/07 200000km] ダッシュボードが熱の影響で広範囲に渡り溶けて表面がテカリ、光を反射してフロントガラスに映り込むようになり、運転中の視界が悪くなった。
[2025-03-13 DBA-ANH20W 2008/10 150000km] 屋根、ボンネットの塗装が剥がれた。
[2025-03-13 DBA-ANH20W 2008/10 150000km] サンルーフの排水溝が詰まって雨漏りした。</t>
        </is>
      </c>
    </row>
    <row r="77">
      <c r="A77" s="8" t="inlineStr">
        <is>
          <t>ヴェルファイア</t>
        </is>
      </c>
      <c r="B77" s="8" t="inlineStr">
        <is>
          <t>20系</t>
        </is>
      </c>
      <c r="C77" s="8" t="inlineStr">
        <is>
          <t>エンジン</t>
        </is>
      </c>
      <c r="D77" s="11" t="n">
        <v>46</v>
      </c>
      <c r="E77" s="9" t="n">
        <v>24</v>
      </c>
      <c r="F77" s="11" t="n">
        <v>72700</v>
      </c>
      <c r="G77" s="8" t="n">
        <v>2008</v>
      </c>
      <c r="H77" s="8" t="n">
        <v>2014</v>
      </c>
      <c r="I77" s="14" t="inlineStr">
        <is>
          <t>DAA-ATH20W, DBA-AHN20W, DBA-ANH20, DBA-ANH20W, DBA-ANH25W, DBA-GGH25W, DBA20-ANH20W</t>
        </is>
      </c>
      <c r="J77" s="14" t="inlineStr">
        <is>
          <t>[2023-09-27 DBA-ANH25W 2014/06 110000km] 高速道路を走行中に異音がし、エンジンが停止した。インターの付近であったため、路肩まではなんとか惰性で移動させることができた。何度かエンジンをかけ直すことで再びかかったが、ガシャガシャと異音が継続していたため危険だと思いディーラーにレッカー搬送をした。検査の結果、原因はオイルをエンジンに循環させるギアが腐食して破損していると判った。
[2023-05-31 DBA-ANH20W 2010/07 124094km] メーターパネルにオイル警告ランプがついたため、整備工場で確認したところ、エンジンオイルが７００ｍｌしか排出されなかった。ディーラーへ相談した結果、オイル下がりと診断された。
[2023-01-27 DBA-ANH20W 2014/04 80000km] エンジンオイルの消費量が激しく、３か月で０．８Ｌ消費した。</t>
        </is>
      </c>
    </row>
    <row r="78">
      <c r="A78" s="13" t="inlineStr">
        <is>
          <t>ヴェルファイア</t>
        </is>
      </c>
      <c r="B78" s="13" t="inlineStr">
        <is>
          <t>20系</t>
        </is>
      </c>
      <c r="C78" s="13" t="inlineStr">
        <is>
          <t>制動装置</t>
        </is>
      </c>
      <c r="D78" s="15" t="n">
        <v>14</v>
      </c>
      <c r="E78" s="17" t="n">
        <v>7.3</v>
      </c>
      <c r="F78" s="15" t="n">
        <v>63000</v>
      </c>
      <c r="G78" s="13" t="n">
        <v>2008</v>
      </c>
      <c r="H78" s="13" t="n">
        <v>2013</v>
      </c>
      <c r="I78" s="14" t="inlineStr">
        <is>
          <t>DAA-ATH20W, DBA-ANH20W, DBA-ANH25W, DBA-GGH20W, DBA-GGH25W</t>
        </is>
      </c>
      <c r="J78" s="14" t="inlineStr">
        <is>
          <t>[2023-03-24 DAA-ATH20W 2012/08 94500km] ブレーキペダルを踏むと フロント側からカチカチ音がする。ブレーキアクチュエーターを交換したが解消していない。
[2022-06-19 DBA-ANH20W 2013/04 65000km] ２～３日車に乗らなかったらブレーキが固くなる。ハンドルの奥でコトコト鳴ってる気がする。
[2020-12-14 DAA-ATH20W 2013/05 225400km] ブレーキアクチュエーターの故障により、走行中に警告音がなり、ブレーキの効きが悪くなった。</t>
        </is>
      </c>
    </row>
    <row r="79">
      <c r="A79" s="8" t="inlineStr">
        <is>
          <t>ヴェルファイア</t>
        </is>
      </c>
      <c r="B79" s="8" t="inlineStr">
        <is>
          <t>20系</t>
        </is>
      </c>
      <c r="C79" s="8" t="inlineStr">
        <is>
          <t>かじ取り</t>
        </is>
      </c>
      <c r="D79" s="11" t="n">
        <v>13</v>
      </c>
      <c r="E79" s="9" t="n">
        <v>6.8</v>
      </c>
      <c r="F79" s="11" t="n">
        <v>55000</v>
      </c>
      <c r="G79" s="8" t="n">
        <v>2008</v>
      </c>
      <c r="H79" s="8" t="n">
        <v>2014</v>
      </c>
      <c r="I79" s="14" t="inlineStr">
        <is>
          <t>DAA-ATH20W, DBA-ANH20W, DBA-GGH20W</t>
        </is>
      </c>
      <c r="J79" s="14" t="inlineStr">
        <is>
          <t>[2022-10-08 DBA-ANH20W 2012/02 88000km] ハンドルを切るとコッ！コッ！コッ！との音が酷くなった。ディーラーでステアリングのインタミディエイトシャフトのギザギザ部分が減っていると診断された。
[2021-05-21 DBA-GGH20W 2009/01 ?km] ハンドルの奥からコトコトと異音がある。
[2021-04-29 DAA-ATH20W 2014/01 53000km] ステアリングコラムの不良により、段差を走行時、ステアリングにガタつきが生じる。</t>
        </is>
      </c>
    </row>
    <row r="80">
      <c r="A80" s="13" t="inlineStr">
        <is>
          <t>ヴェルファイア</t>
        </is>
      </c>
      <c r="B80" s="13" t="inlineStr">
        <is>
          <t>20系</t>
        </is>
      </c>
      <c r="C80" s="13" t="inlineStr">
        <is>
          <t>動力伝達</t>
        </is>
      </c>
      <c r="D80" s="15" t="n">
        <v>13</v>
      </c>
      <c r="E80" s="17" t="n">
        <v>6.8</v>
      </c>
      <c r="F80" s="15" t="n">
        <v>70000</v>
      </c>
      <c r="G80" s="13" t="n">
        <v>2008</v>
      </c>
      <c r="H80" s="13" t="n">
        <v>2012</v>
      </c>
      <c r="I80" s="14" t="inlineStr">
        <is>
          <t>ANH20, ANH20W, DBA-ANH20W, DBA-ANH25W, DBA-GGH25W</t>
        </is>
      </c>
      <c r="J80" s="14" t="inlineStr">
        <is>
          <t>[2024-10-29 DBA-ANH20W 2009/08 170000km] ＣＶＴの不良により、ギアを入れたときにガタンと強い衝撃が発生したり、一旦停止時にエンストする症状が出るようになった。
[2020-04-06 DBA-ANH20W 2011/12 ?km] 信号待ちからブレーキペダルを離したところ、スムーズに発進せず、後ろから追突されたような衝撃がでる。
[2017-12-18 DBA-GGH25W 2012/07 43000km] 信号待ちでＤレンジにて、停車していると２～３秒後にエンジン回転数があがり、後ろからぶつけられたようなショックがくる。ちょうどブレーキを離すタイミングだと前に飛び出す感じになる。</t>
        </is>
      </c>
    </row>
    <row r="81">
      <c r="A81" s="8" t="inlineStr">
        <is>
          <t>ヴェルファイア</t>
        </is>
      </c>
      <c r="B81" s="8" t="inlineStr">
        <is>
          <t>20系</t>
        </is>
      </c>
      <c r="C81" s="8" t="inlineStr">
        <is>
          <t>保安灯火</t>
        </is>
      </c>
      <c r="D81" s="11" t="n">
        <v>12</v>
      </c>
      <c r="E81" s="9" t="n">
        <v>6.2</v>
      </c>
      <c r="F81" s="11" t="n">
        <v>37100</v>
      </c>
      <c r="G81" s="8" t="n">
        <v>2008</v>
      </c>
      <c r="H81" s="8" t="n">
        <v>2014</v>
      </c>
      <c r="I81" s="14" t="inlineStr">
        <is>
          <t>DBA-AMH25W, DBA-ANH20W, DBA-ANH25W, DBA-GGH20W</t>
        </is>
      </c>
      <c r="J81" s="14" t="inlineStr">
        <is>
          <t>[2023-09-15 DBA-ANH20W 2012/09 41100km] 車検の度にすれ違い用前照灯の検査で光度不足のため不合格となる。
[2023-05-18 DBA-ANH25W 2014/02 26000km] ロービームのプロジェクタレンズが曇り、照度が低下して車検が通らなくなった。
[2020-12-04 DBA-ANH20W 2010/10 37100km] ２０１５年８月頃に左外側のテールランプ内に浸水があった。２０１８年１２月頃に右外側のテールランプ内に浸水があった。２度とも購入店より車検に通らないので交換するよう言われた。</t>
        </is>
      </c>
    </row>
    <row r="82">
      <c r="A82" s="13" t="inlineStr">
        <is>
          <t>ヴェルファイア</t>
        </is>
      </c>
      <c r="B82" s="13" t="inlineStr">
        <is>
          <t>20系</t>
        </is>
      </c>
      <c r="C82" s="13" t="inlineStr">
        <is>
          <t>乗車装置</t>
        </is>
      </c>
      <c r="D82" s="15" t="n">
        <v>7</v>
      </c>
      <c r="E82" s="17" t="n">
        <v>3.6</v>
      </c>
      <c r="F82" s="15" t="n">
        <v>50900</v>
      </c>
      <c r="G82" s="13" t="n">
        <v>2008</v>
      </c>
      <c r="H82" s="13" t="n">
        <v>2014</v>
      </c>
      <c r="I82" s="14" t="inlineStr">
        <is>
          <t>DBA-ANH20W</t>
        </is>
      </c>
      <c r="J82" s="14" t="inlineStr">
        <is>
          <t>[2022-04-14 DBA-ANH20W 2014/03 82300km] ドアロック装置の故障により、開錠操作をすると音だけがしてドアが開かない。
[2016-09-03 DBA-ANH20W 2008/06 50900km] 自動スライドドアのモーター不良により、ドアを開けている時に勝手に閉まったため、子供が挟まれた。
[2015-07-08 DBA-ANH20W 2014/01 20000km] サイドリフトアップシート装着車で、リフトアップシートがスイッチを操作しても降りてこなくなる。ディーラーに何度も入庫し、シート一式の交換を行ってもらったこともあるが、症状が解消しない。</t>
        </is>
      </c>
    </row>
    <row r="83">
      <c r="A83" s="8" t="inlineStr">
        <is>
          <t>ヴェルファイア</t>
        </is>
      </c>
      <c r="B83" s="8" t="inlineStr">
        <is>
          <t>20系</t>
        </is>
      </c>
      <c r="C83" s="8" t="inlineStr">
        <is>
          <t>その他</t>
        </is>
      </c>
      <c r="D83" s="11" t="n">
        <v>4</v>
      </c>
      <c r="E83" s="9" t="n">
        <v>2.1</v>
      </c>
      <c r="F83" s="11" t="n">
        <v>21291</v>
      </c>
      <c r="G83" s="8" t="n">
        <v>2009</v>
      </c>
      <c r="H83" s="8" t="n">
        <v>2009</v>
      </c>
      <c r="I83" s="14" t="inlineStr">
        <is>
          <t>DBA-ANH20W, DBA-GGH20W, DBA-GGH20W改, DBA-GGH25W</t>
        </is>
      </c>
      <c r="J83" s="14" t="inlineStr">
        <is>
          <t>[2015-01-19 DBA-GGH20W 2009/08 ?km] 純正オプションの地図データ自動更新機能付のＨＤＤナビゲーションで、プログラムの不良により自動更新が行われなくなった。
[2011-09-04 DBA-GGH20W改 2009/05 21291km] 車椅子の乗降ウインチが故障し、動かなくなった。
[2010-08-09 DBA-ANH20W 2009/09 ?km] バックモニターのガイドラインが車体と全く違うところに表示された。</t>
        </is>
      </c>
    </row>
    <row r="84">
      <c r="A84" s="13" t="inlineStr">
        <is>
          <t>ヴェルファイア</t>
        </is>
      </c>
      <c r="B84" s="13" t="inlineStr">
        <is>
          <t>20系</t>
        </is>
      </c>
      <c r="C84" s="13" t="inlineStr">
        <is>
          <t>電気装置</t>
        </is>
      </c>
      <c r="D84" s="15" t="n">
        <v>3</v>
      </c>
      <c r="E84" s="17" t="n">
        <v>1.6</v>
      </c>
      <c r="F84" s="15" t="n">
        <v>63000</v>
      </c>
      <c r="G84" s="13" t="n">
        <v>2008</v>
      </c>
      <c r="H84" s="13" t="n">
        <v>2009</v>
      </c>
      <c r="I84" s="14" t="inlineStr">
        <is>
          <t>DBA-ANH20W, DBA-GGH25W, DBA-ZNH20W</t>
        </is>
      </c>
      <c r="J84" s="14" t="inlineStr">
        <is>
          <t>[2012-12-12 DBA-ZNH20W 2008/06 63000km] 点火コイルの不良により、高速道路走行中にエンジンがゴトゴト振動して出力低下し、車両全体が振動した。
[2012-01-13 DBA-GGH25W 2009/03 29000km] オルタネータが故障したため、メーター内の警告灯が全て点灯し、同時にパワーステアリングも利かなくなった。
[2009-03-11 DBA-ANH20W 2008/12 ?km] 車幅灯のカプラー部が焼損した。</t>
        </is>
      </c>
    </row>
    <row r="85">
      <c r="A85" s="8" t="inlineStr">
        <is>
          <t>ヴェルファイア</t>
        </is>
      </c>
      <c r="B85" s="8" t="inlineStr">
        <is>
          <t>20系</t>
        </is>
      </c>
      <c r="C85" s="8" t="inlineStr">
        <is>
          <t>排ｶﾞｽ･騒音</t>
        </is>
      </c>
      <c r="D85" s="11" t="n">
        <v>2</v>
      </c>
      <c r="E85" s="9" t="n">
        <v>1</v>
      </c>
      <c r="F85" s="11" t="n">
        <v>22000</v>
      </c>
      <c r="G85" s="8" t="n">
        <v>2010</v>
      </c>
      <c r="H85" s="8" t="n">
        <v>2010</v>
      </c>
      <c r="I85" s="14" t="inlineStr">
        <is>
          <t>DBA-ANH20W, DBA-GGH25W</t>
        </is>
      </c>
      <c r="J85" s="14" t="inlineStr">
        <is>
          <t>[2017-04-01 DBA-ANH20W 2010/05 22000km] エキゾーストパイプガスケットの不良により、エンジン回転数が１５００ｒｐｍでエンジンルームからキュルキュルと異音が出る。
[2010-04-09 DBA-GGH25W 2010/02 1000km] 購入から１ヶ月で酸素センサーが故障し、全ての警告灯が一斉に点灯した。</t>
        </is>
      </c>
    </row>
    <row r="86">
      <c r="A86" s="13" t="inlineStr">
        <is>
          <t>ヴェルファイア</t>
        </is>
      </c>
      <c r="B86" s="13" t="inlineStr">
        <is>
          <t>20系</t>
        </is>
      </c>
      <c r="C86" s="13" t="inlineStr">
        <is>
          <t>走行装置</t>
        </is>
      </c>
      <c r="D86" s="15" t="n">
        <v>1</v>
      </c>
      <c r="E86" s="17" t="n">
        <v>0.5</v>
      </c>
      <c r="F86" s="15" t="n">
        <v>10263</v>
      </c>
      <c r="G86" s="13" t="n">
        <v>2010</v>
      </c>
      <c r="H86" s="13" t="n">
        <v>2010</v>
      </c>
      <c r="I86" s="14" t="inlineStr">
        <is>
          <t>DBA-AMH20W</t>
        </is>
      </c>
      <c r="J86" s="14" t="inlineStr">
        <is>
          <t>[2011-04-22 DBA-AMH20W 2010/10 10263km] タイヤ交換を自分で行った際に、手締めでボルトを締め付けたところ、クリップボルトが折損した。</t>
        </is>
      </c>
    </row>
    <row r="87">
      <c r="A87" s="8" t="inlineStr">
        <is>
          <t>ヴェルファイア</t>
        </is>
      </c>
      <c r="B87" s="8" t="inlineStr">
        <is>
          <t>30系前期</t>
        </is>
      </c>
      <c r="C87" s="8" t="inlineStr">
        <is>
          <t>動力伝達</t>
        </is>
      </c>
      <c r="D87" s="11" t="n">
        <v>17</v>
      </c>
      <c r="E87" s="9" t="n">
        <v>34.7</v>
      </c>
      <c r="F87" s="11" t="n">
        <v>76000</v>
      </c>
      <c r="G87" s="8" t="n">
        <v>2015</v>
      </c>
      <c r="H87" s="8" t="n">
        <v>2017</v>
      </c>
      <c r="I87" s="14" t="inlineStr">
        <is>
          <t>DBA-AGH30W, DBA-AGH35W</t>
        </is>
      </c>
      <c r="J87" s="14" t="inlineStr">
        <is>
          <t>[2025-07-22 DBA-AGH35W 2016/01 83000km] 走行中にトランスミッションから異音が発生した。ディーラーで確認した結果、載せ替えが必要と診断された。
[2025-06-18 DBA-AGH35W 2016/02 152700km] ＣＶＴのベアリング不良によりキーという異音がするようになった。
[2025-01-27 DBA-AGH30W 2017/01 76000km] ＣＶＴのベアリング不良により、ウイーンとモーターのような異音が出るようになった。</t>
        </is>
      </c>
    </row>
    <row r="88">
      <c r="A88" s="13" t="inlineStr">
        <is>
          <t>ヴェルファイア</t>
        </is>
      </c>
      <c r="B88" s="13" t="inlineStr">
        <is>
          <t>30系前期</t>
        </is>
      </c>
      <c r="C88" s="13" t="inlineStr">
        <is>
          <t>車枠・車体</t>
        </is>
      </c>
      <c r="D88" s="15" t="n">
        <v>10</v>
      </c>
      <c r="E88" s="17" t="n">
        <v>20.4</v>
      </c>
      <c r="F88" s="15" t="n">
        <v>52900</v>
      </c>
      <c r="G88" s="13" t="n">
        <v>2015</v>
      </c>
      <c r="H88" s="13" t="n">
        <v>2017</v>
      </c>
      <c r="I88" s="14" t="inlineStr">
        <is>
          <t>DAA-AYH30W, DBA-AGH30W, DBA-ANH25W</t>
        </is>
      </c>
      <c r="J88" s="14" t="inlineStr">
        <is>
          <t>[2026-05-19 DAA-AYH30W 2017/07 52900km] ルーフから雨漏りする。ディーラーで修理対応を受けているが再発を繰り返している。
[2026-03-11 DBA-AGH30W 2016/09 90900km] 国５６０２－２の対象外とされている車両で、ボンネットモールディングが変形して亀裂や緩みが生じている。
[2026-02-19 DBA-AGH30W 2017/04 99000km] 数か月前からフードモールの運転席側が浮いていたが、その後１月に脱落した。</t>
        </is>
      </c>
    </row>
    <row r="89">
      <c r="A89" s="8" t="inlineStr">
        <is>
          <t>ヴェルファイア</t>
        </is>
      </c>
      <c r="B89" s="8" t="inlineStr">
        <is>
          <t>30系前期</t>
        </is>
      </c>
      <c r="C89" s="8" t="inlineStr">
        <is>
          <t>その他</t>
        </is>
      </c>
      <c r="D89" s="11" t="n">
        <v>5</v>
      </c>
      <c r="E89" s="9" t="n">
        <v>10.2</v>
      </c>
      <c r="F89" s="11" t="n">
        <v>22000</v>
      </c>
      <c r="G89" s="8" t="n">
        <v>2015</v>
      </c>
      <c r="H89" s="8" t="n">
        <v>2017</v>
      </c>
      <c r="I89" s="14" t="inlineStr">
        <is>
          <t>DAA-AYH30W, DBA-AGH35W</t>
        </is>
      </c>
      <c r="J89" s="14" t="inlineStr">
        <is>
          <t>[2017-10-26 DBA-AGH35W 2017/04 9000km] 雨降り時バックカメラに水滴がつき、モニター画面がはっきり見えない。
[2017-10-26 DBA-AGH35W 2017/04 9000km] 工具入れの蓋の爪がすぐ折れる。
[2017-07-08 DAA-AYH30W 2016/05 22000km] キーが車内にあるにも係わらず、キーが無い時の警報が鳴ってしまうようになった。</t>
        </is>
      </c>
    </row>
    <row r="90">
      <c r="A90" s="13" t="inlineStr">
        <is>
          <t>ヴェルファイア</t>
        </is>
      </c>
      <c r="B90" s="13" t="inlineStr">
        <is>
          <t>30系前期</t>
        </is>
      </c>
      <c r="C90" s="13" t="inlineStr">
        <is>
          <t>エンジン</t>
        </is>
      </c>
      <c r="D90" s="15" t="n">
        <v>5</v>
      </c>
      <c r="E90" s="17" t="n">
        <v>10.2</v>
      </c>
      <c r="F90" s="15" t="n">
        <v>54000</v>
      </c>
      <c r="G90" s="13" t="n">
        <v>2015</v>
      </c>
      <c r="H90" s="13" t="n">
        <v>2017</v>
      </c>
      <c r="I90" s="14" t="inlineStr">
        <is>
          <t>DBA-AGH30W, DBA-AGH35W, DBA-GGH30W</t>
        </is>
      </c>
      <c r="J90" s="14" t="inlineStr">
        <is>
          <t>[2026-06-25 DBA-AGH35W 2015/12 72700km] エンジン故障、インテリジェントクリアランスソナー故障、プリクラッシュセーフティー故障の警告灯が点いた。【ＡＳＶ検索対象】
[2022-04-21 DBA-AGH35W 2015/03 54000km] 点検時にエンジンリヤオイルシールからのオイル漏れが発見された。
[2021-01-18 DBA-GGH30W 2015/06 39210km] エンジンコントロールコンピュータの不良により、走行中に何の前触れもなくエンジンが停止し、交差点の真ん中で停まった。</t>
        </is>
      </c>
    </row>
    <row r="91">
      <c r="A91" s="8" t="inlineStr">
        <is>
          <t>ヴェルファイア</t>
        </is>
      </c>
      <c r="B91" s="8" t="inlineStr">
        <is>
          <t>30系前期</t>
        </is>
      </c>
      <c r="C91" s="8" t="inlineStr">
        <is>
          <t>保安灯火</t>
        </is>
      </c>
      <c r="D91" s="11" t="n">
        <v>5</v>
      </c>
      <c r="E91" s="9" t="n">
        <v>10.2</v>
      </c>
      <c r="F91" s="11" t="n">
        <v>22000</v>
      </c>
      <c r="G91" s="8" t="n">
        <v>2015</v>
      </c>
      <c r="H91" s="8" t="n">
        <v>2017</v>
      </c>
      <c r="I91" s="14" t="inlineStr">
        <is>
          <t>DAA-AYH30W, DBA-AGH30W, DBA-AGH35W</t>
        </is>
      </c>
      <c r="J91" s="14" t="inlineStr">
        <is>
          <t>[2023-06-07 DBA-AGH30W 2017/03 ?km] ワイパーを作動時にビビリ、ハネが酷い。
[2017-10-26 DBA-AGH35W 2017/04 9000km] 補助確認装置の角度調節が出来ず、前方、及び側面が確認出来ない。
[2017-07-08 DAA-AYH30W 2016/05 22000km] フロントワイパーよりビリビリと軋み音がするようになった。</t>
        </is>
      </c>
    </row>
    <row r="92">
      <c r="A92" s="13" t="inlineStr">
        <is>
          <t>ヴェルファイア</t>
        </is>
      </c>
      <c r="B92" s="13" t="inlineStr">
        <is>
          <t>30系前期</t>
        </is>
      </c>
      <c r="C92" s="13" t="inlineStr">
        <is>
          <t>乗車装置</t>
        </is>
      </c>
      <c r="D92" s="15" t="n">
        <v>4</v>
      </c>
      <c r="E92" s="17" t="n">
        <v>8.199999999999999</v>
      </c>
      <c r="F92" s="15" t="n">
        <v>22000</v>
      </c>
      <c r="G92" s="13" t="n">
        <v>2016</v>
      </c>
      <c r="H92" s="13" t="n">
        <v>2017</v>
      </c>
      <c r="I92" s="14" t="inlineStr">
        <is>
          <t>DAA-AYH30W, DBA-AGH30W</t>
        </is>
      </c>
      <c r="J92" s="14" t="inlineStr">
        <is>
          <t>[2020-09-21 DBA-AGH30W 2017/07 38800km] 発進時とブレーキを踏んだ時にスライドドア左からカクッ、コトッという音が頻繁に鳴るようになった。
[2017-07-08 DAA-AYH30W 2016/05 22000km] ２列目右シート稼働時にゴーと異音がするようになった。２列目右シートのオットマンが床に付いてしまい、オットマンを収納出来なくなってしまった。運転席パワーシートよりガクガクと異音がするようになった。プッシュスタートボタンを押しても運転席シートがメモリ通りに動かない事が度々起こるようになった。
[2017-07-08 DAA-AYH30W 2016/05 22000km] リアバックドア開閉時にギシギシと異音がするようになった。リアバックドアがクローズボタンを押しても自動で閉まらなくなってしまった。左側セカンドドア窓付近よりコトコトと異音がするようになった。右側セカドドアのロックが外れなくなってしまった。</t>
        </is>
      </c>
    </row>
    <row r="93">
      <c r="A93" s="8" t="inlineStr">
        <is>
          <t>ヴェルファイア</t>
        </is>
      </c>
      <c r="B93" s="8" t="inlineStr">
        <is>
          <t>30系前期</t>
        </is>
      </c>
      <c r="C93" s="8" t="inlineStr">
        <is>
          <t>制動装置</t>
        </is>
      </c>
      <c r="D93" s="11" t="n">
        <v>3</v>
      </c>
      <c r="E93" s="9" t="n">
        <v>6.1</v>
      </c>
      <c r="F93" s="11" t="n">
        <v>25000</v>
      </c>
      <c r="G93" s="8" t="n">
        <v>2016</v>
      </c>
      <c r="H93" s="8" t="n">
        <v>2016</v>
      </c>
      <c r="I93" s="14" t="inlineStr">
        <is>
          <t>DAA-AYH30W, DBA-AGH35W</t>
        </is>
      </c>
      <c r="J93" s="14" t="inlineStr">
        <is>
          <t>[2019-11-07 DAA-AYH30W 2016/05 34450km] 前輪のブレーキキャリパーの不良により、ブレーキパッドの減りが著しく偏り、内側のパッドが７～８割残っているにも関わらず、外側のパッドが完全に磨滅し、パッドが脱落してしまった。また、この車両の前輪ブレーキパッドのウェアインジケータは、内側にしか付いておらず、外側パッドが摩耗しても異音が出ない状態だった。
[2018-02-25 DBA-AGH35W 2016/02 25000km] 気温がマイナス５度以下で長時間停車しておくと自動パーキングが固着し、再始動した時に、バンと異音が発生してブレーキパッドが無理やり剥がれるような解除をして車が動き出す。
[2017-07-08 DAA-AYH30W 2016/05 22000km] ギアをＤレンジに入れても自動パーキングブレーキが解除されなかった。</t>
        </is>
      </c>
    </row>
    <row r="94">
      <c r="A94" s="13" t="inlineStr">
        <is>
          <t>ヴェルファイア</t>
        </is>
      </c>
      <c r="B94" s="13" t="inlineStr">
        <is>
          <t>30系後期</t>
        </is>
      </c>
      <c r="C94" s="13" t="inlineStr">
        <is>
          <t>車枠・車体</t>
        </is>
      </c>
      <c r="D94" s="15" t="n">
        <v>5</v>
      </c>
      <c r="E94" s="17" t="n">
        <v>33.3</v>
      </c>
      <c r="F94" s="15" t="n">
        <v>75000</v>
      </c>
      <c r="G94" s="13" t="n">
        <v>2018</v>
      </c>
      <c r="H94" s="13" t="n">
        <v>2019</v>
      </c>
      <c r="I94" s="14" t="inlineStr">
        <is>
          <t>DBA-AGH30W, DBA-AGH35W</t>
        </is>
      </c>
      <c r="J94" s="14" t="inlineStr">
        <is>
          <t>[2026-06-26 DBA-AGH30W 2018/09 75000km] 洗車時ボンネットのメッキパーツが浮いているのを確認した。自身で外したら取り付け部すべて劣化のため割れていた。
[2026-03-26 DBA-AGH30W 2018/07 130000km] ボンネットに装飾されているメッキパーツ（ボンネットモール）の端が浮いていたので外してみたら、固定ピンを支える土台が粉砕していた。
[2026-02-07 DBA-AGH35W 2019/03 109000km] 走行後、ボンネットモールディングの浮きに気付き、戻そうとしたら板バネのように反り返って外れた。</t>
        </is>
      </c>
    </row>
    <row r="95">
      <c r="A95" s="8" t="inlineStr">
        <is>
          <t>ヴェルファイア</t>
        </is>
      </c>
      <c r="B95" s="8" t="inlineStr">
        <is>
          <t>30系後期</t>
        </is>
      </c>
      <c r="C95" s="8" t="inlineStr">
        <is>
          <t>動力伝達</t>
        </is>
      </c>
      <c r="D95" s="11" t="n">
        <v>3</v>
      </c>
      <c r="E95" s="9" t="n">
        <v>20</v>
      </c>
      <c r="F95" s="11" t="n">
        <v>60900</v>
      </c>
      <c r="G95" s="8" t="n">
        <v>2018</v>
      </c>
      <c r="H95" s="8" t="n">
        <v>2021</v>
      </c>
      <c r="I95" s="14" t="inlineStr">
        <is>
          <t>3BA-AGH35W, DBA-AGH30W, DBA-AGH35W</t>
        </is>
      </c>
      <c r="J95" s="14" t="inlineStr">
        <is>
          <t>[2026-02-07 DBA-AGH30W 2018/01 60900km] 走行中、踏切の手前でカタカタカタと音が鳴り、エンジンがかかったまま車両が停止し、その後アクセルペダルを踏んでも走行不能となり道路渋滞を招いた。ディーラーで確認したところ、ＣＶＴのチェーンの破損と診断された。
[2025-01-13 DBA-AGH35W 2018/09 63000km] 走行中タイヤの回転と同じような周期でキュンキュンと音がする。ディーラーで確認したところ、トランスミッションの交換が必要と言われた。
[2022-08-17 3BA-AGH35W 2021/02 17000km] 右折車線のある交差点へ進入し、前走車がいる状態でブレーキをかけ、止まりかけた時に対向車が途切れて前走車が右折し始めたことから、自車両も続いて右折しようとアクセルペダルへ踏み換えたところ、ペダルを踏んでもエンジン回転数が上がらず、加速しなくなった。ブレーキをかけて停車し、改めて発進したところ正常に加速した。</t>
        </is>
      </c>
    </row>
    <row r="96">
      <c r="A96" s="13" t="inlineStr">
        <is>
          <t>ヴェルファイア</t>
        </is>
      </c>
      <c r="B96" s="13" t="inlineStr">
        <is>
          <t>30系後期</t>
        </is>
      </c>
      <c r="C96" s="13" t="inlineStr">
        <is>
          <t>エンジン</t>
        </is>
      </c>
      <c r="D96" s="15" t="n">
        <v>2</v>
      </c>
      <c r="E96" s="17" t="n">
        <v>13.3</v>
      </c>
      <c r="F96" s="15" t="n">
        <v>109000</v>
      </c>
      <c r="G96" s="13" t="n">
        <v>2018</v>
      </c>
      <c r="H96" s="13" t="n">
        <v>2019</v>
      </c>
      <c r="I96" s="14" t="inlineStr">
        <is>
          <t>DBA-AGH35W, DBA-GGH30W</t>
        </is>
      </c>
      <c r="J96" s="14" t="inlineStr">
        <is>
          <t>[2026-02-07 DBA-AGH35W 2019/03 109000km] エンジン直下にオイル漏れがあり、確認したところ、ミッションとエンジンの接合部分からエンジンオイルが漏れていた。
[2020-01-18 DBA-GGH30W 2018/06 14995km] アイドリングストップ後にエンジンが再始動せず、レッカー移動になった。</t>
        </is>
      </c>
    </row>
    <row r="97">
      <c r="A97" s="8" t="inlineStr">
        <is>
          <t>ヴェルファイア</t>
        </is>
      </c>
      <c r="B97" s="8" t="inlineStr">
        <is>
          <t>30系後期</t>
        </is>
      </c>
      <c r="C97" s="8" t="inlineStr">
        <is>
          <t>乗車装置</t>
        </is>
      </c>
      <c r="D97" s="11" t="n">
        <v>2</v>
      </c>
      <c r="E97" s="9" t="n">
        <v>13.3</v>
      </c>
      <c r="F97" s="11" t="n"/>
      <c r="G97" s="8" t="n">
        <v>2019</v>
      </c>
      <c r="H97" s="8" t="n">
        <v>2020</v>
      </c>
      <c r="I97" s="14" t="inlineStr">
        <is>
          <t>6AA-AYH30W, DBA-AGH30W</t>
        </is>
      </c>
      <c r="J97" s="14" t="inlineStr">
        <is>
          <t>[2020-06-26 6AA-AYH30W 2020/02 ?km] 左後部スライドドアの電動ステップが助手席側に出るため、助手席側に立っている人に当たる。
[2019-05-22 DBA-AGH30W 2019/04 ?km] 車内で休憩中に、パワースライドドアを半開きの状態にして置き、エンジンを切ってから３分程度でピーっと鳴って勝手に閉まろうとするが、数センチ程度動いて、一旦止まる。その状態から約３分起きに、ピーっと鳴って、また数センチ程度動いて止まる。最終的に全部閉まりきるまで、この状態を何度も繰り返すので、車内は煩くて困る。</t>
        </is>
      </c>
    </row>
    <row r="98">
      <c r="A98" s="13" t="inlineStr">
        <is>
          <t>ヴェルファイア</t>
        </is>
      </c>
      <c r="B98" s="13" t="inlineStr">
        <is>
          <t>30系後期</t>
        </is>
      </c>
      <c r="C98" s="13" t="inlineStr">
        <is>
          <t>保安灯火</t>
        </is>
      </c>
      <c r="D98" s="15" t="n">
        <v>2</v>
      </c>
      <c r="E98" s="17" t="n">
        <v>13.3</v>
      </c>
      <c r="F98" s="15" t="n"/>
      <c r="G98" s="13" t="n">
        <v>2020</v>
      </c>
      <c r="H98" s="13" t="n">
        <v>2022</v>
      </c>
      <c r="I98" s="14" t="inlineStr">
        <is>
          <t>3BA-AGH30W, 3BA-AGH35W</t>
        </is>
      </c>
      <c r="J98" s="14" t="inlineStr">
        <is>
          <t>[2023-12-19 3BA-AGH30W 2022/10 ?km] 走行中にライトシステム故障・販売店へ確認というエラーが出てハイビームが使えなくなった。
[2022-10-30 3BA-AGH35W 2020/07 ?km] 左右のヘッドライト上部に液だれ跡を発見した。トヨタに持ち込み確認した結果結露とのことで交換修理となった。</t>
        </is>
      </c>
    </row>
    <row r="99">
      <c r="A99" s="8" t="inlineStr">
        <is>
          <t>ヴェルファイア</t>
        </is>
      </c>
      <c r="B99" s="8" t="inlineStr">
        <is>
          <t>30系後期</t>
        </is>
      </c>
      <c r="C99" s="8" t="inlineStr">
        <is>
          <t>制動装置</t>
        </is>
      </c>
      <c r="D99" s="11" t="n">
        <v>1</v>
      </c>
      <c r="E99" s="9" t="n">
        <v>6.7</v>
      </c>
      <c r="F99" s="11" t="n">
        <v>880</v>
      </c>
      <c r="G99" s="8" t="n">
        <v>2020</v>
      </c>
      <c r="H99" s="8" t="n">
        <v>2020</v>
      </c>
      <c r="I99" s="14" t="inlineStr">
        <is>
          <t>6AA-AYH30W</t>
        </is>
      </c>
      <c r="J99" s="14" t="inlineStr">
        <is>
          <t>[2020-07-29 6AA-AYH30W 2020/01 880km] 歩行者や自転車が現れた場合、ブレーキペダルが固くなり踏み込めない状態になったことがある。</t>
        </is>
      </c>
    </row>
    <row r="100">
      <c r="A100" s="13" t="inlineStr">
        <is>
          <t>ヴェルファイア</t>
        </is>
      </c>
      <c r="B100" s="13" t="inlineStr">
        <is>
          <t>40系</t>
        </is>
      </c>
      <c r="C100" s="13" t="inlineStr">
        <is>
          <t>かじ取り</t>
        </is>
      </c>
      <c r="D100" s="15" t="n">
        <v>2</v>
      </c>
      <c r="E100" s="17" t="n">
        <v>40</v>
      </c>
      <c r="F100" s="15" t="n">
        <v>900</v>
      </c>
      <c r="G100" s="13" t="n">
        <v>2024</v>
      </c>
      <c r="H100" s="13" t="n">
        <v>2025</v>
      </c>
      <c r="I100" s="14" t="inlineStr">
        <is>
          <t>6AA-AAHH45W</t>
        </is>
      </c>
      <c r="J100" s="14" t="inlineStr">
        <is>
          <t>[2025-07-06 6AA-AAHH45W 2025/04 314km] 事故時、車線はみ出し時のハンドル補正、ブレーキ補正、接近警告音等のセーフティー機能が一つも機能しなかった。また衝突時にエアバッグも作動せず、安全装備が何も無い車の事故と全く同じ状態であった。ディーラーで確認したところ、作動範囲外との説明だった。
[2024-06-19 6AA-AAHH45W 2024/04 900km] 直進時にハンドルが右に向いていて、ハンドルをまっすぐにすると車が左に流れる。</t>
        </is>
      </c>
    </row>
    <row r="101">
      <c r="A101" s="8" t="inlineStr">
        <is>
          <t>ヴェルファイア</t>
        </is>
      </c>
      <c r="B101" s="8" t="inlineStr">
        <is>
          <t>40系</t>
        </is>
      </c>
      <c r="C101" s="8" t="inlineStr">
        <is>
          <t>その他</t>
        </is>
      </c>
      <c r="D101" s="11" t="n">
        <v>1</v>
      </c>
      <c r="E101" s="9" t="n">
        <v>20</v>
      </c>
      <c r="F101" s="11" t="n"/>
      <c r="G101" s="8" t="n">
        <v>2025</v>
      </c>
      <c r="H101" s="8" t="n">
        <v>2025</v>
      </c>
      <c r="I101" s="14" t="inlineStr">
        <is>
          <t>6AA-AAHH40W</t>
        </is>
      </c>
      <c r="J101" s="14" t="inlineStr">
        <is>
          <t>[2025-12-26 6AA-AAHH40W 2025/08 ?km] 走行中にメーターパネルが真っ白になり、速度計、燃料計など全て情報が確認できなくなった。</t>
        </is>
      </c>
    </row>
    <row r="102">
      <c r="A102" s="13" t="inlineStr">
        <is>
          <t>ヴェルファイア</t>
        </is>
      </c>
      <c r="B102" s="13" t="inlineStr">
        <is>
          <t>40系</t>
        </is>
      </c>
      <c r="C102" s="13" t="inlineStr">
        <is>
          <t>動力伝達</t>
        </is>
      </c>
      <c r="D102" s="15" t="n">
        <v>1</v>
      </c>
      <c r="E102" s="17" t="n">
        <v>20</v>
      </c>
      <c r="F102" s="15" t="n">
        <v>15</v>
      </c>
      <c r="G102" s="13" t="n">
        <v>2026</v>
      </c>
      <c r="H102" s="13" t="n">
        <v>2026</v>
      </c>
      <c r="I102" s="14" t="inlineStr">
        <is>
          <t>6AA-AAHH40W</t>
        </is>
      </c>
      <c r="J102" s="14" t="inlineStr">
        <is>
          <t>[2026-02-02 6AA-AAHH40W 2026/01 15km] ギアが上がらない症状が出て、その後、シフトアップセンサー異常の表示が出た。</t>
        </is>
      </c>
    </row>
    <row r="103">
      <c r="A103" s="8" t="inlineStr">
        <is>
          <t>ヴェルファイア</t>
        </is>
      </c>
      <c r="B103" s="8" t="inlineStr">
        <is>
          <t>40系</t>
        </is>
      </c>
      <c r="C103" s="8" t="inlineStr">
        <is>
          <t>走行装置</t>
        </is>
      </c>
      <c r="D103" s="11" t="n">
        <v>1</v>
      </c>
      <c r="E103" s="9" t="n">
        <v>20</v>
      </c>
      <c r="F103" s="11" t="n"/>
      <c r="G103" s="8" t="n">
        <v>2026</v>
      </c>
      <c r="H103" s="8" t="n">
        <v>2026</v>
      </c>
      <c r="I103" s="14" t="inlineStr">
        <is>
          <t>-</t>
        </is>
      </c>
      <c r="J103" s="14" t="inlineStr">
        <is>
          <t>[2026-06-01 - 2026/03 ?km] 純正ホイールを車両に装着していない状態で受け取ったところ、裏側のリムに傷がついたものが納品された。</t>
        </is>
      </c>
    </row>
    <row r="104">
      <c r="A104" s="13" t="inlineStr">
        <is>
          <t>ヴェルファイア</t>
        </is>
      </c>
      <c r="B104" s="13" t="inlineStr">
        <is>
          <t>不明</t>
        </is>
      </c>
      <c r="C104" s="13" t="inlineStr">
        <is>
          <t>車枠・車体</t>
        </is>
      </c>
      <c r="D104" s="15" t="n">
        <v>9</v>
      </c>
      <c r="E104" s="17" t="n">
        <v>47.4</v>
      </c>
      <c r="F104" s="15" t="n">
        <v>140000</v>
      </c>
      <c r="G104" s="13" t="n"/>
      <c r="H104" s="13" t="n"/>
      <c r="I104" s="14" t="inlineStr">
        <is>
          <t>-, DBA-ANH20W, DBA-ANH25W, DBA-GGH20W</t>
        </is>
      </c>
      <c r="J104" s="14" t="inlineStr">
        <is>
          <t>[2024-02-02 DBA-GGH20W  ?km] 塗装が剥がれた。
[2024-01-10 DBA-ANH25W  ?km] ボディの塗装が３０ｃｍ四方の大きさではがれた。
[2023-06-07 -  ?km] 洗車をしたところ、リヤガラス下部の塗装が剥がれた。</t>
        </is>
      </c>
    </row>
    <row r="105">
      <c r="A105" s="8" t="inlineStr">
        <is>
          <t>ヴェルファイア</t>
        </is>
      </c>
      <c r="B105" s="8" t="inlineStr">
        <is>
          <t>不明</t>
        </is>
      </c>
      <c r="C105" s="8" t="inlineStr">
        <is>
          <t>エンジン</t>
        </is>
      </c>
      <c r="D105" s="11" t="n">
        <v>4</v>
      </c>
      <c r="E105" s="9" t="n">
        <v>21.1</v>
      </c>
      <c r="F105" s="11" t="n">
        <v>43000</v>
      </c>
      <c r="G105" s="8" t="n"/>
      <c r="H105" s="8" t="n"/>
      <c r="I105" s="14" t="inlineStr">
        <is>
          <t>ANH20W, DBA-AGH30W, DBA-ANH25W, DBA-GGH25W</t>
        </is>
      </c>
      <c r="J105" s="14" t="inlineStr">
        <is>
          <t>[2018-07-09 DBA-AGH30W  ?km] アイドリング付近の回転が３００～１０００ｒｐｍあたりで不安定に上下してエンストし、エンジン故障の警告が表示された。
[2017-05-15 DBA-ANH25W  43000km] アクセルの反応が悪く、踏んでも加速しないことがある。
[2012-08-04 ANH20W  ?km] エンジンオイルが異常に減る。</t>
        </is>
      </c>
    </row>
    <row r="106">
      <c r="A106" s="13" t="inlineStr">
        <is>
          <t>ヴェルファイア</t>
        </is>
      </c>
      <c r="B106" s="13" t="inlineStr">
        <is>
          <t>不明</t>
        </is>
      </c>
      <c r="C106" s="13" t="inlineStr">
        <is>
          <t>動力伝達</t>
        </is>
      </c>
      <c r="D106" s="15" t="n">
        <v>2</v>
      </c>
      <c r="E106" s="17" t="n">
        <v>10.5</v>
      </c>
      <c r="F106" s="15" t="n">
        <v>80000</v>
      </c>
      <c r="G106" s="13" t="n">
        <v>2000</v>
      </c>
      <c r="H106" s="13" t="n">
        <v>2000</v>
      </c>
      <c r="I106" s="14" t="inlineStr">
        <is>
          <t>DBA-ANH20W, DBA-GGH20W</t>
        </is>
      </c>
      <c r="J106" s="14" t="inlineStr">
        <is>
          <t>[2020-09-04 DBA-GGH20W 2000/05 66571km] 走行中、突然ギアが抜けて入らなくなり、惰性で路肩に停車した。
[2017-01-11 DBA-ANH20W  80000km] ＣＶＴの不良により、内部から異音が出るようになった。</t>
        </is>
      </c>
    </row>
    <row r="107">
      <c r="A107" s="8" t="inlineStr">
        <is>
          <t>ヴェルファイア</t>
        </is>
      </c>
      <c r="B107" s="8" t="inlineStr">
        <is>
          <t>不明</t>
        </is>
      </c>
      <c r="C107" s="8" t="inlineStr">
        <is>
          <t>その他</t>
        </is>
      </c>
      <c r="D107" s="11" t="n">
        <v>1</v>
      </c>
      <c r="E107" s="9" t="n">
        <v>5.3</v>
      </c>
      <c r="F107" s="11" t="n">
        <v>2000</v>
      </c>
      <c r="G107" s="8" t="n"/>
      <c r="H107" s="8" t="n"/>
      <c r="I107" s="14" t="inlineStr">
        <is>
          <t>AGH35W</t>
        </is>
      </c>
      <c r="J107" s="14" t="inlineStr">
        <is>
          <t>[2017-04-13 AGH35W  2000km] 速度計の誤差が大きく、市販のＧＰＳ速度計では市街地では５０ｋｍ／ｈを示しているときに車の速度計が４５ｋｍ／ｈ、高速道路で１００ｋｍ／ｈを示している時に９０ｋｍ／ｈを示している。</t>
        </is>
      </c>
    </row>
    <row r="108">
      <c r="A108" s="13" t="inlineStr">
        <is>
          <t>ヴェルファイア</t>
        </is>
      </c>
      <c r="B108" s="13" t="inlineStr">
        <is>
          <t>不明</t>
        </is>
      </c>
      <c r="C108" s="13" t="inlineStr">
        <is>
          <t>乗車装置</t>
        </is>
      </c>
      <c r="D108" s="15" t="n">
        <v>1</v>
      </c>
      <c r="E108" s="17" t="n">
        <v>5.3</v>
      </c>
      <c r="F108" s="15" t="n"/>
      <c r="G108" s="13" t="n"/>
      <c r="H108" s="13" t="n"/>
      <c r="I108" s="14" t="inlineStr">
        <is>
          <t>DBA-ANH20W</t>
        </is>
      </c>
      <c r="J108" s="14" t="inlineStr">
        <is>
          <t>[2011-01-18 DBA-ANH20W  ?km] パワーバックドア装着車において、リモコンをポケットに入れておいたところ、誤作動で勝手にドアが開き、立体駐車場内であったためにドアが壊れた。</t>
        </is>
      </c>
    </row>
    <row r="109">
      <c r="A109" s="8" t="inlineStr">
        <is>
          <t>ヴェルファイア</t>
        </is>
      </c>
      <c r="B109" s="8" t="inlineStr">
        <is>
          <t>不明</t>
        </is>
      </c>
      <c r="C109" s="8" t="inlineStr">
        <is>
          <t>保安灯火</t>
        </is>
      </c>
      <c r="D109" s="11" t="n">
        <v>1</v>
      </c>
      <c r="E109" s="9" t="n">
        <v>5.3</v>
      </c>
      <c r="F109" s="11" t="n"/>
      <c r="G109" s="8" t="n"/>
      <c r="H109" s="8" t="n"/>
      <c r="I109" s="14" t="inlineStr">
        <is>
          <t>DBA-ANH20W</t>
        </is>
      </c>
      <c r="J109" s="14" t="inlineStr">
        <is>
          <t>[2009-07-06 DBA-ANH20W  ?km] ヘッドライトがハンドルに合わせて向きを変える装置が、３５００ｃｃモデル車にしか設定されていないために、２４００ｃｃモデルを購入して安全重視でこの装置を付けたくても選択できない。</t>
        </is>
      </c>
    </row>
    <row r="110">
      <c r="A110" s="13" t="inlineStr">
        <is>
          <t>ヴェルファイア</t>
        </is>
      </c>
      <c r="B110" s="13" t="inlineStr">
        <is>
          <t>不明</t>
        </is>
      </c>
      <c r="C110" s="13" t="inlineStr">
        <is>
          <t>制動装置</t>
        </is>
      </c>
      <c r="D110" s="15" t="n">
        <v>1</v>
      </c>
      <c r="E110" s="17" t="n">
        <v>5.3</v>
      </c>
      <c r="F110" s="15" t="n"/>
      <c r="G110" s="13" t="n"/>
      <c r="H110" s="13" t="n"/>
      <c r="I110" s="14" t="inlineStr">
        <is>
          <t>DBA-GGH25W</t>
        </is>
      </c>
      <c r="J110" s="14" t="inlineStr">
        <is>
          <t>[2010-02-20 DBA-GGH25W  ?km] 高速道路のＥＴＣを通過後、アクセルペダル全開からブレーキペダルを踏み込んだところ、数秒間ブレーキペダルが踏み込めなくなった。</t>
        </is>
      </c>
    </row>
    <row r="111">
      <c r="A111" s="8" t="inlineStr">
        <is>
          <t>ノア</t>
        </is>
      </c>
      <c r="B111" s="8" t="inlineStr">
        <is>
          <t>（車種全体）</t>
        </is>
      </c>
      <c r="C111" s="8" t="inlineStr">
        <is>
          <t>エンジン</t>
        </is>
      </c>
      <c r="D111" s="11" t="n">
        <v>79</v>
      </c>
      <c r="E111" s="9" t="n">
        <v>23.2</v>
      </c>
      <c r="F111" s="11" t="n">
        <v>67000</v>
      </c>
      <c r="G111" s="8" t="n">
        <v>1990</v>
      </c>
      <c r="H111" s="8" t="n">
        <v>2022</v>
      </c>
      <c r="I111" s="14" t="inlineStr">
        <is>
          <t>6BA-MZRA90W, 6BA-MZRA95W, CBA-AZR60G, CBA-AZR65G, DAA-ZWR80G, DBA-AZR60, DBA-AZR60G, DBA-AZR65G, DBA-ZRR70G, DBA-ZRR70W, DBA-ZRR75G, DBA-ZRR75W, DBA-ZRR80G, DBA-ZRR80W, DBA-ZRR85W, GF-SR40G, GF-SR50G, SR40G, TA-AZR60G, TA-AZR65G</t>
        </is>
      </c>
      <c r="J111" s="14" t="inlineStr">
        <is>
          <t>[2026-02-06 6BA-MZRA95W 2022/04 70571km] 信号停止直前にエンストした。ディーラーで診断したところ、失火、圧縮抜けが検出され、デポジット?み込みによるものと診断され、エンジンを交換することになった。
[2025-02-01 TA-AZR60G 2003/05 200000km] アイドリングが低回転のまま安定せず、車体が揺れるほどの振動があった。
[2024-04-11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t>
        </is>
      </c>
    </row>
    <row r="112">
      <c r="A112" s="13" t="inlineStr">
        <is>
          <t>ノア</t>
        </is>
      </c>
      <c r="B112" s="13" t="inlineStr">
        <is>
          <t>（車種全体）</t>
        </is>
      </c>
      <c r="C112" s="13" t="inlineStr">
        <is>
          <t>乗車装置</t>
        </is>
      </c>
      <c r="D112" s="15" t="n">
        <v>68</v>
      </c>
      <c r="E112" s="17" t="n">
        <v>19.9</v>
      </c>
      <c r="F112" s="15" t="n">
        <v>50000</v>
      </c>
      <c r="G112" s="13" t="n">
        <v>1996</v>
      </c>
      <c r="H112" s="13" t="n">
        <v>2025</v>
      </c>
      <c r="I112" s="14" t="inlineStr">
        <is>
          <t>3BA-ZRR80G, 6AA-ZWR90W, 6AA-ZWR95W, 6BA-MZRA90W, 6BA-MZRA95W, AZR60, CBA-AZR60G, CBA-AZR65G, DBA-AZR60G, DBA-AZR65G, DBA-ZRR70G, DBA-ZRR70W, DBA-ZRR80G, E-SR40G, GF-SR40G, GF-SR50G, TA-AZR60G, TA-AZR60Z, TA-AZR65G, ZRR85W, 不明</t>
        </is>
      </c>
      <c r="J112"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[2025-08-06 3BA-ZRR80G 2020/11 10600km] 車いすが搭載できる仕様の車で、車いすの前側を固定するためのシートベルトが緩み、車いすがしっかり固定できなくなった。</t>
        </is>
      </c>
    </row>
    <row r="113">
      <c r="A113" s="8" t="inlineStr">
        <is>
          <t>ノア</t>
        </is>
      </c>
      <c r="B113" s="8" t="inlineStr">
        <is>
          <t>（車種全体）</t>
        </is>
      </c>
      <c r="C113" s="8" t="inlineStr">
        <is>
          <t>動力伝達</t>
        </is>
      </c>
      <c r="D113" s="11" t="n">
        <v>44</v>
      </c>
      <c r="E113" s="9" t="n">
        <v>12.9</v>
      </c>
      <c r="F113" s="11" t="n">
        <v>70000</v>
      </c>
      <c r="G113" s="8" t="n">
        <v>2001</v>
      </c>
      <c r="H113" s="8" t="n">
        <v>2023</v>
      </c>
      <c r="I113" s="14" t="inlineStr">
        <is>
          <t>6AA-ZWR90W, 6AA-ZWR95W, AZR60G, CBA-AZR65G, DAA-ZWR80G, DBA-AZR60G, DBA-ZRR70G, DBA-ZRR70W, DBA-ZRR75W, DBA-ZRR80G, DBA-ZRR80W, DBA-ZRR85G, DBA-ZRR85W, DBR-ZRR75G, TA-AZR60G, TA-AZR65G</t>
        </is>
      </c>
      <c r="J113"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14">
      <c r="A114" s="13" t="inlineStr">
        <is>
          <t>ノア</t>
        </is>
      </c>
      <c r="B114" s="13" t="inlineStr">
        <is>
          <t>（車種全体）</t>
        </is>
      </c>
      <c r="C114" s="13" t="inlineStr">
        <is>
          <t>制動装置</t>
        </is>
      </c>
      <c r="D114" s="15" t="n">
        <v>42</v>
      </c>
      <c r="E114" s="17" t="n">
        <v>12.3</v>
      </c>
      <c r="F114" s="15" t="n">
        <v>43326</v>
      </c>
      <c r="G114" s="13" t="n">
        <v>2002</v>
      </c>
      <c r="H114" s="13" t="n">
        <v>2025</v>
      </c>
      <c r="I114" s="14" t="inlineStr">
        <is>
          <t>3BA-ZRR80W, 6AA-ZWR80W, 6AA-ZWR90W, 6AA-ZWR95W, 6BA-MZRA90W, 6BA-MZRA95W, AZR60G, CBA-AZR60G, CBA-AZR65G, DAA-ZWR80G, DBA-AZ60G, DBA-AZR65G, DBA-ZRR70, DBA-ZRR70G, DBA-ZRR75W, DBA-ZRR80G, DBA-ZRR80W, DBR-AZR65G, TA-AZR60G, TA-AZR65G</t>
        </is>
      </c>
      <c r="J114" s="14" t="inlineStr">
        <is>
          <t>[2026-05-18 6AA-ZWR90W  100km] ハイブリッド車で、ブレーキがあまり効かない。
[2026-02-06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t>
        </is>
      </c>
    </row>
    <row r="115">
      <c r="A115" s="8" t="inlineStr">
        <is>
          <t>ノア</t>
        </is>
      </c>
      <c r="B115" s="8" t="inlineStr">
        <is>
          <t>（車種全体）</t>
        </is>
      </c>
      <c r="C115" s="8" t="inlineStr">
        <is>
          <t>燃料装置</t>
        </is>
      </c>
      <c r="D115" s="11" t="n">
        <v>22</v>
      </c>
      <c r="E115" s="9" t="n">
        <v>6.5</v>
      </c>
      <c r="F115" s="11" t="n">
        <v>130000</v>
      </c>
      <c r="G115" s="8" t="n">
        <v>2001</v>
      </c>
      <c r="H115" s="8" t="n">
        <v>2022</v>
      </c>
      <c r="I115" s="14" t="inlineStr">
        <is>
          <t>6AA-ZWR95W, CBA-AZR65G, DBA-AZR60G, DBA-AZR65G, DBA-ZRR70G, DBA-ZRR70W, DBA-ZRR75G, DBA-ZRR75W, DBA-ZRR80W, TA-AZR60, TA-AZR60G, TA-AZR65, TA-AZR65G</t>
        </is>
      </c>
      <c r="J115"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
[2024-09-19 6AA-ZWR95W 2022/04 30000km] セルフ給油する際に給油機のオートストップ機能すぐに作動してしまい、満タンに出来ない。
[2020-06-27 DBA-AZR65G 2006/03 115000km] 給油パイプの錆、劣化により燃料が漏れた。</t>
        </is>
      </c>
    </row>
    <row r="116">
      <c r="A116" s="13" t="inlineStr">
        <is>
          <t>ノア</t>
        </is>
      </c>
      <c r="B116" s="13" t="inlineStr">
        <is>
          <t>（車種全体）</t>
        </is>
      </c>
      <c r="C116" s="13" t="inlineStr">
        <is>
          <t>その他</t>
        </is>
      </c>
      <c r="D116" s="15" t="n">
        <v>18</v>
      </c>
      <c r="E116" s="17" t="n">
        <v>5.3</v>
      </c>
      <c r="F116" s="15" t="n">
        <v>33000</v>
      </c>
      <c r="G116" s="13" t="n">
        <v>2006</v>
      </c>
      <c r="H116" s="13" t="n">
        <v>2025</v>
      </c>
      <c r="I116" s="14" t="inlineStr">
        <is>
          <t>3BA-ZRR80W, 6AA-ZWR90, 6AA-ZWR90W, 6AA-ZWR95W, 6BA-MZRA90W, CBA-AZR60G, DBA-AZR60G, DBA-AZR65G, DBA-ZRR70G</t>
        </is>
      </c>
      <c r="J116"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17">
      <c r="A117" s="8" t="inlineStr">
        <is>
          <t>ノア</t>
        </is>
      </c>
      <c r="B117" s="8" t="inlineStr">
        <is>
          <t>（車種全体）</t>
        </is>
      </c>
      <c r="C117" s="8" t="inlineStr">
        <is>
          <t>保安灯火</t>
        </is>
      </c>
      <c r="D117" s="11" t="n">
        <v>17</v>
      </c>
      <c r="E117" s="9" t="n">
        <v>5</v>
      </c>
      <c r="F117" s="11" t="n">
        <v>30000</v>
      </c>
      <c r="G117" s="8" t="n">
        <v>2002</v>
      </c>
      <c r="H117" s="8" t="n">
        <v>2024</v>
      </c>
      <c r="I117" s="14" t="inlineStr">
        <is>
          <t>3BA-ZRR80W, 6AA-ZWR90W, 6AA-ZWR95W, DAA-ZWR80G, DBA-AZR60G, DBA-ZRR70G, DBA-ZRR80W, TA-AZR65G</t>
        </is>
      </c>
      <c r="J117"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18">
      <c r="A118" s="13" t="inlineStr">
        <is>
          <t>ノア</t>
        </is>
      </c>
      <c r="B118" s="13" t="inlineStr">
        <is>
          <t>（車種全体）</t>
        </is>
      </c>
      <c r="C118" s="13" t="inlineStr">
        <is>
          <t>車枠・車体</t>
        </is>
      </c>
      <c r="D118" s="15" t="n">
        <v>17</v>
      </c>
      <c r="E118" s="17" t="n">
        <v>5</v>
      </c>
      <c r="F118" s="15" t="n">
        <v>55000</v>
      </c>
      <c r="G118" s="13" t="n">
        <v>2007</v>
      </c>
      <c r="H118" s="13" t="n">
        <v>2023</v>
      </c>
      <c r="I118" s="14" t="inlineStr">
        <is>
          <t>3BA-ZRR80G, 6AA-ZWR95W, 6BA-MZRA90W, AZR60G, DAA-ZWR80G, DBA-ZRR70G, DBA-ZRR70W, DBA-ZRR75W, DBA-ZRR80W</t>
        </is>
      </c>
      <c r="J118" s="14" t="inlineStr">
        <is>
          <t>[2025-07-14 6BA-MZRA90W 2022/04 38800km] 高速道路走行中リヤスポイラーが取れて後続車に衝突した。
[2024-11-12 DAA-ZWR80G 2016/06 55000km] フロントガラスの上側モールが劣化してボロボロになり、ガラスとボディ間の溝が大きくなった。
[2024-07-16 6AA-ZWR95W 2022/03 16749km] 純正オプションのモデリスタフロントスポイラーにおいて、成型不良もしくは取り付け不良により浮いている。</t>
        </is>
      </c>
    </row>
    <row r="119">
      <c r="A119" s="8" t="inlineStr">
        <is>
          <t>ノア</t>
        </is>
      </c>
      <c r="B119" s="8" t="inlineStr">
        <is>
          <t>（車種全体）</t>
        </is>
      </c>
      <c r="C119" s="8" t="inlineStr">
        <is>
          <t>かじ取り</t>
        </is>
      </c>
      <c r="D119" s="11" t="n">
        <v>10</v>
      </c>
      <c r="E119" s="9" t="n">
        <v>2.9</v>
      </c>
      <c r="F119" s="11" t="n">
        <v>69500</v>
      </c>
      <c r="G119" s="8" t="n">
        <v>2003</v>
      </c>
      <c r="H119" s="8" t="n">
        <v>2022</v>
      </c>
      <c r="I119" s="14" t="inlineStr">
        <is>
          <t>6AA-ZWR95W, DAA-ZWR80G, DBA-AZR60G, DBA-ZRR70G, DBA-ZRR70W, TA-AZR60G</t>
        </is>
      </c>
      <c r="J119" s="14" t="inlineStr">
        <is>
          <t>[2023-01-13 DAA-ZWR80G 2019/01 75000km] 高速道路走行中にタイロットエンドの部品が外れた。
[2022-05-28 6AA-ZWR95W 2022/04 700km] ステアリングスイッチ左側の反応が悪く、スイッチ切り替えが出来ない事がある。クリック感が無いときがある。
[2020-01-25 DBA-ZRR70G 2013/04 52000km] 車庫にいれるためにバックしていたところ、ハンドルを回すとキリキリと言う異音がする。</t>
        </is>
      </c>
    </row>
    <row r="120">
      <c r="A120" s="13" t="inlineStr">
        <is>
          <t>ノア</t>
        </is>
      </c>
      <c r="B120" s="13" t="inlineStr">
        <is>
          <t>（車種全体）</t>
        </is>
      </c>
      <c r="C120" s="13" t="inlineStr">
        <is>
          <t>電気装置</t>
        </is>
      </c>
      <c r="D120" s="15" t="n">
        <v>10</v>
      </c>
      <c r="E120" s="17" t="n">
        <v>2.9</v>
      </c>
      <c r="F120" s="15" t="n">
        <v>64010</v>
      </c>
      <c r="G120" s="13" t="n">
        <v>2001</v>
      </c>
      <c r="H120" s="13" t="n">
        <v>2025</v>
      </c>
      <c r="I120" s="14" t="inlineStr">
        <is>
          <t>6AA-ZWR90W, 6BA-MZRA90W, CBA-AZR60G, CR40G, DBA-AZR60G, DBA-ZRR70G, DBA-ZRR80W, TA-AZR60G</t>
        </is>
      </c>
      <c r="J120"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21">
      <c r="A121" s="8" t="inlineStr">
        <is>
          <t>ノア</t>
        </is>
      </c>
      <c r="B121" s="8" t="inlineStr">
        <is>
          <t>（車種全体）</t>
        </is>
      </c>
      <c r="C121" s="8" t="inlineStr">
        <is>
          <t>緩衝装置</t>
        </is>
      </c>
      <c r="D121" s="11" t="n">
        <v>5</v>
      </c>
      <c r="E121" s="9" t="n">
        <v>1.5</v>
      </c>
      <c r="F121" s="11" t="n">
        <v>25000</v>
      </c>
      <c r="G121" s="8" t="n">
        <v>2000</v>
      </c>
      <c r="H121" s="8" t="n">
        <v>2025</v>
      </c>
      <c r="I121" s="14" t="inlineStr">
        <is>
          <t>6AA-ZWR90W, 6BA-MZRA92W, CBA-AZR60G, DBA-AZR60G, GF-SR40G</t>
        </is>
      </c>
      <c r="J121" s="14" t="inlineStr">
        <is>
          <t>[2025-12-22 6AA-ZWR90W 2025/09 ?km] 左右スタビライザーの取り付けボルトが錆びていた。
[2025-12-03 6BA-MZRA92W 2023/01 22000km] 左後輪のエアサスにおいて、エアが張りすぎて走行中にゴンゴン突き上げられる。
[2013-05-13 DBA-AZR60G 2005/09 25000km] リヤショックアブソーバーからオイルが滲みだした。</t>
        </is>
      </c>
    </row>
    <row r="122">
      <c r="A122" s="13" t="inlineStr">
        <is>
          <t>ノア</t>
        </is>
      </c>
      <c r="B122" s="13" t="inlineStr">
        <is>
          <t>（車種全体）</t>
        </is>
      </c>
      <c r="C122" s="13" t="inlineStr">
        <is>
          <t>走行装置</t>
        </is>
      </c>
      <c r="D122" s="15" t="n">
        <v>5</v>
      </c>
      <c r="E122" s="17" t="n">
        <v>1.5</v>
      </c>
      <c r="F122" s="15" t="n">
        <v>102700</v>
      </c>
      <c r="G122" s="13" t="n">
        <v>2003</v>
      </c>
      <c r="H122" s="13" t="n">
        <v>2024</v>
      </c>
      <c r="I122" s="14" t="inlineStr">
        <is>
          <t>6AA-ZWR90W, DAA-ZWR80G, DBA-AZR60G, TA-AZR65G</t>
        </is>
      </c>
      <c r="J122"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
[2023-08-30 DAA-ZWR80G 2014/09 102700km] 運転手側前輪がパンクした。</t>
        </is>
      </c>
    </row>
    <row r="123">
      <c r="A123" s="8" t="inlineStr">
        <is>
          <t>ノア</t>
        </is>
      </c>
      <c r="B123" s="8" t="inlineStr">
        <is>
          <t>（車種全体）</t>
        </is>
      </c>
      <c r="C123" s="8" t="inlineStr">
        <is>
          <t>排ｶﾞｽ･騒音</t>
        </is>
      </c>
      <c r="D123" s="11" t="n">
        <v>3</v>
      </c>
      <c r="E123" s="9" t="n">
        <v>0.9</v>
      </c>
      <c r="F123" s="11" t="n">
        <v>70121</v>
      </c>
      <c r="G123" s="8" t="n">
        <v>2005</v>
      </c>
      <c r="H123" s="8" t="n">
        <v>2014</v>
      </c>
      <c r="I123" s="14" t="inlineStr">
        <is>
          <t>CBA-AZR60G, CBA-AZR65G, DBA-ZRR80G</t>
        </is>
      </c>
      <c r="J123" s="14" t="inlineStr">
        <is>
          <t>[2015-06-21 DBA-ZRR80G 2014/02 8072km] 目視ではわからないようなマフラーの凹みにより、走行中に突然マフラーからボボボボという異音が発生した。
[2012-06-17 CBA-AZR65G 2005/06 70121km] Ｏ２センサーの不良により、エンジン始動後に警告灯が点灯した。
[2010-12-01 CBA-AZR60G 2005/02 128000km] オキシジェンセンサーの不良により、エンジン警告灯が表示され、消えなくなった。</t>
        </is>
      </c>
    </row>
    <row r="124">
      <c r="A124" s="13" t="inlineStr">
        <is>
          <t>ノア</t>
        </is>
      </c>
      <c r="B124" s="13" t="inlineStr">
        <is>
          <t>（車種全体）</t>
        </is>
      </c>
      <c r="C124" s="13" t="inlineStr">
        <is>
          <t>電動機(モーター)</t>
        </is>
      </c>
      <c r="D124" s="15" t="n">
        <v>1</v>
      </c>
      <c r="E124" s="17" t="n">
        <v>0.3</v>
      </c>
      <c r="F124" s="15" t="n">
        <v>26000</v>
      </c>
      <c r="G124" s="13" t="n">
        <v>2023</v>
      </c>
      <c r="H124" s="13" t="n">
        <v>2023</v>
      </c>
      <c r="I124" s="14" t="inlineStr">
        <is>
          <t>6AA-ZWR90W</t>
        </is>
      </c>
      <c r="J124" s="14" t="inlineStr">
        <is>
          <t>[2024-09-27 6AA-ZWR90W 2023/02 26000km] 低速時にエンジン音が唸る。駆動バッテリー残量の大小に関わらず、発進時や負荷のかかるタイミングでモーターアシストしない。</t>
        </is>
      </c>
    </row>
    <row r="125">
      <c r="A125" s="8" t="inlineStr">
        <is>
          <t>ノア</t>
        </is>
      </c>
      <c r="B125" s="8" t="inlineStr">
        <is>
          <t>70系</t>
        </is>
      </c>
      <c r="C125" s="8" t="inlineStr">
        <is>
          <t>エンジン</t>
        </is>
      </c>
      <c r="D125" s="11" t="n">
        <v>21</v>
      </c>
      <c r="E125" s="9" t="n">
        <v>36.8</v>
      </c>
      <c r="F125" s="11" t="n">
        <v>54283</v>
      </c>
      <c r="G125" s="8" t="n">
        <v>2007</v>
      </c>
      <c r="H125" s="8" t="n">
        <v>2013</v>
      </c>
      <c r="I125" s="14" t="inlineStr">
        <is>
          <t>DBA-AZR65G, DBA-ZRR70G, DBA-ZRR70W, DBA-ZRR75G, DBA-ZRR75W</t>
        </is>
      </c>
      <c r="J125" s="14" t="inlineStr">
        <is>
          <t>[2023-01-05 DBA-ZRR70G 2011/01 128000km] 交差点で右折しようとしたところチェックランプが点灯して加速が極端に悪くなった。整備工場でバルブリフトコントローラー故障と診断された。
[2021-02-12 DBA-ZRR70G 2007/10 96088km] 高速道路走行中、エンジンから激しい異音がし、爆発音とともにエンジンが停止した。
[2020-10-08 DBA-ZRR70G 2013/12 45864km] バルブリフトコントローラの不良により、エンジン警告灯、ＶＳＣ表示灯が点灯した。その後時速２０ｋｍ程度でしか走行ができなくなった。</t>
        </is>
      </c>
    </row>
    <row r="126">
      <c r="A126" s="13" t="inlineStr">
        <is>
          <t>ノア</t>
        </is>
      </c>
      <c r="B126" s="13" t="inlineStr">
        <is>
          <t>70系</t>
        </is>
      </c>
      <c r="C126" s="13" t="inlineStr">
        <is>
          <t>動力伝達</t>
        </is>
      </c>
      <c r="D126" s="15" t="n">
        <v>8</v>
      </c>
      <c r="E126" s="17" t="n">
        <v>14</v>
      </c>
      <c r="F126" s="15" t="n">
        <v>46000</v>
      </c>
      <c r="G126" s="13" t="n">
        <v>2007</v>
      </c>
      <c r="H126" s="13" t="n">
        <v>2011</v>
      </c>
      <c r="I126" s="14" t="inlineStr">
        <is>
          <t>DBA-ZRR70G, DBA-ZRR70W, DBA-ZRR75W, DBR-ZRR75G</t>
        </is>
      </c>
      <c r="J126" s="14" t="inlineStr">
        <is>
          <t>[2019-07-05 DBA-ZRR70G 2011/11 97000km] ギアがＤレンジで平地の信号待ちから発進しようとアクセルペダル踏んだが、車が後退した。ディーラーで、スロットルボディの清掃を行ったが、１か月ほどして再発した。
[2018-06-16 DBR-ZRR75G 2010/02 90000km] エレクトロ マグネチック ＣＴＬ カップリングの不良により、走行すると異音がする。
[2017-02-26 DBA-ZRR75W 2009/03 59374km] ＣＶＴ（無段変速機）の不良により、走行中に突然真ん中後ろ寄りで連続してドンドンドンと体に感じる振動が出た。</t>
        </is>
      </c>
    </row>
    <row r="127">
      <c r="A127" s="8" t="inlineStr">
        <is>
          <t>ノア</t>
        </is>
      </c>
      <c r="B127" s="8" t="inlineStr">
        <is>
          <t>70系</t>
        </is>
      </c>
      <c r="C127" s="8" t="inlineStr">
        <is>
          <t>車枠・車体</t>
        </is>
      </c>
      <c r="D127" s="11" t="n">
        <v>7</v>
      </c>
      <c r="E127" s="9" t="n">
        <v>12.3</v>
      </c>
      <c r="F127" s="11" t="n">
        <v>100000</v>
      </c>
      <c r="G127" s="8" t="n">
        <v>2007</v>
      </c>
      <c r="H127" s="8" t="n">
        <v>2010</v>
      </c>
      <c r="I127" s="14" t="inlineStr">
        <is>
          <t>DBA-ZRR70G, DBA-ZRR70W, DBA-ZRR75W</t>
        </is>
      </c>
      <c r="J127" s="14" t="inlineStr">
        <is>
          <t>[2023-06-05 DBA-ZRR70W 2010/04 100000km] 運転席上部の塗装において、塗料がめくれるようになくなっていた。
[2020-11-21 DBA-ZRR70G 2010/10 78500km] 車両本体の塗装が自然に剥がれているのを発見した。
[2020-09-26 DBA-ZRR70W 2009/09 100000km] 突然ルーフの塗装がボロボロ剥がれた。</t>
        </is>
      </c>
    </row>
    <row r="128">
      <c r="A128" s="13" t="inlineStr">
        <is>
          <t>ノア</t>
        </is>
      </c>
      <c r="B128" s="13" t="inlineStr">
        <is>
          <t>70系</t>
        </is>
      </c>
      <c r="C128" s="13" t="inlineStr">
        <is>
          <t>乗車装置</t>
        </is>
      </c>
      <c r="D128" s="15" t="n">
        <v>5</v>
      </c>
      <c r="E128" s="17" t="n">
        <v>8.800000000000001</v>
      </c>
      <c r="F128" s="15" t="n">
        <v>51684</v>
      </c>
      <c r="G128" s="13" t="n">
        <v>2008</v>
      </c>
      <c r="H128" s="13" t="n">
        <v>2013</v>
      </c>
      <c r="I128" s="14" t="inlineStr">
        <is>
          <t>DBA-ZRR70G, DBA-ZRR70W</t>
        </is>
      </c>
      <c r="J128" s="14" t="inlineStr">
        <is>
          <t>[2024-12-16 DBA-ZRR70W 2008/07 116200km] ドアの隙間に手が入ってしまい、チャイルドロックを子どもが中から外せてしまう。
[2024-11-14 DBA-ZRR70W 2013/09 139000km] ボディと後席ドアの間に隙間があるため、そこに指を入れチャイルドロックを車内から解除してしまうことができる。
[2013-03-20 DBA-ZRR70G 2009/10 51684km] 電動スライドドアを開けようとしたところ、２０ｃｍ程開いて勝手に閉まる。その際には、通常より速い速度で人が勢いよく閉めるような閉まり方をする。</t>
        </is>
      </c>
    </row>
    <row r="129">
      <c r="A129" s="8" t="inlineStr">
        <is>
          <t>ノア</t>
        </is>
      </c>
      <c r="B129" s="8" t="inlineStr">
        <is>
          <t>70系</t>
        </is>
      </c>
      <c r="C129" s="8" t="inlineStr">
        <is>
          <t>燃料装置</t>
        </is>
      </c>
      <c r="D129" s="11" t="n">
        <v>5</v>
      </c>
      <c r="E129" s="9" t="n">
        <v>8.800000000000001</v>
      </c>
      <c r="F129" s="11" t="n">
        <v>211500</v>
      </c>
      <c r="G129" s="8" t="n">
        <v>2007</v>
      </c>
      <c r="H129" s="8" t="n">
        <v>2011</v>
      </c>
      <c r="I129" s="14" t="inlineStr">
        <is>
          <t>DBA-ZRR70G, DBA-ZRR70W, DBA-ZRR75G, DBA-ZRR75W</t>
        </is>
      </c>
      <c r="J129" s="14" t="inlineStr">
        <is>
          <t>[2018-06-22 DBA-ZRR75W 2010/06 142000km] 給油管の腐食より、ガソリン給油中に、タイヤハウス内よりガソリンが漏れ、滴り落ちるようになった。
[2018-01-09 DBA-ZRR70W 2010/05 264900km] フューエルインレットパイプが腐食して穴が開いたため、給油時に大量に燃料が漏れた。
[2017-02-01 DBA-ZRR75W 2007/08 211500km] 給油口から燃料タンク間のホースが融雪剤等で腐食し、穴が開いたため、給油時に燃料が漏れた。</t>
        </is>
      </c>
    </row>
    <row r="130">
      <c r="A130" s="13" t="inlineStr">
        <is>
          <t>ノア</t>
        </is>
      </c>
      <c r="B130" s="13" t="inlineStr">
        <is>
          <t>70系</t>
        </is>
      </c>
      <c r="C130" s="13" t="inlineStr">
        <is>
          <t>制動装置</t>
        </is>
      </c>
      <c r="D130" s="15" t="n">
        <v>4</v>
      </c>
      <c r="E130" s="17" t="n">
        <v>7</v>
      </c>
      <c r="F130" s="15" t="n">
        <v>18000</v>
      </c>
      <c r="G130" s="13" t="n">
        <v>2007</v>
      </c>
      <c r="H130" s="13" t="n">
        <v>2009</v>
      </c>
      <c r="I130" s="14" t="inlineStr">
        <is>
          <t>DBA-ZRR70, DBA-ZRR70G, DBA-ZRR75W</t>
        </is>
      </c>
      <c r="J130" s="14" t="inlineStr">
        <is>
          <t>[2014-09-22 DBA-ZRR70 2009/09 18000km] ブレーキパッドの片側のみが異常摩耗し、５年の使用で４ｍｍになっていた。
[2011-02-06 DBA-ZRR75W 2007/08 52000km] マスターポット内側のパッキンが損傷し、増幅機内部にブレーキフルードが漏れて溜まる状態になったため、ブレーキ警告灯が点灯し、同時にブレーキフルードが無くなり、ブレーキの利きが悪くなった。
[2010-06-12 DBA-ZRR70G 2009/06 6600km] ブレーキペダルの支柱に靴のつま先が当たるため、ブレーキペダルががしっかり踏めない。</t>
        </is>
      </c>
    </row>
    <row r="131">
      <c r="A131" s="8" t="inlineStr">
        <is>
          <t>ノア</t>
        </is>
      </c>
      <c r="B131" s="8" t="inlineStr">
        <is>
          <t>70系</t>
        </is>
      </c>
      <c r="C131" s="8" t="inlineStr">
        <is>
          <t>保安灯火</t>
        </is>
      </c>
      <c r="D131" s="11" t="n">
        <v>3</v>
      </c>
      <c r="E131" s="9" t="n">
        <v>5.3</v>
      </c>
      <c r="F131" s="11" t="n">
        <v>30000</v>
      </c>
      <c r="G131" s="8" t="n">
        <v>2007</v>
      </c>
      <c r="H131" s="8" t="n">
        <v>2012</v>
      </c>
      <c r="I131" s="14" t="inlineStr">
        <is>
          <t>DBA-ZRR70G</t>
        </is>
      </c>
      <c r="J131" s="14" t="inlineStr">
        <is>
          <t>[2017-07-04 DBA-ZRR70G 2012/01 45000km] 助手席側のワイパーゴム交換中にワイパーアームを立ててブレードを外していたところ、アームが戻り、フロントガラスを強打したため、フロントガラスに１０ｃｍ以上のヒビが入った。
[2010-09-28 DBA-ZRR70G 2008/05 30000km] 助手席側パワーウインドウを作動させると、ギーギーという異音が出る。
[2008-02-29 DBA-ZRR70G 2007/08 8000km] テールレンズに水が侵入し、曇りが発生した。</t>
        </is>
      </c>
    </row>
    <row r="132">
      <c r="A132" s="13" t="inlineStr">
        <is>
          <t>ノア</t>
        </is>
      </c>
      <c r="B132" s="13" t="inlineStr">
        <is>
          <t>70系</t>
        </is>
      </c>
      <c r="C132" s="13" t="inlineStr">
        <is>
          <t>かじ取り</t>
        </is>
      </c>
      <c r="D132" s="15" t="n">
        <v>2</v>
      </c>
      <c r="E132" s="17" t="n">
        <v>3.5</v>
      </c>
      <c r="F132" s="15" t="n">
        <v>52000</v>
      </c>
      <c r="G132" s="13" t="n">
        <v>2009</v>
      </c>
      <c r="H132" s="13" t="n">
        <v>2013</v>
      </c>
      <c r="I132" s="14" t="inlineStr">
        <is>
          <t>DBA-ZRR70G, DBA-ZRR70W</t>
        </is>
      </c>
      <c r="J132" s="14" t="inlineStr">
        <is>
          <t>[2020-01-25 DBA-ZRR70G 2013/04 52000km] 車庫にいれるためにバックしていたところ、ハンドルを回すとキリキリと言う異音がする。
[2010-07-20 DBA-ZRR70W 2009/06 6200km] 高速走行時のパワーステアリングの設定が悪いため、１００ｋｍ／ｈ超えたあたりになると、片手では操作出来ない程に重くなる。</t>
        </is>
      </c>
    </row>
    <row r="133">
      <c r="A133" s="8" t="inlineStr">
        <is>
          <t>ノア</t>
        </is>
      </c>
      <c r="B133" s="8" t="inlineStr">
        <is>
          <t>70系</t>
        </is>
      </c>
      <c r="C133" s="8" t="inlineStr">
        <is>
          <t>その他</t>
        </is>
      </c>
      <c r="D133" s="11" t="n">
        <v>1</v>
      </c>
      <c r="E133" s="9" t="n">
        <v>1.8</v>
      </c>
      <c r="F133" s="11" t="n">
        <v>53000</v>
      </c>
      <c r="G133" s="8" t="n">
        <v>2011</v>
      </c>
      <c r="H133" s="8" t="n">
        <v>2011</v>
      </c>
      <c r="I133" s="14" t="inlineStr">
        <is>
          <t>DBA-ZRR70G</t>
        </is>
      </c>
      <c r="J133" s="14" t="inlineStr">
        <is>
          <t>[2015-06-13 DBA-ZRR70G 2011/07 53000km] エアコン配管の不良により、エアコンが冷えなくなった。</t>
        </is>
      </c>
    </row>
    <row r="134">
      <c r="A134" s="13" t="inlineStr">
        <is>
          <t>ノア</t>
        </is>
      </c>
      <c r="B134" s="13" t="inlineStr">
        <is>
          <t>70系</t>
        </is>
      </c>
      <c r="C134" s="13" t="inlineStr">
        <is>
          <t>電気装置</t>
        </is>
      </c>
      <c r="D134" s="15" t="n">
        <v>1</v>
      </c>
      <c r="E134" s="17" t="n">
        <v>1.8</v>
      </c>
      <c r="F134" s="15" t="n">
        <v>143477</v>
      </c>
      <c r="G134" s="13" t="n">
        <v>2007</v>
      </c>
      <c r="H134" s="13" t="n">
        <v>2007</v>
      </c>
      <c r="I134" s="14" t="inlineStr">
        <is>
          <t>DBA-ZRR70G</t>
        </is>
      </c>
      <c r="J134" s="14" t="inlineStr">
        <is>
          <t>[2017-08-02 DBA-ZRR70G 2007/08 143477km] 充電制御機能を持った車両のダイナモ（発電機）のクラッチが故障したため、高速道路を走行中にカーナビが切れたり、ステアリングが重くなり、エンジンが停止して立ち往生をした。</t>
        </is>
      </c>
    </row>
    <row r="135">
      <c r="A135" s="8" t="inlineStr">
        <is>
          <t>ノア</t>
        </is>
      </c>
      <c r="B135" s="8" t="inlineStr">
        <is>
          <t>80系</t>
        </is>
      </c>
      <c r="C135" s="8" t="inlineStr">
        <is>
          <t>動力伝達</t>
        </is>
      </c>
      <c r="D135" s="11" t="n">
        <v>17</v>
      </c>
      <c r="E135" s="9" t="n">
        <v>31.5</v>
      </c>
      <c r="F135" s="11" t="n">
        <v>76000</v>
      </c>
      <c r="G135" s="8" t="n">
        <v>2014</v>
      </c>
      <c r="H135" s="8" t="n">
        <v>2017</v>
      </c>
      <c r="I135" s="14" t="inlineStr">
        <is>
          <t>DAA-ZWR80G, DBA-ZRR80G, DBA-ZRR80W, DBA-ZRR85G, DBA-ZRR85W</t>
        </is>
      </c>
      <c r="J135" s="14" t="inlineStr">
        <is>
          <t>[2025-12-27 DBA-ZRR85W 2015/01 90000km] 走行時、時速４０ｋｍくらいからウィーンと言うような唸るような音が聞こえ、スピードを上げると共に大きくかつ高音域の音になる。
[2025-11-07 DBA-ZRR85W 2015/12 92000km] 高速道路を走行中、突然モータ音のような異音が鳴りはじめた。ディーラーで確認した結果、トランスミッションの不良と診断された。
[2025-03-06 DBA-ZRR85W 2017/03 76000km] ＣＶＴから異音が出るようになった。</t>
        </is>
      </c>
    </row>
    <row r="136">
      <c r="A136" s="13" t="inlineStr">
        <is>
          <t>ノア</t>
        </is>
      </c>
      <c r="B136" s="13" t="inlineStr">
        <is>
          <t>80系</t>
        </is>
      </c>
      <c r="C136" s="13" t="inlineStr">
        <is>
          <t>エンジン</t>
        </is>
      </c>
      <c r="D136" s="15" t="n">
        <v>11</v>
      </c>
      <c r="E136" s="17" t="n">
        <v>20.4</v>
      </c>
      <c r="F136" s="15" t="n">
        <v>65000</v>
      </c>
      <c r="G136" s="13" t="n">
        <v>2014</v>
      </c>
      <c r="H136" s="13" t="n">
        <v>2019</v>
      </c>
      <c r="I136" s="14" t="inlineStr">
        <is>
          <t>DAA-ZWR80G, DBA-ZRR70W, DBA-ZRR80G, DBA-ZRR80W, DBA-ZRR85W</t>
        </is>
      </c>
      <c r="J136" s="14" t="inlineStr">
        <is>
          <t>[2024-04-11 DBA-ZRR80W 2015/10 110000km] 走行中にエンジンとスリップの警告が出て、エンジン回転が上がらなくなった。整備工場で確認した結果、Ｐ２６４７という故障コードでバルブリフトモーター固着と診断され、関係部分を修理することになった。
[2022-06-08 DBA-ZRR80G 2015/07 75000km] 信号で停止中にエンジンが停止し、すぐにエンジンがかからなくなった。エンジンのマークとＶＳＣのマークが点灯していた。ディーラーで確認したところ、バルブリフトモーターの交換が必要と診断された。
[2021-12-13 DBA-ZRR80W 2015/10 34000km] エンジンを始動しようとしたところ、なかなか始動せず、アクセルペダルを踏んでも回転数が上がらない症状が出た。ディーラーで確認したところ、バルブリフトコントローラーの固着と診断された。</t>
        </is>
      </c>
    </row>
    <row r="137">
      <c r="A137" s="8" t="inlineStr">
        <is>
          <t>ノア</t>
        </is>
      </c>
      <c r="B137" s="8" t="inlineStr">
        <is>
          <t>80系</t>
        </is>
      </c>
      <c r="C137" s="8" t="inlineStr">
        <is>
          <t>保安灯火</t>
        </is>
      </c>
      <c r="D137" s="11" t="n">
        <v>8</v>
      </c>
      <c r="E137" s="9" t="n">
        <v>14.8</v>
      </c>
      <c r="F137" s="11" t="n">
        <v>22700</v>
      </c>
      <c r="G137" s="8" t="n">
        <v>2014</v>
      </c>
      <c r="H137" s="8" t="n">
        <v>2020</v>
      </c>
      <c r="I137" s="14" t="inlineStr">
        <is>
          <t>3BA-ZRR80W, DAA-ZWR80G, DBA-ZRR80W</t>
        </is>
      </c>
      <c r="J137" s="14" t="inlineStr">
        <is>
          <t>[2023-11-22 DBA-ZRR80W 2019/08 37600km] フロントガラス接着面に気泡がある。
[2023-10-30 DAA-ZWR80G 2016/03 59700km] 激しい雨の時などにおいて、ワイパーが激しくビビる。ワイパー使用中に突然間欠動作になったり、ウォッシャー液を使用するとワイパーが止まらなくなる症状も出ている。
[2022-02-19 3BA-ZRR80W 2020/10 10000km] 冬場の長い下り坂でアクセル操作をしない場合、フューエルカットとなるが、フューエルカット時にエアコンのコンプレッサーが運転しない仕様となっているため、エアコンから湿度の高い空気が吹き出し、フロント及びサイドのガラスが数秒で完全に曇り、視界が０になる。</t>
        </is>
      </c>
    </row>
    <row r="138">
      <c r="A138" s="13" t="inlineStr">
        <is>
          <t>ノア</t>
        </is>
      </c>
      <c r="B138" s="13" t="inlineStr">
        <is>
          <t>80系</t>
        </is>
      </c>
      <c r="C138" s="13" t="inlineStr">
        <is>
          <t>制動装置</t>
        </is>
      </c>
      <c r="D138" s="15" t="n">
        <v>7</v>
      </c>
      <c r="E138" s="17" t="n">
        <v>13</v>
      </c>
      <c r="F138" s="15" t="n">
        <v>124542</v>
      </c>
      <c r="G138" s="13" t="n">
        <v>2014</v>
      </c>
      <c r="H138" s="13" t="n">
        <v>2021</v>
      </c>
      <c r="I138" s="14" t="inlineStr">
        <is>
          <t>3BA-ZRR80W, 6AA-ZWR80W, DAA-ZWR80G, DBA-ZRR80G, DBA-ZRR80W</t>
        </is>
      </c>
      <c r="J138" s="14" t="inlineStr">
        <is>
          <t>[2024-10-09 DAA-ZWR80G 2016/03 380000km] ８０ｋｍ／ｈくらいで走行中、ブレーキオーバライドシステム故障 販売店へ連絡という警告メッセージが出た。レッカーでディーラーへ搬送して確認したところ、ブレーキのポンプ不良でユニット一式の交換が必要と告げられた。
[2024-02-08 DAA-ZWR80G 2018/03 124542km] ２週間に１～２回危険ではなくても緊急ブレーキの警告が出る。【ＡＳＶ検索対象】
[2023-10-24 6AA-ZWR80W 2021/12 15000km] ブレーキ時に前輪に係る荷重が左右均等でない感触や、カーブ時に車軸が運転席側にずれたかのような感触が発生していた。異音も出るようになり、ディーラーで確認したところ、ブレーキローターに異常があると判り、一度ローターを研磨したが解消せず、ローターとパッドを新品にしたところ、解消した。</t>
        </is>
      </c>
    </row>
    <row r="139">
      <c r="A139" s="8" t="inlineStr">
        <is>
          <t>ノア</t>
        </is>
      </c>
      <c r="B139" s="8" t="inlineStr">
        <is>
          <t>80系</t>
        </is>
      </c>
      <c r="C139" s="8" t="inlineStr">
        <is>
          <t>車枠・車体</t>
        </is>
      </c>
      <c r="D139" s="11" t="n">
        <v>3</v>
      </c>
      <c r="E139" s="9" t="n">
        <v>5.6</v>
      </c>
      <c r="F139" s="11" t="n">
        <v>55000</v>
      </c>
      <c r="G139" s="8" t="n">
        <v>2015</v>
      </c>
      <c r="H139" s="8" t="n">
        <v>2021</v>
      </c>
      <c r="I139" s="14" t="inlineStr">
        <is>
          <t>3BA-ZRR80G, DAA-ZWR80G, DBA-ZRR80W</t>
        </is>
      </c>
      <c r="J139" s="14" t="inlineStr">
        <is>
          <t>[2024-11-12 DAA-ZWR80G 2016/06 55000km] フロントガラスの上側モールが劣化してボロボロになり、ガラスとボディ間の溝が大きくなった。
[2021-09-05 3BA-ZRR80G 2021/01 6250km] 屋根付き車庫に保管で左右ルーフモールの浮きあがりが発生した。
[2017-09-19 DBA-ZRR80W 2015/10 ?km] 強い風が吹いている際に、一般道を走行していたところ、突然ルーフモールが外れ、車両から垂れさがった状態になった。</t>
        </is>
      </c>
    </row>
    <row r="140">
      <c r="A140" s="13" t="inlineStr">
        <is>
          <t>ノア</t>
        </is>
      </c>
      <c r="B140" s="13" t="inlineStr">
        <is>
          <t>80系</t>
        </is>
      </c>
      <c r="C140" s="13" t="inlineStr">
        <is>
          <t>乗車装置</t>
        </is>
      </c>
      <c r="D140" s="15" t="n">
        <v>2</v>
      </c>
      <c r="E140" s="17" t="n">
        <v>3.7</v>
      </c>
      <c r="F140" s="15" t="n">
        <v>28000</v>
      </c>
      <c r="G140" s="13" t="n">
        <v>2018</v>
      </c>
      <c r="H140" s="13" t="n">
        <v>2020</v>
      </c>
      <c r="I140" s="14" t="inlineStr">
        <is>
          <t>3BA-ZRR80G, DBA-ZRR80G</t>
        </is>
      </c>
      <c r="J140" s="14" t="inlineStr">
        <is>
          <t>[2025-08-06 3BA-ZRR80G 2020/11 10600km] 車いすが搭載できる仕様の車で、車いすの前側を固定するためのシートベルトが緩み、車いすがしっかり固定できなくなった。
[2022-07-27 DBA-ZRR80G 2018/10 28000km] ヘッドレストに触れたところ、スポンジが下に落ち込み、差し込むための鉄の棒が２本とも上に突き出し出てきた。布からは突き出していないが、ゴツゴツと鉄の棒が触れる状態になった。</t>
        </is>
      </c>
    </row>
    <row r="141">
      <c r="A141" s="8" t="inlineStr">
        <is>
          <t>ノア</t>
        </is>
      </c>
      <c r="B141" s="8" t="inlineStr">
        <is>
          <t>80系</t>
        </is>
      </c>
      <c r="C141" s="8" t="inlineStr">
        <is>
          <t>かじ取り</t>
        </is>
      </c>
      <c r="D141" s="11" t="n">
        <v>1</v>
      </c>
      <c r="E141" s="9" t="n">
        <v>1.9</v>
      </c>
      <c r="F141" s="11" t="n">
        <v>75000</v>
      </c>
      <c r="G141" s="8" t="n">
        <v>2019</v>
      </c>
      <c r="H141" s="8" t="n">
        <v>2019</v>
      </c>
      <c r="I141" s="14" t="inlineStr">
        <is>
          <t>DAA-ZWR80G</t>
        </is>
      </c>
      <c r="J141" s="14" t="inlineStr">
        <is>
          <t>[2023-01-13 DAA-ZWR80G 2019/01 75000km] 高速道路走行中にタイロットエンドの部品が外れた。</t>
        </is>
      </c>
    </row>
    <row r="142">
      <c r="A142" s="13" t="inlineStr">
        <is>
          <t>ノア</t>
        </is>
      </c>
      <c r="B142" s="13" t="inlineStr">
        <is>
          <t>80系</t>
        </is>
      </c>
      <c r="C142" s="13" t="inlineStr">
        <is>
          <t>その他</t>
        </is>
      </c>
      <c r="D142" s="15" t="n">
        <v>1</v>
      </c>
      <c r="E142" s="17" t="n">
        <v>1.9</v>
      </c>
      <c r="F142" s="15" t="n">
        <v>1000</v>
      </c>
      <c r="G142" s="13" t="n">
        <v>2020</v>
      </c>
      <c r="H142" s="13" t="n">
        <v>2020</v>
      </c>
      <c r="I142" s="14" t="inlineStr">
        <is>
          <t>3BA-ZRR80W</t>
        </is>
      </c>
      <c r="J142" s="14" t="inlineStr">
        <is>
          <t>[2020-11-09 3BA-ZRR80W 2020/06 1000km] 雨の後退時、車線維持センサーが不要作動する。</t>
        </is>
      </c>
    </row>
    <row r="143">
      <c r="A143" s="8" t="inlineStr">
        <is>
          <t>ノア</t>
        </is>
      </c>
      <c r="B143" s="8" t="inlineStr">
        <is>
          <t>80系</t>
        </is>
      </c>
      <c r="C143" s="8" t="inlineStr">
        <is>
          <t>排ｶﾞｽ･騒音</t>
        </is>
      </c>
      <c r="D143" s="11" t="n">
        <v>1</v>
      </c>
      <c r="E143" s="9" t="n">
        <v>1.9</v>
      </c>
      <c r="F143" s="11" t="n">
        <v>8072</v>
      </c>
      <c r="G143" s="8" t="n">
        <v>2014</v>
      </c>
      <c r="H143" s="8" t="n">
        <v>2014</v>
      </c>
      <c r="I143" s="14" t="inlineStr">
        <is>
          <t>DBA-ZRR80G</t>
        </is>
      </c>
      <c r="J143" s="14" t="inlineStr">
        <is>
          <t>[2015-06-21 DBA-ZRR80G 2014/02 8072km] 目視ではわからないようなマフラーの凹みにより、走行中に突然マフラーからボボボボという異音が発生した。</t>
        </is>
      </c>
    </row>
    <row r="144">
      <c r="A144" s="13" t="inlineStr">
        <is>
          <t>ノア</t>
        </is>
      </c>
      <c r="B144" s="13" t="inlineStr">
        <is>
          <t>80系</t>
        </is>
      </c>
      <c r="C144" s="13" t="inlineStr">
        <is>
          <t>燃料装置</t>
        </is>
      </c>
      <c r="D144" s="15" t="n">
        <v>1</v>
      </c>
      <c r="E144" s="17" t="n">
        <v>1.9</v>
      </c>
      <c r="F144" s="15" t="n">
        <v>50200</v>
      </c>
      <c r="G144" s="13" t="n">
        <v>2019</v>
      </c>
      <c r="H144" s="13" t="n">
        <v>2019</v>
      </c>
      <c r="I144" s="14" t="inlineStr">
        <is>
          <t>DBA-ZRR80W</t>
        </is>
      </c>
      <c r="J144" s="14" t="inlineStr">
        <is>
          <t>[2025-10-10 DBA-ZRR80W 2019/04 50200km] 車室内でガソリン臭がしたため、確認したところ、車体下部にガソリンがポタポタとガソリンが漏れていた。ディーラーで検査を受けた結果、燃料タンクの上部に亀裂が生じ、燃料が漏れたものと判った。</t>
        </is>
      </c>
    </row>
    <row r="145">
      <c r="A145" s="8" t="inlineStr">
        <is>
          <t>ノア</t>
        </is>
      </c>
      <c r="B145" s="8" t="inlineStr">
        <is>
          <t>80系</t>
        </is>
      </c>
      <c r="C145" s="8" t="inlineStr">
        <is>
          <t>走行装置</t>
        </is>
      </c>
      <c r="D145" s="11" t="n">
        <v>1</v>
      </c>
      <c r="E145" s="9" t="n">
        <v>1.9</v>
      </c>
      <c r="F145" s="11" t="n">
        <v>102700</v>
      </c>
      <c r="G145" s="8" t="n">
        <v>2014</v>
      </c>
      <c r="H145" s="8" t="n">
        <v>2014</v>
      </c>
      <c r="I145" s="14" t="inlineStr">
        <is>
          <t>DAA-ZWR80G</t>
        </is>
      </c>
      <c r="J145" s="14" t="inlineStr">
        <is>
          <t>[2023-08-30 DAA-ZWR80G 2014/09 102700km] 運転手側前輪がパンクした。</t>
        </is>
      </c>
    </row>
    <row r="146">
      <c r="A146" s="13" t="inlineStr">
        <is>
          <t>ノア</t>
        </is>
      </c>
      <c r="B146" s="13" t="inlineStr">
        <is>
          <t>80系</t>
        </is>
      </c>
      <c r="C146" s="13" t="inlineStr">
        <is>
          <t>電気装置</t>
        </is>
      </c>
      <c r="D146" s="15" t="n">
        <v>1</v>
      </c>
      <c r="E146" s="17" t="n">
        <v>1.9</v>
      </c>
      <c r="F146" s="15" t="n">
        <v>70400</v>
      </c>
      <c r="G146" s="13" t="n">
        <v>2015</v>
      </c>
      <c r="H146" s="13" t="n">
        <v>2015</v>
      </c>
      <c r="I146" s="14" t="inlineStr">
        <is>
          <t>DBA-ZRR80W</t>
        </is>
      </c>
      <c r="J146" s="14" t="inlineStr">
        <is>
          <t>[2024-07-20 DBA-ZRR80W 2015/09 70400km] 電源異常のためハンドルが重くなった。</t>
        </is>
      </c>
    </row>
    <row r="147">
      <c r="A147" s="8" t="inlineStr">
        <is>
          <t>ノア</t>
        </is>
      </c>
      <c r="B147" s="8" t="inlineStr">
        <is>
          <t>90系</t>
        </is>
      </c>
      <c r="C147" s="8" t="inlineStr">
        <is>
          <t>制動装置</t>
        </is>
      </c>
      <c r="D147" s="11" t="n">
        <v>15</v>
      </c>
      <c r="E147" s="9" t="n">
        <v>25.4</v>
      </c>
      <c r="F147" s="11" t="n">
        <v>25000</v>
      </c>
      <c r="G147" s="8" t="n">
        <v>2022</v>
      </c>
      <c r="H147" s="8" t="n">
        <v>2025</v>
      </c>
      <c r="I147" s="14" t="inlineStr">
        <is>
          <t>6AA-ZWR90W, 6AA-ZWR95W, 6BA-MZRA90W, 6BA-MZRA95W</t>
        </is>
      </c>
      <c r="J147" s="14" t="inlineStr">
        <is>
          <t>[2026-02-06 6AA-ZWR95W 2022/04 45000km] 外気温１０度以下、低速の減速時にブレーキ鳴きが常に発生する。新車購入以降発生しており、対策部品交換後も発生している。
[2025-10-24 6BA-MZRA90W 2024/02 28000km] 駐車中から走り出した際にブレーキが鳴き続ける。キーキー音が酷い。
[2025-10-16 6BA-MZRA95W 2023/02 ?km] ブレーキペダルを踏み込んだ際に、引っかかる感じがある。</t>
        </is>
      </c>
    </row>
    <row r="148">
      <c r="A148" s="13" t="inlineStr">
        <is>
          <t>ノア</t>
        </is>
      </c>
      <c r="B148" s="13" t="inlineStr">
        <is>
          <t>90系</t>
        </is>
      </c>
      <c r="C148" s="13" t="inlineStr">
        <is>
          <t>乗車装置</t>
        </is>
      </c>
      <c r="D148" s="15" t="n">
        <v>11</v>
      </c>
      <c r="E148" s="17" t="n">
        <v>18.6</v>
      </c>
      <c r="F148" s="15" t="n">
        <v>21000</v>
      </c>
      <c r="G148" s="13" t="n">
        <v>2022</v>
      </c>
      <c r="H148" s="13" t="n">
        <v>2025</v>
      </c>
      <c r="I148" s="14" t="inlineStr">
        <is>
          <t>6AA-ZWR90W, 6AA-ZWR95W, 6BA-MZRA90W, 6BA-MZRA95W</t>
        </is>
      </c>
      <c r="J148" s="14" t="inlineStr">
        <is>
          <t>[2026-03-11 6BA-MZRA90W 2023/11 ?km] ドアロック開閉時にアンサーバックが無い時がある。
[2025-12-22 6AA-ZWR90W 2025/07 2800km] 駐車して何もしていない状態であるのにも関わらず、突然バックドアが勝手に開いたため、壁にバックドアが接触した。
[2025-01-30 6AA-ZWR90W 2024/12 ?km] シートベルトを外した状態ではバックギアに入らない。</t>
        </is>
      </c>
    </row>
    <row r="149">
      <c r="A149" s="8" t="inlineStr">
        <is>
          <t>ノア</t>
        </is>
      </c>
      <c r="B149" s="8" t="inlineStr">
        <is>
          <t>90系</t>
        </is>
      </c>
      <c r="C149" s="8" t="inlineStr">
        <is>
          <t>その他</t>
        </is>
      </c>
      <c r="D149" s="11" t="n">
        <v>10</v>
      </c>
      <c r="E149" s="9" t="n">
        <v>16.9</v>
      </c>
      <c r="F149" s="11" t="n">
        <v>16800</v>
      </c>
      <c r="G149" s="8" t="n">
        <v>2022</v>
      </c>
      <c r="H149" s="8" t="n">
        <v>2025</v>
      </c>
      <c r="I149" s="14" t="inlineStr">
        <is>
          <t>6AA-ZWR90, 6AA-ZWR90W, 6AA-ZWR95W, 6BA-MZRA90W</t>
        </is>
      </c>
      <c r="J149" s="14" t="inlineStr">
        <is>
          <t>[2026-04-03 6AA-ZWR90 2025/01 16000km] 冷房が効かなくなった。
[2026-02-07 6AA-ZWR90W 2022/11 16800km] 一般道路を通常走行時、水温が低いままで上がらない。
[2026-01-09 6AA-ZWR95W 2022/06 61000km] ディスプレイオーディオに新着アップデート通知があり実施したところ、スマートフォンからの音声が車両のスピーカーから全く聞こえなくなった。</t>
        </is>
      </c>
    </row>
    <row r="150">
      <c r="A150" s="13" t="inlineStr">
        <is>
          <t>ノア</t>
        </is>
      </c>
      <c r="B150" s="13" t="inlineStr">
        <is>
          <t>90系</t>
        </is>
      </c>
      <c r="C150" s="13" t="inlineStr">
        <is>
          <t>車枠・車体</t>
        </is>
      </c>
      <c r="D150" s="15" t="n">
        <v>5</v>
      </c>
      <c r="E150" s="17" t="n">
        <v>8.5</v>
      </c>
      <c r="F150" s="15" t="n">
        <v>16749</v>
      </c>
      <c r="G150" s="13" t="n">
        <v>2022</v>
      </c>
      <c r="H150" s="13" t="n">
        <v>2023</v>
      </c>
      <c r="I150" s="14" t="inlineStr">
        <is>
          <t>6AA-ZWR95W, 6BA-MZRA90W</t>
        </is>
      </c>
      <c r="J150" s="14" t="inlineStr">
        <is>
          <t>[2025-07-14 6BA-MZRA90W 2022/04 38800km] 高速道路走行中リヤスポイラーが取れて後続車に衝突した。
[2024-07-16 6AA-ZWR95W 2022/03 16749km] 純正オプションのモデリスタフロントスポイラーにおいて、成型不良もしくは取り付け不良により浮いている。
[2024-01-10 6AA-ZWR95W 2023/07 ?km] ２～３ｃｍの降雪路を走行したところ、後方からカツカツ音を確認した。車両を確認したところ、リアバンパー左右の下部にある バンパー固定用の取り付けステー部付近に雪および氷が堆積しステーやリヤバンパーが変形していた。</t>
        </is>
      </c>
    </row>
    <row r="151">
      <c r="A151" s="8" t="inlineStr">
        <is>
          <t>ノア</t>
        </is>
      </c>
      <c r="B151" s="8" t="inlineStr">
        <is>
          <t>90系</t>
        </is>
      </c>
      <c r="C151" s="8" t="inlineStr">
        <is>
          <t>保安灯火</t>
        </is>
      </c>
      <c r="D151" s="11" t="n">
        <v>4</v>
      </c>
      <c r="E151" s="9" t="n">
        <v>6.8</v>
      </c>
      <c r="F151" s="11" t="n">
        <v>33000</v>
      </c>
      <c r="G151" s="8" t="n">
        <v>2022</v>
      </c>
      <c r="H151" s="8" t="n">
        <v>2024</v>
      </c>
      <c r="I151" s="14" t="inlineStr">
        <is>
          <t>6AA-ZWR90W, 6AA-ZWR95W</t>
        </is>
      </c>
      <c r="J151" s="14" t="inlineStr">
        <is>
          <t>[2026-02-21 6AA-ZWR90W 2023/02 41000km] 右折信号待ち時に、突然リアガラスが激しく割れ、ぽっかりと穴が空いたようになった。
[2025-01-10 6AA-ZWR95W 2024/07 ?km] 左ドアミラーの視野が狭く、拡大されたような映りになっている。販売店の所有車両と比較した結果、自車の映りに不具合があると認められ、ミラーガラスの交換が行われたが、解消しない。
[2025-01-06 6AA-ZWR95W 2022/04 33000km] 降雪時の走行でヘッドライトに雪が付着し、光量が低下して前方が見えない。</t>
        </is>
      </c>
    </row>
    <row r="152">
      <c r="A152" s="13" t="inlineStr">
        <is>
          <t>ノア</t>
        </is>
      </c>
      <c r="B152" s="13" t="inlineStr">
        <is>
          <t>90系</t>
        </is>
      </c>
      <c r="C152" s="13" t="inlineStr">
        <is>
          <t>電気装置</t>
        </is>
      </c>
      <c r="D152" s="15" t="n">
        <v>4</v>
      </c>
      <c r="E152" s="17" t="n">
        <v>6.8</v>
      </c>
      <c r="F152" s="15" t="n">
        <v>4000</v>
      </c>
      <c r="G152" s="13" t="n">
        <v>2022</v>
      </c>
      <c r="H152" s="13" t="n">
        <v>2025</v>
      </c>
      <c r="I152" s="14" t="inlineStr">
        <is>
          <t>6AA-ZWR90W, 6BA-MZRA90W</t>
        </is>
      </c>
      <c r="J152" s="14" t="inlineStr">
        <is>
          <t>[2026-04-09 6AA-ZWR90W 2025/04 ?km] 月平均１２００ｋｍ～１４００ｋｍ、前日に３００ｋｍの走行を行っても、補機バッテリー充電低下の警告が出る。
[2026-02-16 6BA-MZRA90W 2022/02 40000km] 中古車で、購入当初から車室内に搭載されていたインバーターがダッシュボード内で発火し、車内に煙が充満した。
[2026-01-17 6AA-ZWR90W 2024/01 3000km] ５日間使用しなかった際にバッテリーが上がり、起動できなくなった。</t>
        </is>
      </c>
    </row>
    <row r="153">
      <c r="A153" s="8" t="inlineStr">
        <is>
          <t>ノア</t>
        </is>
      </c>
      <c r="B153" s="8" t="inlineStr">
        <is>
          <t>90系</t>
        </is>
      </c>
      <c r="C153" s="8" t="inlineStr">
        <is>
          <t>動力伝達</t>
        </is>
      </c>
      <c r="D153" s="11" t="n">
        <v>2</v>
      </c>
      <c r="E153" s="9" t="n">
        <v>3.4</v>
      </c>
      <c r="F153" s="11" t="n">
        <v>64446</v>
      </c>
      <c r="G153" s="8" t="n">
        <v>2022</v>
      </c>
      <c r="H153" s="8" t="n">
        <v>2023</v>
      </c>
      <c r="I153" s="14" t="inlineStr">
        <is>
          <t>6AA-ZWR90W, 6AA-ZWR95W</t>
        </is>
      </c>
      <c r="J153" s="14" t="inlineStr">
        <is>
          <t>[2024-10-24 6AA-ZWR95W 2023/06 64446km] 信号待ちなど、ブレーキペダルを踏んでいる状態から発進したときに、前輪タイヤあたりから、ガタンと何かが割れたかのような大きな音があり、ハンドルもぶれる。
[2024-07-18 6AA-ZWR90W 2022/09 40100km] 総走行距離が３万ｋｍになったところでドライブシャフトに異音が出始めたため、交換を行ったが１年後に同じ症状が再発した。</t>
        </is>
      </c>
    </row>
    <row r="154">
      <c r="A154" s="13" t="inlineStr">
        <is>
          <t>ノア</t>
        </is>
      </c>
      <c r="B154" s="13" t="inlineStr">
        <is>
          <t>90系</t>
        </is>
      </c>
      <c r="C154" s="13" t="inlineStr">
        <is>
          <t>緩衝装置</t>
        </is>
      </c>
      <c r="D154" s="15" t="n">
        <v>2</v>
      </c>
      <c r="E154" s="17" t="n">
        <v>3.4</v>
      </c>
      <c r="F154" s="15" t="n">
        <v>22000</v>
      </c>
      <c r="G154" s="13" t="n">
        <v>2023</v>
      </c>
      <c r="H154" s="13" t="n">
        <v>2025</v>
      </c>
      <c r="I154" s="14" t="inlineStr">
        <is>
          <t>6AA-ZWR90W, 6BA-MZRA92W</t>
        </is>
      </c>
      <c r="J154" s="14" t="inlineStr">
        <is>
          <t>[2025-12-22 6AA-ZWR90W 2025/09 ?km] 左右スタビライザーの取り付けボルトが錆びていた。
[2025-12-03 6BA-MZRA92W 2023/01 22000km] 左後輪のエアサスにおいて、エアが張りすぎて走行中にゴンゴン突き上げられる。</t>
        </is>
      </c>
    </row>
    <row r="155">
      <c r="A155" s="8" t="inlineStr">
        <is>
          <t>ノア</t>
        </is>
      </c>
      <c r="B155" s="8" t="inlineStr">
        <is>
          <t>90系</t>
        </is>
      </c>
      <c r="C155" s="8" t="inlineStr">
        <is>
          <t>走行装置</t>
        </is>
      </c>
      <c r="D155" s="11" t="n">
        <v>2</v>
      </c>
      <c r="E155" s="9" t="n">
        <v>3.4</v>
      </c>
      <c r="F155" s="11" t="n">
        <v>35610</v>
      </c>
      <c r="G155" s="8" t="n">
        <v>2024</v>
      </c>
      <c r="H155" s="8" t="n">
        <v>2024</v>
      </c>
      <c r="I155" s="14" t="inlineStr">
        <is>
          <t>6AA-ZWR90W</t>
        </is>
      </c>
      <c r="J155" s="14" t="inlineStr">
        <is>
          <t>[2026-01-03 6AA-ZWR90W 2024/06 35610km] 大きな交差点を右折時にハンドルを一定以上回した状態で緩やかに加速すると、左前輪付近より、カタカタと振動と異音が発生する。
[2024-09-27 6AA-ZWR90W 2024/07 ?km] 低速走行～３０ｋｍ／ｈにおいて、前輪よりキイキイ金属音が鳴る。</t>
        </is>
      </c>
    </row>
    <row r="156">
      <c r="A156" s="13" t="inlineStr">
        <is>
          <t>ノア</t>
        </is>
      </c>
      <c r="B156" s="13" t="inlineStr">
        <is>
          <t>90系</t>
        </is>
      </c>
      <c r="C156" s="13" t="inlineStr">
        <is>
          <t>かじ取り</t>
        </is>
      </c>
      <c r="D156" s="15" t="n">
        <v>1</v>
      </c>
      <c r="E156" s="17" t="n">
        <v>1.7</v>
      </c>
      <c r="F156" s="15" t="n">
        <v>700</v>
      </c>
      <c r="G156" s="13" t="n">
        <v>2022</v>
      </c>
      <c r="H156" s="13" t="n">
        <v>2022</v>
      </c>
      <c r="I156" s="14" t="inlineStr">
        <is>
          <t>6AA-ZWR95W</t>
        </is>
      </c>
      <c r="J156" s="14" t="inlineStr">
        <is>
          <t>[2022-05-28 6AA-ZWR95W 2022/04 700km] ステアリングスイッチ左側の反応が悪く、スイッチ切り替えが出来ない事がある。クリック感が無いときがある。</t>
        </is>
      </c>
    </row>
    <row r="157">
      <c r="A157" s="8" t="inlineStr">
        <is>
          <t>ノア</t>
        </is>
      </c>
      <c r="B157" s="8" t="inlineStr">
        <is>
          <t>90系</t>
        </is>
      </c>
      <c r="C157" s="8" t="inlineStr">
        <is>
          <t>エンジン</t>
        </is>
      </c>
      <c r="D157" s="11" t="n">
        <v>1</v>
      </c>
      <c r="E157" s="9" t="n">
        <v>1.7</v>
      </c>
      <c r="F157" s="11" t="n">
        <v>70571</v>
      </c>
      <c r="G157" s="8" t="n">
        <v>2022</v>
      </c>
      <c r="H157" s="8" t="n">
        <v>2022</v>
      </c>
      <c r="I157" s="14" t="inlineStr">
        <is>
          <t>6BA-MZRA95W</t>
        </is>
      </c>
      <c r="J157" s="14" t="inlineStr">
        <is>
          <t>[2026-02-06 6BA-MZRA95W 2022/04 70571km] 信号停止直前にエンストした。ディーラーで診断したところ、失火、圧縮抜けが検出され、デポジット?み込みによるものと診断され、エンジンを交換することになった。</t>
        </is>
      </c>
    </row>
    <row r="158">
      <c r="A158" s="13" t="inlineStr">
        <is>
          <t>ノア</t>
        </is>
      </c>
      <c r="B158" s="13" t="inlineStr">
        <is>
          <t>90系</t>
        </is>
      </c>
      <c r="C158" s="13" t="inlineStr">
        <is>
          <t>燃料装置</t>
        </is>
      </c>
      <c r="D158" s="15" t="n">
        <v>1</v>
      </c>
      <c r="E158" s="17" t="n">
        <v>1.7</v>
      </c>
      <c r="F158" s="15" t="n">
        <v>30000</v>
      </c>
      <c r="G158" s="13" t="n">
        <v>2022</v>
      </c>
      <c r="H158" s="13" t="n">
        <v>2022</v>
      </c>
      <c r="I158" s="14" t="inlineStr">
        <is>
          <t>6AA-ZWR95W</t>
        </is>
      </c>
      <c r="J158" s="14" t="inlineStr">
        <is>
          <t>[2024-09-19 6AA-ZWR95W 2022/04 30000km] セルフ給油する際に給油機のオートストップ機能すぐに作動してしまい、満タンに出来ない。</t>
        </is>
      </c>
    </row>
    <row r="159">
      <c r="A159" s="8" t="inlineStr">
        <is>
          <t>ノア</t>
        </is>
      </c>
      <c r="B159" s="8" t="inlineStr">
        <is>
          <t>90系</t>
        </is>
      </c>
      <c r="C159" s="8" t="inlineStr">
        <is>
          <t>電動機(モーター)</t>
        </is>
      </c>
      <c r="D159" s="11" t="n">
        <v>1</v>
      </c>
      <c r="E159" s="9" t="n">
        <v>1.7</v>
      </c>
      <c r="F159" s="11" t="n">
        <v>26000</v>
      </c>
      <c r="G159" s="8" t="n">
        <v>2023</v>
      </c>
      <c r="H159" s="8" t="n">
        <v>2023</v>
      </c>
      <c r="I159" s="14" t="inlineStr">
        <is>
          <t>6AA-ZWR90W</t>
        </is>
      </c>
      <c r="J159" s="14" t="inlineStr">
        <is>
          <t>[2024-09-27 6AA-ZWR90W 2023/02 26000km] 低速時にエンジン音が唸る。駆動バッテリー残量の大小に関わらず、発進時や負荷のかかるタイミングでモーターアシストしない。</t>
        </is>
      </c>
    </row>
    <row r="160">
      <c r="A160" s="13" t="inlineStr">
        <is>
          <t>ノア</t>
        </is>
      </c>
      <c r="B160" s="13" t="inlineStr">
        <is>
          <t>不明</t>
        </is>
      </c>
      <c r="C160" s="13" t="inlineStr">
        <is>
          <t>乗車装置</t>
        </is>
      </c>
      <c r="D160" s="15" t="n">
        <v>50</v>
      </c>
      <c r="E160" s="17" t="n">
        <v>29.2</v>
      </c>
      <c r="F160" s="15" t="n">
        <v>61000</v>
      </c>
      <c r="G160" s="13" t="n">
        <v>1996</v>
      </c>
      <c r="H160" s="13" t="n">
        <v>2007</v>
      </c>
      <c r="I160" s="14" t="inlineStr">
        <is>
          <t>6AA-ZWR90W, AZR60, CBA-AZR60G, CBA-AZR65G, DBA-AZR60G, DBA-AZR65G, E-SR40G, GF-SR40G, GF-SR50G, TA-AZR60G, TA-AZR60Z, TA-AZR65G, ZRR85W, 不明</t>
        </is>
      </c>
      <c r="J160" s="14" t="inlineStr">
        <is>
          <t>[2024-04-19 6AA-ZWR90W  ?km] ハンズフリー機能付きのパワースライドドアについて、電子キーを所持した状態で、運転者席（または助手席）の車体下に足をかざすことで客室のスライドドアが開閉する仕様として販売されているが、運転者席（または助手席）のドアパネルの一部分に触れることでも開閉する不具合がある。
[2022-09-26 ZRR85W  35000km] スライドドア両側が開閉時や走行中にガタガタゴトゴト音がする。
[2020-06-02 DBA-AZR60G  ?km] 電動スライドドアのワイヤーが噛みこみ、開閉できなくなった。</t>
        </is>
      </c>
    </row>
    <row r="161">
      <c r="A161" s="8" t="inlineStr">
        <is>
          <t>ノア</t>
        </is>
      </c>
      <c r="B161" s="8" t="inlineStr">
        <is>
          <t>不明</t>
        </is>
      </c>
      <c r="C161" s="8" t="inlineStr">
        <is>
          <t>エンジン</t>
        </is>
      </c>
      <c r="D161" s="11" t="n">
        <v>46</v>
      </c>
      <c r="E161" s="9" t="n">
        <v>26.9</v>
      </c>
      <c r="F161" s="11" t="n">
        <v>71800</v>
      </c>
      <c r="G161" s="8" t="n">
        <v>1990</v>
      </c>
      <c r="H161" s="8" t="n">
        <v>2007</v>
      </c>
      <c r="I161" s="14" t="inlineStr">
        <is>
          <t>6BA-MZRA90W, CBA-AZR60G, CBA-AZR65G, DAA-ZWR80G, DBA-AZR60, DBA-AZR60G, DBA-AZR65G, DBA-ZRR85W, GF-SR40G, GF-SR50G, SR40G, TA-AZR60G, TA-AZR65G</t>
        </is>
      </c>
      <c r="J161" s="14" t="inlineStr">
        <is>
          <t>[2025-02-01 TA-AZR60G 2003/05 200000km] アイドリングが低回転のまま安定せず、車体が揺れるほどの振動があった。
[2023-11-16 DBA-ZRR85W  ?km] 走行中に４ＷＤシステムチェックの表示が出て、速度が出なくなった。ディーラーで確認したところ、コンティニュアスリバリアブルバルブリフトコントローラの修理が必要と見積もられた。
[2022-10-28 6BA-MZRA90W  ?km] 加速時にノッキングする。カラカラうるさい。</t>
        </is>
      </c>
    </row>
    <row r="162">
      <c r="A162" s="13" t="inlineStr">
        <is>
          <t>ノア</t>
        </is>
      </c>
      <c r="B162" s="13" t="inlineStr">
        <is>
          <t>不明</t>
        </is>
      </c>
      <c r="C162" s="13" t="inlineStr">
        <is>
          <t>動力伝達</t>
        </is>
      </c>
      <c r="D162" s="15" t="n">
        <v>17</v>
      </c>
      <c r="E162" s="17" t="n">
        <v>9.9</v>
      </c>
      <c r="F162" s="15" t="n">
        <v>70000</v>
      </c>
      <c r="G162" s="13" t="n">
        <v>2001</v>
      </c>
      <c r="H162" s="13" t="n">
        <v>2006</v>
      </c>
      <c r="I162" s="14" t="inlineStr">
        <is>
          <t>AZR60G, CBA-AZR65G, DBA-AZR60G, DBA-ZRR70W, TA-AZR60G, TA-AZR65G</t>
        </is>
      </c>
      <c r="J162" s="14" t="inlineStr">
        <is>
          <t>[2016-05-04 AZR60G 2005/07 ?km] 走行時に駆動系部品からタッタッタッタという異音がする。
[2015-08-31 DBA-AZR60G 2006/01 130000km] ＣＶＴ（無段変速機）の異音が聞こえるようになった。
[2015-03-18 CBA-AZR65G 2004/11 144000km] ２０１４年１１月に１２ケ月点検時にプロペラシャフトにガタが発見され、２０１５年３月ごろには低速時にゴロゴロと異音が出るようになった。</t>
        </is>
      </c>
    </row>
    <row r="163">
      <c r="A163" s="8" t="inlineStr">
        <is>
          <t>ノア</t>
        </is>
      </c>
      <c r="B163" s="8" t="inlineStr">
        <is>
          <t>不明</t>
        </is>
      </c>
      <c r="C163" s="8" t="inlineStr">
        <is>
          <t>制動装置</t>
        </is>
      </c>
      <c r="D163" s="11" t="n">
        <v>16</v>
      </c>
      <c r="E163" s="9" t="n">
        <v>9.4</v>
      </c>
      <c r="F163" s="11" t="n">
        <v>60000</v>
      </c>
      <c r="G163" s="8" t="n">
        <v>2002</v>
      </c>
      <c r="H163" s="8" t="n">
        <v>2007</v>
      </c>
      <c r="I163" s="14" t="inlineStr">
        <is>
          <t>6AA-ZWR90W, AZR60G, CBA-AZR60G, CBA-AZR65G, DBA-AZ60G, DBA-AZR65G, DBR-AZR65G, TA-AZR60G, TA-AZR65G</t>
        </is>
      </c>
      <c r="J163" s="14" t="inlineStr">
        <is>
          <t>[2026-05-18 6AA-ZWR90W  100km] ハイブリッド車で、ブレーキがあまり効かない。
[2025-02-01 TA-AZR60G 2003/05 200000km] ハブベアリングの不良で、ブレーキジャダー、振動、鳴きが発生していた。交換したベアリングを確認したところ、横のがたつきはなく回転方向へのがたつきが確認された。
[2024-10-09 6AA-ZWR90W  1500km] 低速発進時にブレーキからキーキーと高い音が鳴る。</t>
        </is>
      </c>
    </row>
    <row r="164">
      <c r="A164" s="13" t="inlineStr">
        <is>
          <t>ノア</t>
        </is>
      </c>
      <c r="B164" s="13" t="inlineStr">
        <is>
          <t>不明</t>
        </is>
      </c>
      <c r="C164" s="13" t="inlineStr">
        <is>
          <t>燃料装置</t>
        </is>
      </c>
      <c r="D164" s="15" t="n">
        <v>15</v>
      </c>
      <c r="E164" s="17" t="n">
        <v>8.800000000000001</v>
      </c>
      <c r="F164" s="15" t="n">
        <v>130000</v>
      </c>
      <c r="G164" s="13" t="n">
        <v>2001</v>
      </c>
      <c r="H164" s="13" t="n">
        <v>2007</v>
      </c>
      <c r="I164" s="14" t="inlineStr">
        <is>
          <t>CBA-AZR65G, DBA-AZR60G, DBA-AZR65G, TA-AZR60, TA-AZR60G, TA-AZR65, TA-AZR65G</t>
        </is>
      </c>
      <c r="J164" s="14" t="inlineStr">
        <is>
          <t>[2020-06-27 DBA-AZR65G 2006/03 115000km] 給油パイプの錆、劣化により燃料が漏れた。
[2018-08-29 TA-AZR60G 2003/03 64300km] 満タンに給油をすると、燃料の減りが著しく早く、しばらく駐車しておくと車の下に燃料が漏れている。
[2017-09-21 DBA-AZR65G 2005/08 144960km] 給油管の腐食により、ガソリンが漏れた。</t>
        </is>
      </c>
    </row>
    <row r="165">
      <c r="A165" s="8" t="inlineStr">
        <is>
          <t>ノア</t>
        </is>
      </c>
      <c r="B165" s="8" t="inlineStr">
        <is>
          <t>不明</t>
        </is>
      </c>
      <c r="C165" s="8" t="inlineStr">
        <is>
          <t>かじ取り</t>
        </is>
      </c>
      <c r="D165" s="11" t="n">
        <v>6</v>
      </c>
      <c r="E165" s="9" t="n">
        <v>3.5</v>
      </c>
      <c r="F165" s="11" t="n">
        <v>73000</v>
      </c>
      <c r="G165" s="8" t="n">
        <v>2003</v>
      </c>
      <c r="H165" s="8" t="n">
        <v>2006</v>
      </c>
      <c r="I165" s="14" t="inlineStr">
        <is>
          <t>DBA-AZR60G, TA-AZR60G</t>
        </is>
      </c>
      <c r="J165" s="14" t="inlineStr">
        <is>
          <t>[2016-08-25 TA-AZR60G 2003/10 131300km] 冠水路を走行したところ、補機ベルトが浸水してパワーステアリングポンプが滑る状態になったため、交差点で突然パワーステアリングが効かなくなった。
[2015-11-13 DBA-AZR60G 2006/12 63400km] ステアリングにガタがあり、車検に通らないと言われた。
[2014-04-25 TA-AZR60G 2003/04 100000km] ステアリングギアボックスを車体に固定する部分に使用されているブッシュが破損し、ギアボックス本体が左右に動いてしまう状態になった。</t>
        </is>
      </c>
    </row>
    <row r="166">
      <c r="A166" s="13" t="inlineStr">
        <is>
          <t>ノア</t>
        </is>
      </c>
      <c r="B166" s="13" t="inlineStr">
        <is>
          <t>不明</t>
        </is>
      </c>
      <c r="C166" s="13" t="inlineStr">
        <is>
          <t>その他</t>
        </is>
      </c>
      <c r="D166" s="15" t="n">
        <v>6</v>
      </c>
      <c r="E166" s="17" t="n">
        <v>3.5</v>
      </c>
      <c r="F166" s="15" t="n">
        <v>40000</v>
      </c>
      <c r="G166" s="13" t="n">
        <v>2006</v>
      </c>
      <c r="H166" s="13" t="n">
        <v>2006</v>
      </c>
      <c r="I166" s="14" t="inlineStr">
        <is>
          <t>6BA-MZRA90W, CBA-AZR60G, DBA-AZR60G, DBA-AZR65G</t>
        </is>
      </c>
      <c r="J166" s="14" t="inlineStr">
        <is>
          <t>[2024-03-14 6BA-MZRA90W  ?km] 純正ナビにおいて、一般道と高速道の高架が重なっている場所を走行すると、高速道路側にいるのに一般道を走行している扱いになるなど、実態に沿った表示にならない。
[2018-02-03 DBA-AZR65G 2006/06 118000km] スピードセンサーに錆びが発生したため、走行中に装置の誤作動が発生し、ブレーキがかかりハンドルを取られた。メーターパネルに警告表示がされ、警告音が鳴った。
[2014-07-30 DBA-AZR60G 2006/07 39000km] ８年４万ｋｍ弱の使用でエアコンのコンプレッサーが故障し、エアコンが効かなくなった。</t>
        </is>
      </c>
    </row>
    <row r="167">
      <c r="A167" s="8" t="inlineStr">
        <is>
          <t>ノア</t>
        </is>
      </c>
      <c r="B167" s="8" t="inlineStr">
        <is>
          <t>不明</t>
        </is>
      </c>
      <c r="C167" s="8" t="inlineStr">
        <is>
          <t>電気装置</t>
        </is>
      </c>
      <c r="D167" s="11" t="n">
        <v>4</v>
      </c>
      <c r="E167" s="9" t="n">
        <v>2.3</v>
      </c>
      <c r="F167" s="11" t="n">
        <v>149000</v>
      </c>
      <c r="G167" s="8" t="n">
        <v>2001</v>
      </c>
      <c r="H167" s="8" t="n">
        <v>2005</v>
      </c>
      <c r="I167" s="14" t="inlineStr">
        <is>
          <t>CBA-AZR60G, CR40G, DBA-AZR60G, TA-AZR60G</t>
        </is>
      </c>
      <c r="J167" s="14" t="inlineStr">
        <is>
          <t>[2015-09-29 TA-AZR60G 2001/12 220000km] オルタネーター（発電機）とエンジンブロックを接続しているステーが折損した。
[2014-11-02 CBA-AZR60G 2004/10 64010km] ブレーキスイッチの不具合により、走行中にＡＢＳ警告灯が点灯するようになった。
[2014-01-31 DBA-AZR60G 2005/12 58670km] 走行中にオルタネーター（発電機）の軸が破損したため、ベルトが外れて周囲へ飛び、激しい異音と共に走行不能になった。</t>
        </is>
      </c>
    </row>
    <row r="168">
      <c r="A168" s="13" t="inlineStr">
        <is>
          <t>ノア</t>
        </is>
      </c>
      <c r="B168" s="13" t="inlineStr">
        <is>
          <t>不明</t>
        </is>
      </c>
      <c r="C168" s="13" t="inlineStr">
        <is>
          <t>緩衝装置</t>
        </is>
      </c>
      <c r="D168" s="15" t="n">
        <v>3</v>
      </c>
      <c r="E168" s="17" t="n">
        <v>1.8</v>
      </c>
      <c r="F168" s="15" t="n">
        <v>25000</v>
      </c>
      <c r="G168" s="13" t="n">
        <v>2000</v>
      </c>
      <c r="H168" s="13" t="n">
        <v>2005</v>
      </c>
      <c r="I168" s="14" t="inlineStr">
        <is>
          <t>CBA-AZR60G, DBA-AZR60G, GF-SR40G</t>
        </is>
      </c>
      <c r="J168" s="14" t="inlineStr">
        <is>
          <t>[2013-05-13 DBA-AZR60G 2005/09 25000km] リヤショックアブソーバーからオイルが滲みだした。
[2010-10-04 GF-SR40G 2000/08 57000km] ５ヶ月前にストラットバーを交換する修理を行ったが、９月中旬に一般道の走行中に突然そのストラットバーが折損し、直進走行が出来なくなった。
[2008-12-12 CBA-AZR60G 2005/01 25000km] 右前のショックアブソーバーより、オイル漏れが発生した。</t>
        </is>
      </c>
    </row>
    <row r="169">
      <c r="A169" s="8" t="inlineStr">
        <is>
          <t>ノア</t>
        </is>
      </c>
      <c r="B169" s="8" t="inlineStr">
        <is>
          <t>不明</t>
        </is>
      </c>
      <c r="C169" s="8" t="inlineStr">
        <is>
          <t>保安灯火</t>
        </is>
      </c>
      <c r="D169" s="11" t="n">
        <v>2</v>
      </c>
      <c r="E169" s="9" t="n">
        <v>1.2</v>
      </c>
      <c r="F169" s="11" t="n">
        <v>78000</v>
      </c>
      <c r="G169" s="8" t="n">
        <v>2002</v>
      </c>
      <c r="H169" s="8" t="n">
        <v>2002</v>
      </c>
      <c r="I169" s="14" t="inlineStr">
        <is>
          <t>DBA-AZR60G, TA-AZR65G</t>
        </is>
      </c>
      <c r="J169" s="14" t="inlineStr">
        <is>
          <t>[2017-06-26 TA-AZR65G 2002/07 78000km] テールランプのバルブが溶けてしまった。４年前にも同様の不具合があり、部品交換を行っているが、また再発した。
[2012-11-26 DBA-AZR60G  ?km] 走行中に片側のヘッドライトが勝手に消灯する。ヘッドライトの点灯操作をし直すと再び点灯するが、これの繰り返しになる。</t>
        </is>
      </c>
    </row>
    <row r="170">
      <c r="A170" s="13" t="inlineStr">
        <is>
          <t>ノア</t>
        </is>
      </c>
      <c r="B170" s="13" t="inlineStr">
        <is>
          <t>不明</t>
        </is>
      </c>
      <c r="C170" s="13" t="inlineStr">
        <is>
          <t>排ｶﾞｽ･騒音</t>
        </is>
      </c>
      <c r="D170" s="15" t="n">
        <v>2</v>
      </c>
      <c r="E170" s="17" t="n">
        <v>1.2</v>
      </c>
      <c r="F170" s="15" t="n">
        <v>128000</v>
      </c>
      <c r="G170" s="13" t="n">
        <v>2005</v>
      </c>
      <c r="H170" s="13" t="n">
        <v>2005</v>
      </c>
      <c r="I170" s="14" t="inlineStr">
        <is>
          <t>CBA-AZR60G, CBA-AZR65G</t>
        </is>
      </c>
      <c r="J170" s="14" t="inlineStr">
        <is>
          <t>[2012-06-17 CBA-AZR65G 2005/06 70121km] Ｏ２センサーの不良により、エンジン始動後に警告灯が点灯した。
[2010-12-01 CBA-AZR60G 2005/02 128000km] オキシジェンセンサーの不良により、エンジン警告灯が表示され、消えなくなった。</t>
        </is>
      </c>
    </row>
    <row r="171">
      <c r="A171" s="8" t="inlineStr">
        <is>
          <t>ノア</t>
        </is>
      </c>
      <c r="B171" s="8" t="inlineStr">
        <is>
          <t>不明</t>
        </is>
      </c>
      <c r="C171" s="8" t="inlineStr">
        <is>
          <t>走行装置</t>
        </is>
      </c>
      <c r="D171" s="11" t="n">
        <v>2</v>
      </c>
      <c r="E171" s="9" t="n">
        <v>1.2</v>
      </c>
      <c r="F171" s="11" t="n">
        <v>130000</v>
      </c>
      <c r="G171" s="8" t="n">
        <v>2003</v>
      </c>
      <c r="H171" s="8" t="n">
        <v>2007</v>
      </c>
      <c r="I171" s="14" t="inlineStr">
        <is>
          <t>DBA-AZR60G, TA-AZR65G</t>
        </is>
      </c>
      <c r="J171" s="14" t="inlineStr">
        <is>
          <t>[2014-09-02 TA-AZR65G 2003/09 130000km] 右前輪ハブボルトが折損し、走行中にタイヤが外れた。
[2011-02-01 DBA-AZR60G 2007/02 10000km] 新車購入時に装着されている横浜ゴム製のＳ２２１において、タイヤの溝が１万ｋｍ程度の使用で、交換を要する程まで摩耗した。</t>
        </is>
      </c>
    </row>
    <row r="172">
      <c r="A172" s="13" t="inlineStr">
        <is>
          <t>ノア</t>
        </is>
      </c>
      <c r="B172" s="13" t="inlineStr">
        <is>
          <t>不明</t>
        </is>
      </c>
      <c r="C172" s="13" t="inlineStr">
        <is>
          <t>車枠・車体</t>
        </is>
      </c>
      <c r="D172" s="15" t="n">
        <v>2</v>
      </c>
      <c r="E172" s="17" t="n">
        <v>1.2</v>
      </c>
      <c r="F172" s="15" t="n">
        <v>80000</v>
      </c>
      <c r="G172" s="13" t="n"/>
      <c r="H172" s="13" t="n"/>
      <c r="I172" s="14" t="inlineStr">
        <is>
          <t>AZR60G, DBA-ZRR70G</t>
        </is>
      </c>
      <c r="J172" s="14" t="inlineStr">
        <is>
          <t>[2022-05-24 DBA-ZRR70G  ?km] パールホワイト塗装の車で、助手席側の雨よけ上部付近の塗装が剥がれた。
[2010-02-23 AZR60G  80000km] 給油口周りに手を触れたときに引火した。引火３日前に給油したがそれ以降はあけていない。</t>
        </is>
      </c>
    </row>
    <row r="173">
      <c r="A173" s="8" t="inlineStr">
        <is>
          <t>ヴォクシー</t>
        </is>
      </c>
      <c r="B173" s="8" t="inlineStr">
        <is>
          <t>（車種全体）</t>
        </is>
      </c>
      <c r="C173" s="8" t="inlineStr">
        <is>
          <t>エンジン</t>
        </is>
      </c>
      <c r="D173" s="11" t="n">
        <v>62</v>
      </c>
      <c r="E173" s="9" t="n">
        <v>23.7</v>
      </c>
      <c r="F173" s="11" t="n">
        <v>70000</v>
      </c>
      <c r="G173" s="8" t="n">
        <v>2001</v>
      </c>
      <c r="H173" s="8" t="n">
        <v>2023</v>
      </c>
      <c r="I173" s="14" t="inlineStr">
        <is>
          <t>6AA-ZWR90W, AZR65G, CBA-AZR60, CBA-AZR60G, CBA-AZR65G, DAA-ZWR80G, DAA-ZWR80W, DBA-AZR60G, DBA-AZR65G, DBA-ZRR70G, DBA-ZRR70W, DBA-ZRR75G, DBA-ZRR75W, DBA-ZRR80G, DBA-ZRR80W, DBA-ZRR85G, DBA-ZRR85W, TA-AZR60, TA-AZR60G, TA-AZR65G</t>
        </is>
      </c>
      <c r="J173"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74">
      <c r="A174" s="13" t="inlineStr">
        <is>
          <t>ヴォクシー</t>
        </is>
      </c>
      <c r="B174" s="13" t="inlineStr">
        <is>
          <t>（車種全体）</t>
        </is>
      </c>
      <c r="C174" s="13" t="inlineStr">
        <is>
          <t>動力伝達</t>
        </is>
      </c>
      <c r="D174" s="15" t="n">
        <v>45</v>
      </c>
      <c r="E174" s="17" t="n">
        <v>17.2</v>
      </c>
      <c r="F174" s="15" t="n">
        <v>60000</v>
      </c>
      <c r="G174" s="13" t="n">
        <v>2002</v>
      </c>
      <c r="H174" s="13" t="n">
        <v>2022</v>
      </c>
      <c r="I174" s="14" t="inlineStr">
        <is>
          <t>-, 6AA-ZWR90W, CBA-AZR65G, DAA-ZWR80G, DBA-AZR60G, DBA-ZRR70G, DBA-ZRR70W, DBA-ZRR75G, DBA-ZRR75W, DBA-ZRR80G, DBA-ZRR80W, DBA-ZRR85G, DBA-ZRR85W, DBA-ZZR80W, TA-AZR60G, TA-AZR65G</t>
        </is>
      </c>
      <c r="J174" s="14" t="inlineStr">
        <is>
          <t>[2026-06-22 6AA-ZWR90W 2022/09 23000km] ドライブシャフトの不具合により、異音がするようになった。
[2024-03-31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t>
        </is>
      </c>
    </row>
    <row r="175">
      <c r="A175" s="8" t="inlineStr">
        <is>
          <t>ヴォクシー</t>
        </is>
      </c>
      <c r="B175" s="8" t="inlineStr">
        <is>
          <t>（車種全体）</t>
        </is>
      </c>
      <c r="C175" s="8" t="inlineStr">
        <is>
          <t>乗車装置</t>
        </is>
      </c>
      <c r="D175" s="11" t="n">
        <v>43</v>
      </c>
      <c r="E175" s="9" t="n">
        <v>16.4</v>
      </c>
      <c r="F175" s="11" t="n">
        <v>60000</v>
      </c>
      <c r="G175" s="8" t="n">
        <v>2002</v>
      </c>
      <c r="H175" s="8" t="n">
        <v>2024</v>
      </c>
      <c r="I175" s="14" t="inlineStr">
        <is>
          <t>6AA-ZWR90W, AZR60G, CBA-AZR60G, CBA-AZR65G, DAA-ZWR80G, DAA-ZWR80W, DBA-AZR60G, DBA-ZRR70G, DBA-ZRR70W, DBA-ZRR75G, DBA-ZRR80W, DBA-ZRR85W, DBA-ZWR80W, TA-AZR60G, TA-AZR65G</t>
        </is>
      </c>
      <c r="J175" s="14" t="inlineStr">
        <is>
          <t>[2025-12-31 DBA-ZRR70W 2012/07 139350km] 運転席ドアの内側ドアノブのピンが折れた様で、車内側からドアを開けることが出来なくなりました。
[2025-03-08 6AA-ZWR90W 2024/07 ?km] 左右スライドドア開時に異音がする。
[2024-12-16 DBA-ZRR70W 2007/10 148100km] ドアの隙間に手が入ってしまい、チャイルドロックを子どもが中から外せてしまう。</t>
        </is>
      </c>
    </row>
    <row r="176">
      <c r="A176" s="13" t="inlineStr">
        <is>
          <t>ヴォクシー</t>
        </is>
      </c>
      <c r="B176" s="13" t="inlineStr">
        <is>
          <t>（車種全体）</t>
        </is>
      </c>
      <c r="C176" s="13" t="inlineStr">
        <is>
          <t>制動装置</t>
        </is>
      </c>
      <c r="D176" s="15" t="n">
        <v>33</v>
      </c>
      <c r="E176" s="17" t="n">
        <v>12.6</v>
      </c>
      <c r="F176" s="15" t="n">
        <v>64900</v>
      </c>
      <c r="G176" s="13" t="n">
        <v>2002</v>
      </c>
      <c r="H176" s="13" t="n">
        <v>2025</v>
      </c>
      <c r="I176" s="14" t="inlineStr">
        <is>
          <t>-, 6AA-ZWR80W, 6AA-ZWR90W, 6AA-ZWR95W, 6BA-MZRA90W, 6BA-MZRA92W, 80, AZR60, CBA-AZR60G, DAA-ZWR80G, DAA-ZWR80W, DBA-AZR60G, DBA-ZRR70G, DBA-ZRR70W, DBA-ZRR80G, DBA-ZRR80W, DBA-ZRR85G, DBA-ZRR85W, TA-AZR60G, TA-AZR65G</t>
        </is>
      </c>
      <c r="J176"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177">
      <c r="A177" s="8" t="inlineStr">
        <is>
          <t>ヴォクシー</t>
        </is>
      </c>
      <c r="B177" s="8" t="inlineStr">
        <is>
          <t>（車種全体）</t>
        </is>
      </c>
      <c r="C177" s="8" t="inlineStr">
        <is>
          <t>車枠・車体</t>
        </is>
      </c>
      <c r="D177" s="11" t="n">
        <v>17</v>
      </c>
      <c r="E177" s="9" t="n">
        <v>6.5</v>
      </c>
      <c r="F177" s="11" t="n">
        <v>43854</v>
      </c>
      <c r="G177" s="8" t="n">
        <v>2007</v>
      </c>
      <c r="H177" s="8" t="n">
        <v>2016</v>
      </c>
      <c r="I177" s="14" t="inlineStr">
        <is>
          <t>DAA-ZWR80G, DBA-ZRR70G, DBA-ZRR70W, DBA-ZRR75G, DBA-ZRR75W, DBA-ZRR80G, DBA-ZRR85W</t>
        </is>
      </c>
      <c r="J177"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78">
      <c r="A178" s="13" t="inlineStr">
        <is>
          <t>ヴォクシー</t>
        </is>
      </c>
      <c r="B178" s="13" t="inlineStr">
        <is>
          <t>（車種全体）</t>
        </is>
      </c>
      <c r="C178" s="13" t="inlineStr">
        <is>
          <t>かじ取り</t>
        </is>
      </c>
      <c r="D178" s="15" t="n">
        <v>15</v>
      </c>
      <c r="E178" s="17" t="n">
        <v>5.7</v>
      </c>
      <c r="F178" s="15" t="n">
        <v>50000</v>
      </c>
      <c r="G178" s="13" t="n">
        <v>2002</v>
      </c>
      <c r="H178" s="13" t="n">
        <v>2019</v>
      </c>
      <c r="I178" s="14" t="inlineStr">
        <is>
          <t>DBA-AZR60G, DBA-ZRR70G, DBA-ZRR70W, DBA-ZRR80W, TA-AZR60G</t>
        </is>
      </c>
      <c r="J178" s="14" t="inlineStr">
        <is>
          <t>[2020-03-18 DBA-ZRR80W 2019/07 8000km] 鈑金入庫した車両において、右前輪のラックエンドの固定部ナットが締まっておらず、容易に外れてしまった。
[2018-01-28 DBA-AZR60G 2007/01 58000km] 車検の点検時に、ステアリングギヤボックスとフレーム連結部のブッシュにガタが出ているのが発見された。
[2017-12-03 DBA-ZRR70W 2012/07 65348km] ステアリングインタミシャフトのベアリングのガタ付きにより、ハンドルを操作すると異音が発生し、走行中にハンドルから振動が伝わるようになった。</t>
        </is>
      </c>
    </row>
    <row r="179">
      <c r="A179" s="8" t="inlineStr">
        <is>
          <t>ヴォクシー</t>
        </is>
      </c>
      <c r="B179" s="8" t="inlineStr">
        <is>
          <t>（車種全体）</t>
        </is>
      </c>
      <c r="C179" s="8" t="inlineStr">
        <is>
          <t>保安灯火</t>
        </is>
      </c>
      <c r="D179" s="11" t="n">
        <v>14</v>
      </c>
      <c r="E179" s="9" t="n">
        <v>5.3</v>
      </c>
      <c r="F179" s="11" t="n">
        <v>35617</v>
      </c>
      <c r="G179" s="8" t="n">
        <v>2003</v>
      </c>
      <c r="H179" s="8" t="n">
        <v>2023</v>
      </c>
      <c r="I179" s="14" t="inlineStr">
        <is>
          <t>6AA-ZWR95W, 6BA-MZRA92W, CBA-AZR60G, DBA-AZR60G, DBA-ZRR70G, DBA-ZRR70W, DBA-ZRR80W, DBA-ZRR85W, TA-AZR65G</t>
        </is>
      </c>
      <c r="J179"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
[2021-07-09 DBA-ZRR80W 2017/07 35617km] フロントガラスの上部に気泡が発生した。日に日に状況は酷くなり、ガラスが浮き始めている。</t>
        </is>
      </c>
    </row>
    <row r="180">
      <c r="A180" s="13" t="inlineStr">
        <is>
          <t>ヴォクシー</t>
        </is>
      </c>
      <c r="B180" s="13" t="inlineStr">
        <is>
          <t>（車種全体）</t>
        </is>
      </c>
      <c r="C180" s="13" t="inlineStr">
        <is>
          <t>燃料装置</t>
        </is>
      </c>
      <c r="D180" s="15" t="n">
        <v>12</v>
      </c>
      <c r="E180" s="17" t="n">
        <v>4.6</v>
      </c>
      <c r="F180" s="15" t="n">
        <v>82106</v>
      </c>
      <c r="G180" s="13" t="n">
        <v>2002</v>
      </c>
      <c r="H180" s="13" t="n">
        <v>2010</v>
      </c>
      <c r="I180" s="14" t="inlineStr">
        <is>
          <t>CBA-AZR60G, CBA-AZR65G, DBA-AZR65G, DBA-ZRR70G, DBA-ZRR75G, DBA-ZRR75W, TA-AZR65G</t>
        </is>
      </c>
      <c r="J180"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81">
      <c r="A181" s="8" t="inlineStr">
        <is>
          <t>ヴォクシー</t>
        </is>
      </c>
      <c r="B181" s="8" t="inlineStr">
        <is>
          <t>（車種全体）</t>
        </is>
      </c>
      <c r="C181" s="8" t="inlineStr">
        <is>
          <t>その他</t>
        </is>
      </c>
      <c r="D181" s="11" t="n">
        <v>9</v>
      </c>
      <c r="E181" s="9" t="n">
        <v>3.4</v>
      </c>
      <c r="F181" s="11" t="n">
        <v>49600</v>
      </c>
      <c r="G181" s="8" t="n">
        <v>2002</v>
      </c>
      <c r="H181" s="8" t="n">
        <v>2023</v>
      </c>
      <c r="I181" s="14" t="inlineStr">
        <is>
          <t>6AA-ZWR90W, 6BA-MZRA90W, CBA-AZR60G, DBA-AZR60, DBA-AZR60G, DBA-ZRR70G, TA-AZR60G</t>
        </is>
      </c>
      <c r="J181" s="14" t="inlineStr">
        <is>
          <t>[2026-02-10 6AA-ZWR90W 2023/12 ?km] 丸一日走り続けても水温計の針がＣの少し上までしか上がらない。
[2022-07-28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t>
        </is>
      </c>
    </row>
    <row r="182">
      <c r="A182" s="13" t="inlineStr">
        <is>
          <t>ヴォクシー</t>
        </is>
      </c>
      <c r="B182" s="13" t="inlineStr">
        <is>
          <t>（車種全体）</t>
        </is>
      </c>
      <c r="C182" s="13" t="inlineStr">
        <is>
          <t>電気装置</t>
        </is>
      </c>
      <c r="D182" s="15" t="n">
        <v>6</v>
      </c>
      <c r="E182" s="17" t="n">
        <v>2.3</v>
      </c>
      <c r="F182" s="15" t="n">
        <v>30000</v>
      </c>
      <c r="G182" s="13" t="n">
        <v>2006</v>
      </c>
      <c r="H182" s="13" t="n">
        <v>2023</v>
      </c>
      <c r="I182" s="14" t="inlineStr">
        <is>
          <t>6AA-ZWR90W, AZR60, DBA-AZR60G, DBA-ZRR80G, DBA-ZRR85W</t>
        </is>
      </c>
      <c r="J182" s="14" t="inlineStr">
        <is>
          <t>[2026-06-15 6AA-ZWR90W 2023/10 ?km] 毎週末、相応に使用している車において、キャンプへ行った際に後部バックドアを複数回開閉した程度でバッテリーが上がり、始動できなくなった。
[2021-07-30  2019/03 10000km] 前カメラ警告灯が点灯し、１０分ほどで消えた。
[2020-08-18 DBA-ZRR80G 2014/05 57099km] ネットワークゲートウェイコンピュータの不良により、早期にバッテリーがあがる。</t>
        </is>
      </c>
    </row>
    <row r="183">
      <c r="A183" s="8" t="inlineStr">
        <is>
          <t>ヴォクシー</t>
        </is>
      </c>
      <c r="B183" s="8" t="inlineStr">
        <is>
          <t>（車種全体）</t>
        </is>
      </c>
      <c r="C183" s="8" t="inlineStr">
        <is>
          <t>走行装置</t>
        </is>
      </c>
      <c r="D183" s="11" t="n">
        <v>4</v>
      </c>
      <c r="E183" s="9" t="n">
        <v>1.5</v>
      </c>
      <c r="F183" s="11" t="n">
        <v>42000</v>
      </c>
      <c r="G183" s="8" t="n">
        <v>2009</v>
      </c>
      <c r="H183" s="8" t="n">
        <v>2016</v>
      </c>
      <c r="I183" s="14" t="inlineStr">
        <is>
          <t>DBA-ZRR70W, DBA-ZRR80G, DBA-ZRR85G, DBA-ZRR85W</t>
        </is>
      </c>
      <c r="J183"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184">
      <c r="A184" s="13" t="inlineStr">
        <is>
          <t>ヴォクシー</t>
        </is>
      </c>
      <c r="B184" s="13" t="inlineStr">
        <is>
          <t>（車種全体）</t>
        </is>
      </c>
      <c r="C184" s="13" t="inlineStr">
        <is>
          <t>排ｶﾞｽ･騒音</t>
        </is>
      </c>
      <c r="D184" s="15" t="n">
        <v>1</v>
      </c>
      <c r="E184" s="17" t="n">
        <v>0.4</v>
      </c>
      <c r="F184" s="15" t="n">
        <v>70500</v>
      </c>
      <c r="G184" s="13" t="n">
        <v>2004</v>
      </c>
      <c r="H184" s="13" t="n">
        <v>2004</v>
      </c>
      <c r="I184" s="14" t="inlineStr">
        <is>
          <t>CBA-AZR60G</t>
        </is>
      </c>
      <c r="J184" s="14" t="inlineStr">
        <is>
          <t>[2015-11-13 CBA-AZR60G 2004/11 70500km] ＥＧＲバルブの不良により、交差点でエンストをした。</t>
        </is>
      </c>
    </row>
    <row r="185">
      <c r="A185" s="8" t="inlineStr">
        <is>
          <t>ヴォクシー</t>
        </is>
      </c>
      <c r="B185" s="8" t="inlineStr">
        <is>
          <t>（車種全体）</t>
        </is>
      </c>
      <c r="C185" s="8" t="inlineStr">
        <is>
          <t>緩衝装置</t>
        </is>
      </c>
      <c r="D185" s="11" t="n">
        <v>1</v>
      </c>
      <c r="E185" s="9" t="n">
        <v>0.4</v>
      </c>
      <c r="F185" s="11" t="n">
        <v>90000</v>
      </c>
      <c r="G185" s="8" t="n">
        <v>2005</v>
      </c>
      <c r="H185" s="8" t="n">
        <v>2005</v>
      </c>
      <c r="I185" s="14" t="inlineStr">
        <is>
          <t>CBA-AZR60G</t>
        </is>
      </c>
      <c r="J185" s="14" t="inlineStr">
        <is>
          <t>[2013-03-09 CBA-AZR60G 2005/03 90000km] ロアアームの不良により、ハンドルを左右に切ると、ギョルギョルという異音がでる。</t>
        </is>
      </c>
    </row>
    <row r="186">
      <c r="A186" s="13" t="inlineStr">
        <is>
          <t>ヴォクシー</t>
        </is>
      </c>
      <c r="B186" s="13" t="inlineStr">
        <is>
          <t>70系</t>
        </is>
      </c>
      <c r="C186" s="13" t="inlineStr">
        <is>
          <t>動力伝達</t>
        </is>
      </c>
      <c r="D186" s="15" t="n">
        <v>13</v>
      </c>
      <c r="E186" s="17" t="n">
        <v>20.6</v>
      </c>
      <c r="F186" s="15" t="n">
        <v>66700</v>
      </c>
      <c r="G186" s="13" t="n">
        <v>2007</v>
      </c>
      <c r="H186" s="13" t="n">
        <v>2013</v>
      </c>
      <c r="I186" s="14" t="inlineStr">
        <is>
          <t>DBA-ZRR70G, DBA-ZRR70W, DBA-ZRR75G, DBA-ZRR75W</t>
        </is>
      </c>
      <c r="J186" s="14" t="inlineStr">
        <is>
          <t>[2019-05-16 DBA-ZRR75G 2011/08 40000km] ４ＷＤカップリングの故障により、後方から金属音が発生した。
[2018-10-05 DBA-ZRR70G 2011/04 107000km] 走行中、アクセルフリーの状態から加速しようとすると、変速機からショックが発生する。
[2018-08-09 DBA-ZRR70W 2013/02 60000km] ＣＶＴ（無段変速機）の不良により、正常に変速せず、ガクガクと異常振動するようになった。</t>
        </is>
      </c>
    </row>
    <row r="187">
      <c r="A187" s="8" t="inlineStr">
        <is>
          <t>ヴォクシー</t>
        </is>
      </c>
      <c r="B187" s="8" t="inlineStr">
        <is>
          <t>70系</t>
        </is>
      </c>
      <c r="C187" s="8" t="inlineStr">
        <is>
          <t>エンジン</t>
        </is>
      </c>
      <c r="D187" s="11" t="n">
        <v>12</v>
      </c>
      <c r="E187" s="9" t="n">
        <v>19</v>
      </c>
      <c r="F187" s="11" t="n">
        <v>75000</v>
      </c>
      <c r="G187" s="8" t="n">
        <v>2007</v>
      </c>
      <c r="H187" s="8" t="n">
        <v>2012</v>
      </c>
      <c r="I187" s="14" t="inlineStr">
        <is>
          <t>DBA-ZRR70G, DBA-ZRR70W, DBA-ZRR75G, DBA-ZRR75W</t>
        </is>
      </c>
      <c r="J187" s="14" t="inlineStr">
        <is>
          <t>[2022-11-08 DBA-ZRR75W 2010/10 147700km] 走行中にエンジンマークと４ＷＤマークが点灯した。修理工場でエラーを確認すると、コンティニアンスバリアブルリフトコントローラーと、触媒不良と診断され、コンティニアンスバリアブルリフトコントローラー一式を交換した。
[2021-02-12 DBA-ZRR70W 2010/07 100900km] 交差点での信号待機後、発進時にタイミングがずれ、エンストや後部からの追突のような衝撃が車体に起きてからの発進となる。
[2019-08-23 DBA-ZRR70W 2011/03 75000km] コンティニュアスバリアブルバルブリフトコントローラーの不良により、エンジン警告灯が点灯した。</t>
        </is>
      </c>
    </row>
    <row r="188">
      <c r="A188" s="13" t="inlineStr">
        <is>
          <t>ヴォクシー</t>
        </is>
      </c>
      <c r="B188" s="13" t="inlineStr">
        <is>
          <t>70系</t>
        </is>
      </c>
      <c r="C188" s="13" t="inlineStr">
        <is>
          <t>車枠・車体</t>
        </is>
      </c>
      <c r="D188" s="15" t="n">
        <v>10</v>
      </c>
      <c r="E188" s="17" t="n">
        <v>15.9</v>
      </c>
      <c r="F188" s="15" t="n">
        <v>43854</v>
      </c>
      <c r="G188" s="13" t="n">
        <v>2007</v>
      </c>
      <c r="H188" s="13" t="n">
        <v>2012</v>
      </c>
      <c r="I188" s="14" t="inlineStr">
        <is>
          <t>DBA-ZRR70G, DBA-ZRR70W, DBA-ZRR75G, DBA-ZRR75W</t>
        </is>
      </c>
      <c r="J188" s="14" t="inlineStr">
        <is>
          <t>[2023-08-27 DBA-ZRR70W 2010/07 98000km] 一度も洗車機にかけたこととが無く、鳥糞などの処理も丁寧に行っていたのに、塗装が剥がれた。
[2023-05-02 DBA-ZRR70W 2010/02 130000km] 運転席側のルーフ塗装が剥がれてきた。
[2022-11-21 DBA-ZRR70W 2009/09 48000km] カラー番号０７０（ホワイトパールクリスタルシャイン）塗装の車で、ボンネットのメーカーエンブレムの上部１５ｃｍ辺りの所を中心に三方へ塗膜の亀裂（各中心部から１０ｃｍ）、塗膜の浮き（直径２０ｃｍ）、右側スライドドアの窓の下では塗装剥離５ｃｍ、塗膜の浮き左右に５０ｃｍ幅１ｃｍを確認した。</t>
        </is>
      </c>
    </row>
    <row r="189">
      <c r="A189" s="8" t="inlineStr">
        <is>
          <t>ヴォクシー</t>
        </is>
      </c>
      <c r="B189" s="8" t="inlineStr">
        <is>
          <t>70系</t>
        </is>
      </c>
      <c r="C189" s="8" t="inlineStr">
        <is>
          <t>乗車装置</t>
        </is>
      </c>
      <c r="D189" s="11" t="n">
        <v>8</v>
      </c>
      <c r="E189" s="9" t="n">
        <v>12.7</v>
      </c>
      <c r="F189" s="11" t="n">
        <v>80000</v>
      </c>
      <c r="G189" s="8" t="n">
        <v>2007</v>
      </c>
      <c r="H189" s="8" t="n">
        <v>2012</v>
      </c>
      <c r="I189" s="14" t="inlineStr">
        <is>
          <t>AZR60G, DBA-ZRR70G, DBA-ZRR70W, DBA-ZRR75G</t>
        </is>
      </c>
      <c r="J189" s="14" t="inlineStr">
        <is>
          <t>[2025-12-31 DBA-ZRR70W 2012/07 139350km] 運転席ドアの内側ドアノブのピンが折れた様で、車内側からドアを開けることが出来なくなりました。
[2024-12-16 DBA-ZRR70W 2007/10 148100km] ドアの隙間に手が入ってしまい、チャイルドロックを子どもが中から外せてしまう。
[2018-04-27 DBA-ZRR75G 2011/08 80000km] 運転席の座面がヘタリ、波打った状態になった。</t>
        </is>
      </c>
    </row>
    <row r="190">
      <c r="A190" s="13" t="inlineStr">
        <is>
          <t>ヴォクシー</t>
        </is>
      </c>
      <c r="B190" s="13" t="inlineStr">
        <is>
          <t>70系</t>
        </is>
      </c>
      <c r="C190" s="13" t="inlineStr">
        <is>
          <t>かじ取り</t>
        </is>
      </c>
      <c r="D190" s="15" t="n">
        <v>6</v>
      </c>
      <c r="E190" s="17" t="n">
        <v>9.5</v>
      </c>
      <c r="F190" s="15" t="n">
        <v>30000</v>
      </c>
      <c r="G190" s="13" t="n">
        <v>2009</v>
      </c>
      <c r="H190" s="13" t="n">
        <v>2012</v>
      </c>
      <c r="I190" s="14" t="inlineStr">
        <is>
          <t>DBA-ZRR70G, DBA-ZRR70W</t>
        </is>
      </c>
      <c r="J190" s="14" t="inlineStr">
        <is>
          <t>[2017-12-03 DBA-ZRR70W 2012/07 65348km] ステアリングインタミシャフトのベアリングのガタ付きにより、ハンドルを操作すると異音が発生し、走行中にハンドルから振動が伝わるようになった。
[2017-09-20 DBA-ZRR70G 2009/11 34000km] ハンドルを左右に少し回すと、回した方向へ車が流れ、直進状態に戻らない。
[2015-01-09 DBA-ZRR70W 2012/03 16521km] ゆるい登り坂の左カーブにさしかかり、ハンドルを左に切ろうとしたところ、「パン」という音とともにハンドルにロックがかかったようになり、操作不能に陥ったため、単独事故を起こして運転者が負傷した。</t>
        </is>
      </c>
    </row>
    <row r="191">
      <c r="A191" s="8" t="inlineStr">
        <is>
          <t>ヴォクシー</t>
        </is>
      </c>
      <c r="B191" s="8" t="inlineStr">
        <is>
          <t>70系</t>
        </is>
      </c>
      <c r="C191" s="8" t="inlineStr">
        <is>
          <t>制動装置</t>
        </is>
      </c>
      <c r="D191" s="11" t="n">
        <v>5</v>
      </c>
      <c r="E191" s="9" t="n">
        <v>7.9</v>
      </c>
      <c r="F191" s="11" t="n">
        <v>70000</v>
      </c>
      <c r="G191" s="8" t="n">
        <v>2007</v>
      </c>
      <c r="H191" s="8" t="n">
        <v>2008</v>
      </c>
      <c r="I191" s="14" t="inlineStr">
        <is>
          <t>DBA-AZR60G, DBA-ZRR70G, DBA-ZRR70W</t>
        </is>
      </c>
      <c r="J191" s="14" t="inlineStr">
        <is>
          <t>[2018-06-28 DBA-ZRR70G 2007/09 73000km] 赤信号でブレーキを踏んだ際、ブレーキが踏力に対して正常に効かず、前の車に追突しそうになった。
[2016-12-14 DBA-AZR60G 2007/07 110000km] ブレーキペダルを踏み、停止した後、少しずつブレーキペダルが奥に入っていき、同じ位置に足を置いておくと制動力が落ちる。
[2015-04-14 DBA-ZRR70W 2007/07 70000km] ブレーキブースターの不良により、高速道路運転中にブレーキペダルが踏み込めなくなった。</t>
        </is>
      </c>
    </row>
    <row r="192">
      <c r="A192" s="13" t="inlineStr">
        <is>
          <t>ヴォクシー</t>
        </is>
      </c>
      <c r="B192" s="13" t="inlineStr">
        <is>
          <t>70系</t>
        </is>
      </c>
      <c r="C192" s="13" t="inlineStr">
        <is>
          <t>燃料装置</t>
        </is>
      </c>
      <c r="D192" s="15" t="n">
        <v>4</v>
      </c>
      <c r="E192" s="17" t="n">
        <v>6.3</v>
      </c>
      <c r="F192" s="15" t="n">
        <v>126000</v>
      </c>
      <c r="G192" s="13" t="n">
        <v>2007</v>
      </c>
      <c r="H192" s="13" t="n">
        <v>2010</v>
      </c>
      <c r="I192" s="14" t="inlineStr">
        <is>
          <t>DBA-ZRR70G, DBA-ZRR75W</t>
        </is>
      </c>
      <c r="J192" s="14" t="inlineStr">
        <is>
          <t>[2023-03-25 DBA-ZRR75W 2010/07 91200km] 給油パイプの腐食により、燃料給油時にガソリンが漏れた。
[2021-06-22 DBA-ZRR75W 2009/05 135000km] フィラーパイプの腐食により、ガソリンを給油した時にタイヤハウス下回りからガソリンが漏れていた。
[2020-07-17 DBA-ZRR70G 2007/11 126000km] 車体近くからガソリン臭く、給油時に特に臭いので給油口パイプを確認すると、給油口パイプが腐食して穴が開きそこからガソリンが漏れていた。</t>
        </is>
      </c>
    </row>
    <row r="193">
      <c r="A193" s="8" t="inlineStr">
        <is>
          <t>ヴォクシー</t>
        </is>
      </c>
      <c r="B193" s="8" t="inlineStr">
        <is>
          <t>70系</t>
        </is>
      </c>
      <c r="C193" s="8" t="inlineStr">
        <is>
          <t>保安灯火</t>
        </is>
      </c>
      <c r="D193" s="11" t="n">
        <v>3</v>
      </c>
      <c r="E193" s="9" t="n">
        <v>4.8</v>
      </c>
      <c r="F193" s="11" t="n">
        <v>38218</v>
      </c>
      <c r="G193" s="8" t="n">
        <v>2007</v>
      </c>
      <c r="H193" s="8" t="n">
        <v>2013</v>
      </c>
      <c r="I193" s="14" t="inlineStr">
        <is>
          <t>DBA-ZRR70G, DBA-ZRR70W</t>
        </is>
      </c>
      <c r="J193" s="14" t="inlineStr">
        <is>
          <t>[2017-08-07 DBA-ZRR70G 2013/06 46400km] 高速道路のトンネル内右車線走行中、居眠り防止の段差に差し掛かった瞬間に運転席側後部座席の窓ガラスが大破した。
[2015-09-02 DBA-ZRR70W 2007/09 38218km] スライドドアの窓ガラスを運転席側スイッチのＡＵＴＯで開け閉めしたところ、パキッという異音がして、ガラスを固定している部品が破損した。
[2012-12-16 DBA-ZRR70W 2008/11 28500km] 走行中に２列目右側座席付近よりボンと音が鳴り、窓の開閉が出来なくなったため、ディーラーで確認してもらったところ、ウィンドウガラスを下で支えている場所のガラスが割れていた。</t>
        </is>
      </c>
    </row>
    <row r="194">
      <c r="A194" s="13" t="inlineStr">
        <is>
          <t>ヴォクシー</t>
        </is>
      </c>
      <c r="B194" s="13" t="inlineStr">
        <is>
          <t>70系</t>
        </is>
      </c>
      <c r="C194" s="13" t="inlineStr">
        <is>
          <t>その他</t>
        </is>
      </c>
      <c r="D194" s="15" t="n">
        <v>1</v>
      </c>
      <c r="E194" s="17" t="n">
        <v>1.6</v>
      </c>
      <c r="F194" s="15" t="n">
        <v>5000</v>
      </c>
      <c r="G194" s="13" t="n">
        <v>2007</v>
      </c>
      <c r="H194" s="13" t="n">
        <v>2007</v>
      </c>
      <c r="I194" s="14" t="inlineStr">
        <is>
          <t>DBA-ZRR70G</t>
        </is>
      </c>
      <c r="J194" s="14" t="inlineStr">
        <is>
          <t>[2008-06-02 DBA-ZRR70G 2007/12 5000km] 駐車中にエアコンを入れ、１５分すると振動が大きくなる。</t>
        </is>
      </c>
    </row>
    <row r="195">
      <c r="A195" s="8" t="inlineStr">
        <is>
          <t>ヴォクシー</t>
        </is>
      </c>
      <c r="B195" s="8" t="inlineStr">
        <is>
          <t>70系</t>
        </is>
      </c>
      <c r="C195" s="8" t="inlineStr">
        <is>
          <t>走行装置</t>
        </is>
      </c>
      <c r="D195" s="11" t="n">
        <v>1</v>
      </c>
      <c r="E195" s="9" t="n">
        <v>1.6</v>
      </c>
      <c r="F195" s="11" t="n">
        <v>42000</v>
      </c>
      <c r="G195" s="8" t="n">
        <v>2009</v>
      </c>
      <c r="H195" s="8" t="n">
        <v>2009</v>
      </c>
      <c r="I195" s="14" t="inlineStr">
        <is>
          <t>DBA-ZRR70W</t>
        </is>
      </c>
      <c r="J195" s="14" t="inlineStr">
        <is>
          <t>[2011-05-31 DBA-ZRR70W 2009/06 42000km] 新車納車時に装着されていたトーヨー製のタイヤにおいて、２年弱の使用でタイヤの溝にヒビが出来た。</t>
        </is>
      </c>
    </row>
    <row r="196">
      <c r="A196" s="13" t="inlineStr">
        <is>
          <t>ヴォクシー</t>
        </is>
      </c>
      <c r="B196" s="13" t="inlineStr">
        <is>
          <t>80系</t>
        </is>
      </c>
      <c r="C196" s="13" t="inlineStr">
        <is>
          <t>動力伝達</t>
        </is>
      </c>
      <c r="D196" s="15" t="n">
        <v>21</v>
      </c>
      <c r="E196" s="17" t="n">
        <v>28.8</v>
      </c>
      <c r="F196" s="15" t="n">
        <v>59300</v>
      </c>
      <c r="G196" s="13" t="n">
        <v>2014</v>
      </c>
      <c r="H196" s="13" t="n">
        <v>2017</v>
      </c>
      <c r="I196" s="14" t="inlineStr">
        <is>
          <t>DAA-ZWR80G, DBA-ZRR80G, DBA-ZRR80W, DBA-ZRR85G, DBA-ZRR85W, DBA-ZZR80W</t>
        </is>
      </c>
      <c r="J196" s="14" t="inlineStr">
        <is>
          <t>[2024-03-31 DBA-ZRR80W 2015/12 81448km] 走行中エンジン異音で停止したが、エンジン警告灯・横滑り警告灯が点灯し、走行不能になった。
[2023-09-30 DBA-ZRR85W 2016/10 117777km] 走行中にヴォーという異音が出るようになり、回転数が上がると異音も大きくなる。整備工場でトランスミッションからの異音であると診断された。
[2023-07-20 DBA-ZRR80G 2014/03 120000km] ギアをＤ又はＲにしても前後ともクリープ状態で車が走らず、警告ランプが点灯した。</t>
        </is>
      </c>
    </row>
    <row r="197">
      <c r="A197" s="8" t="inlineStr">
        <is>
          <t>ヴォクシー</t>
        </is>
      </c>
      <c r="B197" s="8" t="inlineStr">
        <is>
          <t>80系</t>
        </is>
      </c>
      <c r="C197" s="8" t="inlineStr">
        <is>
          <t>エンジン</t>
        </is>
      </c>
      <c r="D197" s="11" t="n">
        <v>19</v>
      </c>
      <c r="E197" s="9" t="n">
        <v>26</v>
      </c>
      <c r="F197" s="11" t="n">
        <v>70000</v>
      </c>
      <c r="G197" s="8" t="n">
        <v>2014</v>
      </c>
      <c r="H197" s="8" t="n">
        <v>2020</v>
      </c>
      <c r="I197" s="14" t="inlineStr">
        <is>
          <t>DAA-ZWR80W, DBA-ZRR80G, DBA-ZRR80W, DBA-ZRR85G, DBA-ZRR85W</t>
        </is>
      </c>
      <c r="J197" s="14" t="inlineStr">
        <is>
          <t>[2026-05-27 DBA-ZRR80W 2015/02 125211km] 一般道を走行中、警告が表示され、ニュートラルのような状態でアクセルペダルを踏んでも反応しなくなり、緊急停車した。ディーラーで確認した結果、コンティニュアスリバリアブルバルブリフトコントローラの交換が必要と診断された。
[2025-04-07 DBA-ZRR85W 2015/07 150000km] 走行中に突然アクセルペダルを踏んでもスーっと止まってしまい、大量の警告灯が点いた。
[2024-12-06 DBA-ZRR80G 2018/12 84000km] エンジンオイルが１０００ｋｍで１リットル減るようになった。ディーラーで確認したところ、４番シリンダーのバルブステムシール不良と診断された。</t>
        </is>
      </c>
    </row>
    <row r="198">
      <c r="A198" s="13" t="inlineStr">
        <is>
          <t>ヴォクシー</t>
        </is>
      </c>
      <c r="B198" s="13" t="inlineStr">
        <is>
          <t>80系</t>
        </is>
      </c>
      <c r="C198" s="13" t="inlineStr">
        <is>
          <t>制動装置</t>
        </is>
      </c>
      <c r="D198" s="15" t="n">
        <v>9</v>
      </c>
      <c r="E198" s="17" t="n">
        <v>12.3</v>
      </c>
      <c r="F198" s="15" t="n">
        <v>52700</v>
      </c>
      <c r="G198" s="13" t="n">
        <v>2014</v>
      </c>
      <c r="H198" s="13" t="n">
        <v>2021</v>
      </c>
      <c r="I198" s="14" t="inlineStr">
        <is>
          <t>6AA-ZWR80W, DAA-ZWR80G, DAA-ZWR80W, DBA-ZRR80W, DBA-ZRR85G, DBA-ZRR85W</t>
        </is>
      </c>
      <c r="J198" s="14" t="inlineStr">
        <is>
          <t>[2025-09-03 DAA-ZWR80G 2014/07 173000km] ブレーキオーバライドシステム故障の表示が出た。ディーラーで診断を受けた結果、ブレーキブースターポンプの交換が必要と診断された。
[2022-11-11 DBA-ZRR85G 2018/08 35400km] ブレーキが効かなくなる。
[2022-07-20 6AA-ZWR80W 2021/12 ?km] ブレーキが効いたままになってしまい、発進時にエンジン回転を上げなければならず、燃費悪化、エンジン音大きい、ブレーキパッドが摩耗する。</t>
        </is>
      </c>
    </row>
    <row r="199">
      <c r="A199" s="8" t="inlineStr">
        <is>
          <t>ヴォクシー</t>
        </is>
      </c>
      <c r="B199" s="8" t="inlineStr">
        <is>
          <t>80系</t>
        </is>
      </c>
      <c r="C199" s="8" t="inlineStr">
        <is>
          <t>乗車装置</t>
        </is>
      </c>
      <c r="D199" s="11" t="n">
        <v>8</v>
      </c>
      <c r="E199" s="9" t="n">
        <v>11</v>
      </c>
      <c r="F199" s="11" t="n">
        <v>25000</v>
      </c>
      <c r="G199" s="8" t="n">
        <v>2016</v>
      </c>
      <c r="H199" s="8" t="n">
        <v>2021</v>
      </c>
      <c r="I199" s="14" t="inlineStr">
        <is>
          <t>DAA-ZWR80G, DAA-ZWR80W, DBA-ZRR80W, DBA-ZRR85W, DBA-ZWR80W</t>
        </is>
      </c>
      <c r="J199" s="14" t="inlineStr">
        <is>
          <t>[2022-11-23 DBA-ZRR85W 2018/03 47000km] 運転席側２列目シートを移動するたびに白い粉がシートレールに付着。原因がわからないので掃除機をかけて様子を見ていた。１年程様子を見ても改善がないため再度ディーラーに行くと、ロックスプリングが破損して溶けているとのことだった。
[2022-11-17 DBA-ZRR85W 2017/12 24200km] スライドドアからガタガタと異音が出る。ディーラーでグリスアップが行われ、一時的には解消したが、再発している。
[2021-01-27 DAA-ZWR80G 2021/01 300km] ３列目シートを上げるためのバンドのフックの付け根から異音がする。</t>
        </is>
      </c>
    </row>
    <row r="200">
      <c r="A200" s="13" t="inlineStr">
        <is>
          <t>ヴォクシー</t>
        </is>
      </c>
      <c r="B200" s="13" t="inlineStr">
        <is>
          <t>80系</t>
        </is>
      </c>
      <c r="C200" s="13" t="inlineStr">
        <is>
          <t>車枠・車体</t>
        </is>
      </c>
      <c r="D200" s="15" t="n">
        <v>7</v>
      </c>
      <c r="E200" s="17" t="n">
        <v>9.6</v>
      </c>
      <c r="F200" s="15" t="n">
        <v>4800</v>
      </c>
      <c r="G200" s="13" t="n">
        <v>2014</v>
      </c>
      <c r="H200" s="13" t="n">
        <v>2016</v>
      </c>
      <c r="I200" s="14" t="inlineStr">
        <is>
          <t>DAA-ZWR80G, DBA-ZRR80G, DBA-ZRR85W</t>
        </is>
      </c>
      <c r="J200" s="14" t="inlineStr">
        <is>
          <t>[2021-09-05 DAA-ZWR80G 2015/05 106473km] リアドアを開けると上まで上がらない。上げても下がってくる。最終的にリアドアが全く支持できなくなった。リアドアのダンパーを確認するとダンパーが錆びて変形していた。
[2019-09-28 DBA-ZRR85W 2015/12 ?km] 左右後輪上部（ピラー付近）の車体に凹みが有る。運転席スライドドア上部あたりから軋み音が出る。助手席後部スライドドア開閉時には凄い音がする。
[2018-10-19 DBA-ZRR85W 2015/12 ?km] 事故などで、車体をぶつけたことが無いのにも関わらず、リアフェンダー（後輪の上部パネル）付近に凹みが発生した。</t>
        </is>
      </c>
    </row>
    <row r="201">
      <c r="A201" s="8" t="inlineStr">
        <is>
          <t>ヴォクシー</t>
        </is>
      </c>
      <c r="B201" s="8" t="inlineStr">
        <is>
          <t>80系</t>
        </is>
      </c>
      <c r="C201" s="8" t="inlineStr">
        <is>
          <t>走行装置</t>
        </is>
      </c>
      <c r="D201" s="11" t="n">
        <v>3</v>
      </c>
      <c r="E201" s="9" t="n">
        <v>4.1</v>
      </c>
      <c r="F201" s="11" t="n">
        <v>19573</v>
      </c>
      <c r="G201" s="8" t="n">
        <v>2014</v>
      </c>
      <c r="H201" s="8" t="n">
        <v>2016</v>
      </c>
      <c r="I201" s="14" t="inlineStr">
        <is>
          <t>DBA-ZRR80G, DBA-ZRR85G, DBA-ZRR85W</t>
        </is>
      </c>
      <c r="J201" s="14" t="inlineStr">
        <is>
          <t>[2020-06-09 DBA-ZRR85G 2015/02 42800km] 走行中、微かなカーブに差し掛かったとき、ピーと鳴って、マスターウォーニング、エンジン警告灯、スリップ表示灯が点灯し、４ＷＤシステムチェックというエラーが繰り返し出る。
[2017-06-13 DBA-ZRR85W 2016/04 4000km] 新車装着されているタイヤ（ヨコハマ・ｄｂ）で、無理な走行などをした覚えもないのに異音がするようになった。タイヤを確認すると、ヒールアンドトウ摩耗をしていた。
[2014-10-15 DBA-ZRR80G 2014/02 19573km] 加速時に１０ｋｍ／ｈを越えた辺りから「ゴリゴリ」という音が左前輪付近より聞こえる。速度を更に上げると「ゴリゴリ」から「ゴー」と変化する。</t>
        </is>
      </c>
    </row>
    <row r="202">
      <c r="A202" s="13" t="inlineStr">
        <is>
          <t>ヴォクシー</t>
        </is>
      </c>
      <c r="B202" s="13" t="inlineStr">
        <is>
          <t>80系</t>
        </is>
      </c>
      <c r="C202" s="13" t="inlineStr">
        <is>
          <t>電気装置</t>
        </is>
      </c>
      <c r="D202" s="15" t="n">
        <v>3</v>
      </c>
      <c r="E202" s="17" t="n">
        <v>4.1</v>
      </c>
      <c r="F202" s="15" t="n">
        <v>20985</v>
      </c>
      <c r="G202" s="13" t="n">
        <v>2014</v>
      </c>
      <c r="H202" s="13" t="n">
        <v>2019</v>
      </c>
      <c r="I202" s="14" t="inlineStr">
        <is>
          <t>DBA-ZRR80G, DBA-ZRR85W</t>
        </is>
      </c>
      <c r="J202" s="14" t="inlineStr">
        <is>
          <t>[2021-07-30  2019/03 10000km] 前カメラ警告灯が点灯し、１０分ほどで消えた。
[2020-08-18 DBA-ZRR80G 2014/05 57099km] ネットワークゲートウェイコンピュータの不良により、早期にバッテリーがあがる。
[2017-01-31 DBA-ZRR85W 2015/01 20985km] マイナス２０度程度でバッテリがあがったため、エンジンがかからなくなった。</t>
        </is>
      </c>
    </row>
    <row r="203">
      <c r="A203" s="8" t="inlineStr">
        <is>
          <t>ヴォクシー</t>
        </is>
      </c>
      <c r="B203" s="8" t="inlineStr">
        <is>
          <t>80系</t>
        </is>
      </c>
      <c r="C203" s="8" t="inlineStr">
        <is>
          <t>保安灯火</t>
        </is>
      </c>
      <c r="D203" s="11" t="n">
        <v>2</v>
      </c>
      <c r="E203" s="9" t="n">
        <v>2.7</v>
      </c>
      <c r="F203" s="11" t="n">
        <v>35617</v>
      </c>
      <c r="G203" s="8" t="n">
        <v>2015</v>
      </c>
      <c r="H203" s="8" t="n">
        <v>2017</v>
      </c>
      <c r="I203" s="14" t="inlineStr">
        <is>
          <t>DBA-ZRR80W</t>
        </is>
      </c>
      <c r="J203" s="14" t="inlineStr">
        <is>
          <t>[2021-07-09 DBA-ZRR80W 2017/07 35617km] フロントガラスの上部に気泡が発生した。日に日に状況は酷くなり、ガラスが浮き始めている。
[2015-03-18 DBA-ZRR80W 2015/06 3204km] 走行中、及び停車中に右側ヘッドライトが消灯し、ヘッドライトシステムエラーが表示された。</t>
        </is>
      </c>
    </row>
    <row r="204">
      <c r="A204" s="13" t="inlineStr">
        <is>
          <t>ヴォクシー</t>
        </is>
      </c>
      <c r="B204" s="13" t="inlineStr">
        <is>
          <t>80系</t>
        </is>
      </c>
      <c r="C204" s="13" t="inlineStr">
        <is>
          <t>かじ取り</t>
        </is>
      </c>
      <c r="D204" s="15" t="n">
        <v>1</v>
      </c>
      <c r="E204" s="17" t="n">
        <v>1.4</v>
      </c>
      <c r="F204" s="15" t="n">
        <v>8000</v>
      </c>
      <c r="G204" s="13" t="n">
        <v>2019</v>
      </c>
      <c r="H204" s="13" t="n">
        <v>2019</v>
      </c>
      <c r="I204" s="14" t="inlineStr">
        <is>
          <t>DBA-ZRR80W</t>
        </is>
      </c>
      <c r="J204" s="14" t="inlineStr">
        <is>
          <t>[2020-03-18 DBA-ZRR80W 2019/07 8000km] 鈑金入庫した車両において、右前輪のラックエンドの固定部ナットが締まっておらず、容易に外れてしまった。</t>
        </is>
      </c>
    </row>
    <row r="205">
      <c r="A205" s="8" t="inlineStr">
        <is>
          <t>ヴォクシー</t>
        </is>
      </c>
      <c r="B205" s="8" t="inlineStr">
        <is>
          <t>90系</t>
        </is>
      </c>
      <c r="C205" s="8" t="inlineStr">
        <is>
          <t>制動装置</t>
        </is>
      </c>
      <c r="D205" s="11" t="n">
        <v>6</v>
      </c>
      <c r="E205" s="9" t="n">
        <v>46.2</v>
      </c>
      <c r="F205" s="11" t="n">
        <v>64900</v>
      </c>
      <c r="G205" s="8" t="n">
        <v>2023</v>
      </c>
      <c r="H205" s="8" t="n">
        <v>2025</v>
      </c>
      <c r="I205" s="14" t="inlineStr">
        <is>
          <t>6AA-ZWR90W, 6AA-ZWR95W, 6BA-MZRA90W, 6BA-MZRA92W</t>
        </is>
      </c>
      <c r="J205" s="14" t="inlineStr">
        <is>
          <t>[2026-02-25 6BA-MZRA92W 2023/05 ?km] ブレーキが鳴く。ディーラーで何度も修理対応を受けているが解消しない。
[2026-01-29 6BA-MZRA92W 2025/08 ?km] ブレーキホールドを使用中ブレーキペダルを踏み戻すとブーという音がする。ブレーキをかけてもスルスルと前に出てしまう。
[2026-01-15 6AA-ZWR95W 2025/10 ?km] 発進時にブレーキ鳴きが発生する。ブレーキホールドを使用後、発進時に異音が出る。</t>
        </is>
      </c>
    </row>
    <row r="206">
      <c r="A206" s="13" t="inlineStr">
        <is>
          <t>ヴォクシー</t>
        </is>
      </c>
      <c r="B206" s="13" t="inlineStr">
        <is>
          <t>90系</t>
        </is>
      </c>
      <c r="C206" s="13" t="inlineStr">
        <is>
          <t>保安灯火</t>
        </is>
      </c>
      <c r="D206" s="15" t="n">
        <v>2</v>
      </c>
      <c r="E206" s="17" t="n">
        <v>15.4</v>
      </c>
      <c r="F206" s="15" t="n">
        <v>20300</v>
      </c>
      <c r="G206" s="13" t="n">
        <v>2022</v>
      </c>
      <c r="H206" s="13" t="n">
        <v>2023</v>
      </c>
      <c r="I206" s="14" t="inlineStr">
        <is>
          <t>6AA-ZWR95W, 6BA-MZRA92W</t>
        </is>
      </c>
      <c r="J206" s="14" t="inlineStr">
        <is>
          <t>[2024-04-18 6BA-MZRA92W 2023/03 20300km] リヤカメラの画面が曇り始め、今は結露でほとんど見えない。
[2022-06-30 6AA-ZWR95W 2022/03 ?km] ナビが立ち上がらない、走行中画面が消える、バック時モニター画像が切れる等々全く機能しない。</t>
        </is>
      </c>
    </row>
    <row r="207">
      <c r="A207" s="8" t="inlineStr">
        <is>
          <t>ヴォクシー</t>
        </is>
      </c>
      <c r="B207" s="8" t="inlineStr">
        <is>
          <t>90系</t>
        </is>
      </c>
      <c r="C207" s="8" t="inlineStr">
        <is>
          <t>その他</t>
        </is>
      </c>
      <c r="D207" s="11" t="n">
        <v>1</v>
      </c>
      <c r="E207" s="9" t="n">
        <v>7.7</v>
      </c>
      <c r="F207" s="11" t="n"/>
      <c r="G207" s="8" t="n">
        <v>2023</v>
      </c>
      <c r="H207" s="8" t="n">
        <v>2023</v>
      </c>
      <c r="I207" s="14" t="inlineStr">
        <is>
          <t>6AA-ZWR90W</t>
        </is>
      </c>
      <c r="J207" s="14" t="inlineStr">
        <is>
          <t>[2026-02-10 6AA-ZWR90W 2023/12 ?km] 丸一日走り続けても水温計の針がＣの少し上までしか上がらない。</t>
        </is>
      </c>
    </row>
    <row r="208">
      <c r="A208" s="13" t="inlineStr">
        <is>
          <t>ヴォクシー</t>
        </is>
      </c>
      <c r="B208" s="13" t="inlineStr">
        <is>
          <t>90系</t>
        </is>
      </c>
      <c r="C208" s="13" t="inlineStr">
        <is>
          <t>エンジン</t>
        </is>
      </c>
      <c r="D208" s="15" t="n">
        <v>1</v>
      </c>
      <c r="E208" s="17" t="n">
        <v>7.7</v>
      </c>
      <c r="F208" s="15" t="n">
        <v>9500</v>
      </c>
      <c r="G208" s="13" t="n">
        <v>2023</v>
      </c>
      <c r="H208" s="13" t="n">
        <v>2023</v>
      </c>
      <c r="I208" s="14" t="inlineStr">
        <is>
          <t>6AA-ZWR90W</t>
        </is>
      </c>
      <c r="J208" s="14" t="inlineStr">
        <is>
          <t>[2024-01-27 6AA-ZWR90W 2023/03 9500km] アイドリング中、少し車両から離れた後、車両に戻るとエンジンが勝手に停止して電気系統が全てシャットダウンしていた。ハザード等いっさい使用出来ず、エンジンも掛けられない状態だった。</t>
        </is>
      </c>
    </row>
    <row r="209">
      <c r="A209" s="8" t="inlineStr">
        <is>
          <t>ヴォクシー</t>
        </is>
      </c>
      <c r="B209" s="8" t="inlineStr">
        <is>
          <t>90系</t>
        </is>
      </c>
      <c r="C209" s="8" t="inlineStr">
        <is>
          <t>乗車装置</t>
        </is>
      </c>
      <c r="D209" s="11" t="n">
        <v>1</v>
      </c>
      <c r="E209" s="9" t="n">
        <v>7.7</v>
      </c>
      <c r="F209" s="11" t="n"/>
      <c r="G209" s="8" t="n">
        <v>2024</v>
      </c>
      <c r="H209" s="8" t="n">
        <v>2024</v>
      </c>
      <c r="I209" s="14" t="inlineStr">
        <is>
          <t>6AA-ZWR90W</t>
        </is>
      </c>
      <c r="J209" s="14" t="inlineStr">
        <is>
          <t>[2025-03-08 6AA-ZWR90W 2024/07 ?km] 左右スライドドア開時に異音がする。</t>
        </is>
      </c>
    </row>
    <row r="210">
      <c r="A210" s="13" t="inlineStr">
        <is>
          <t>ヴォクシー</t>
        </is>
      </c>
      <c r="B210" s="13" t="inlineStr">
        <is>
          <t>90系</t>
        </is>
      </c>
      <c r="C210" s="13" t="inlineStr">
        <is>
          <t>動力伝達</t>
        </is>
      </c>
      <c r="D210" s="15" t="n">
        <v>1</v>
      </c>
      <c r="E210" s="17" t="n">
        <v>7.7</v>
      </c>
      <c r="F210" s="15" t="n">
        <v>23000</v>
      </c>
      <c r="G210" s="13" t="n">
        <v>2022</v>
      </c>
      <c r="H210" s="13" t="n">
        <v>2022</v>
      </c>
      <c r="I210" s="14" t="inlineStr">
        <is>
          <t>6AA-ZWR90W</t>
        </is>
      </c>
      <c r="J210" s="14" t="inlineStr">
        <is>
          <t>[2026-06-22 6AA-ZWR90W 2022/09 23000km] ドライブシャフトの不具合により、異音がするようになった。</t>
        </is>
      </c>
    </row>
    <row r="211">
      <c r="A211" s="8" t="inlineStr">
        <is>
          <t>ヴォクシー</t>
        </is>
      </c>
      <c r="B211" s="8" t="inlineStr">
        <is>
          <t>90系</t>
        </is>
      </c>
      <c r="C211" s="8" t="inlineStr">
        <is>
          <t>電気装置</t>
        </is>
      </c>
      <c r="D211" s="11" t="n">
        <v>1</v>
      </c>
      <c r="E211" s="9" t="n">
        <v>7.7</v>
      </c>
      <c r="F211" s="11" t="n"/>
      <c r="G211" s="8" t="n">
        <v>2023</v>
      </c>
      <c r="H211" s="8" t="n">
        <v>2023</v>
      </c>
      <c r="I211" s="14" t="inlineStr">
        <is>
          <t>6AA-ZWR90W</t>
        </is>
      </c>
      <c r="J211" s="14" t="inlineStr">
        <is>
          <t>[2026-06-15 6AA-ZWR90W 2023/10 ?km] 毎週末、相応に使用している車において、キャンプへ行った際に後部バックドアを複数回開閉した程度でバッテリーが上がり、始動できなくなった。</t>
        </is>
      </c>
    </row>
    <row r="212">
      <c r="A212" s="13" t="inlineStr">
        <is>
          <t>ヴォクシー</t>
        </is>
      </c>
      <c r="B212" s="13" t="inlineStr">
        <is>
          <t>不明</t>
        </is>
      </c>
      <c r="C212" s="13" t="inlineStr">
        <is>
          <t>エンジン</t>
        </is>
      </c>
      <c r="D212" s="15" t="n">
        <v>30</v>
      </c>
      <c r="E212" s="17" t="n">
        <v>26.5</v>
      </c>
      <c r="F212" s="15" t="n">
        <v>70000</v>
      </c>
      <c r="G212" s="13" t="n">
        <v>2001</v>
      </c>
      <c r="H212" s="13" t="n">
        <v>2007</v>
      </c>
      <c r="I212" s="14" t="inlineStr">
        <is>
          <t>AZR65G, CBA-AZR60, CBA-AZR60G, CBA-AZR65G, DAA-ZWR80G, DBA-AZR60G, DBA-AZR65G, DBA-ZRR70G, TA-AZR60, TA-AZR60G, TA-AZR65G</t>
        </is>
      </c>
      <c r="J212" s="14" t="inlineStr">
        <is>
          <t>[2019-08-11 DBA-AZR60G 2006/07 110900km] エンジンがかからなくなった。
[2018-03-27   ?km] ハイブリッドシステム故障の警告が表示され、エンジンがかからなくなった。
[2017-11-07 DAA-ZWR80G  ?km] ２年前の同型車と比較して、発進時にモーター走行からエンジン始動へ切り替わるのが速く、燃費が悪い。</t>
        </is>
      </c>
    </row>
    <row r="213">
      <c r="A213" s="8" t="inlineStr">
        <is>
          <t>ヴォクシー</t>
        </is>
      </c>
      <c r="B213" s="8" t="inlineStr">
        <is>
          <t>不明</t>
        </is>
      </c>
      <c r="C213" s="8" t="inlineStr">
        <is>
          <t>乗車装置</t>
        </is>
      </c>
      <c r="D213" s="11" t="n">
        <v>26</v>
      </c>
      <c r="E213" s="9" t="n">
        <v>23</v>
      </c>
      <c r="F213" s="11" t="n">
        <v>65000</v>
      </c>
      <c r="G213" s="8" t="n">
        <v>2002</v>
      </c>
      <c r="H213" s="8" t="n">
        <v>2006</v>
      </c>
      <c r="I213" s="14" t="inlineStr">
        <is>
          <t>CBA-AZR60G, CBA-AZR65G, DBA-AZR60G, DBA-ZRR70G, TA-AZR60G, TA-AZR65G</t>
        </is>
      </c>
      <c r="J213" s="14" t="inlineStr">
        <is>
          <t>[2020-04-02 DBA-AZR60G 2005/08 105100km] クウォーターガラスのモールにスライドドアが引っ掛かかり、ドアが開かなくなる。
[2019-08-24 DBA-AZR60G 2006/01 10500km] 電動ドアのモーターが壊れて動かなくなった。
[2018-07-23 CBA-AZR60G 2005/05 37900km] ガラスパッキンの不良により、右後席の手動スライドドアが開かなくなる。</t>
        </is>
      </c>
    </row>
    <row r="214">
      <c r="A214" s="13" t="inlineStr">
        <is>
          <t>ヴォクシー</t>
        </is>
      </c>
      <c r="B214" s="13" t="inlineStr">
        <is>
          <t>不明</t>
        </is>
      </c>
      <c r="C214" s="13" t="inlineStr">
        <is>
          <t>制動装置</t>
        </is>
      </c>
      <c r="D214" s="15" t="n">
        <v>13</v>
      </c>
      <c r="E214" s="17" t="n">
        <v>11.5</v>
      </c>
      <c r="F214" s="15" t="n">
        <v>78000</v>
      </c>
      <c r="G214" s="13" t="n">
        <v>2002</v>
      </c>
      <c r="H214" s="13" t="n">
        <v>2007</v>
      </c>
      <c r="I214" s="14" t="inlineStr">
        <is>
          <t>-, 80, AZR60, CBA-AZR60G, DBA-AZR60G, DBA-ZRR80G, TA-AZR60G, TA-AZR65G</t>
        </is>
      </c>
      <c r="J214" s="14" t="inlineStr">
        <is>
          <t>[2025-06-11 -  ?km] ブレーキが鳴く。販売店で作業を受けても直らない。
[2020-03-19 80  ?km] 左前輪のブレーキから異音が発生する。
[2016-09-08 DBA-ZRR80G  ?km] 走行中に突然セーフティセンスの「プリクラッシュブレーキシステム」「ＬＤＡ」「オートハイビーム」の故障警告が表示された。ディーラーでのリセット後、高速道路走行中に「ブレーキ！」の表示が出た。</t>
        </is>
      </c>
    </row>
    <row r="215">
      <c r="A215" s="8" t="inlineStr">
        <is>
          <t>ヴォクシー</t>
        </is>
      </c>
      <c r="B215" s="8" t="inlineStr">
        <is>
          <t>不明</t>
        </is>
      </c>
      <c r="C215" s="8" t="inlineStr">
        <is>
          <t>動力伝達</t>
        </is>
      </c>
      <c r="D215" s="11" t="n">
        <v>10</v>
      </c>
      <c r="E215" s="9" t="n">
        <v>8.800000000000001</v>
      </c>
      <c r="F215" s="11" t="n">
        <v>65000</v>
      </c>
      <c r="G215" s="8" t="n">
        <v>2002</v>
      </c>
      <c r="H215" s="8" t="n">
        <v>2007</v>
      </c>
      <c r="I215" s="14" t="inlineStr">
        <is>
          <t>-, CBA-AZR65G, DBA-AZR60G, TA-AZR60G, TA-AZR65G</t>
        </is>
      </c>
      <c r="J215" s="14" t="inlineStr">
        <is>
          <t>[2022-02-03 -  ?km] ＣＶＴの不良により、エンジン始動後、異音が出るようになった。
[2020-05-15   ?km] ＣＶＴの不具合により、エンジンが暖まるとバックギアに入れても後退しない。アクセルペダルを踏むと急発進のようになる。
[2016-02-22 DBA-AZR60G 2007/02 90000km] ＣＶＴ（無段変速機）の不良により、エンジン回転を上げても加速が悪い。</t>
        </is>
      </c>
    </row>
    <row r="216">
      <c r="A216" s="13" t="inlineStr">
        <is>
          <t>ヴォクシー</t>
        </is>
      </c>
      <c r="B216" s="13" t="inlineStr">
        <is>
          <t>不明</t>
        </is>
      </c>
      <c r="C216" s="13" t="inlineStr">
        <is>
          <t>かじ取り</t>
        </is>
      </c>
      <c r="D216" s="15" t="n">
        <v>8</v>
      </c>
      <c r="E216" s="17" t="n">
        <v>7.1</v>
      </c>
      <c r="F216" s="15" t="n">
        <v>81100</v>
      </c>
      <c r="G216" s="13" t="n">
        <v>2002</v>
      </c>
      <c r="H216" s="13" t="n">
        <v>2007</v>
      </c>
      <c r="I216" s="14" t="inlineStr">
        <is>
          <t>DBA-AZR60G, TA-AZR60G</t>
        </is>
      </c>
      <c r="J216" s="14" t="inlineStr">
        <is>
          <t>[2018-01-28 DBA-AZR60G 2007/01 58000km] 車検の点検時に、ステアリングギヤボックスとフレーム連結部のブッシュにガタが出ているのが発見された。
[2017-07-10 DBA-AZR60G  ?km] 高速走行中にハンドルが左右にガタガタと異常な動きをするため、正常なハンドル操作が行えなくなる。
[2016-02-12 TA-AZR60G 2003/02 69000km] ステアリングギヤボックスを固定してしているボルトの間のブッシュがへたり、ハンドル操作を行うとステアリングギヤボックスが動き、効き遅れが生じたり切れ角が下がることがある。</t>
        </is>
      </c>
    </row>
    <row r="217">
      <c r="A217" s="8" t="inlineStr">
        <is>
          <t>ヴォクシー</t>
        </is>
      </c>
      <c r="B217" s="8" t="inlineStr">
        <is>
          <t>不明</t>
        </is>
      </c>
      <c r="C217" s="8" t="inlineStr">
        <is>
          <t>燃料装置</t>
        </is>
      </c>
      <c r="D217" s="11" t="n">
        <v>8</v>
      </c>
      <c r="E217" s="9" t="n">
        <v>7.1</v>
      </c>
      <c r="F217" s="11" t="n">
        <v>81800</v>
      </c>
      <c r="G217" s="8" t="n">
        <v>2002</v>
      </c>
      <c r="H217" s="8" t="n">
        <v>2005</v>
      </c>
      <c r="I217" s="14" t="inlineStr">
        <is>
          <t>CBA-AZR60G, CBA-AZR65G, DBA-AZR65G, DBA-ZRR75G, TA-AZR65G</t>
        </is>
      </c>
      <c r="J217" s="14" t="inlineStr">
        <is>
          <t>[2018-09-05 CBA-AZR65G 2005/07 107000km] 給油口から燃料タンクまでのパイプが腐食し、燃料が漏れるようになった。
[2016-02-29 CBA-AZR65G 2005/05 81000km] インジェクターのＯリングの不良により、燃料が漏れた。
[2016-02-16 CBA-AZR65G 2005/05 82106km] エンジンを暖機してから乗車すると、室内がガソリン臭い。車のエンジン付近に居るとガソリン臭い。</t>
        </is>
      </c>
    </row>
    <row r="218">
      <c r="A218" s="13" t="inlineStr">
        <is>
          <t>ヴォクシー</t>
        </is>
      </c>
      <c r="B218" s="13" t="inlineStr">
        <is>
          <t>不明</t>
        </is>
      </c>
      <c r="C218" s="13" t="inlineStr">
        <is>
          <t>その他</t>
        </is>
      </c>
      <c r="D218" s="15" t="n">
        <v>7</v>
      </c>
      <c r="E218" s="17" t="n">
        <v>6.2</v>
      </c>
      <c r="F218" s="15" t="n">
        <v>80000</v>
      </c>
      <c r="G218" s="13" t="n">
        <v>2002</v>
      </c>
      <c r="H218" s="13" t="n">
        <v>2007</v>
      </c>
      <c r="I218" s="14" t="inlineStr">
        <is>
          <t>6BA-MZRA90W, CBA-AZR60G, DBA-AZR60, DBA-AZR60G, TA-AZR60G</t>
        </is>
      </c>
      <c r="J218" s="14" t="inlineStr">
        <is>
          <t>[2022-07-28 6BA-MZRA90W  ?km] エンジン始動時、ナビ画面がブラックアウト化し、設定情報が初期化される。再起動しても作動しない。因果関係は不明だが、車両の情報が誤って認識されるのでブレーキが変な箇所でかかる。
[2019-08-24 DBA-AZR60 2006/01 105000km] エアコンが効かなくなった。
[2014-04-07 DBA-AZR60G 2007/03 30000km] ３万ｋｍ程度の使用しかしていない車で、エアコンのコンプレッサーが故障した。</t>
        </is>
      </c>
    </row>
    <row r="219">
      <c r="A219" s="8" t="inlineStr">
        <is>
          <t>ヴォクシー</t>
        </is>
      </c>
      <c r="B219" s="8" t="inlineStr">
        <is>
          <t>不明</t>
        </is>
      </c>
      <c r="C219" s="8" t="inlineStr">
        <is>
          <t>保安灯火</t>
        </is>
      </c>
      <c r="D219" s="11" t="n">
        <v>7</v>
      </c>
      <c r="E219" s="9" t="n">
        <v>6.2</v>
      </c>
      <c r="F219" s="11" t="n">
        <v>55000</v>
      </c>
      <c r="G219" s="8" t="n">
        <v>2003</v>
      </c>
      <c r="H219" s="8" t="n">
        <v>2006</v>
      </c>
      <c r="I219" s="14" t="inlineStr">
        <is>
          <t>CBA-AZR60G, DBA-AZR60G, DBA-ZRR85W, TA-AZR65G</t>
        </is>
      </c>
      <c r="J219" s="14" t="inlineStr">
        <is>
          <t>[2019-12-23 DBA-ZRR85W  ?km] 降雪時に走行中、前照灯に雪が張り付いて覆ってしまう状態になり、前方を照らすことができなくなったため、街灯のない場所を走行した際に視界が真っ暗になった。
[2018-10-03 CBA-AZR60G 2004/11 ?km] 左テールランプとハイマウントストップランプの点灯が安定しておらず、点かない時や暗くなることがある。
[2013-04-10 DBA-AZR60G 2006/02 28500km] ストップランプスイッチの不良によりＡＢＳ警告灯が点灯し、ブレーキランプが点灯しなくなった。</t>
        </is>
      </c>
    </row>
    <row r="220">
      <c r="A220" s="13" t="inlineStr">
        <is>
          <t>ヴォクシー</t>
        </is>
      </c>
      <c r="B220" s="13" t="inlineStr">
        <is>
          <t>不明</t>
        </is>
      </c>
      <c r="C220" s="13" t="inlineStr">
        <is>
          <t>電気装置</t>
        </is>
      </c>
      <c r="D220" s="15" t="n">
        <v>2</v>
      </c>
      <c r="E220" s="17" t="n">
        <v>1.8</v>
      </c>
      <c r="F220" s="15" t="n">
        <v>30000</v>
      </c>
      <c r="G220" s="13" t="n">
        <v>2006</v>
      </c>
      <c r="H220" s="13" t="n">
        <v>2006</v>
      </c>
      <c r="I220" s="14" t="inlineStr">
        <is>
          <t>AZR60, DBA-AZR60G</t>
        </is>
      </c>
      <c r="J220" s="14" t="inlineStr">
        <is>
          <t>[2010-07-10 AZR60  ?km] ストップランプスイッチの不良により、警告灯が点灯した。
[2010-02-08 DBA-AZR60G 2006/09 30000km] ストップランプスイッチの不具合により、ＡＢＳ警告灯が点灯すると共にブレーキランプが点灯しなくなる。</t>
        </is>
      </c>
    </row>
    <row r="221">
      <c r="A221" s="8" t="inlineStr">
        <is>
          <t>ヴォクシー</t>
        </is>
      </c>
      <c r="B221" s="8" t="inlineStr">
        <is>
          <t>不明</t>
        </is>
      </c>
      <c r="C221" s="8" t="inlineStr">
        <is>
          <t>排ｶﾞｽ･騒音</t>
        </is>
      </c>
      <c r="D221" s="11" t="n">
        <v>1</v>
      </c>
      <c r="E221" s="9" t="n">
        <v>0.9</v>
      </c>
      <c r="F221" s="11" t="n">
        <v>70500</v>
      </c>
      <c r="G221" s="8" t="n">
        <v>2004</v>
      </c>
      <c r="H221" s="8" t="n">
        <v>2004</v>
      </c>
      <c r="I221" s="14" t="inlineStr">
        <is>
          <t>CBA-AZR60G</t>
        </is>
      </c>
      <c r="J221" s="14" t="inlineStr">
        <is>
          <t>[2015-11-13 CBA-AZR60G 2004/11 70500km] ＥＧＲバルブの不良により、交差点でエンストをした。</t>
        </is>
      </c>
    </row>
    <row r="222">
      <c r="A222" s="13" t="inlineStr">
        <is>
          <t>ヴォクシー</t>
        </is>
      </c>
      <c r="B222" s="13" t="inlineStr">
        <is>
          <t>不明</t>
        </is>
      </c>
      <c r="C222" s="13" t="inlineStr">
        <is>
          <t>緩衝装置</t>
        </is>
      </c>
      <c r="D222" s="15" t="n">
        <v>1</v>
      </c>
      <c r="E222" s="17" t="n">
        <v>0.9</v>
      </c>
      <c r="F222" s="15" t="n">
        <v>90000</v>
      </c>
      <c r="G222" s="13" t="n">
        <v>2005</v>
      </c>
      <c r="H222" s="13" t="n">
        <v>2005</v>
      </c>
      <c r="I222" s="14" t="inlineStr">
        <is>
          <t>CBA-AZR60G</t>
        </is>
      </c>
      <c r="J222" s="14" t="inlineStr">
        <is>
          <t>[2013-03-09 CBA-AZR60G 2005/03 90000km] ロアアームの不良により、ハンドルを左右に切ると、ギョルギョルという異音がでる。</t>
        </is>
      </c>
    </row>
    <row r="223">
      <c r="A223" s="8" t="inlineStr">
        <is>
          <t>エスクァイア</t>
        </is>
      </c>
      <c r="B223" s="8" t="inlineStr">
        <is>
          <t>（車種全体）</t>
        </is>
      </c>
      <c r="C223" s="8" t="inlineStr">
        <is>
          <t>動力伝達</t>
        </is>
      </c>
      <c r="D223" s="11" t="n">
        <v>10</v>
      </c>
      <c r="E223" s="9" t="n">
        <v>24.4</v>
      </c>
      <c r="F223" s="11" t="n">
        <v>53600</v>
      </c>
      <c r="G223" s="8" t="n">
        <v>2014</v>
      </c>
      <c r="H223" s="8" t="n">
        <v>2021</v>
      </c>
      <c r="I223" s="14" t="inlineStr">
        <is>
          <t>DAA-ZWR80G, DBA-ZRR80G, DBA-ZRR85G, DBA-ZRR85G改</t>
        </is>
      </c>
      <c r="J223"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24">
      <c r="A224" s="13" t="inlineStr">
        <is>
          <t>エスクァイア</t>
        </is>
      </c>
      <c r="B224" s="13" t="inlineStr">
        <is>
          <t>（車種全体）</t>
        </is>
      </c>
      <c r="C224" s="13" t="inlineStr">
        <is>
          <t>制動装置</t>
        </is>
      </c>
      <c r="D224" s="15" t="n">
        <v>8</v>
      </c>
      <c r="E224" s="17" t="n">
        <v>19.5</v>
      </c>
      <c r="F224" s="15" t="n">
        <v>38800</v>
      </c>
      <c r="G224" s="13" t="n">
        <v>2015</v>
      </c>
      <c r="H224" s="13" t="n">
        <v>2018</v>
      </c>
      <c r="I224" s="14" t="inlineStr">
        <is>
          <t>DAA-ZWR80G, DBA-ZRR85G, ZWR80</t>
        </is>
      </c>
      <c r="J224"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25">
      <c r="A225" s="8" t="inlineStr">
        <is>
          <t>エスクァイア</t>
        </is>
      </c>
      <c r="B225" s="8" t="inlineStr">
        <is>
          <t>（車種全体）</t>
        </is>
      </c>
      <c r="C225" s="8" t="inlineStr">
        <is>
          <t>エンジン</t>
        </is>
      </c>
      <c r="D225" s="11" t="n">
        <v>6</v>
      </c>
      <c r="E225" s="9" t="n">
        <v>14.6</v>
      </c>
      <c r="F225" s="11" t="n">
        <v>60000</v>
      </c>
      <c r="G225" s="8" t="n">
        <v>2014</v>
      </c>
      <c r="H225" s="8" t="n">
        <v>2017</v>
      </c>
      <c r="I225" s="14" t="inlineStr">
        <is>
          <t>DBA-ZRR80G, DBA-ZRR85G, ZRR80G-CRXEP</t>
        </is>
      </c>
      <c r="J225"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26">
      <c r="A226" s="13" t="inlineStr">
        <is>
          <t>エスクァイア</t>
        </is>
      </c>
      <c r="B226" s="13" t="inlineStr">
        <is>
          <t>（車種全体）</t>
        </is>
      </c>
      <c r="C226" s="13" t="inlineStr">
        <is>
          <t>乗車装置</t>
        </is>
      </c>
      <c r="D226" s="15" t="n">
        <v>6</v>
      </c>
      <c r="E226" s="17" t="n">
        <v>14.6</v>
      </c>
      <c r="F226" s="15" t="n">
        <v>38900</v>
      </c>
      <c r="G226" s="13" t="n">
        <v>2014</v>
      </c>
      <c r="H226" s="13" t="n">
        <v>2021</v>
      </c>
      <c r="I226" s="14" t="inlineStr">
        <is>
          <t>6AA-ZWR80G, DAA-ZWR80G, DBA-ZRR80G, DBA-ZRR85G</t>
        </is>
      </c>
      <c r="J226"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27">
      <c r="A227" s="8" t="inlineStr">
        <is>
          <t>エスクァイア</t>
        </is>
      </c>
      <c r="B227" s="8" t="inlineStr">
        <is>
          <t>（車種全体）</t>
        </is>
      </c>
      <c r="C227" s="8" t="inlineStr">
        <is>
          <t>保安灯火</t>
        </is>
      </c>
      <c r="D227" s="11" t="n">
        <v>4</v>
      </c>
      <c r="E227" s="9" t="n">
        <v>9.800000000000001</v>
      </c>
      <c r="F227" s="11" t="n">
        <v>144500</v>
      </c>
      <c r="G227" s="8" t="n">
        <v>2015</v>
      </c>
      <c r="H227" s="8" t="n">
        <v>2015</v>
      </c>
      <c r="I227" s="14" t="inlineStr">
        <is>
          <t>DAA-ZWR80G, DBA-ZRR80G, DBA-ZRR85G</t>
        </is>
      </c>
      <c r="J227" s="14" t="inlineStr">
        <is>
          <t>[2024-11-13 DBA-ZRR85G 2015/07 144500km] リアゲートのガーニッシュ内部からサビが発生し、露出部まで広がってきている。
[2020-03-23 DAA-ZWR80G  ?km] 助手席ミラーの下方３分の１くらいが、湾曲形状になっており、景色が曲がって映るため、正確な距離感が掴めない。
[2016-01-19 DBA-ZRR80G 2015/11 ?km] 左右前照灯のレンズ内側に結露が発生しており、内側から１０ｃｍ程度の亀裂が出来ていた。</t>
        </is>
      </c>
    </row>
    <row r="228">
      <c r="A228" s="13" t="inlineStr">
        <is>
          <t>エスクァイア</t>
        </is>
      </c>
      <c r="B228" s="13" t="inlineStr">
        <is>
          <t>（車種全体）</t>
        </is>
      </c>
      <c r="C228" s="13" t="inlineStr">
        <is>
          <t>車枠・車体</t>
        </is>
      </c>
      <c r="D228" s="15" t="n">
        <v>3</v>
      </c>
      <c r="E228" s="17" t="n">
        <v>7.3</v>
      </c>
      <c r="F228" s="15" t="n">
        <v>32700</v>
      </c>
      <c r="G228" s="13" t="n">
        <v>2016</v>
      </c>
      <c r="H228" s="13" t="n">
        <v>2017</v>
      </c>
      <c r="I228" s="14" t="inlineStr">
        <is>
          <t>DAA-ZWR80G, ZRR80</t>
        </is>
      </c>
      <c r="J228"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29">
      <c r="A229" s="8" t="inlineStr">
        <is>
          <t>エスクァイア</t>
        </is>
      </c>
      <c r="B229" s="8" t="inlineStr">
        <is>
          <t>（車種全体）</t>
        </is>
      </c>
      <c r="C229" s="8" t="inlineStr">
        <is>
          <t>その他</t>
        </is>
      </c>
      <c r="D229" s="11" t="n">
        <v>2</v>
      </c>
      <c r="E229" s="9" t="n">
        <v>4.9</v>
      </c>
      <c r="F229" s="11" t="n">
        <v>35000</v>
      </c>
      <c r="G229" s="8" t="n">
        <v>2016</v>
      </c>
      <c r="H229" s="8" t="n">
        <v>2016</v>
      </c>
      <c r="I229" s="14" t="inlineStr">
        <is>
          <t>DBA-ZRR80G</t>
        </is>
      </c>
      <c r="J229" s="14" t="inlineStr">
        <is>
          <t>[2024-01-28 DBA-ZRR80G 2016/09 35000km] Ｔ－ＣｏｎｎｅｃｔナビＮＳＺＴ－Ｙ６６Ｔ搭載車で、突然「地図データが読めません。販売店にご相談ください。」と表示された。
[2016-03-15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30">
      <c r="A230" s="13" t="inlineStr">
        <is>
          <t>エスクァイア</t>
        </is>
      </c>
      <c r="B230" s="13" t="inlineStr">
        <is>
          <t>（車種全体）</t>
        </is>
      </c>
      <c r="C230" s="13" t="inlineStr">
        <is>
          <t>かじ取り</t>
        </is>
      </c>
      <c r="D230" s="15" t="n">
        <v>1</v>
      </c>
      <c r="E230" s="17" t="n">
        <v>2.4</v>
      </c>
      <c r="F230" s="15" t="n">
        <v>2300</v>
      </c>
      <c r="G230" s="13" t="n">
        <v>2017</v>
      </c>
      <c r="H230" s="13" t="n">
        <v>2017</v>
      </c>
      <c r="I230" s="14" t="inlineStr">
        <is>
          <t>DAA-ZWR80G</t>
        </is>
      </c>
      <c r="J230"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1">
      <c r="A231" s="8" t="inlineStr">
        <is>
          <t>エスクァイア</t>
        </is>
      </c>
      <c r="B231" s="8" t="inlineStr">
        <is>
          <t>（車種全体）</t>
        </is>
      </c>
      <c r="C231" s="8" t="inlineStr">
        <is>
          <t>燃料装置</t>
        </is>
      </c>
      <c r="D231" s="11" t="n">
        <v>1</v>
      </c>
      <c r="E231" s="9" t="n">
        <v>2.4</v>
      </c>
      <c r="F231" s="11" t="n">
        <v>54300</v>
      </c>
      <c r="G231" s="8" t="n">
        <v>2016</v>
      </c>
      <c r="H231" s="8" t="n">
        <v>2016</v>
      </c>
      <c r="I231" s="14" t="inlineStr">
        <is>
          <t>DBA-ZRR80G</t>
        </is>
      </c>
      <c r="J231" s="14" t="inlineStr">
        <is>
          <t>[2024-08-07 DBA-ZRR80G 2016/03 54300km] 燃料ポンプの不良により、エンジンが始動しなくなった。</t>
        </is>
      </c>
    </row>
    <row r="232">
      <c r="A232" s="13" t="inlineStr">
        <is>
          <t>エスクァイア</t>
        </is>
      </c>
      <c r="B232" s="13" t="inlineStr">
        <is>
          <t>80系</t>
        </is>
      </c>
      <c r="C232" s="13" t="inlineStr">
        <is>
          <t>動力伝達</t>
        </is>
      </c>
      <c r="D232" s="15" t="n">
        <v>9</v>
      </c>
      <c r="E232" s="17" t="n">
        <v>24.3</v>
      </c>
      <c r="F232" s="15" t="n">
        <v>53600</v>
      </c>
      <c r="G232" s="13" t="n">
        <v>2014</v>
      </c>
      <c r="H232" s="13" t="n">
        <v>2021</v>
      </c>
      <c r="I232" s="14" t="inlineStr">
        <is>
          <t>DAA-ZWR80G, DBA-ZRR80G, DBA-ZRR85G, DBA-ZRR85G改</t>
        </is>
      </c>
      <c r="J232" s="14" t="inlineStr">
        <is>
          <t>[2026-01-11 DBA-ZRR80G 2015/05 56000km] 走行中に横滑り防止機能（ＶＳＣ／ＴＲＣ）が突然オフになり警告表示が点灯し、続いてエンジンチェックランプが点灯した。高速道路を数時間走行したのち、一般道へ出た直後、エンジンはかかっているものの、アクセル操作に反応せず、前進・後退ともに不可能な状態となり、道路の中央で完全に走行不能になった。ディーラーで確認した結果トルクコンバーターに不具合が確認され、トランスミッションの交換が必要と診断された。
[2025-01-31 DAA-ZWR80G 2014/12 46500km] ＰレンジからＤ、Ｂレンジに切り替えるが走行中にＮレンジに戻る。
[2024-11-26 DBA-ZRR80G 2014/11 110000km] 車を使用中にコロコロと異音が出るようになった。ディーラーで確認したところ、ＣＶＴ内部のベアリングから異音が出ているものと診断された。</t>
        </is>
      </c>
    </row>
    <row r="233">
      <c r="A233" s="8" t="inlineStr">
        <is>
          <t>エスクァイア</t>
        </is>
      </c>
      <c r="B233" s="8" t="inlineStr">
        <is>
          <t>80系</t>
        </is>
      </c>
      <c r="C233" s="8" t="inlineStr">
        <is>
          <t>制動装置</t>
        </is>
      </c>
      <c r="D233" s="11" t="n">
        <v>7</v>
      </c>
      <c r="E233" s="9" t="n">
        <v>18.9</v>
      </c>
      <c r="F233" s="11" t="n">
        <v>38800</v>
      </c>
      <c r="G233" s="8" t="n">
        <v>2015</v>
      </c>
      <c r="H233" s="8" t="n">
        <v>2018</v>
      </c>
      <c r="I233" s="14" t="inlineStr">
        <is>
          <t>DAA-ZWR80G, DBA-ZRR85G, ZWR80</t>
        </is>
      </c>
      <c r="J233" s="14" t="inlineStr">
        <is>
          <t>[2026-02-13 DAA-ZWR80G 2015/02 103600km] ブレーキペダルを踏んだがスカスカでブレーキが効いている感じが無く、踏みなおしてもブレーキが効かず、前の車に追突した。
[2024-09-02 DAA-ZWR80G 2018/04 213960km] ブレーキマスタの不良により、突然ブレーキが効かなくなった。
[2024-01-19 DAA-ZWR80G 2016/11 163900km] 走行中にナビ画面上に赤い警告表示が出た。ブレーキをかけたところ、空走するような状態でブレーキが効かなかったため、ディーラーで確認をうけたところ、ブレーキのポンプ等の交換が必要と診断された。</t>
        </is>
      </c>
    </row>
    <row r="234">
      <c r="A234" s="13" t="inlineStr">
        <is>
          <t>エスクァイア</t>
        </is>
      </c>
      <c r="B234" s="13" t="inlineStr">
        <is>
          <t>80系</t>
        </is>
      </c>
      <c r="C234" s="13" t="inlineStr">
        <is>
          <t>エンジン</t>
        </is>
      </c>
      <c r="D234" s="15" t="n">
        <v>6</v>
      </c>
      <c r="E234" s="17" t="n">
        <v>16.2</v>
      </c>
      <c r="F234" s="15" t="n">
        <v>60000</v>
      </c>
      <c r="G234" s="13" t="n">
        <v>2014</v>
      </c>
      <c r="H234" s="13" t="n">
        <v>2017</v>
      </c>
      <c r="I234" s="14" t="inlineStr">
        <is>
          <t>DBA-ZRR80G, DBA-ZRR85G, ZRR80G-CRXEP</t>
        </is>
      </c>
      <c r="J234" s="14" t="inlineStr">
        <is>
          <t>[2025-02-24 DBA-ZRR85G 2015/05 106900km] 下り坂道を走行後、突然４ＷＤシステムチェックと表示され、エンジン警告灯が点灯して加速不能となった。ディーラーで確認した結果、コンティニュアンスリバリアブルバルブリフトコントローラＡＳＳＹの交換となった。
[2025-02-02 ZRR80G-CRXEP 2017/09 39000km] 走行中、エンジン回転数が上がらずスピードも１０ｋｍ／ｈくらいしか出なくなり、エンジンの警告表示とプリクラッシュセーフティ故障と表示が出た。ディーラーで確認した結果、コンティニュアスリバリアブルバルブリフトコントローラーＡＳＳＹ取替となった。
[2024-08-25 DBA-ZRR80G 2017/08 52000km] 直進走行中に突然「プリクラッシュセーフティシステム故障」「ブレーキオーバーライド システム故障」と警告表示され、アクセル操作が全く効かない状態になった。</t>
        </is>
      </c>
    </row>
    <row r="235">
      <c r="A235" s="8" t="inlineStr">
        <is>
          <t>エスクァイア</t>
        </is>
      </c>
      <c r="B235" s="8" t="inlineStr">
        <is>
          <t>80系</t>
        </is>
      </c>
      <c r="C235" s="8" t="inlineStr">
        <is>
          <t>乗車装置</t>
        </is>
      </c>
      <c r="D235" s="11" t="n">
        <v>6</v>
      </c>
      <c r="E235" s="9" t="n">
        <v>16.2</v>
      </c>
      <c r="F235" s="11" t="n">
        <v>38900</v>
      </c>
      <c r="G235" s="8" t="n">
        <v>2014</v>
      </c>
      <c r="H235" s="8" t="n">
        <v>2021</v>
      </c>
      <c r="I235" s="14" t="inlineStr">
        <is>
          <t>6AA-ZWR80G, DAA-ZWR80G, DBA-ZRR80G, DBA-ZRR85G</t>
        </is>
      </c>
      <c r="J235" s="14" t="inlineStr">
        <is>
          <t>[2026-01-29 6AA-ZWR80G 2021/11 32100km] 左右のスライドドアが開かない事がある。最終的に左ドアは開かなくなり、ディーラーに申告したところ、モーター交換が行われたが、変えてもらっても同じ症状が出ている。
[2024-11-05 DAA-ZWR80G 2016/06 38900km] 走行中に突然、室内灯すべてが点灯状態となり、消灯もできない状態となった。
[2022-11-24 DAA-ZWR80G 2016/10 88500km] リアゲートを開閉時に重く、ささえ無しには保持できない為、自己確認したところ高圧ガス投入式ダンパーステーの外筒エンドキャップ部が腐食し、外筒が膨らんでいた。</t>
        </is>
      </c>
    </row>
    <row r="236">
      <c r="A236" s="13" t="inlineStr">
        <is>
          <t>エスクァイア</t>
        </is>
      </c>
      <c r="B236" s="13" t="inlineStr">
        <is>
          <t>80系</t>
        </is>
      </c>
      <c r="C236" s="13" t="inlineStr">
        <is>
          <t>保安灯火</t>
        </is>
      </c>
      <c r="D236" s="15" t="n">
        <v>3</v>
      </c>
      <c r="E236" s="17" t="n">
        <v>8.1</v>
      </c>
      <c r="F236" s="15" t="n">
        <v>144500</v>
      </c>
      <c r="G236" s="13" t="n">
        <v>2015</v>
      </c>
      <c r="H236" s="13" t="n">
        <v>2015</v>
      </c>
      <c r="I236" s="14" t="inlineStr">
        <is>
          <t>DBA-ZRR80G, DBA-ZRR85G</t>
        </is>
      </c>
      <c r="J236" s="14" t="inlineStr">
        <is>
          <t>[2024-11-13 DBA-ZRR85G 2015/07 144500km] リアゲートのガーニッシュ内部からサビが発生し、露出部まで広がってきている。
[2016-01-19 DBA-ZRR80G 2015/11 ?km] 左右前照灯のレンズ内側に結露が発生しており、内側から１０ｃｍ程度の亀裂が出来ていた。
[2015-11-10 DBA-ZRR80G 2015/10 ?km] ハンドルの中央部を押さないと、ホーンがならない。</t>
        </is>
      </c>
    </row>
    <row r="237">
      <c r="A237" s="8" t="inlineStr">
        <is>
          <t>エスクァイア</t>
        </is>
      </c>
      <c r="B237" s="8" t="inlineStr">
        <is>
          <t>80系</t>
        </is>
      </c>
      <c r="C237" s="8" t="inlineStr">
        <is>
          <t>車枠・車体</t>
        </is>
      </c>
      <c r="D237" s="11" t="n">
        <v>3</v>
      </c>
      <c r="E237" s="9" t="n">
        <v>8.1</v>
      </c>
      <c r="F237" s="11" t="n">
        <v>32700</v>
      </c>
      <c r="G237" s="8" t="n">
        <v>2016</v>
      </c>
      <c r="H237" s="8" t="n">
        <v>2017</v>
      </c>
      <c r="I237" s="14" t="inlineStr">
        <is>
          <t>DAA-ZWR80G, ZRR80</t>
        </is>
      </c>
      <c r="J237" s="14" t="inlineStr">
        <is>
          <t>[2022-07-04 DAA-ZWR80G 2016/12 32700km] 屋根の塗装が丸く剥がれた。
[2022-05-09 DAA-ZWR80G 2017/04 39300km] バックドアガラスの下部にあるメッキガーニッシュの左右下端部がバックドアの塗装面に接触しており、塗装が削れて錆が発生している。
[2015-07-28 ZRR80 2017/04 2100km] トヨタのモデリスタエアロキットを装着した車で、３０度程度の下り坂道から平坦道路へ移行した時に、フロントスポイラが地面に干渉し、下部が破損した。</t>
        </is>
      </c>
    </row>
    <row r="238">
      <c r="A238" s="13" t="inlineStr">
        <is>
          <t>エスクァイア</t>
        </is>
      </c>
      <c r="B238" s="13" t="inlineStr">
        <is>
          <t>80系</t>
        </is>
      </c>
      <c r="C238" s="13" t="inlineStr">
        <is>
          <t>かじ取り</t>
        </is>
      </c>
      <c r="D238" s="15" t="n">
        <v>1</v>
      </c>
      <c r="E238" s="17" t="n">
        <v>2.7</v>
      </c>
      <c r="F238" s="15" t="n">
        <v>2300</v>
      </c>
      <c r="G238" s="13" t="n">
        <v>2017</v>
      </c>
      <c r="H238" s="13" t="n">
        <v>2017</v>
      </c>
      <c r="I238" s="14" t="inlineStr">
        <is>
          <t>DAA-ZWR80G</t>
        </is>
      </c>
      <c r="J238" s="14" t="inlineStr">
        <is>
          <t>[2017-04-23 DAA-ZWR80G 2017/01 2300km] 駐車スペースから道路に出る際に、突然ステアリングが重くなり、ガガガ・ゴゴゴーという大きな異音がするとともに、車のインフォメーションディスプレイに警告が表示された。</t>
        </is>
      </c>
    </row>
    <row r="239">
      <c r="A239" s="8" t="inlineStr">
        <is>
          <t>エスクァイア</t>
        </is>
      </c>
      <c r="B239" s="8" t="inlineStr">
        <is>
          <t>80系</t>
        </is>
      </c>
      <c r="C239" s="8" t="inlineStr">
        <is>
          <t>その他</t>
        </is>
      </c>
      <c r="D239" s="11" t="n">
        <v>1</v>
      </c>
      <c r="E239" s="9" t="n">
        <v>2.7</v>
      </c>
      <c r="F239" s="11" t="n">
        <v>35000</v>
      </c>
      <c r="G239" s="8" t="n">
        <v>2016</v>
      </c>
      <c r="H239" s="8" t="n">
        <v>2016</v>
      </c>
      <c r="I239" s="14" t="inlineStr">
        <is>
          <t>DBA-ZRR80G</t>
        </is>
      </c>
      <c r="J239" s="14" t="inlineStr">
        <is>
          <t>[2024-01-28 DBA-ZRR80G 2016/09 35000km] Ｔ－ＣｏｎｎｅｃｔナビＮＳＺＴ－Ｙ６６Ｔ搭載車で、突然「地図データが読めません。販売店にご相談ください。」と表示された。</t>
        </is>
      </c>
    </row>
    <row r="240">
      <c r="A240" s="13" t="inlineStr">
        <is>
          <t>エスクァイア</t>
        </is>
      </c>
      <c r="B240" s="13" t="inlineStr">
        <is>
          <t>80系</t>
        </is>
      </c>
      <c r="C240" s="13" t="inlineStr">
        <is>
          <t>燃料装置</t>
        </is>
      </c>
      <c r="D240" s="15" t="n">
        <v>1</v>
      </c>
      <c r="E240" s="17" t="n">
        <v>2.7</v>
      </c>
      <c r="F240" s="15" t="n">
        <v>54300</v>
      </c>
      <c r="G240" s="13" t="n">
        <v>2016</v>
      </c>
      <c r="H240" s="13" t="n">
        <v>2016</v>
      </c>
      <c r="I240" s="14" t="inlineStr">
        <is>
          <t>DBA-ZRR80G</t>
        </is>
      </c>
      <c r="J240" s="14" t="inlineStr">
        <is>
          <t>[2024-08-07 DBA-ZRR80G 2016/03 54300km] 燃料ポンプの不良により、エンジンが始動しなくなった。</t>
        </is>
      </c>
    </row>
    <row r="241">
      <c r="A241" s="8" t="inlineStr">
        <is>
          <t>エスクァイア</t>
        </is>
      </c>
      <c r="B241" s="8" t="inlineStr">
        <is>
          <t>不明</t>
        </is>
      </c>
      <c r="C241" s="8" t="inlineStr">
        <is>
          <t>その他</t>
        </is>
      </c>
      <c r="D241" s="11" t="n">
        <v>1</v>
      </c>
      <c r="E241" s="9" t="n">
        <v>25</v>
      </c>
      <c r="F241" s="11" t="n"/>
      <c r="G241" s="8" t="n"/>
      <c r="H241" s="8" t="n"/>
      <c r="I241" s="14" t="inlineStr">
        <is>
          <t>DBA-ZRR80G</t>
        </is>
      </c>
      <c r="J241" s="14" t="inlineStr">
        <is>
          <t>[2016-03-15 DBA-ZRR80G  ?km] トヨタ純正のエントリーナビＮＳＣＰ－Ｗ６４において、高速道路走行中に自動表示される右半分のインターチェンジ情報を消したい場合、本線走行中のインターチェンジ情報表示中に操作をしないと消すことが出来ない。</t>
        </is>
      </c>
    </row>
    <row r="242">
      <c r="A242" s="13" t="inlineStr">
        <is>
          <t>エスクァイア</t>
        </is>
      </c>
      <c r="B242" s="13" t="inlineStr">
        <is>
          <t>不明</t>
        </is>
      </c>
      <c r="C242" s="13" t="inlineStr">
        <is>
          <t>保安灯火</t>
        </is>
      </c>
      <c r="D242" s="15" t="n">
        <v>1</v>
      </c>
      <c r="E242" s="17" t="n">
        <v>25</v>
      </c>
      <c r="F242" s="15" t="n"/>
      <c r="G242" s="13" t="n"/>
      <c r="H242" s="13" t="n"/>
      <c r="I242" s="14" t="inlineStr">
        <is>
          <t>DAA-ZWR80G</t>
        </is>
      </c>
      <c r="J242" s="14" t="inlineStr">
        <is>
          <t>[2020-03-23 DAA-ZWR80G  ?km] 助手席ミラーの下方３分の１くらいが、湾曲形状になっており、景色が曲がって映るため、正確な距離感が掴めない。</t>
        </is>
      </c>
    </row>
    <row r="243">
      <c r="A243" s="8" t="inlineStr">
        <is>
          <t>エスクァイア</t>
        </is>
      </c>
      <c r="B243" s="8" t="inlineStr">
        <is>
          <t>不明</t>
        </is>
      </c>
      <c r="C243" s="8" t="inlineStr">
        <is>
          <t>制動装置</t>
        </is>
      </c>
      <c r="D243" s="11" t="n">
        <v>1</v>
      </c>
      <c r="E243" s="9" t="n">
        <v>25</v>
      </c>
      <c r="F243" s="11" t="n"/>
      <c r="G243" s="8" t="n"/>
      <c r="H243" s="8" t="n"/>
      <c r="I243" s="14" t="inlineStr"/>
      <c r="J243" s="14" t="inlineStr">
        <is>
          <t>[2017-09-19   ?km] 公道走行中に衝突軽減ブレーキが作動した。</t>
        </is>
      </c>
    </row>
    <row r="244">
      <c r="A244" s="13" t="inlineStr">
        <is>
          <t>エスクァイア</t>
        </is>
      </c>
      <c r="B244" s="13" t="inlineStr">
        <is>
          <t>不明</t>
        </is>
      </c>
      <c r="C244" s="13" t="inlineStr">
        <is>
          <t>動力伝達</t>
        </is>
      </c>
      <c r="D244" s="15" t="n">
        <v>1</v>
      </c>
      <c r="E244" s="17" t="n">
        <v>25</v>
      </c>
      <c r="F244" s="15" t="n"/>
      <c r="G244" s="13" t="n"/>
      <c r="H244" s="13" t="n"/>
      <c r="I244" s="14" t="inlineStr">
        <is>
          <t>DBA-ZRR85G</t>
        </is>
      </c>
      <c r="J244" s="14" t="inlineStr">
        <is>
          <t>[2024-08-17 DBA-ZRR85G  ?km] 高速道路を走行中、異音と共に加速出来なくなり停車した。前進も後退も出来なくなった。</t>
        </is>
      </c>
    </row>
    <row r="245">
      <c r="A245" s="8" t="inlineStr">
        <is>
          <t>シエンタ</t>
        </is>
      </c>
      <c r="B245" s="8" t="inlineStr">
        <is>
          <t>（車種全体）</t>
        </is>
      </c>
      <c r="C245" s="8" t="inlineStr">
        <is>
          <t>エンジン</t>
        </is>
      </c>
      <c r="D245" s="11" t="n">
        <v>239</v>
      </c>
      <c r="E245" s="9" t="n">
        <v>62.9</v>
      </c>
      <c r="F245" s="11" t="n">
        <v>68000</v>
      </c>
      <c r="G245" s="8" t="n">
        <v>1993</v>
      </c>
      <c r="H245" s="8" t="n">
        <v>2024</v>
      </c>
      <c r="I245" s="14" t="inlineStr">
        <is>
          <t>6AA-MXPL10G, 6AA-NHP170G, CBA-MCP81G, CBA-NC81G, CBA-NCP81, CBA-NCP81G, CBA-NCP81改, CBA-NCP85G, CPA-NCP81G, DAA-NHP170G, DBA-NCP81, DBA-NCP81G, DBA-NSP170G, NCP81, NCP81G, NPC81G, UA-NCP81C, UA-NCP81G, UA-NCPG, UAｰNCP81G</t>
        </is>
      </c>
      <c r="J245"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46">
      <c r="A246" s="13" t="inlineStr">
        <is>
          <t>シエンタ</t>
        </is>
      </c>
      <c r="B246" s="13" t="inlineStr">
        <is>
          <t>（車種全体）</t>
        </is>
      </c>
      <c r="C246" s="13" t="inlineStr">
        <is>
          <t>車枠・車体</t>
        </is>
      </c>
      <c r="D246" s="15" t="n">
        <v>32</v>
      </c>
      <c r="E246" s="17" t="n">
        <v>8.4</v>
      </c>
      <c r="F246" s="15" t="n">
        <v>43400</v>
      </c>
      <c r="G246" s="13" t="n">
        <v>2006</v>
      </c>
      <c r="H246" s="13" t="n">
        <v>2025</v>
      </c>
      <c r="I246" s="14" t="inlineStr">
        <is>
          <t>5BA-MXPC12G, 5BA-NSP170G, 6AA-MXPL10G, 6AA-MXPL15G, 6AA-NHP170G, DBA-NCP175G, DBA-NCP81G, DBA-NSP170G</t>
        </is>
      </c>
      <c r="J246"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47">
      <c r="A247" s="8" t="inlineStr">
        <is>
          <t>シエンタ</t>
        </is>
      </c>
      <c r="B247" s="8" t="inlineStr">
        <is>
          <t>（車種全体）</t>
        </is>
      </c>
      <c r="C247" s="8" t="inlineStr">
        <is>
          <t>乗車装置</t>
        </is>
      </c>
      <c r="D247" s="11" t="n">
        <v>19</v>
      </c>
      <c r="E247" s="9" t="n">
        <v>5</v>
      </c>
      <c r="F247" s="11" t="n">
        <v>34200</v>
      </c>
      <c r="G247" s="8" t="n">
        <v>2000</v>
      </c>
      <c r="H247" s="8" t="n">
        <v>2023</v>
      </c>
      <c r="I247" s="14" t="inlineStr">
        <is>
          <t>5BA-NSP170G, 6AA-MXPL10G, 6AA-NHP170G, CBA-NC81G, CBA-NCP81G, CBA-NCP85G, DAA-NHP170G, DBA-NCP81G, DBA-NCP81G改, DBA-NSP170G, UA-NCP81G</t>
        </is>
      </c>
      <c r="J247"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48">
      <c r="A248" s="13" t="inlineStr">
        <is>
          <t>シエンタ</t>
        </is>
      </c>
      <c r="B248" s="13" t="inlineStr">
        <is>
          <t>（車種全体）</t>
        </is>
      </c>
      <c r="C248" s="13" t="inlineStr">
        <is>
          <t>制動装置</t>
        </is>
      </c>
      <c r="D248" s="15" t="n">
        <v>19</v>
      </c>
      <c r="E248" s="17" t="n">
        <v>5</v>
      </c>
      <c r="F248" s="15" t="n">
        <v>18082</v>
      </c>
      <c r="G248" s="13" t="n">
        <v>2004</v>
      </c>
      <c r="H248" s="13" t="n">
        <v>2023</v>
      </c>
      <c r="I248" s="14" t="inlineStr">
        <is>
          <t>5BA-NSP170G, 6AA-MXPL15G, 6AA-NHP170G, CBA-NCP81G, CBA-NCP85G, DAA-NHP170G, DBA-NCP175G, DBA-NCP81G</t>
        </is>
      </c>
      <c r="J248" s="14" t="inlineStr">
        <is>
          <t>[2026-03-03 DAA-NHP170G  ?km] 高速道路のサービスエリアに入るところの下り坂でブレーキを掛けたところ、ＡＢＳが作動してブレーキ力が抜けた状態になったため、前車に衝突した。
[2025-12-10 DAA-NHP170G 2016/11 106300km] 交差点での信号停止時、車体が揺れるようなガガガという音がしてブレーキが効かず、停止位置を大きくオーバーした。
[2024-04-03 6AA-MXPL15G 2023/10 ?km] 納車直後、ブレーキペダルのゴムパッドが取れていた。</t>
        </is>
      </c>
    </row>
    <row r="249">
      <c r="A249" s="8" t="inlineStr">
        <is>
          <t>シエンタ</t>
        </is>
      </c>
      <c r="B249" s="8" t="inlineStr">
        <is>
          <t>（車種全体）</t>
        </is>
      </c>
      <c r="C249" s="8" t="inlineStr">
        <is>
          <t>保安灯火</t>
        </is>
      </c>
      <c r="D249" s="11" t="n">
        <v>17</v>
      </c>
      <c r="E249" s="9" t="n">
        <v>4.5</v>
      </c>
      <c r="F249" s="11" t="n">
        <v>26000</v>
      </c>
      <c r="G249" s="8" t="n">
        <v>2004</v>
      </c>
      <c r="H249" s="8" t="n">
        <v>2023</v>
      </c>
      <c r="I249" s="14" t="inlineStr">
        <is>
          <t>5BA-MXPC10G, 6AA-MXPL10G, 6AA-MXPL15G, 6AA-NHP170G, CBA-NCP81G, CBA-NCP85G, DAA-NHP170G, DBA-NCP81G, DBA-NSP170G, NHP170G</t>
        </is>
      </c>
      <c r="J249"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50">
      <c r="A250" s="13" t="inlineStr">
        <is>
          <t>シエンタ</t>
        </is>
      </c>
      <c r="B250" s="13" t="inlineStr">
        <is>
          <t>（車種全体）</t>
        </is>
      </c>
      <c r="C250" s="13" t="inlineStr">
        <is>
          <t>動力伝達</t>
        </is>
      </c>
      <c r="D250" s="15" t="n">
        <v>15</v>
      </c>
      <c r="E250" s="17" t="n">
        <v>3.9</v>
      </c>
      <c r="F250" s="15" t="n">
        <v>43566</v>
      </c>
      <c r="G250" s="13" t="n">
        <v>2004</v>
      </c>
      <c r="H250" s="13" t="n">
        <v>2022</v>
      </c>
      <c r="I250" s="14" t="inlineStr">
        <is>
          <t>6AA-MXPL10G, CBA-NCP81G, DBA-NCP81G, DBA-NSP170G, UA-NCP81G, UA-NCP85G</t>
        </is>
      </c>
      <c r="J250" s="14" t="inlineStr">
        <is>
          <t>[2023-04-17 6AA-MXPL10G 2022/11 110km] エンジンが自動的に再始動するタイミングで、リバースへのシフト操作をするとエンジンルーム付近から極めて大きな異音が発生した。
[2019-05-26 DBA-NCP81G 2008/03 47800km] ＣＶＴの不具合により、信号や一時停止で停止する直前に後ろから「ドン！」と突き飛ばされるような挙動をする。
[2019-04-25 DBA-NSP170G 2016/11 ?km] アクセルペダルを踏んでもエンジン回転数上がらず、加速しない。</t>
        </is>
      </c>
    </row>
    <row r="251">
      <c r="A251" s="8" t="inlineStr">
        <is>
          <t>シエンタ</t>
        </is>
      </c>
      <c r="B251" s="8" t="inlineStr">
        <is>
          <t>（車種全体）</t>
        </is>
      </c>
      <c r="C251" s="8" t="inlineStr">
        <is>
          <t>その他</t>
        </is>
      </c>
      <c r="D251" s="11" t="n">
        <v>14</v>
      </c>
      <c r="E251" s="9" t="n">
        <v>3.7</v>
      </c>
      <c r="F251" s="11" t="n">
        <v>8852</v>
      </c>
      <c r="G251" s="8" t="n">
        <v>2004</v>
      </c>
      <c r="H251" s="8" t="n">
        <v>2026</v>
      </c>
      <c r="I251" s="14" t="inlineStr">
        <is>
          <t>5BA-NSP170G, 6AA-MXPL10G, 6AA-MXPL15G, 6AA-NHP170G, CBA-NCP81G, DBA-NCP175G, DBA-NCP81G, DBA-NSP170G</t>
        </is>
      </c>
      <c r="J251"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52">
      <c r="A252" s="13" t="inlineStr">
        <is>
          <t>シエンタ</t>
        </is>
      </c>
      <c r="B252" s="13" t="inlineStr">
        <is>
          <t>（車種全体）</t>
        </is>
      </c>
      <c r="C252" s="13" t="inlineStr">
        <is>
          <t>かじ取り</t>
        </is>
      </c>
      <c r="D252" s="15" t="n">
        <v>6</v>
      </c>
      <c r="E252" s="17" t="n">
        <v>1.6</v>
      </c>
      <c r="F252" s="15" t="n">
        <v>62000</v>
      </c>
      <c r="G252" s="13" t="n">
        <v>2010</v>
      </c>
      <c r="H252" s="13" t="n">
        <v>2022</v>
      </c>
      <c r="I252" s="14" t="inlineStr">
        <is>
          <t>6AA-MXPL10G, DAA-NHP170G, DBA-NCP81G</t>
        </is>
      </c>
      <c r="J252" s="14" t="inlineStr">
        <is>
          <t>[2025-11-21 6AA-MXPL10G 2022/11 ?km] ３年間使用してきたが、これまでに４回ＬＫＡが起動しなかったことがある。【ＡＳＶ検索対象】
[2024-02-02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t>
        </is>
      </c>
    </row>
    <row r="253">
      <c r="A253" s="8" t="inlineStr">
        <is>
          <t>シエンタ</t>
        </is>
      </c>
      <c r="B253" s="8" t="inlineStr">
        <is>
          <t>（車種全体）</t>
        </is>
      </c>
      <c r="C253" s="8" t="inlineStr">
        <is>
          <t>燃料装置</t>
        </is>
      </c>
      <c r="D253" s="11" t="n">
        <v>5</v>
      </c>
      <c r="E253" s="9" t="n">
        <v>1.3</v>
      </c>
      <c r="F253" s="11" t="n">
        <v>56200</v>
      </c>
      <c r="G253" s="8" t="n">
        <v>2006</v>
      </c>
      <c r="H253" s="8" t="n">
        <v>2017</v>
      </c>
      <c r="I253" s="14" t="inlineStr">
        <is>
          <t>6AA-MXPL10G, DBA-NCP81G, DBA-NSP170G</t>
        </is>
      </c>
      <c r="J253" s="14" t="inlineStr">
        <is>
          <t>[2024-10-15 6AA-MXPL10G  ?km] 給油しようとすると、空気の抜けが悪く給油機の自動停止が作動してしまう。また、吹き返しが酷く、自動停止後に燃料が噴き出す。
[2024-05-13 DBA-NSP170G 2017/03 56200km] 車庫が燃料くさいので、車両を確認したところ、車台下部に燃料が垂れていた。ディーラーに搬送して確認したところ、燃料タンクからの漏れであるが外傷はなく原因は不明と告げられた。
[2016-11-30 DBA-NCP81G 2009/10 75000km] 燃料ポンプの不良により、エンジンがかからなくなった。</t>
        </is>
      </c>
    </row>
    <row r="254">
      <c r="A254" s="13" t="inlineStr">
        <is>
          <t>シエンタ</t>
        </is>
      </c>
      <c r="B254" s="13" t="inlineStr">
        <is>
          <t>（車種全体）</t>
        </is>
      </c>
      <c r="C254" s="13" t="inlineStr">
        <is>
          <t>電気装置</t>
        </is>
      </c>
      <c r="D254" s="15" t="n">
        <v>5</v>
      </c>
      <c r="E254" s="17" t="n">
        <v>1.3</v>
      </c>
      <c r="F254" s="15" t="n">
        <v>64400</v>
      </c>
      <c r="G254" s="13" t="n">
        <v>2016</v>
      </c>
      <c r="H254" s="13" t="n">
        <v>2023</v>
      </c>
      <c r="I254" s="14" t="inlineStr">
        <is>
          <t>6AA-MXPL10G, 6AA-MXPL15G, DAA-NHP170G, DBA-NSP170G</t>
        </is>
      </c>
      <c r="J254" s="14" t="inlineStr">
        <is>
          <t>[2026-03-02 6AA-MXPL10G 2023/11 ?km] 補機バッテリーから液漏れした。
[2026-03-01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t>
        </is>
      </c>
    </row>
    <row r="255">
      <c r="A255" s="8" t="inlineStr">
        <is>
          <t>シエンタ</t>
        </is>
      </c>
      <c r="B255" s="8" t="inlineStr">
        <is>
          <t>（車種全体）</t>
        </is>
      </c>
      <c r="C255" s="8" t="inlineStr">
        <is>
          <t>排ｶﾞｽ･騒音</t>
        </is>
      </c>
      <c r="D255" s="11" t="n">
        <v>3</v>
      </c>
      <c r="E255" s="9" t="n">
        <v>0.8</v>
      </c>
      <c r="F255" s="11" t="n">
        <v>48000</v>
      </c>
      <c r="G255" s="8" t="n">
        <v>2015</v>
      </c>
      <c r="H255" s="8" t="n">
        <v>2024</v>
      </c>
      <c r="I255" s="14" t="inlineStr">
        <is>
          <t>5BA-MXPC10G, DBA-NSP10G, DBA-NSP170G</t>
        </is>
      </c>
      <c r="J255" s="14" t="inlineStr">
        <is>
          <t>[2025-04-18 5BA-MXPC10G 2024/02 ?km] 積雪が少なく、塩カルなどの影響は少ないとみられる地域での使用であるにもかかわらず、後部の消音器を吊っている部分周りなど、そこかしこに錆が発生した。
[2021-11-11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56">
      <c r="A256" s="13" t="inlineStr">
        <is>
          <t>シエンタ</t>
        </is>
      </c>
      <c r="B256" s="13" t="inlineStr">
        <is>
          <t>（車種全体）</t>
        </is>
      </c>
      <c r="C256" s="13" t="inlineStr">
        <is>
          <t>電動機(モーター)</t>
        </is>
      </c>
      <c r="D256" s="15" t="n">
        <v>2</v>
      </c>
      <c r="E256" s="17" t="n">
        <v>0.5</v>
      </c>
      <c r="F256" s="15" t="n">
        <v>40000</v>
      </c>
      <c r="G256" s="13" t="n">
        <v>2021</v>
      </c>
      <c r="H256" s="13" t="n">
        <v>2023</v>
      </c>
      <c r="I256" s="14" t="inlineStr">
        <is>
          <t>6AA-MXPL10G, 6AA-NHP170G</t>
        </is>
      </c>
      <c r="J256" s="14" t="inlineStr">
        <is>
          <t>[2024-12-05 6AA-MXPL10G 2023/01 40000km] 突然ＲＥＡＤＹ ＯＮできなくなった。ディーラーへレッカー搬送して確認したところ、メインバッテリーに関わる部品に問題があると診断された。
[2021-04-29 6AA-NHP170G 2021/02 1000km] インバーター不良により、ハイブリッドシステム故障エラー警告が表示された。</t>
        </is>
      </c>
    </row>
    <row r="257">
      <c r="A257" s="8" t="inlineStr">
        <is>
          <t>シエンタ</t>
        </is>
      </c>
      <c r="B257" s="8" t="inlineStr">
        <is>
          <t>（車種全体）</t>
        </is>
      </c>
      <c r="C257" s="8" t="inlineStr">
        <is>
          <t>非装置</t>
        </is>
      </c>
      <c r="D257" s="11" t="n">
        <v>2</v>
      </c>
      <c r="E257" s="9" t="n">
        <v>0.5</v>
      </c>
      <c r="F257" s="11" t="n"/>
      <c r="G257" s="8" t="n">
        <v>2022</v>
      </c>
      <c r="H257" s="8" t="n">
        <v>2023</v>
      </c>
      <c r="I257" s="14" t="inlineStr">
        <is>
          <t>6AA-MXPL10G</t>
        </is>
      </c>
      <c r="J257"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58">
      <c r="A258" s="13" t="inlineStr">
        <is>
          <t>シエンタ</t>
        </is>
      </c>
      <c r="B258" s="13" t="inlineStr">
        <is>
          <t>（車種全体）</t>
        </is>
      </c>
      <c r="C258" s="13" t="inlineStr">
        <is>
          <t>緩衝装置</t>
        </is>
      </c>
      <c r="D258" s="15" t="n">
        <v>1</v>
      </c>
      <c r="E258" s="17" t="n">
        <v>0.3</v>
      </c>
      <c r="F258" s="15" t="n">
        <v>31624</v>
      </c>
      <c r="G258" s="13" t="n">
        <v>2005</v>
      </c>
      <c r="H258" s="13" t="n">
        <v>2005</v>
      </c>
      <c r="I258" s="14" t="inlineStr">
        <is>
          <t>CBA-NCP81G</t>
        </is>
      </c>
      <c r="J258" s="14" t="inlineStr">
        <is>
          <t>[2016-09-05 CBA-NCP81G 2005/03 31624km] スタビライザークッションの不良により、サスペンション周りからキコキコと異音が出る。</t>
        </is>
      </c>
    </row>
    <row r="259">
      <c r="A259" s="8" t="inlineStr">
        <is>
          <t>シエンタ</t>
        </is>
      </c>
      <c r="B259" s="8" t="inlineStr">
        <is>
          <t>（車種全体）</t>
        </is>
      </c>
      <c r="C259" s="8" t="inlineStr">
        <is>
          <t>走行装置</t>
        </is>
      </c>
      <c r="D259" s="11" t="n">
        <v>1</v>
      </c>
      <c r="E259" s="9" t="n">
        <v>0.3</v>
      </c>
      <c r="F259" s="11" t="n"/>
      <c r="G259" s="8" t="n">
        <v>2021</v>
      </c>
      <c r="H259" s="8" t="n">
        <v>2021</v>
      </c>
      <c r="I259" s="14" t="inlineStr">
        <is>
          <t>5BA-NSP170G</t>
        </is>
      </c>
      <c r="J259" s="14" t="inlineStr">
        <is>
          <t>[2021-11-05 5BA-NSP170G 2021/09 ?km] 新車購入直後、フロントスタビライザーのサイドリンケージ、リヤサスペンションの付け根などが錆びているのを発見した。</t>
        </is>
      </c>
    </row>
    <row r="260">
      <c r="A260" s="13" t="inlineStr">
        <is>
          <t>シエンタ</t>
        </is>
      </c>
      <c r="B260" s="13" t="inlineStr">
        <is>
          <t>80系</t>
        </is>
      </c>
      <c r="C260" s="13" t="inlineStr">
        <is>
          <t>エンジン</t>
        </is>
      </c>
      <c r="D260" s="15" t="n">
        <v>181</v>
      </c>
      <c r="E260" s="17" t="n">
        <v>77.40000000000001</v>
      </c>
      <c r="F260" s="15" t="n">
        <v>70000</v>
      </c>
      <c r="G260" s="13" t="n">
        <v>2003</v>
      </c>
      <c r="H260" s="13" t="n">
        <v>2013</v>
      </c>
      <c r="I260" s="14" t="inlineStr">
        <is>
          <t>CBA-MCP81G, CBA-NC81G, CBA-NCP81, CBA-NCP81G, CBA-NCP81改, CBA-NCP85G, CPA-NCP81G, DBA-NCP81, DBA-NCP81G, NCP81, NCP81G, NPC81G, UA-NCP81C, UA-NCP81G, UA-NCPG, UAｰNCP81G</t>
        </is>
      </c>
      <c r="J260" s="14" t="inlineStr">
        <is>
          <t>[2023-06-20 DBA-NCP81G 2010/03 55900km] 発進直後の１０～２０ｋｍ／ｈでエンジン回転数が上らず加速不良が生じた。ディーラーの確認で、カムシャフトタイミングギヤＡＳＳＹの交換が必要と診断された。
[2021-12-20 CBA-NCP81G 2004/10 70600km] ２時間半走って小休憩後、再度エンジンかけようとすると、かかりにくい。温まっていて再度エンジンかけるとかかりにくい。アクセルペダルを踏まなければかからない。
[2021-04-30 CBA-NCP81G 2004/07 90000km] 走行距離（８５０００ｋｍ）を超えたあたりから、低速時・加速時にノッキングが多発した。点検に出し、オイル交換直後は多少改善するも数日後からノッキングが再発した。点検の際に「オイル減少あり」の報告もあり、前回のオイル交換から逆算すると１カ月に０．５Ｌ減少している。</t>
        </is>
      </c>
    </row>
    <row r="261">
      <c r="A261" s="8" t="inlineStr">
        <is>
          <t>シエンタ</t>
        </is>
      </c>
      <c r="B261" s="8" t="inlineStr">
        <is>
          <t>80系</t>
        </is>
      </c>
      <c r="C261" s="8" t="inlineStr">
        <is>
          <t>動力伝達</t>
        </is>
      </c>
      <c r="D261" s="11" t="n">
        <v>12</v>
      </c>
      <c r="E261" s="9" t="n">
        <v>5.1</v>
      </c>
      <c r="F261" s="11" t="n">
        <v>47800</v>
      </c>
      <c r="G261" s="8" t="n">
        <v>2004</v>
      </c>
      <c r="H261" s="8" t="n">
        <v>2015</v>
      </c>
      <c r="I261" s="14" t="inlineStr">
        <is>
          <t>CBA-NCP81G, DBA-NCP81G, UA-NCP81G, UA-NCP85G</t>
        </is>
      </c>
      <c r="J261" s="14" t="inlineStr">
        <is>
          <t>[2019-05-26 DBA-NCP81G 2008/03 47800km] ＣＶＴの不具合により、信号や一時停止で停止する直前に後ろから「ドン！」と突き飛ばされるような挙動をする。
[2018-08-28 DBA-NCP81G 2013/07 40900km] トルクコンバーターの不良により、ウォンウォンと異音が出る。
[2016-06-08 DBA-NCP81G 2015/03 6000km] ２０ｋｍ／ｈ～２５ｋｍ／ｈでフューエルカットが働いたときＣＶＴからコンコンと大きな音がして耐えられない。</t>
        </is>
      </c>
    </row>
    <row r="262">
      <c r="A262" s="13" t="inlineStr">
        <is>
          <t>シエンタ</t>
        </is>
      </c>
      <c r="B262" s="13" t="inlineStr">
        <is>
          <t>80系</t>
        </is>
      </c>
      <c r="C262" s="13" t="inlineStr">
        <is>
          <t>乗車装置</t>
        </is>
      </c>
      <c r="D262" s="15" t="n">
        <v>9</v>
      </c>
      <c r="E262" s="17" t="n">
        <v>3.8</v>
      </c>
      <c r="F262" s="15" t="n">
        <v>33000</v>
      </c>
      <c r="G262" s="13" t="n">
        <v>2004</v>
      </c>
      <c r="H262" s="13" t="n">
        <v>2012</v>
      </c>
      <c r="I262" s="14" t="inlineStr">
        <is>
          <t>CBA-NC81G, CBA-NCP81G, CBA-NCP85G, DBA-NCP81G, DBA-NCP81G改, UA-NCP81G</t>
        </is>
      </c>
      <c r="J262" s="14" t="inlineStr">
        <is>
          <t>[2016-07-04 UA-NCP81G 2004/03 50000km] 後部座席の背もたれが破損し、後ろに倒れて水平状態になった。
[2015-01-08 CBA-NCP85G 2005/12 95230km] 助手席のドアノブのメッキがはがれて端部が鋭利になっていたため、ドアを開ける操作をした際に指に切り傷を負った。
[2013-01-18 DBA-NCP81G改 2012/07 ?km] 福祉車両タイプⅠで、電動固定装置の不具合によりいかなる固定方法をしてもベルトが緩み、車椅子がしっかりと固定されない。</t>
        </is>
      </c>
    </row>
    <row r="263">
      <c r="A263" s="8" t="inlineStr">
        <is>
          <t>シエンタ</t>
        </is>
      </c>
      <c r="B263" s="8" t="inlineStr">
        <is>
          <t>80系</t>
        </is>
      </c>
      <c r="C263" s="8" t="inlineStr">
        <is>
          <t>制動装置</t>
        </is>
      </c>
      <c r="D263" s="11" t="n">
        <v>9</v>
      </c>
      <c r="E263" s="9" t="n">
        <v>3.8</v>
      </c>
      <c r="F263" s="11" t="n">
        <v>40000</v>
      </c>
      <c r="G263" s="8" t="n">
        <v>2004</v>
      </c>
      <c r="H263" s="8" t="n">
        <v>2013</v>
      </c>
      <c r="I263" s="14" t="inlineStr">
        <is>
          <t>CBA-NCP81G, CBA-NCP85G, DBA-NCP81G</t>
        </is>
      </c>
      <c r="J263" s="14" t="inlineStr">
        <is>
          <t>[2021-05-31 DBA-NCP81G 2013/09 55000km] 駐車ブレーキを解除しても駐車ブレーキ・ＡＢＳ表示が消えない。
[2017-12-23 DBA-NCP81G 2012/03 44670km] ブレーキマスターバックにブレーキオイルが流れこんだため、ブレーキオイルの警告ランプが点灯し、ブレーキペダルを踏んだ際に時々ペダルが奥まで踏み込めてしまうようになった。
[2017-10-12 DBA-NCP81G 2008/06 75100km] 下り坂を走行中にブレーキペダルがロックされたかのような状態で全く踏み込めなくなったため、駐車ブレーキでなんとか停車させた。</t>
        </is>
      </c>
    </row>
    <row r="264">
      <c r="A264" s="13" t="inlineStr">
        <is>
          <t>シエンタ</t>
        </is>
      </c>
      <c r="B264" s="13" t="inlineStr">
        <is>
          <t>80系</t>
        </is>
      </c>
      <c r="C264" s="13" t="inlineStr">
        <is>
          <t>車枠・車体</t>
        </is>
      </c>
      <c r="D264" s="15" t="n">
        <v>9</v>
      </c>
      <c r="E264" s="17" t="n">
        <v>3.8</v>
      </c>
      <c r="F264" s="15" t="n">
        <v>88000</v>
      </c>
      <c r="G264" s="13" t="n">
        <v>2006</v>
      </c>
      <c r="H264" s="13" t="n">
        <v>2010</v>
      </c>
      <c r="I264" s="14" t="inlineStr">
        <is>
          <t>DBA-NCP81G</t>
        </is>
      </c>
      <c r="J264" s="14" t="inlineStr">
        <is>
          <t>[2024-11-08 DBA-NCP81G 2009/07 97473km] ボンネット、ルーフ前部、右スライドドア、右クオーターパネルの塗膜が剥がれてきた。
[2022-01-23 DBA-NCP81G 2006/02 140500km] 車体右後部ガラスと車体の境に小さな塗装剥がれを発見。飛び石かと思っていたがその後広範囲にわたり同様の塗装剥がれが多発した。
[2021-07-16 DBA-NCP81G 2010/09 150000km] 冬場の凍結の道路でハンドルを取られやすく、ブレーキが平らな道路も上りと下り坂どちらでも効かなかったりする。</t>
        </is>
      </c>
    </row>
    <row r="265">
      <c r="A265" s="8" t="inlineStr">
        <is>
          <t>シエンタ</t>
        </is>
      </c>
      <c r="B265" s="8" t="inlineStr">
        <is>
          <t>80系</t>
        </is>
      </c>
      <c r="C265" s="8" t="inlineStr">
        <is>
          <t>保安灯火</t>
        </is>
      </c>
      <c r="D265" s="11" t="n">
        <v>5</v>
      </c>
      <c r="E265" s="9" t="n">
        <v>2.1</v>
      </c>
      <c r="F265" s="11" t="n">
        <v>26000</v>
      </c>
      <c r="G265" s="8" t="n">
        <v>2004</v>
      </c>
      <c r="H265" s="8" t="n">
        <v>2013</v>
      </c>
      <c r="I265" s="14" t="inlineStr">
        <is>
          <t>CBA-NCP81G, CBA-NCP85G, DBA-NCP81G</t>
        </is>
      </c>
      <c r="J265" s="14" t="inlineStr">
        <is>
          <t>[2021-11-24 DBA-NCP81G 2013/04 10000km] 右ヘッドライトユニットの内部が白く曇っており、水も溜まっている。この影響なのか運転をしていると感電するような感覚になったことがある。
[2011-09-02 CBA-NCP85G 2010/10 9000km] 窓を開ける際にウインドウモーターから異音が出た。
[2011-02-18 CBA-NCP85G 2007/01 29700km] エンジンをかけてアイドリング状態で止まっていたところ、突然前面ガラスにひびが入った。</t>
        </is>
      </c>
    </row>
    <row r="266">
      <c r="A266" s="13" t="inlineStr">
        <is>
          <t>シエンタ</t>
        </is>
      </c>
      <c r="B266" s="13" t="inlineStr">
        <is>
          <t>80系</t>
        </is>
      </c>
      <c r="C266" s="13" t="inlineStr">
        <is>
          <t>かじ取り</t>
        </is>
      </c>
      <c r="D266" s="15" t="n">
        <v>3</v>
      </c>
      <c r="E266" s="17" t="n">
        <v>1.3</v>
      </c>
      <c r="F266" s="15" t="n">
        <v>70000</v>
      </c>
      <c r="G266" s="13" t="n">
        <v>2010</v>
      </c>
      <c r="H266" s="13" t="n">
        <v>2012</v>
      </c>
      <c r="I266" s="14" t="inlineStr">
        <is>
          <t>DBA-NCP81G</t>
        </is>
      </c>
      <c r="J266" s="14" t="inlineStr">
        <is>
          <t>[2024-02-02 DBA-NCP81G 2010/04 140410km] ステアリングインタミディエイトシャフトのジョイントと、ギアボックスを接続しているスプライン部分が摩滅したため、ハンドルが回らなくなった。
[2022-10-16 DBA-NCP81G 2012/06 40000km] 外出先で駐車していて発進した時に、パワーステアリングの警告灯が点き、パワーステアリングが効かず運転出来る状況でなかった。なんとか自宅まで運転して帰ったが、ディーラーへはレッカーで搬送した。確認の結果、パワーステアリングコンピューターが故障していると診断された。
[2017-08-02 DBA-NCP81G 2012/07 70000km] コンピューターの不具合により、突然パワーステアリングが効かなくなり、ハンドルが重くなった。</t>
        </is>
      </c>
    </row>
    <row r="267">
      <c r="A267" s="8" t="inlineStr">
        <is>
          <t>シエンタ</t>
        </is>
      </c>
      <c r="B267" s="8" t="inlineStr">
        <is>
          <t>80系</t>
        </is>
      </c>
      <c r="C267" s="8" t="inlineStr">
        <is>
          <t>燃料装置</t>
        </is>
      </c>
      <c r="D267" s="11" t="n">
        <v>3</v>
      </c>
      <c r="E267" s="9" t="n">
        <v>1.3</v>
      </c>
      <c r="F267" s="11" t="n">
        <v>51000</v>
      </c>
      <c r="G267" s="8" t="n">
        <v>2006</v>
      </c>
      <c r="H267" s="8" t="n">
        <v>2009</v>
      </c>
      <c r="I267" s="14" t="inlineStr">
        <is>
          <t>DBA-NCP81G</t>
        </is>
      </c>
      <c r="J267" s="14" t="inlineStr">
        <is>
          <t>[2016-11-30 DBA-NCP81G 2009/10 75000km] 燃料ポンプの不良により、エンジンがかからなくなった。
[2015-04-14 DBA-NCP81G 2007/07 28154km] 燃料ポンプの不良により、走行中に突然車が動かなくなった。
[2014-05-17 DBA-NCP81G 2006/02 51000km] エンジンをかけて１０分ぐらい走行後、シフトをＮ、Ｄなどに入れた時に燃料ポンプから小さな異音が出る。</t>
        </is>
      </c>
    </row>
    <row r="268">
      <c r="A268" s="13" t="inlineStr">
        <is>
          <t>シエンタ</t>
        </is>
      </c>
      <c r="B268" s="13" t="inlineStr">
        <is>
          <t>80系</t>
        </is>
      </c>
      <c r="C268" s="13" t="inlineStr">
        <is>
          <t>その他</t>
        </is>
      </c>
      <c r="D268" s="15" t="n">
        <v>2</v>
      </c>
      <c r="E268" s="17" t="n">
        <v>0.9</v>
      </c>
      <c r="F268" s="15" t="n">
        <v>44000</v>
      </c>
      <c r="G268" s="13" t="n">
        <v>2004</v>
      </c>
      <c r="H268" s="13" t="n">
        <v>2009</v>
      </c>
      <c r="I268" s="14" t="inlineStr">
        <is>
          <t>CBA-NCP81G, DBA-NCP81G</t>
        </is>
      </c>
      <c r="J268" s="14" t="inlineStr">
        <is>
          <t>[2010-03-11 DBA-NCP81G 2009/11 ?km] 新車オプションで装着したコーナーセンサーの作動が不安定で、障害物に接近していても、警報作動をしない事がある。
[2008-08-16 CBA-NCP81G 2004/07 44000km] 走行中にメーターの照明が点灯しなくなった。</t>
        </is>
      </c>
    </row>
    <row r="269">
      <c r="A269" s="8" t="inlineStr">
        <is>
          <t>シエンタ</t>
        </is>
      </c>
      <c r="B269" s="8" t="inlineStr">
        <is>
          <t>80系</t>
        </is>
      </c>
      <c r="C269" s="8" t="inlineStr">
        <is>
          <t>緩衝装置</t>
        </is>
      </c>
      <c r="D269" s="11" t="n">
        <v>1</v>
      </c>
      <c r="E269" s="9" t="n">
        <v>0.4</v>
      </c>
      <c r="F269" s="11" t="n">
        <v>31624</v>
      </c>
      <c r="G269" s="8" t="n">
        <v>2005</v>
      </c>
      <c r="H269" s="8" t="n">
        <v>2005</v>
      </c>
      <c r="I269" s="14" t="inlineStr">
        <is>
          <t>CBA-NCP81G</t>
        </is>
      </c>
      <c r="J269" s="14" t="inlineStr">
        <is>
          <t>[2016-09-05 CBA-NCP81G 2005/03 31624km] スタビライザークッションの不良により、サスペンション周りからキコキコと異音が出る。</t>
        </is>
      </c>
    </row>
    <row r="270">
      <c r="A270" s="13" t="inlineStr">
        <is>
          <t>シエンタ</t>
        </is>
      </c>
      <c r="B270" s="13" t="inlineStr">
        <is>
          <t>170系</t>
        </is>
      </c>
      <c r="C270" s="13" t="inlineStr">
        <is>
          <t>エンジン</t>
        </is>
      </c>
      <c r="D270" s="15" t="n">
        <v>39</v>
      </c>
      <c r="E270" s="17" t="n">
        <v>44.3</v>
      </c>
      <c r="F270" s="15" t="n">
        <v>14000</v>
      </c>
      <c r="G270" s="13" t="n">
        <v>2015</v>
      </c>
      <c r="H270" s="13" t="n">
        <v>2021</v>
      </c>
      <c r="I270" s="14" t="inlineStr">
        <is>
          <t>6AA-NHP170G, DAA-NHP170G, DBA-NSP170G</t>
        </is>
      </c>
      <c r="J270" s="14" t="inlineStr">
        <is>
          <t>[2026-03-06 DBA-NSP170G 2019/03 36000km] ３回目の車検を受けて３～４日後、ガタガタと音がしたため、販売店で確認した結果、ウォーターポンプ不良による異音と判った。
[2026-01-18 DBA-NSP170G 2018/04 86000km] エンジンがかかりにくくなり、４か月後に赤信号停止時にアイドリングストップがかかり、その後エンジンが始動しなくなり、エンジンルームから白煙をふいた。
[2025-12-05 DAA-NHP170G 2018/05 81600km] 国５１３１（カウルルーバ）のリコール修理を済ませてある車で、走行中に突然エンジンが破損し、走行不能になった。ディーラーで確認した結果、リコールでカウルルーバーに取り付けた部品が外れており、水がエンジンのインジェクタ取付部から燃焼室に浸入してウォーターハンマーを起こしたものと診断された。</t>
        </is>
      </c>
    </row>
    <row r="271">
      <c r="A271" s="8" t="inlineStr">
        <is>
          <t>シエンタ</t>
        </is>
      </c>
      <c r="B271" s="8" t="inlineStr">
        <is>
          <t>170系</t>
        </is>
      </c>
      <c r="C271" s="8" t="inlineStr">
        <is>
          <t>車枠・車体</t>
        </is>
      </c>
      <c r="D271" s="11" t="n">
        <v>14</v>
      </c>
      <c r="E271" s="9" t="n">
        <v>15.9</v>
      </c>
      <c r="F271" s="11" t="n">
        <v>28000</v>
      </c>
      <c r="G271" s="8" t="n">
        <v>2015</v>
      </c>
      <c r="H271" s="8" t="n">
        <v>2022</v>
      </c>
      <c r="I271" s="14" t="inlineStr">
        <is>
          <t>5BA-NSP170G, 6AA-NHP170G, DBA-NCP175G, DBA-NSP170G</t>
        </is>
      </c>
      <c r="J271" s="14" t="inlineStr">
        <is>
          <t>[2025-06-08 DBA-NSP170G 2018/09 50000km] 運転席ドア内部防水シートの接着剤強度不足により雨水が車内へ浸入したため、床下にカビが発生した。
[2024-09-02 DBA-NSP170G 2020/02 15900km] 後席アシストグリップが格納位置に戻らなくなった。
[2024-06-02 5BA-NSP170G 2022/05 ?km] ２か月前に雨漏りがあり、修理を受けた。その後、右側スライドドアから雨漏りして車内に水が浸入した。調査の結果、２か月前の整備時のブチルテープの貼り方不良が原因だった。</t>
        </is>
      </c>
    </row>
    <row r="272">
      <c r="A272" s="13" t="inlineStr">
        <is>
          <t>シエンタ</t>
        </is>
      </c>
      <c r="B272" s="13" t="inlineStr">
        <is>
          <t>170系</t>
        </is>
      </c>
      <c r="C272" s="13" t="inlineStr">
        <is>
          <t>その他</t>
        </is>
      </c>
      <c r="D272" s="15" t="n">
        <v>7</v>
      </c>
      <c r="E272" s="17" t="n">
        <v>8</v>
      </c>
      <c r="F272" s="15" t="n">
        <v>8852</v>
      </c>
      <c r="G272" s="13" t="n">
        <v>2015</v>
      </c>
      <c r="H272" s="13" t="n">
        <v>2020</v>
      </c>
      <c r="I272" s="14" t="inlineStr">
        <is>
          <t>5BA-NSP170G, 6AA-NHP170G, DBA-NCP175G, DBA-NSP170G</t>
        </is>
      </c>
      <c r="J272" s="14" t="inlineStr">
        <is>
          <t>[2021-10-08 5BA-NSP170G 2020/11 8852km] プリクラッシュセーフティシステム搭載車で、衝突の可能性が全くない状態で衝突警報が出る。これまでに７回警告が出ている。
[2021-04-10 DBA-NCP175G 2016/11 47700km] ガソリンメーターが、給油してもいないのに、２メモリ増え、走行可能距離数も増える。また、ガソリンを給油しても、メーターが満タンにならず、走行可能距離数も変化しない。
[2020-10-29 DBA-NSP170G 2019/09 ?km] パーキングセンサー、インテリジェントクリアランスソナーをつけている車両で、運転席のサインがついていてもソナーがならない。</t>
        </is>
      </c>
    </row>
    <row r="273">
      <c r="A273" s="8" t="inlineStr">
        <is>
          <t>シエンタ</t>
        </is>
      </c>
      <c r="B273" s="8" t="inlineStr">
        <is>
          <t>170系</t>
        </is>
      </c>
      <c r="C273" s="8" t="inlineStr">
        <is>
          <t>保安灯火</t>
        </is>
      </c>
      <c r="D273" s="11" t="n">
        <v>7</v>
      </c>
      <c r="E273" s="9" t="n">
        <v>8</v>
      </c>
      <c r="F273" s="11" t="n">
        <v>47000</v>
      </c>
      <c r="G273" s="8" t="n">
        <v>2015</v>
      </c>
      <c r="H273" s="8" t="n">
        <v>2020</v>
      </c>
      <c r="I273" s="14" t="inlineStr">
        <is>
          <t>6AA-NHP170G, DAA-NHP170G, DBA-NSP170G</t>
        </is>
      </c>
      <c r="J273" s="14" t="inlineStr">
        <is>
          <t>[2026-05-12 DAA-NHP170G 2017/02 47000km] 運転席ドアガラスの下方のコーティングが剥がれた。
[2026-05-07 DBA-NSP170G 2015/10 61200km] 運転席に乗車してドアを閉じた際にガラスコーティングの劣化したものが室内に飛散する。窓を拭いたが一時しのぎにしかならず、手で触れるとザラザラであることにに気付いた。
[2026-04-20 6AA-NHP170G 2020/07 85500km] パノラミックビューのうち、後ろだけブラックアウトすることがある。</t>
        </is>
      </c>
    </row>
    <row r="274">
      <c r="A274" s="13" t="inlineStr">
        <is>
          <t>シエンタ</t>
        </is>
      </c>
      <c r="B274" s="13" t="inlineStr">
        <is>
          <t>170系</t>
        </is>
      </c>
      <c r="C274" s="13" t="inlineStr">
        <is>
          <t>乗車装置</t>
        </is>
      </c>
      <c r="D274" s="15" t="n">
        <v>6</v>
      </c>
      <c r="E274" s="17" t="n">
        <v>6.8</v>
      </c>
      <c r="F274" s="15" t="n">
        <v>34200</v>
      </c>
      <c r="G274" s="13" t="n">
        <v>2016</v>
      </c>
      <c r="H274" s="13" t="n">
        <v>2021</v>
      </c>
      <c r="I274" s="14" t="inlineStr">
        <is>
          <t>5BA-NSP170G, 6AA-NHP170G, DAA-NHP170G</t>
        </is>
      </c>
      <c r="J274" s="14" t="inlineStr">
        <is>
          <t>[2026-06-02 5BA-NSP170G 2020/11 32000km] 運転席のシートを前側に詰めて使用した時に後席側に露出するシートレール端部が鋭利になっていたため、１歳児が誤って後席足元に頭から落下した際、頭に切り傷を負ってしまった。
[2024-11-13 DAA-NHP170G 2016/11 35800km] 後部のドアが開かなくなった。
[2024-09-13 DAA-NHP170G 2018/04 34200km] バックドアにおいて、半ドアになっても半ドア警告灯が点かない。ドア枠のゴムを新品に交換すると一時的に解消するが、ゴムが潰れてくるとすぐに再発する。</t>
        </is>
      </c>
    </row>
    <row r="275">
      <c r="A275" s="8" t="inlineStr">
        <is>
          <t>シエンタ</t>
        </is>
      </c>
      <c r="B275" s="8" t="inlineStr">
        <is>
          <t>170系</t>
        </is>
      </c>
      <c r="C275" s="8" t="inlineStr">
        <is>
          <t>制動装置</t>
        </is>
      </c>
      <c r="D275" s="11" t="n">
        <v>5</v>
      </c>
      <c r="E275" s="9" t="n">
        <v>5.7</v>
      </c>
      <c r="F275" s="11" t="n">
        <v>78700</v>
      </c>
      <c r="G275" s="8" t="n">
        <v>2016</v>
      </c>
      <c r="H275" s="8" t="n">
        <v>2020</v>
      </c>
      <c r="I275" s="14" t="inlineStr">
        <is>
          <t>5BA-NSP170G, DAA-NHP170G, DBA-NCP175G</t>
        </is>
      </c>
      <c r="J275" s="14" t="inlineStr">
        <is>
          <t>[2025-12-10 DAA-NHP170G 2016/11 106300km] 交差点での信号停止時、車体が揺れるようなガガガという音がしてブレーキが効かず、停止位置を大きくオーバーした。
[2024-02-28 DAA-NHP170G 2018/01 227000km] 走行中ブレーキの故障ですと表示が出たので即ブレーキペダルを踏んだが車は速度を落とすことなく走行した。ディーラーで確認したところ、ブレーキブースタＡＳＳＹとブレーキブースタポンプの交換と診断された。
[2022-08-22 DAA-NHP170G 2016/09 78700km] 運転しようとした際にブレーキが低下しているアラームが出てブレーキが効かなくなった。ディーラーで確認したところ、ブレーキブースターとポンプの経年劣化によるものと診断された。</t>
        </is>
      </c>
    </row>
    <row r="276">
      <c r="A276" s="13" t="inlineStr">
        <is>
          <t>シエンタ</t>
        </is>
      </c>
      <c r="B276" s="13" t="inlineStr">
        <is>
          <t>170系</t>
        </is>
      </c>
      <c r="C276" s="13" t="inlineStr">
        <is>
          <t>電気装置</t>
        </is>
      </c>
      <c r="D276" s="15" t="n">
        <v>3</v>
      </c>
      <c r="E276" s="17" t="n">
        <v>3.4</v>
      </c>
      <c r="F276" s="15" t="n">
        <v>64400</v>
      </c>
      <c r="G276" s="13" t="n">
        <v>2016</v>
      </c>
      <c r="H276" s="13" t="n">
        <v>2018</v>
      </c>
      <c r="I276" s="14" t="inlineStr">
        <is>
          <t>DAA-NHP170G, DBA-NSP170G</t>
        </is>
      </c>
      <c r="J276" s="14" t="inlineStr">
        <is>
          <t>[2026-03-01 DBA-NSP170G 2016/02 97000km] 朝外気温５度以下でエンジンを始動すると、メーターのインフォメーションディスプレイにオートマチックハイビームカメラ異常、レーダーブレーキシステム異常、トヨタセーフティセンス故障が順番に表示され、レーダーブレーキの警告灯が橙色で点滅する。暖機中に目の前を車や人が通過したタイミングでエラーが出る。走行中に表示されるも、再始動でしばらく消える。３０分程度走行し車内が暖まると一切でない。【ＡＳＶ検索対象】
[2024-04-15 DBA-NSP170G 2018/03 64400km] ２日間、車を置いていたところ、バッテリーが上がっていた。販売店で確認した結果、スパイラルケーブル不良で何らかの信号のやり取りが正しく行われず、電気を使い続けてしまった模様、と診断された。
[2019-05-07 DAA-NHP170G 2016/05 20000km] 初回車検時の点検で、補機バッテリーが劣化していると診断された。</t>
        </is>
      </c>
    </row>
    <row r="277">
      <c r="A277" s="8" t="inlineStr">
        <is>
          <t>シエンタ</t>
        </is>
      </c>
      <c r="B277" s="8" t="inlineStr">
        <is>
          <t>170系</t>
        </is>
      </c>
      <c r="C277" s="8" t="inlineStr">
        <is>
          <t>排ｶﾞｽ･騒音</t>
        </is>
      </c>
      <c r="D277" s="11" t="n">
        <v>2</v>
      </c>
      <c r="E277" s="9" t="n">
        <v>2.3</v>
      </c>
      <c r="F277" s="11" t="n">
        <v>48000</v>
      </c>
      <c r="G277" s="8" t="n">
        <v>2015</v>
      </c>
      <c r="H277" s="8" t="n">
        <v>2017</v>
      </c>
      <c r="I277" s="14" t="inlineStr">
        <is>
          <t>DBA-NSP10G, DBA-NSP170G</t>
        </is>
      </c>
      <c r="J277" s="14" t="inlineStr">
        <is>
          <t>[2021-11-11 DBA-NSP170G 2015/09 48000km] アクセルペダルを軽く踏んだ状態で低速で走行した状態で、１、０００回転をちょっと超えたぐらいでマフラー付近と思われる個所からポーと音がする。
[2020-02-16 DBA-NSP10G 2017/02 ?km] アクセルペダルを踏んで、３０～４０ｋｍ／ｈ台で走っていると、ボーッという音がしてアクセルペダルを通じて振動が伝わってくる。</t>
        </is>
      </c>
    </row>
    <row r="278">
      <c r="A278" s="13" t="inlineStr">
        <is>
          <t>シエンタ</t>
        </is>
      </c>
      <c r="B278" s="13" t="inlineStr">
        <is>
          <t>170系</t>
        </is>
      </c>
      <c r="C278" s="13" t="inlineStr">
        <is>
          <t>かじ取り</t>
        </is>
      </c>
      <c r="D278" s="15" t="n">
        <v>1</v>
      </c>
      <c r="E278" s="17" t="n">
        <v>1.1</v>
      </c>
      <c r="F278" s="15" t="n">
        <v>29800</v>
      </c>
      <c r="G278" s="13" t="n">
        <v>2016</v>
      </c>
      <c r="H278" s="13" t="n">
        <v>2016</v>
      </c>
      <c r="I278" s="14" t="inlineStr">
        <is>
          <t>DAA-NHP170G</t>
        </is>
      </c>
      <c r="J278" s="14" t="inlineStr">
        <is>
          <t>[2019-07-13 DAA-NHP170G 2016/10 29800km] 朝一番にハンドルを一杯に切るとビビり音が出る。</t>
        </is>
      </c>
    </row>
    <row r="279">
      <c r="A279" s="8" t="inlineStr">
        <is>
          <t>シエンタ</t>
        </is>
      </c>
      <c r="B279" s="8" t="inlineStr">
        <is>
          <t>170系</t>
        </is>
      </c>
      <c r="C279" s="8" t="inlineStr">
        <is>
          <t>動力伝達</t>
        </is>
      </c>
      <c r="D279" s="11" t="n">
        <v>1</v>
      </c>
      <c r="E279" s="9" t="n">
        <v>1.1</v>
      </c>
      <c r="F279" s="11" t="n"/>
      <c r="G279" s="8" t="n">
        <v>2016</v>
      </c>
      <c r="H279" s="8" t="n">
        <v>2016</v>
      </c>
      <c r="I279" s="14" t="inlineStr">
        <is>
          <t>DBA-NSP170G</t>
        </is>
      </c>
      <c r="J279" s="14" t="inlineStr">
        <is>
          <t>[2019-04-25 DBA-NSP170G 2016/11 ?km] アクセルペダルを踏んでもエンジン回転数上がらず、加速しない。</t>
        </is>
      </c>
    </row>
    <row r="280">
      <c r="A280" s="13" t="inlineStr">
        <is>
          <t>シエンタ</t>
        </is>
      </c>
      <c r="B280" s="13" t="inlineStr">
        <is>
          <t>170系</t>
        </is>
      </c>
      <c r="C280" s="13" t="inlineStr">
        <is>
          <t>燃料装置</t>
        </is>
      </c>
      <c r="D280" s="15" t="n">
        <v>1</v>
      </c>
      <c r="E280" s="17" t="n">
        <v>1.1</v>
      </c>
      <c r="F280" s="15" t="n">
        <v>56200</v>
      </c>
      <c r="G280" s="13" t="n">
        <v>2017</v>
      </c>
      <c r="H280" s="13" t="n">
        <v>2017</v>
      </c>
      <c r="I280" s="14" t="inlineStr">
        <is>
          <t>DBA-NSP170G</t>
        </is>
      </c>
      <c r="J280" s="14" t="inlineStr">
        <is>
          <t>[2024-05-13 DBA-NSP170G 2017/03 56200km] 車庫が燃料くさいので、車両を確認したところ、車台下部に燃料が垂れていた。ディーラーに搬送して確認したところ、燃料タンクからの漏れであるが外傷はなく原因は不明と告げられた。</t>
        </is>
      </c>
    </row>
    <row r="281">
      <c r="A281" s="8" t="inlineStr">
        <is>
          <t>シエンタ</t>
        </is>
      </c>
      <c r="B281" s="8" t="inlineStr">
        <is>
          <t>170系</t>
        </is>
      </c>
      <c r="C281" s="8" t="inlineStr">
        <is>
          <t>走行装置</t>
        </is>
      </c>
      <c r="D281" s="11" t="n">
        <v>1</v>
      </c>
      <c r="E281" s="9" t="n">
        <v>1.1</v>
      </c>
      <c r="F281" s="11" t="n"/>
      <c r="G281" s="8" t="n">
        <v>2021</v>
      </c>
      <c r="H281" s="8" t="n">
        <v>2021</v>
      </c>
      <c r="I281" s="14" t="inlineStr">
        <is>
          <t>5BA-NSP170G</t>
        </is>
      </c>
      <c r="J281" s="14" t="inlineStr">
        <is>
          <t>[2021-11-05 5BA-NSP170G 2021/09 ?km] 新車購入直後、フロントスタビライザーのサイドリンケージ、リヤサスペンションの付け根などが錆びているのを発見した。</t>
        </is>
      </c>
    </row>
    <row r="282">
      <c r="A282" s="13" t="inlineStr">
        <is>
          <t>シエンタ</t>
        </is>
      </c>
      <c r="B282" s="13" t="inlineStr">
        <is>
          <t>170系</t>
        </is>
      </c>
      <c r="C282" s="13" t="inlineStr">
        <is>
          <t>電動機(モーター)</t>
        </is>
      </c>
      <c r="D282" s="15" t="n">
        <v>1</v>
      </c>
      <c r="E282" s="17" t="n">
        <v>1.1</v>
      </c>
      <c r="F282" s="15" t="n">
        <v>1000</v>
      </c>
      <c r="G282" s="13" t="n">
        <v>2021</v>
      </c>
      <c r="H282" s="13" t="n">
        <v>2021</v>
      </c>
      <c r="I282" s="14" t="inlineStr">
        <is>
          <t>6AA-NHP170G</t>
        </is>
      </c>
      <c r="J282" s="14" t="inlineStr">
        <is>
          <t>[2021-04-29 6AA-NHP170G 2021/02 1000km] インバーター不良により、ハイブリッドシステム故障エラー警告が表示された。</t>
        </is>
      </c>
    </row>
    <row r="283">
      <c r="A283" s="8" t="inlineStr">
        <is>
          <t>シエンタ</t>
        </is>
      </c>
      <c r="B283" s="8" t="inlineStr">
        <is>
          <t>10系</t>
        </is>
      </c>
      <c r="C283" s="8" t="inlineStr">
        <is>
          <t>車枠・車体</t>
        </is>
      </c>
      <c r="D283" s="11" t="n">
        <v>7</v>
      </c>
      <c r="E283" s="9" t="n">
        <v>24.1</v>
      </c>
      <c r="F283" s="11" t="n">
        <v>13000</v>
      </c>
      <c r="G283" s="8" t="n">
        <v>2022</v>
      </c>
      <c r="H283" s="8" t="n">
        <v>2025</v>
      </c>
      <c r="I283" s="14" t="inlineStr">
        <is>
          <t>5BA-MXPC12G, 6AA-MXPL10G, 6AA-MXPL15G</t>
        </is>
      </c>
      <c r="J283" s="14" t="inlineStr">
        <is>
          <t>[2026-05-18 6AA-MXPL10G 2025/01 ?km] 段差、わだち等を走行した際に、左後方からポコポコと異音が出る。販売店からフレームのゆがみなのではないかと診断されており、直す場合、「シーリング」か「スポット溶接増しをする」等になると説明が有った。
[2025-11-21 6AA-MXPL15G 2025/09 ?km] 純正フロアマットを使用しているが、助手席マットがすぐにずれる。
[2025-10-20 5BA-MXPC12G 2025/03 ?km] 購入からわずか半年でショートスロープに錆が発生した。</t>
        </is>
      </c>
    </row>
    <row r="284">
      <c r="A284" s="13" t="inlineStr">
        <is>
          <t>シエンタ</t>
        </is>
      </c>
      <c r="B284" s="13" t="inlineStr">
        <is>
          <t>10系</t>
        </is>
      </c>
      <c r="C284" s="13" t="inlineStr">
        <is>
          <t>その他</t>
        </is>
      </c>
      <c r="D284" s="15" t="n">
        <v>4</v>
      </c>
      <c r="E284" s="17" t="n">
        <v>13.8</v>
      </c>
      <c r="F284" s="15" t="n">
        <v>7000</v>
      </c>
      <c r="G284" s="13" t="n">
        <v>2023</v>
      </c>
      <c r="H284" s="13" t="n">
        <v>2026</v>
      </c>
      <c r="I284" s="14" t="inlineStr">
        <is>
          <t>6AA-MXPL10G, 6AA-MXPL15G</t>
        </is>
      </c>
      <c r="J284" s="14" t="inlineStr">
        <is>
          <t>[2026-06-09 6AA-MXPL10G 2026/04 ?km] 冷房が効かず、コンプレッサーから異音が出ていた。販売店で確認した結果、エアコンガスが過剰に入っていたとのことで調整された。
[2024-04-17 6AA-MXPL15G 2023/10 7000km] ６ヶ月点検でオイル漏れが発見された。
[2024-01-31 6AA-MXPL15G 2023/11 ?km] 傾斜地に駐車をすると燃料の残量が約半分であるところ、満タン表示になる。その後、平坦部で再始動しても戻らず、実際の残量より多く表示され続ける。</t>
        </is>
      </c>
    </row>
    <row r="285">
      <c r="A285" s="8" t="inlineStr">
        <is>
          <t>シエンタ</t>
        </is>
      </c>
      <c r="B285" s="8" t="inlineStr">
        <is>
          <t>10系</t>
        </is>
      </c>
      <c r="C285" s="8" t="inlineStr">
        <is>
          <t>保安灯火</t>
        </is>
      </c>
      <c r="D285" s="11" t="n">
        <v>4</v>
      </c>
      <c r="E285" s="9" t="n">
        <v>13.8</v>
      </c>
      <c r="F285" s="11" t="n"/>
      <c r="G285" s="8" t="n">
        <v>2022</v>
      </c>
      <c r="H285" s="8" t="n">
        <v>2023</v>
      </c>
      <c r="I285" s="14" t="inlineStr">
        <is>
          <t>5BA-MXPC10G, 6AA-MXPL10G, 6AA-MXPL15G</t>
        </is>
      </c>
      <c r="J285" s="14" t="inlineStr">
        <is>
          <t>[2025-04-08 6AA-MXPL10G 2023/06 ?km] 走行中にドアミラーが内側に曲がってくる。
[2024-11-14 5BA-MXPC10G 2022/11 ?km] 雨の日にワイパーを動かすと、フロントガラスとの異常な接触音がする。フロントガラスを布で拭いて綺麗にしても解消されない。
[2024-04-12 6AA-MXPL10G 2023/11 ?km] ドアミラーが段差を通過するときに震える。</t>
        </is>
      </c>
    </row>
    <row r="286">
      <c r="A286" s="13" t="inlineStr">
        <is>
          <t>シエンタ</t>
        </is>
      </c>
      <c r="B286" s="13" t="inlineStr">
        <is>
          <t>10系</t>
        </is>
      </c>
      <c r="C286" s="13" t="inlineStr">
        <is>
          <t>エンジン</t>
        </is>
      </c>
      <c r="D286" s="15" t="n">
        <v>3</v>
      </c>
      <c r="E286" s="17" t="n">
        <v>10.3</v>
      </c>
      <c r="F286" s="15" t="n"/>
      <c r="G286" s="13" t="n">
        <v>2022</v>
      </c>
      <c r="H286" s="13" t="n">
        <v>2024</v>
      </c>
      <c r="I286" s="14" t="inlineStr">
        <is>
          <t>6AA-MXPL10G</t>
        </is>
      </c>
      <c r="J286" s="14" t="inlineStr">
        <is>
          <t>[2024-04-18 6AA-MXPL10G 2024/04 ?km] 始動時、エンジンが音を立てて暴れる。
[2024-01-31 6AA-MXPL10G 2023/10 ?km] 走行中に何の前触れもなく車が緊急停止した。エンジンボタンを間髪入れず操作したがエンジンはかからず、ナビ画面には「販売店に連絡」との表示が出ていた。後日、ディーラーで確認した結果、車搭載のＣＰＵには緊急停止した痕跡が履歴としてないとの説明があった。【ＡＳＶ検索対象】
[2023-10-26 6AA-MXPL10G 2022/11 ?km] レジの上に６０インチぐらいのディスプレイがついているコンビニの駐車場に止めているとイモビライザーが正しく動作せずパワーボタン押してもエンジンが始動しない。パワーボタンに鍵を載せるとスタートする。</t>
        </is>
      </c>
    </row>
    <row r="287">
      <c r="A287" s="8" t="inlineStr">
        <is>
          <t>シエンタ</t>
        </is>
      </c>
      <c r="B287" s="8" t="inlineStr">
        <is>
          <t>10系</t>
        </is>
      </c>
      <c r="C287" s="8" t="inlineStr">
        <is>
          <t>乗車装置</t>
        </is>
      </c>
      <c r="D287" s="11" t="n">
        <v>2</v>
      </c>
      <c r="E287" s="9" t="n">
        <v>6.9</v>
      </c>
      <c r="F287" s="11" t="n"/>
      <c r="G287" s="8" t="n">
        <v>2022</v>
      </c>
      <c r="H287" s="8" t="n">
        <v>2023</v>
      </c>
      <c r="I287" s="14" t="inlineStr">
        <is>
          <t>6AA-MXPL10G</t>
        </is>
      </c>
      <c r="J287" s="14" t="inlineStr">
        <is>
          <t>[2024-07-30 6AA-MXPL10G 2023/09 ?km] 車を使用中に突然エアバッグの警告が出る。
[2023-10-26 6AA-MXPL10G 2022/11 ?km] レジの上に６０インチぐらいのディスプレイがついているコンビニの駐車場ではスマートエントリーが使えない。</t>
        </is>
      </c>
    </row>
    <row r="288">
      <c r="A288" s="13" t="inlineStr">
        <is>
          <t>シエンタ</t>
        </is>
      </c>
      <c r="B288" s="13" t="inlineStr">
        <is>
          <t>10系</t>
        </is>
      </c>
      <c r="C288" s="13" t="inlineStr">
        <is>
          <t>電気装置</t>
        </is>
      </c>
      <c r="D288" s="15" t="n">
        <v>2</v>
      </c>
      <c r="E288" s="17" t="n">
        <v>6.9</v>
      </c>
      <c r="F288" s="15" t="n"/>
      <c r="G288" s="13" t="n">
        <v>2023</v>
      </c>
      <c r="H288" s="13" t="n">
        <v>2023</v>
      </c>
      <c r="I288" s="14" t="inlineStr">
        <is>
          <t>6AA-MXPL10G, 6AA-MXPL15G</t>
        </is>
      </c>
      <c r="J288" s="14" t="inlineStr">
        <is>
          <t>[2026-03-02 6AA-MXPL10G 2023/11 ?km] 補機バッテリーから液漏れした。
[2024-04-03 6AA-MXPL15G 2023/10 ?km] 納車からこれまでにバッテリーが４回上がっている。</t>
        </is>
      </c>
    </row>
    <row r="289">
      <c r="A289" s="8" t="inlineStr">
        <is>
          <t>シエンタ</t>
        </is>
      </c>
      <c r="B289" s="8" t="inlineStr">
        <is>
          <t>10系</t>
        </is>
      </c>
      <c r="C289" s="8" t="inlineStr">
        <is>
          <t>非装置</t>
        </is>
      </c>
      <c r="D289" s="11" t="n">
        <v>2</v>
      </c>
      <c r="E289" s="9" t="n">
        <v>6.9</v>
      </c>
      <c r="F289" s="11" t="n"/>
      <c r="G289" s="8" t="n">
        <v>2022</v>
      </c>
      <c r="H289" s="8" t="n">
        <v>2023</v>
      </c>
      <c r="I289" s="14" t="inlineStr">
        <is>
          <t>6AA-MXPL10G</t>
        </is>
      </c>
      <c r="J289" s="14" t="inlineStr">
        <is>
          <t>[2026-04-25 6AA-MXPL10G 2022/09 ?km] 事故歴のある中古車を購入したところ、納車直後にクラクションが鳴らない。前方レーダーにおいてメーターパネルに「レーザーレーダーセンサーの汚れ」のエラーメッセージが表示され機能しない。ドライブレコーダーが通常走行中の軽微な振動に対してもイベント感知するため常時録画状態になっている。の３種の不具合があることが発覚した。
[2025-07-18 6AA-MXPL10G 2023/11 ?km] スーパーの駐車場内で左に曲がろうとした場面で、突然車がうなりだし、ハンドルも動かない状態で柱等に突進してしまい、大きく破損した。</t>
        </is>
      </c>
    </row>
    <row r="290">
      <c r="A290" s="13" t="inlineStr">
        <is>
          <t>シエンタ</t>
        </is>
      </c>
      <c r="B290" s="13" t="inlineStr">
        <is>
          <t>10系</t>
        </is>
      </c>
      <c r="C290" s="13" t="inlineStr">
        <is>
          <t>かじ取り</t>
        </is>
      </c>
      <c r="D290" s="15" t="n">
        <v>1</v>
      </c>
      <c r="E290" s="17" t="n">
        <v>3.4</v>
      </c>
      <c r="F290" s="15" t="n"/>
      <c r="G290" s="13" t="n">
        <v>2022</v>
      </c>
      <c r="H290" s="13" t="n">
        <v>2022</v>
      </c>
      <c r="I290" s="14" t="inlineStr">
        <is>
          <t>6AA-MXPL10G</t>
        </is>
      </c>
      <c r="J290" s="14" t="inlineStr">
        <is>
          <t>[2025-11-21 6AA-MXPL10G 2022/11 ?km] ３年間使用してきたが、これまでに４回ＬＫＡが起動しなかったことがある。【ＡＳＶ検索対象】</t>
        </is>
      </c>
    </row>
    <row r="291">
      <c r="A291" s="8" t="inlineStr">
        <is>
          <t>シエンタ</t>
        </is>
      </c>
      <c r="B291" s="8" t="inlineStr">
        <is>
          <t>10系</t>
        </is>
      </c>
      <c r="C291" s="8" t="inlineStr">
        <is>
          <t>制動装置</t>
        </is>
      </c>
      <c r="D291" s="11" t="n">
        <v>1</v>
      </c>
      <c r="E291" s="9" t="n">
        <v>3.4</v>
      </c>
      <c r="F291" s="11" t="n"/>
      <c r="G291" s="8" t="n">
        <v>2023</v>
      </c>
      <c r="H291" s="8" t="n">
        <v>2023</v>
      </c>
      <c r="I291" s="14" t="inlineStr">
        <is>
          <t>6AA-MXPL15G</t>
        </is>
      </c>
      <c r="J291" s="14" t="inlineStr">
        <is>
          <t>[2024-04-03 6AA-MXPL15G 2023/10 ?km] 納車直後、ブレーキペダルのゴムパッドが取れていた。</t>
        </is>
      </c>
    </row>
    <row r="292">
      <c r="A292" s="13" t="inlineStr">
        <is>
          <t>シエンタ</t>
        </is>
      </c>
      <c r="B292" s="13" t="inlineStr">
        <is>
          <t>10系</t>
        </is>
      </c>
      <c r="C292" s="13" t="inlineStr">
        <is>
          <t>動力伝達</t>
        </is>
      </c>
      <c r="D292" s="15" t="n">
        <v>1</v>
      </c>
      <c r="E292" s="17" t="n">
        <v>3.4</v>
      </c>
      <c r="F292" s="15" t="n">
        <v>110</v>
      </c>
      <c r="G292" s="13" t="n">
        <v>2022</v>
      </c>
      <c r="H292" s="13" t="n">
        <v>2022</v>
      </c>
      <c r="I292" s="14" t="inlineStr">
        <is>
          <t>6AA-MXPL10G</t>
        </is>
      </c>
      <c r="J292" s="14" t="inlineStr">
        <is>
          <t>[2023-04-17 6AA-MXPL10G 2022/11 110km] エンジンが自動的に再始動するタイミングで、リバースへのシフト操作をするとエンジンルーム付近から極めて大きな異音が発生した。</t>
        </is>
      </c>
    </row>
    <row r="293">
      <c r="A293" s="8" t="inlineStr">
        <is>
          <t>シエンタ</t>
        </is>
      </c>
      <c r="B293" s="8" t="inlineStr">
        <is>
          <t>10系</t>
        </is>
      </c>
      <c r="C293" s="8" t="inlineStr">
        <is>
          <t>排ｶﾞｽ･騒音</t>
        </is>
      </c>
      <c r="D293" s="11" t="n">
        <v>1</v>
      </c>
      <c r="E293" s="9" t="n">
        <v>3.4</v>
      </c>
      <c r="F293" s="11" t="n"/>
      <c r="G293" s="8" t="n">
        <v>2024</v>
      </c>
      <c r="H293" s="8" t="n">
        <v>2024</v>
      </c>
      <c r="I293" s="14" t="inlineStr">
        <is>
          <t>5BA-MXPC10G</t>
        </is>
      </c>
      <c r="J293" s="14" t="inlineStr">
        <is>
          <t>[2025-04-18 5BA-MXPC10G 2024/02 ?km] 積雪が少なく、塩カルなどの影響は少ないとみられる地域での使用であるにもかかわらず、後部の消音器を吊っている部分周りなど、そこかしこに錆が発生した。</t>
        </is>
      </c>
    </row>
    <row r="294">
      <c r="A294" s="13" t="inlineStr">
        <is>
          <t>シエンタ</t>
        </is>
      </c>
      <c r="B294" s="13" t="inlineStr">
        <is>
          <t>10系</t>
        </is>
      </c>
      <c r="C294" s="13" t="inlineStr">
        <is>
          <t>電動機(モーター)</t>
        </is>
      </c>
      <c r="D294" s="15" t="n">
        <v>1</v>
      </c>
      <c r="E294" s="17" t="n">
        <v>3.4</v>
      </c>
      <c r="F294" s="15" t="n">
        <v>40000</v>
      </c>
      <c r="G294" s="13" t="n">
        <v>2023</v>
      </c>
      <c r="H294" s="13" t="n">
        <v>2023</v>
      </c>
      <c r="I294" s="14" t="inlineStr">
        <is>
          <t>6AA-MXPL10G</t>
        </is>
      </c>
      <c r="J294" s="14" t="inlineStr">
        <is>
          <t>[2024-12-05 6AA-MXPL10G 2023/01 40000km] 突然ＲＥＡＤＹ ＯＮできなくなった。ディーラーへレッカー搬送して確認したところ、メインバッテリーに関わる部品に問題があると診断された。</t>
        </is>
      </c>
    </row>
    <row r="295">
      <c r="A295" s="8" t="inlineStr">
        <is>
          <t>シエンタ</t>
        </is>
      </c>
      <c r="B295" s="8" t="inlineStr">
        <is>
          <t>不明</t>
        </is>
      </c>
      <c r="C295" s="8" t="inlineStr">
        <is>
          <t>エンジン</t>
        </is>
      </c>
      <c r="D295" s="11" t="n">
        <v>16</v>
      </c>
      <c r="E295" s="9" t="n">
        <v>55.2</v>
      </c>
      <c r="F295" s="11" t="n">
        <v>59500</v>
      </c>
      <c r="G295" s="8" t="n">
        <v>1993</v>
      </c>
      <c r="H295" s="8" t="n">
        <v>2003</v>
      </c>
      <c r="I295" s="14" t="inlineStr">
        <is>
          <t>DBA-NCP81G, DBA-NSP170G, NCP81G, UA-NCP81G</t>
        </is>
      </c>
      <c r="J295" s="14" t="inlineStr">
        <is>
          <t>[2017-08-08 DBA-NSP170G  ?km] 停車から発進の際にアクセルペダルを踏んでも時速５ｋｍ／ｈぐらいで５秒間程度進み、エンジン回転数も上がらない。その後加速し出すが、回転数が５０００回転まで吹けあがりながら加速する。
[2017-07-17 DBA-NSP170G  ?km] アクセルペダルを踏んでもエンジンの回転数だけあがり、発進しない。
[2017-06-18 DBA-NSP170G  ?km] 発進時にアクセルペダルを踏んでも反応しなかったり、エンジンの回転数が上がるのに車が進まない。</t>
        </is>
      </c>
    </row>
    <row r="296">
      <c r="A296" s="13" t="inlineStr">
        <is>
          <t>シエンタ</t>
        </is>
      </c>
      <c r="B296" s="13" t="inlineStr">
        <is>
          <t>不明</t>
        </is>
      </c>
      <c r="C296" s="13" t="inlineStr">
        <is>
          <t>制動装置</t>
        </is>
      </c>
      <c r="D296" s="15" t="n">
        <v>4</v>
      </c>
      <c r="E296" s="17" t="n">
        <v>13.8</v>
      </c>
      <c r="F296" s="15" t="n">
        <v>18082</v>
      </c>
      <c r="G296" s="13" t="n"/>
      <c r="H296" s="13" t="n"/>
      <c r="I296" s="14" t="inlineStr">
        <is>
          <t>6AA-NHP170G, DAA-NHP170G, DBA-NCP81G</t>
        </is>
      </c>
      <c r="J296" s="14" t="inlineStr">
        <is>
          <t>[2026-03-03 DAA-NHP170G  ?km] 高速道路のサービスエリアに入るところの下り坂でブレーキを掛けたところ、ＡＢＳが作動してブレーキ力が抜けた状態になったため、前車に衝突した。
[2023-12-13 6AA-NHP170G  ?km] ブレーキの全ての警告灯が点灯し、警告のブザーが鳴り、ブレーキが効かなくなる。
[2017-09-13 DBA-NCP81G  18082km] 下り坂を走行中に突然ブレーキペダルの踏み応えが固くなり、踏み込めなくなるとともにブレーキ故障マークが点灯した。</t>
        </is>
      </c>
    </row>
    <row r="297">
      <c r="A297" s="8" t="inlineStr">
        <is>
          <t>シエンタ</t>
        </is>
      </c>
      <c r="B297" s="8" t="inlineStr">
        <is>
          <t>不明</t>
        </is>
      </c>
      <c r="C297" s="8" t="inlineStr">
        <is>
          <t>乗車装置</t>
        </is>
      </c>
      <c r="D297" s="11" t="n">
        <v>2</v>
      </c>
      <c r="E297" s="9" t="n">
        <v>6.9</v>
      </c>
      <c r="F297" s="11" t="n">
        <v>126400</v>
      </c>
      <c r="G297" s="8" t="n">
        <v>2000</v>
      </c>
      <c r="H297" s="8" t="n">
        <v>2000</v>
      </c>
      <c r="I297" s="14" t="inlineStr">
        <is>
          <t>DBA-NSP170G, UA-NCP81G</t>
        </is>
      </c>
      <c r="J297" s="14" t="inlineStr">
        <is>
          <t>[2021-03-25 DBA-NSP170G  ?km] スライドドアの作動が不安定で、開けたいときに開かない、不要な時に勝手に開く症状が散発する。
[2016-09-06 UA-NCP81G 2000/03 126400km] 出発時、セカンドシート左側の背もたれがロックしなくなり、調整できなくなった。</t>
        </is>
      </c>
    </row>
    <row r="298">
      <c r="A298" s="13" t="inlineStr">
        <is>
          <t>シエンタ</t>
        </is>
      </c>
      <c r="B298" s="13" t="inlineStr">
        <is>
          <t>不明</t>
        </is>
      </c>
      <c r="C298" s="13" t="inlineStr">
        <is>
          <t>車枠・車体</t>
        </is>
      </c>
      <c r="D298" s="15" t="n">
        <v>2</v>
      </c>
      <c r="E298" s="17" t="n">
        <v>6.9</v>
      </c>
      <c r="F298" s="15" t="n"/>
      <c r="G298" s="13" t="n"/>
      <c r="H298" s="13" t="n"/>
      <c r="I298" s="14" t="inlineStr">
        <is>
          <t>DBA-NCP175G</t>
        </is>
      </c>
      <c r="J298" s="14" t="inlineStr">
        <is>
          <t>[2020-04-03 DBA-NCP175G  ?km] カウルルーバーの防水不良により、エンジンルームに雨水が浸入し、オルタネーターや補機ベルトに滴下してベルト鳴きが発生する。
[2011-11-04   ?km] タイヤとホイールハウスのクリアランスが少ないためか、前輪に装着できるゴムチェーンを見つけられなかった。</t>
        </is>
      </c>
    </row>
    <row r="299">
      <c r="A299" s="8" t="inlineStr">
        <is>
          <t>シエンタ</t>
        </is>
      </c>
      <c r="B299" s="8" t="inlineStr">
        <is>
          <t>不明</t>
        </is>
      </c>
      <c r="C299" s="8" t="inlineStr">
        <is>
          <t>かじ取り</t>
        </is>
      </c>
      <c r="D299" s="11" t="n">
        <v>1</v>
      </c>
      <c r="E299" s="9" t="n">
        <v>3.4</v>
      </c>
      <c r="F299" s="11" t="n">
        <v>62000</v>
      </c>
      <c r="G299" s="8" t="n"/>
      <c r="H299" s="8" t="n"/>
      <c r="I299" s="14" t="inlineStr">
        <is>
          <t>DBA-NCP81G</t>
        </is>
      </c>
      <c r="J299" s="14" t="inlineStr">
        <is>
          <t>[2016-02-17 DBA-NCP81G  62000km] 駐車場で車を移動中、パワーステアリングの警告灯が点灯し、ハンドル操作が困難になった。</t>
        </is>
      </c>
    </row>
    <row r="300">
      <c r="A300" s="13" t="inlineStr">
        <is>
          <t>シエンタ</t>
        </is>
      </c>
      <c r="B300" s="13" t="inlineStr">
        <is>
          <t>不明</t>
        </is>
      </c>
      <c r="C300" s="13" t="inlineStr">
        <is>
          <t>その他</t>
        </is>
      </c>
      <c r="D300" s="15" t="n">
        <v>1</v>
      </c>
      <c r="E300" s="17" t="n">
        <v>3.4</v>
      </c>
      <c r="F300" s="15" t="n"/>
      <c r="G300" s="13" t="n"/>
      <c r="H300" s="13" t="n"/>
      <c r="I300" s="14" t="inlineStr">
        <is>
          <t>6AA-MXPL15G</t>
        </is>
      </c>
      <c r="J300" s="14" t="inlineStr">
        <is>
          <t>[2024-01-25 6AA-MXPL15G  ?km] 燃料計が２メモリ減った状態で駐車したのに、翌日燃料系を見たところ、満タン表示になっていた。ディーラーで診断を受けたところ、自宅駐車場の傾斜の影響と言われた。</t>
        </is>
      </c>
    </row>
    <row r="301">
      <c r="A301" s="8" t="inlineStr">
        <is>
          <t>シエンタ</t>
        </is>
      </c>
      <c r="B301" s="8" t="inlineStr">
        <is>
          <t>不明</t>
        </is>
      </c>
      <c r="C301" s="8" t="inlineStr">
        <is>
          <t>保安灯火</t>
        </is>
      </c>
      <c r="D301" s="11" t="n">
        <v>1</v>
      </c>
      <c r="E301" s="9" t="n">
        <v>3.4</v>
      </c>
      <c r="F301" s="11" t="n"/>
      <c r="G301" s="8" t="n"/>
      <c r="H301" s="8" t="n"/>
      <c r="I301" s="14" t="inlineStr">
        <is>
          <t>NHP170G</t>
        </is>
      </c>
      <c r="J301" s="14" t="inlineStr">
        <is>
          <t>[2016-11-25 NHP170G  ?km] バックドアのガラス面とハイマウントストップランプのカバーとの隙間から光が漏れ、室内が赤く照らされる。</t>
        </is>
      </c>
    </row>
    <row r="302">
      <c r="A302" s="13" t="inlineStr">
        <is>
          <t>シエンタ</t>
        </is>
      </c>
      <c r="B302" s="13" t="inlineStr">
        <is>
          <t>不明</t>
        </is>
      </c>
      <c r="C302" s="13" t="inlineStr">
        <is>
          <t>動力伝達</t>
        </is>
      </c>
      <c r="D302" s="15" t="n">
        <v>1</v>
      </c>
      <c r="E302" s="17" t="n">
        <v>3.4</v>
      </c>
      <c r="F302" s="15" t="n">
        <v>11000</v>
      </c>
      <c r="G302" s="13" t="n"/>
      <c r="H302" s="13" t="n"/>
      <c r="I302" s="14" t="inlineStr">
        <is>
          <t>DBA-NCP81G</t>
        </is>
      </c>
      <c r="J302" s="14" t="inlineStr">
        <is>
          <t>[2008-08-12 DBA-NCP81G  11000km] 自動変速機の故障により、シフトをＲにしても前進した。</t>
        </is>
      </c>
    </row>
    <row r="303">
      <c r="A303" s="8" t="inlineStr">
        <is>
          <t>シエンタ</t>
        </is>
      </c>
      <c r="B303" s="8" t="inlineStr">
        <is>
          <t>不明</t>
        </is>
      </c>
      <c r="C303" s="8" t="inlineStr">
        <is>
          <t>燃料装置</t>
        </is>
      </c>
      <c r="D303" s="11" t="n">
        <v>1</v>
      </c>
      <c r="E303" s="9" t="n">
        <v>3.4</v>
      </c>
      <c r="F303" s="11" t="n"/>
      <c r="G303" s="8" t="n"/>
      <c r="H303" s="8" t="n"/>
      <c r="I303" s="14" t="inlineStr">
        <is>
          <t>6AA-MXPL10G</t>
        </is>
      </c>
      <c r="J303" s="14" t="inlineStr">
        <is>
          <t>[2024-10-15 6AA-MXPL10G  ?km] 給油しようとすると、空気の抜けが悪く給油機の自動停止が作動してしまう。また、吹き返しが酷く、自動停止後に燃料が噴き出す。</t>
        </is>
      </c>
    </row>
    <row r="304">
      <c r="A304" s="13" t="inlineStr">
        <is>
          <t>エスティマ</t>
        </is>
      </c>
      <c r="B304" s="13" t="inlineStr">
        <is>
          <t>（車種全体）</t>
        </is>
      </c>
      <c r="C304" s="13" t="inlineStr">
        <is>
          <t>エンジン</t>
        </is>
      </c>
      <c r="D304" s="15" t="n">
        <v>167</v>
      </c>
      <c r="E304" s="17" t="n">
        <v>27.8</v>
      </c>
      <c r="F304" s="15" t="n">
        <v>70000</v>
      </c>
      <c r="G304" s="13" t="n">
        <v>1995</v>
      </c>
      <c r="H304" s="13" t="n">
        <v>2016</v>
      </c>
      <c r="I304" s="14" t="inlineStr">
        <is>
          <t>ACR30W, ACR50, ACR50W, CAA-AHR10W, DAA-AHR20W, DBA-ACR30W, DBA-ACR50, DBA-ACR50W, DBA-ACR50W-GRXSK, DBA-ACR55W, DBA-ACW50W, DBA-GSR50W, DBA-GSR55W, E-TCR20G, GF-TCR10W, GF-TCR20W, GH-ACR30W, GH-ACR40W, GH-MCR30W, TA-ACR30, TA-ACR30W, TA-ACR40W, TA-MCR30W, TA-MCR40W, TCR-21W, UA-ACR30W, ZA-AHR10W, 不明</t>
        </is>
      </c>
      <c r="J304"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05">
      <c r="A305" s="8" t="inlineStr">
        <is>
          <t>エスティマ</t>
        </is>
      </c>
      <c r="B305" s="8" t="inlineStr">
        <is>
          <t>（車種全体）</t>
        </is>
      </c>
      <c r="C305" s="8" t="inlineStr">
        <is>
          <t>制動装置</t>
        </is>
      </c>
      <c r="D305" s="11" t="n">
        <v>68</v>
      </c>
      <c r="E305" s="9" t="n">
        <v>11.3</v>
      </c>
      <c r="F305" s="11" t="n">
        <v>111600</v>
      </c>
      <c r="G305" s="8" t="n">
        <v>1995</v>
      </c>
      <c r="H305" s="8" t="n">
        <v>2013</v>
      </c>
      <c r="I305" s="14" t="inlineStr">
        <is>
          <t>CAA-AHR10W, DAA-AHR20, DAA-AHR20W, DBA-ACR30W, DBA-ACR40W, DBA-ACR50W, DBA-ACR55W, DBA-GSR50W, DBA-GSR55W, E-TCR20G, GH-ACR40W, GSR55W, KD-CXR20G, TA-ACR30W, ZA-AHR10W</t>
        </is>
      </c>
      <c r="J305"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06">
      <c r="A306" s="13" t="inlineStr">
        <is>
          <t>エスティマ</t>
        </is>
      </c>
      <c r="B306" s="13" t="inlineStr">
        <is>
          <t>（車種全体）</t>
        </is>
      </c>
      <c r="C306" s="13" t="inlineStr">
        <is>
          <t>かじ取り</t>
        </is>
      </c>
      <c r="D306" s="15" t="n">
        <v>65</v>
      </c>
      <c r="E306" s="17" t="n">
        <v>10.8</v>
      </c>
      <c r="F306" s="15" t="n">
        <v>67000</v>
      </c>
      <c r="G306" s="13" t="n">
        <v>2000</v>
      </c>
      <c r="H306" s="13" t="n">
        <v>2015</v>
      </c>
      <c r="I306" s="14" t="inlineStr">
        <is>
          <t>CAA-AHR10W, DAA-AHR20W, DBA-ACR30W, DBA-ACR50W, DBA-ACR55W, DBA-GSR50W, DBA-GSR55W, DBR-ACR50W, GH-ACR40W, TA-ACR30W, TA-ACR40W, TA-MCR40W, ZA-AHR10W</t>
        </is>
      </c>
      <c r="J306"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07">
      <c r="A307" s="8" t="inlineStr">
        <is>
          <t>エスティマ</t>
        </is>
      </c>
      <c r="B307" s="8" t="inlineStr">
        <is>
          <t>（車種全体）</t>
        </is>
      </c>
      <c r="C307" s="8" t="inlineStr">
        <is>
          <t>動力伝達</t>
        </is>
      </c>
      <c r="D307" s="11" t="n">
        <v>64</v>
      </c>
      <c r="E307" s="9" t="n">
        <v>10.6</v>
      </c>
      <c r="F307" s="11" t="n">
        <v>91000</v>
      </c>
      <c r="G307" s="8" t="n">
        <v>1993</v>
      </c>
      <c r="H307" s="8" t="n">
        <v>2014</v>
      </c>
      <c r="I307" s="14" t="inlineStr">
        <is>
          <t>ACR50, AHR10W, CAA-AHR10W, DAA-AHR20W, DBA-ACR50W, DBA-ACR55W, DBA-GSR50W, DBA-GSR55W, E-TCR21G, KD-CXR20G, TA-ACR40W, TA-MCR40W, UA-ACR30W, ZA-AHR10W</t>
        </is>
      </c>
      <c r="J307"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[2020-06-22 ACR50  120000km] ＣＶＴの不良により、一般道を走行中、突然ギア抜けしてエンジン吹け上がり、走行不能になった。</t>
        </is>
      </c>
    </row>
    <row r="308">
      <c r="A308" s="13" t="inlineStr">
        <is>
          <t>エスティマ</t>
        </is>
      </c>
      <c r="B308" s="13" t="inlineStr">
        <is>
          <t>（車種全体）</t>
        </is>
      </c>
      <c r="C308" s="13" t="inlineStr">
        <is>
          <t>保安灯火</t>
        </is>
      </c>
      <c r="D308" s="15" t="n">
        <v>59</v>
      </c>
      <c r="E308" s="17" t="n">
        <v>9.800000000000001</v>
      </c>
      <c r="F308" s="15" t="n">
        <v>50000</v>
      </c>
      <c r="G308" s="13" t="n">
        <v>1993</v>
      </c>
      <c r="H308" s="13" t="n">
        <v>2017</v>
      </c>
      <c r="I308" s="14" t="inlineStr">
        <is>
          <t>ACR30W, CBA-ACR40W, DAA-AHR20W, DBA-ACR50W, DBA-ACR55W, DBA-ARC50W, DBA-GSR50W, DBA-GSR55W, DCA-ACR55W, GH-ACR30W, GH-MCR40W, TA-ACR30W, TA-MCR30W, TA-MCR40W, Y-CXR20G</t>
        </is>
      </c>
      <c r="J308"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09">
      <c r="A309" s="8" t="inlineStr">
        <is>
          <t>エスティマ</t>
        </is>
      </c>
      <c r="B309" s="8" t="inlineStr">
        <is>
          <t>（車種全体）</t>
        </is>
      </c>
      <c r="C309" s="8" t="inlineStr">
        <is>
          <t>乗車装置</t>
        </is>
      </c>
      <c r="D309" s="11" t="n">
        <v>38</v>
      </c>
      <c r="E309" s="9" t="n">
        <v>6.3</v>
      </c>
      <c r="F309" s="11" t="n">
        <v>41400</v>
      </c>
      <c r="G309" s="8" t="n">
        <v>2000</v>
      </c>
      <c r="H309" s="8" t="n">
        <v>2019</v>
      </c>
      <c r="I309" s="14" t="inlineStr">
        <is>
          <t>CBA-ACR30W, DAA-AHR20W, DBA-ACR50W, DBA-ACR55W, DBA-GSR50W, DBA-GSR55W, E-TCR21W, GH-ACR30W, GH-MCR30W, MCR40W, TA-ACR30W, TA-ACR40W, TA-MCR40W, ZA-AHR10W, 不明</t>
        </is>
      </c>
      <c r="J309" s="14" t="inlineStr">
        <is>
          <t>[2021-07-08 DBA-ACR50W  40000km] 助手席ドアロックが、電子キーで開けられるが、閉められない。
[2019-10-16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t>
        </is>
      </c>
    </row>
    <row r="310">
      <c r="A310" s="13" t="inlineStr">
        <is>
          <t>エスティマ</t>
        </is>
      </c>
      <c r="B310" s="13" t="inlineStr">
        <is>
          <t>（車種全体）</t>
        </is>
      </c>
      <c r="C310" s="13" t="inlineStr">
        <is>
          <t>電動機(モーター)</t>
        </is>
      </c>
      <c r="D310" s="15" t="n">
        <v>37</v>
      </c>
      <c r="E310" s="17" t="n">
        <v>6.2</v>
      </c>
      <c r="F310" s="15" t="n">
        <v>100000</v>
      </c>
      <c r="G310" s="13" t="n">
        <v>2000</v>
      </c>
      <c r="H310" s="13" t="n">
        <v>2016</v>
      </c>
      <c r="I310" s="14" t="inlineStr">
        <is>
          <t>AHR10W, CAA-AHR10W, DAA-AHR20W, ZA-AHR10W</t>
        </is>
      </c>
      <c r="J310"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11">
      <c r="A311" s="8" t="inlineStr">
        <is>
          <t>エスティマ</t>
        </is>
      </c>
      <c r="B311" s="8" t="inlineStr">
        <is>
          <t>（車種全体）</t>
        </is>
      </c>
      <c r="C311" s="8" t="inlineStr">
        <is>
          <t>排ｶﾞｽ･騒音</t>
        </is>
      </c>
      <c r="D311" s="11" t="n">
        <v>31</v>
      </c>
      <c r="E311" s="9" t="n">
        <v>5.2</v>
      </c>
      <c r="F311" s="11" t="n">
        <v>57819</v>
      </c>
      <c r="G311" s="8" t="n">
        <v>2000</v>
      </c>
      <c r="H311" s="8" t="n">
        <v>2005</v>
      </c>
      <c r="I311" s="14" t="inlineStr">
        <is>
          <t>ACR30, GH-ACR30W, GH-ACR40W, GH-MCR40W, TA-ACR30W, TA-ACR40W, TA-MCR30W, TA-MCR40, TA-MCR40W</t>
        </is>
      </c>
      <c r="J311"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12">
      <c r="A312" s="13" t="inlineStr">
        <is>
          <t>エスティマ</t>
        </is>
      </c>
      <c r="B312" s="13" t="inlineStr">
        <is>
          <t>（車種全体）</t>
        </is>
      </c>
      <c r="C312" s="13" t="inlineStr">
        <is>
          <t>電気装置</t>
        </is>
      </c>
      <c r="D312" s="15" t="n">
        <v>21</v>
      </c>
      <c r="E312" s="17" t="n">
        <v>3.5</v>
      </c>
      <c r="F312" s="15" t="n">
        <v>60000</v>
      </c>
      <c r="G312" s="13" t="n">
        <v>2000</v>
      </c>
      <c r="H312" s="13" t="n">
        <v>2010</v>
      </c>
      <c r="I312" s="14" t="inlineStr">
        <is>
          <t>CBA-ACR30W, DAA-AHR20W, DBA-ACR50W, DBA-ACR55W, DBA-GSR50W, DBA-GSR55, DBA-GSR55W, GH-MCR40W, UA-ACR30W, ZA-AHR10W, 不明</t>
        </is>
      </c>
      <c r="J312" s="14" t="inlineStr">
        <is>
          <t>[2021-11-05 DBA-ACR55W 2010/03 130000km] サイドジャンクションブロックの不具合により、ドアが鍵を読み取らなくなり、その後スタートスイッチ押しても反応しなくなった。
[2020-07-31 DBA-GSR55W  200000km] 発電機の故障により、交差点から発進時にエアバッグのランプが点灯し、その後にハンドルがロック状態になり、惰性で路肩に停車した。
[2018-10-26 DBA-GSR50W 2007/01 33000km] 点火コイル不良でエンジン警告灯が点灯し、エンジン振動が大きくなった。</t>
        </is>
      </c>
    </row>
    <row r="313">
      <c r="A313" s="8" t="inlineStr">
        <is>
          <t>エスティマ</t>
        </is>
      </c>
      <c r="B313" s="8" t="inlineStr">
        <is>
          <t>（車種全体）</t>
        </is>
      </c>
      <c r="C313" s="8" t="inlineStr">
        <is>
          <t>その他</t>
        </is>
      </c>
      <c r="D313" s="11" t="n">
        <v>16</v>
      </c>
      <c r="E313" s="9" t="n">
        <v>2.7</v>
      </c>
      <c r="F313" s="11" t="n">
        <v>42000</v>
      </c>
      <c r="G313" s="8" t="n">
        <v>2000</v>
      </c>
      <c r="H313" s="8" t="n">
        <v>2007</v>
      </c>
      <c r="I313" s="14" t="inlineStr">
        <is>
          <t>DAA-AHR20W, DBA-ACR50W, DBA-ACR55W, DBA-GSR50W, GH-ACR30W, GH-MCR30W, GSR50W, TA-MCR40W, UA-ACR30W, UA-UCF30, 不明</t>
        </is>
      </c>
      <c r="J313" s="14" t="inlineStr">
        <is>
          <t>[2016-07-11 DBA-ACR50W  80000km] エアコンが突然効かなくなることがある。
[2014-09-08 DBA-GSR50W 2007/02 92000km] オプションで取り付けたフロントビジョンカメラの半球型カバーが劣化して白く曇ったため、映像が白くなり障害物を認知出来なくなった。
[2013-06-10 GH-ACR30W 2000/03 103200km] エアコンの冷媒および潤滑油が漏れ、コンプレッサーが潤滑不良になって破損をしたため、低速走行中にエンストした。</t>
        </is>
      </c>
    </row>
    <row r="314">
      <c r="A314" s="13" t="inlineStr">
        <is>
          <t>エスティマ</t>
        </is>
      </c>
      <c r="B314" s="13" t="inlineStr">
        <is>
          <t>（車種全体）</t>
        </is>
      </c>
      <c r="C314" s="13" t="inlineStr">
        <is>
          <t>車枠・車体</t>
        </is>
      </c>
      <c r="D314" s="15" t="n">
        <v>16</v>
      </c>
      <c r="E314" s="17" t="n">
        <v>2.7</v>
      </c>
      <c r="F314" s="15" t="n">
        <v>70000</v>
      </c>
      <c r="G314" s="13" t="n">
        <v>2001</v>
      </c>
      <c r="H314" s="13" t="n">
        <v>2017</v>
      </c>
      <c r="I314" s="14" t="inlineStr">
        <is>
          <t>DAA-AHR20W, DBA-ACR50W, DBA-GSR50W, TA-ACR40W, TA-MCR30W, TA-MCR40W, ZA-AHR10W</t>
        </is>
      </c>
      <c r="J314" s="14" t="inlineStr">
        <is>
          <t>[2026-04-22 DAA-AHR20W 2017/01 222200km] フロントガラス左上部（助手席側）から雨水が浸透し、雨漏りが発生した。ディーラーで点検した結果、ガラスとパッキン接着部が劣化したものと診断された。
[2016-03-09 ZA-AHR10W 2002/02 154000km] ＣＶＴのサービスキャンペーン検査後あたりから、発進し、時速２０ｋｍから３０ｋｍ程度の加速中に車体が横にバタバタと揺すられる。
[2016-01-28 DBA-ACR50W 2008/04 70000km] リアウイング、バンパー部等の非金属部分の塗装の劣化が激しく、クリア層がはがれてくる。</t>
        </is>
      </c>
    </row>
    <row r="315">
      <c r="A315" s="8" t="inlineStr">
        <is>
          <t>エスティマ</t>
        </is>
      </c>
      <c r="B315" s="8" t="inlineStr">
        <is>
          <t>（車種全体）</t>
        </is>
      </c>
      <c r="C315" s="8" t="inlineStr">
        <is>
          <t>燃料装置</t>
        </is>
      </c>
      <c r="D315" s="11" t="n">
        <v>15</v>
      </c>
      <c r="E315" s="9" t="n">
        <v>2.5</v>
      </c>
      <c r="F315" s="11" t="n">
        <v>120000</v>
      </c>
      <c r="G315" s="8" t="n">
        <v>1992</v>
      </c>
      <c r="H315" s="8" t="n">
        <v>2007</v>
      </c>
      <c r="I315" s="14" t="inlineStr">
        <is>
          <t>DBA-GSR50W, DBA-GSR55W, GH-MCR40W, KD-CXR10G, Q-CXR10G, Q-CXR20G, Q-CXR21G, TA-ACR30W, TA-MCR40W, Y-CXR20G, Y-CXR21G</t>
        </is>
      </c>
      <c r="J315" s="14" t="inlineStr">
        <is>
          <t>[2014-01-23 DBA-GSR55W 2007/11 49211km] 燃料ポンプの不良により信号待ちでエンストした。ディーラーで部品を交換したところ、その直後にメーターのコンピューター不良により燃料計が動かなくなった。
[2013-01-31 Q-CXR10G 1992/08 98000km] エンジンから燃料が漏れた。
[2012-12-19 DBA-GSR50W 2007/07 27600km] 燃料ポンプの配線が断線したため、狭い道路で対向車とすれ違うためにブレーキをかけて一時停止したところ、突然エンジンが停止し、再始動不能になった。</t>
        </is>
      </c>
    </row>
    <row r="316">
      <c r="A316" s="13" t="inlineStr">
        <is>
          <t>エスティマ</t>
        </is>
      </c>
      <c r="B316" s="13" t="inlineStr">
        <is>
          <t>（車種全体）</t>
        </is>
      </c>
      <c r="C316" s="13" t="inlineStr">
        <is>
          <t>走行装置</t>
        </is>
      </c>
      <c r="D316" s="15" t="n">
        <v>2</v>
      </c>
      <c r="E316" s="17" t="n">
        <v>0.3</v>
      </c>
      <c r="F316" s="15" t="n">
        <v>166000</v>
      </c>
      <c r="G316" s="13" t="n">
        <v>1996</v>
      </c>
      <c r="H316" s="13" t="n">
        <v>2008</v>
      </c>
      <c r="I316" s="14" t="inlineStr">
        <is>
          <t>DBA-ACR55W, E-TCR10G</t>
        </is>
      </c>
      <c r="J316" s="14" t="inlineStr">
        <is>
          <t>[2010-08-03 E-TCR10G 1996/02 166000km] 時速６０ｋｍ／ｈで走行中、突然左後輪タイヤが外れ走行不能となった。外れたものを見ると、ドラム（ハブ）が割れており、ブレーキオイルが漏れていた。
[2010-02-08 DBA-ACR55W 2008/08 18500km] ホイールベースが左右で異なっており、走行中、ハンドルをまっすぐにしていても車が左に流れる。</t>
        </is>
      </c>
    </row>
    <row r="317">
      <c r="A317" s="8" t="inlineStr">
        <is>
          <t>エスティマ</t>
        </is>
      </c>
      <c r="B317" s="8" t="inlineStr">
        <is>
          <t>（車種全体）</t>
        </is>
      </c>
      <c r="C317" s="8" t="inlineStr">
        <is>
          <t>緩衝装置</t>
        </is>
      </c>
      <c r="D317" s="11" t="n">
        <v>1</v>
      </c>
      <c r="E317" s="9" t="n">
        <v>0.2</v>
      </c>
      <c r="F317" s="11" t="n"/>
      <c r="G317" s="8" t="n">
        <v>2006</v>
      </c>
      <c r="H317" s="8" t="n">
        <v>2006</v>
      </c>
      <c r="I317" s="14" t="inlineStr">
        <is>
          <t>DBA-GSR50W</t>
        </is>
      </c>
      <c r="J317" s="14" t="inlineStr">
        <is>
          <t>[2008-01-17 DBA-GSR50W 2006/03 ?km] ローダウンスプリングと車両のアッパーマウントの組合わせが悪いため、ハンドル操作時に異音が発生する。</t>
        </is>
      </c>
    </row>
    <row r="318">
      <c r="A318" s="13" t="inlineStr">
        <is>
          <t>エスティマ</t>
        </is>
      </c>
      <c r="B318" s="13" t="inlineStr">
        <is>
          <t>（車種全体）</t>
        </is>
      </c>
      <c r="C318" s="13" t="inlineStr">
        <is>
          <t>非装置</t>
        </is>
      </c>
      <c r="D318" s="15" t="n">
        <v>1</v>
      </c>
      <c r="E318" s="17" t="n">
        <v>0.2</v>
      </c>
      <c r="F318" s="15" t="n">
        <v>6000</v>
      </c>
      <c r="G318" s="13" t="n">
        <v>2010</v>
      </c>
      <c r="H318" s="13" t="n">
        <v>2010</v>
      </c>
      <c r="I318" s="14" t="inlineStr">
        <is>
          <t>DAA-AHR20W</t>
        </is>
      </c>
      <c r="J318" s="14" t="inlineStr">
        <is>
          <t>[2010-11-17 DAA-AHR20W 2010/07 6000km] Ｐレンジで、駐車ブレーキを使用した状態の停車中において、エンジンがかかる時に、後から小さく追突されたような感覚の挙動が出ることがある。</t>
        </is>
      </c>
    </row>
    <row r="319">
      <c r="A319" s="8" t="inlineStr">
        <is>
          <t>エスティマ</t>
        </is>
      </c>
      <c r="B319" s="8" t="inlineStr">
        <is>
          <t>50系</t>
        </is>
      </c>
      <c r="C319" s="8" t="inlineStr">
        <is>
          <t>エンジン</t>
        </is>
      </c>
      <c r="D319" s="11" t="n">
        <v>114</v>
      </c>
      <c r="E319" s="9" t="n">
        <v>32.3</v>
      </c>
      <c r="F319" s="11" t="n">
        <v>61600</v>
      </c>
      <c r="G319" s="8" t="n">
        <v>2006</v>
      </c>
      <c r="H319" s="8" t="n">
        <v>2016</v>
      </c>
      <c r="I319" s="14" t="inlineStr">
        <is>
          <t>ACR50W, DAA-AHR20W, DBA-ACR50, DBA-ACR50W, DBA-ACR50W-GRXSK, DBA-ACR55W, DBA-ACW50W, DBA-GSR50W, DBA-GSR55W, 不明</t>
        </is>
      </c>
      <c r="J319" s="14" t="inlineStr">
        <is>
          <t>[2026-05-25 DBA-ACR55W 2006/03 149099km] 一般道走行中に油圧警告灯が点灯した。ロードサービスを要請して点検を受けたところ、オイル量や異音などが無い事が確認されたため、運転を再開し、高速道路を走行したところ、５～１０分後に高速道路のトンネルでエンジンが突然停止し、走行不能になった。ディーラーへ搬送して検査した結果、バランスシャフトドリブンギアが破損し、破片がオイルストレーナーに付着して油圧経路が詰まり、循環不良を起こしてエンジンが焼き付いたものと診断された。
[2026-01-26 DBA-ACR50W 2016/02 ?km] 走行中にキーが見つかりませんという警告が出ることがある。この症状が出る時はドアボタンやスタートボタンの反応も悪い。
[2025-11-22 DBA-ACR50W 2014/04 138400km] エンジンオイルが十分あるのにも関わらず、走行時に油圧不足の警告灯が点灯した。</t>
        </is>
      </c>
    </row>
    <row r="320">
      <c r="A320" s="13" t="inlineStr">
        <is>
          <t>エスティマ</t>
        </is>
      </c>
      <c r="B320" s="13" t="inlineStr">
        <is>
          <t>50系</t>
        </is>
      </c>
      <c r="C320" s="13" t="inlineStr">
        <is>
          <t>かじ取り</t>
        </is>
      </c>
      <c r="D320" s="15" t="n">
        <v>53</v>
      </c>
      <c r="E320" s="17" t="n">
        <v>15</v>
      </c>
      <c r="F320" s="15" t="n">
        <v>65000</v>
      </c>
      <c r="G320" s="13" t="n">
        <v>2006</v>
      </c>
      <c r="H320" s="13" t="n">
        <v>2015</v>
      </c>
      <c r="I320" s="14" t="inlineStr">
        <is>
          <t>DAA-AHR20W, DBA-ACR50W, DBA-ACR55W, DBA-GSR50W, DBA-GSR55W, DBR-ACR50W</t>
        </is>
      </c>
      <c r="J320" s="14" t="inlineStr">
        <is>
          <t>[2025-09-21 DAA-AHR20W 2006/08 370000km] 走行時、ハンドルのシャフトの下あたりから音が発生し、停車時も、ハンドルを左右に動かすとカタカタ音が発生する。
[2021-10-12 DBA-ACR50W 2009/09 78000km] ステアリングインタミシャフト不良で、ハンドル下部からコトコトと異音が出ている。
[2021-05-09 DBA-ACR50W 2006/03 139200km] パワーステアリングの不良により、駐車後、エンジンを再始動し、発進しようとしたところ、ハンドルが重すぎて操作することができず、安全に走行できないと判断し、レッカー搬送依頼をした。メーターパネルを確認するとハンドル操作に関係した警告表示が点灯していた。</t>
        </is>
      </c>
    </row>
    <row r="321">
      <c r="A321" s="8" t="inlineStr">
        <is>
          <t>エスティマ</t>
        </is>
      </c>
      <c r="B321" s="8" t="inlineStr">
        <is>
          <t>50系</t>
        </is>
      </c>
      <c r="C321" s="8" t="inlineStr">
        <is>
          <t>保安灯火</t>
        </is>
      </c>
      <c r="D321" s="11" t="n">
        <v>47</v>
      </c>
      <c r="E321" s="9" t="n">
        <v>13.3</v>
      </c>
      <c r="F321" s="11" t="n">
        <v>44000</v>
      </c>
      <c r="G321" s="8" t="n">
        <v>2006</v>
      </c>
      <c r="H321" s="8" t="n">
        <v>2017</v>
      </c>
      <c r="I321" s="14" t="inlineStr">
        <is>
          <t>DAA-AHR20W, DBA-ACR50W, DBA-ACR55W, DBA-ARC50W, DBA-GSR50W, DBA-GSR55W, DCA-ACR55W</t>
        </is>
      </c>
      <c r="J321" s="14" t="inlineStr">
        <is>
          <t>[2025-12-28 DBA-ACR50W 2017/08 34688km] テールランプの中が白濁になっている。浸水の跡もある。
[2025-12-08 DAA-AHR20W 2016/08 49300km] ヘッドランプ内部に結露が発生した。
[2025-08-08 DAA-AHR20W 2010/08 203500km] ヘッドライトの光量が急激に低下し、車検の度に交換が必要になっている。</t>
        </is>
      </c>
    </row>
    <row r="322">
      <c r="A322" s="13" t="inlineStr">
        <is>
          <t>エスティマ</t>
        </is>
      </c>
      <c r="B322" s="13" t="inlineStr">
        <is>
          <t>50系</t>
        </is>
      </c>
      <c r="C322" s="13" t="inlineStr">
        <is>
          <t>制動装置</t>
        </is>
      </c>
      <c r="D322" s="15" t="n">
        <v>45</v>
      </c>
      <c r="E322" s="17" t="n">
        <v>12.7</v>
      </c>
      <c r="F322" s="15" t="n">
        <v>98000</v>
      </c>
      <c r="G322" s="13" t="n">
        <v>2006</v>
      </c>
      <c r="H322" s="13" t="n">
        <v>2013</v>
      </c>
      <c r="I322" s="14" t="inlineStr">
        <is>
          <t>CAA-AHR10W, DAA-AHR20, DAA-AHR20W, DBA-ACR50W, DBA-ACR55W, DBA-GSR50W, DBA-GSR55W, GSR55W</t>
        </is>
      </c>
      <c r="J322" s="14" t="inlineStr">
        <is>
          <t>[2024-08-30 DAA-AHR20W 2006/12 56000km] メーターパネルに異常表示と警告ランプ点灯、警報音発報とともにブレーキの制動力が極端に落ちた。修理業者に持ち込みＡＢＳセンサーの清掃で復旧した。現在、警告灯他の表示はないものの、ある程度走行してブレーキが暖まると、ブレーキを踏んでいる間「コツコツ」と異音が発生する。
[2024-01-23 DAA-AHR20W 2009/02 219500km] ブレーキをかけるとブレーキアクチュエーターから異音がする。
[2022-12-01 GSR55W 2007/05 141550km] 平坦道を時速３０～４０ｋｍ／ｈで走行中に減速をしようとブレーキペダルを踏み込んだ際、突然ブレーキペダルが床まで踏み抜け、ブレーキが効かなかった。ブレーキアクチュエータ、マスタシリンダの交換が必要と判断されたが、製造中止により入手困難との理由から廃車した。</t>
        </is>
      </c>
    </row>
    <row r="323">
      <c r="A323" s="8" t="inlineStr">
        <is>
          <t>エスティマ</t>
        </is>
      </c>
      <c r="B323" s="8" t="inlineStr">
        <is>
          <t>50系</t>
        </is>
      </c>
      <c r="C323" s="8" t="inlineStr">
        <is>
          <t>動力伝達</t>
        </is>
      </c>
      <c r="D323" s="11" t="n">
        <v>26</v>
      </c>
      <c r="E323" s="9" t="n">
        <v>7.4</v>
      </c>
      <c r="F323" s="11" t="n">
        <v>80000</v>
      </c>
      <c r="G323" s="8" t="n">
        <v>2006</v>
      </c>
      <c r="H323" s="8" t="n">
        <v>2014</v>
      </c>
      <c r="I323" s="14" t="inlineStr">
        <is>
          <t>DAA-AHR20W, DBA-ACR50W, DBA-ACR55W, DBA-GSR50W, DBA-GSR55W</t>
        </is>
      </c>
      <c r="J323" s="14" t="inlineStr">
        <is>
          <t>[2023-04-19 DBA-ACR50W 2009/07 150000km] ＣＶＴの不具合により、異常な振動が発生し、走行不能になった。
[2021-06-26 DBA-ACR50W 2010/01 160000km] 信号等で停車中、青になりブレーキペダルを離してアクセルペダルを踏もうとする最中にトランスミッションから過大なショックが発生する。繋がるタイムラグがひどい場合は車自体が少しロケットスタートするようになる。エアコンを入れた夏場は特にひどく、同乗者でも気付くくらいのショックになる。
[2019-09-19 DAA-AHR20W 2011/10 82000km] ブレーキペダルを踏んでエンジン・システムを始動し、ブレーキペダルを踏んだままＤレンジに入れても進んでしまう事がある。この時、メータ内の赤色サイドブレーキ表示と隣の黄色の表示が出ている。</t>
        </is>
      </c>
    </row>
    <row r="324">
      <c r="A324" s="13" t="inlineStr">
        <is>
          <t>エスティマ</t>
        </is>
      </c>
      <c r="B324" s="13" t="inlineStr">
        <is>
          <t>50系</t>
        </is>
      </c>
      <c r="C324" s="13" t="inlineStr">
        <is>
          <t>乗車装置</t>
        </is>
      </c>
      <c r="D324" s="15" t="n">
        <v>24</v>
      </c>
      <c r="E324" s="17" t="n">
        <v>6.8</v>
      </c>
      <c r="F324" s="15" t="n">
        <v>41257</v>
      </c>
      <c r="G324" s="13" t="n">
        <v>2006</v>
      </c>
      <c r="H324" s="13" t="n">
        <v>2019</v>
      </c>
      <c r="I324" s="14" t="inlineStr">
        <is>
          <t>DAA-AHR20W, DBA-ACR50W, DBA-ACR55W, DBA-GSR50W, DBA-GSR55W, 不明</t>
        </is>
      </c>
      <c r="J324" s="14" t="inlineStr">
        <is>
          <t>[2019-10-16 DAA-AHR20W 2019/09 280km] 福祉車両（ＷＥＬＣＡＢ）のサイドリフトアップシート搭載車で、スライドドアの開閉センサーの不良により、サイドリフトアップシートがスライドドアの開閉に関わりなく作動し、手足を挟んでしまう。
[2019-07-13 DBA-ACR50W 2014/06 41257km] タイヤ交換のたびにドアロックに不具合が生じ、何故か聞いても不明と回答される。
[2019-07-07 DAA-AHR20W 2009/09 206000km] 電動スライドドアが開閉中に突然反転動作する時がある。開ける際には、あと３分の１で全開になるところで反転を始めるため、その時に乗降した人が挟まれる。</t>
        </is>
      </c>
    </row>
    <row r="325">
      <c r="A325" s="8" t="inlineStr">
        <is>
          <t>エスティマ</t>
        </is>
      </c>
      <c r="B325" s="8" t="inlineStr">
        <is>
          <t>50系</t>
        </is>
      </c>
      <c r="C325" s="8" t="inlineStr">
        <is>
          <t>電気装置</t>
        </is>
      </c>
      <c r="D325" s="11" t="n">
        <v>14</v>
      </c>
      <c r="E325" s="9" t="n">
        <v>4</v>
      </c>
      <c r="F325" s="11" t="n">
        <v>55894</v>
      </c>
      <c r="G325" s="8" t="n">
        <v>2006</v>
      </c>
      <c r="H325" s="8" t="n">
        <v>2010</v>
      </c>
      <c r="I325" s="14" t="inlineStr">
        <is>
          <t>DAA-AHR20W, DBA-ACR50W, DBA-ACR55W, DBA-GSR50W, DBA-GSR55, DBA-GSR55W, 不明</t>
        </is>
      </c>
      <c r="J325" s="14" t="inlineStr">
        <is>
          <t>[2021-11-05 DBA-ACR55W 2010/03 130000km] サイドジャンクションブロックの不具合により、ドアが鍵を読み取らなくなり、その後スタートスイッチ押しても反応しなくなった。
[2018-10-26 DBA-GSR50W 2007/01 33000km] 点火コイル不良でエンジン警告灯が点灯し、エンジン振動が大きくなった。
[2018-09-09 DAA-AHR20W 2009/01 63884km] アクセルペダルを踏んでスタートする時に、タカタカと車体が揺れて、エンジン警告灯が点灯。揺れながらも走行できたが、同じ現象が繰り返し起きた。</t>
        </is>
      </c>
    </row>
    <row r="326">
      <c r="A326" s="13" t="inlineStr">
        <is>
          <t>エスティマ</t>
        </is>
      </c>
      <c r="B326" s="13" t="inlineStr">
        <is>
          <t>50系</t>
        </is>
      </c>
      <c r="C326" s="13" t="inlineStr">
        <is>
          <t>その他</t>
        </is>
      </c>
      <c r="D326" s="15" t="n">
        <v>10</v>
      </c>
      <c r="E326" s="17" t="n">
        <v>2.8</v>
      </c>
      <c r="F326" s="15" t="n">
        <v>40000</v>
      </c>
      <c r="G326" s="13" t="n">
        <v>2006</v>
      </c>
      <c r="H326" s="13" t="n">
        <v>2007</v>
      </c>
      <c r="I326" s="14" t="inlineStr">
        <is>
          <t>DAA-AHR20W, DBA-ACR50W, DBA-ACR55W, DBA-GSR50W, GSR50W, 不明</t>
        </is>
      </c>
      <c r="J326" s="14" t="inlineStr">
        <is>
          <t>[2014-09-08 DBA-GSR50W 2007/02 92000km] オプションで取り付けたフロントビジョンカメラの半球型カバーが劣化して白く曇ったため、映像が白くなり障害物を認知出来なくなった。
[2012-05-21 DAA-AHR20W 2007/02 61000km] 速度計と積算距離計の表示が実際より１割強程度少なく表示される。
[2012-04-07 DAA-AHR20W 2007/02 62000km] 走行時の速度の表示が１０％大きく表示され、１００ｋｍ／ｈ時に１１３ｋｍ／ｈを表示する。また、高速道路においてオートドライブ設定が出来る最低速度の５０ｋｍ／ｈに設定をして走行をしていたところ、実際の速度が４４．５ｋｍ／ｈであったために高速機動隊に注意を受けた。</t>
        </is>
      </c>
    </row>
    <row r="327">
      <c r="A327" s="8" t="inlineStr">
        <is>
          <t>エスティマ</t>
        </is>
      </c>
      <c r="B327" s="8" t="inlineStr">
        <is>
          <t>50系</t>
        </is>
      </c>
      <c r="C327" s="8" t="inlineStr">
        <is>
          <t>車枠・車体</t>
        </is>
      </c>
      <c r="D327" s="11" t="n">
        <v>9</v>
      </c>
      <c r="E327" s="9" t="n">
        <v>2.5</v>
      </c>
      <c r="F327" s="11" t="n">
        <v>59000</v>
      </c>
      <c r="G327" s="8" t="n">
        <v>2006</v>
      </c>
      <c r="H327" s="8" t="n">
        <v>2017</v>
      </c>
      <c r="I327" s="14" t="inlineStr">
        <is>
          <t>DAA-AHR20W, DBA-ACR50W</t>
        </is>
      </c>
      <c r="J327" s="14" t="inlineStr">
        <is>
          <t>[2026-04-22 DAA-AHR20W 2017/01 222200km] フロントガラス左上部（助手席側）から雨水が浸透し、雨漏りが発生した。ディーラーで点検した結果、ガラスとパッキン接着部が劣化したものと診断された。
[2016-01-28 DBA-ACR50W 2008/04 70000km] リアウイング、バンパー部等の非金属部分の塗装の劣化が激しく、クリア層がはがれてくる。
[2014-10-24 DBA-ACR50W 2009/09 85000km] 給油扉の軸受が破断し、左側スライドドアのセンサーが給油扉が開いていると感知する状態になったため、スライドドアが開かなくなった。</t>
        </is>
      </c>
    </row>
    <row r="328">
      <c r="A328" s="13" t="inlineStr">
        <is>
          <t>エスティマ</t>
        </is>
      </c>
      <c r="B328" s="13" t="inlineStr">
        <is>
          <t>50系</t>
        </is>
      </c>
      <c r="C328" s="13" t="inlineStr">
        <is>
          <t>電動機(モーター)</t>
        </is>
      </c>
      <c r="D328" s="15" t="n">
        <v>6</v>
      </c>
      <c r="E328" s="17" t="n">
        <v>1.7</v>
      </c>
      <c r="F328" s="15" t="n">
        <v>85000</v>
      </c>
      <c r="G328" s="13" t="n">
        <v>2007</v>
      </c>
      <c r="H328" s="13" t="n">
        <v>2016</v>
      </c>
      <c r="I328" s="14" t="inlineStr">
        <is>
          <t>DAA-AHR20W</t>
        </is>
      </c>
      <c r="J328" s="14" t="inlineStr">
        <is>
          <t>[2019-07-23 DAA-AHR20W 2016/01 102000km] 一般道を走行中にエンジン警告灯が点灯するとともに加速しなくなった。また、ハイブリッドシステムの異常を知らせるメッセージも表示された。
[2019-03-14 DAA-AHR20W 2008/03 130000km] ハイブリッドバッテリーの不良により、パネル上に警告表示が出た。
[2017-05-31 DAA-AHR20W 2008/04 ?km] 走行中に突然エンジン警告灯、ＶＣＳ警告灯、ブレーキ警告灯が点灯するとともに加速しなくなった。</t>
        </is>
      </c>
    </row>
    <row r="329">
      <c r="A329" s="8" t="inlineStr">
        <is>
          <t>エスティマ</t>
        </is>
      </c>
      <c r="B329" s="8" t="inlineStr">
        <is>
          <t>50系</t>
        </is>
      </c>
      <c r="C329" s="8" t="inlineStr">
        <is>
          <t>燃料装置</t>
        </is>
      </c>
      <c r="D329" s="11" t="n">
        <v>2</v>
      </c>
      <c r="E329" s="9" t="n">
        <v>0.6</v>
      </c>
      <c r="F329" s="11" t="n">
        <v>49211</v>
      </c>
      <c r="G329" s="8" t="n">
        <v>2007</v>
      </c>
      <c r="H329" s="8" t="n">
        <v>2007</v>
      </c>
      <c r="I329" s="14" t="inlineStr">
        <is>
          <t>DBA-GSR50W, DBA-GSR55W</t>
        </is>
      </c>
      <c r="J329" s="14" t="inlineStr">
        <is>
          <t>[2014-01-23 DBA-GSR55W 2007/11 49211km] 燃料ポンプの不良により信号待ちでエンストした。ディーラーで部品を交換したところ、その直後にメーターのコンピューター不良により燃料計が動かなくなった。
[2012-12-19 DBA-GSR50W 2007/07 27600km] 燃料ポンプの配線が断線したため、狭い道路で対向車とすれ違うためにブレーキをかけて一時停止したところ、突然エンジンが停止し、再始動不能になった。</t>
        </is>
      </c>
    </row>
    <row r="330">
      <c r="A330" s="13" t="inlineStr">
        <is>
          <t>エスティマ</t>
        </is>
      </c>
      <c r="B330" s="13" t="inlineStr">
        <is>
          <t>50系</t>
        </is>
      </c>
      <c r="C330" s="13" t="inlineStr">
        <is>
          <t>緩衝装置</t>
        </is>
      </c>
      <c r="D330" s="15" t="n">
        <v>1</v>
      </c>
      <c r="E330" s="17" t="n">
        <v>0.3</v>
      </c>
      <c r="F330" s="15" t="n"/>
      <c r="G330" s="13" t="n">
        <v>2006</v>
      </c>
      <c r="H330" s="13" t="n">
        <v>2006</v>
      </c>
      <c r="I330" s="14" t="inlineStr">
        <is>
          <t>DBA-GSR50W</t>
        </is>
      </c>
      <c r="J330" s="14" t="inlineStr">
        <is>
          <t>[2008-01-17 DBA-GSR50W 2006/03 ?km] ローダウンスプリングと車両のアッパーマウントの組合わせが悪いため、ハンドル操作時に異音が発生する。</t>
        </is>
      </c>
    </row>
    <row r="331">
      <c r="A331" s="8" t="inlineStr">
        <is>
          <t>エスティマ</t>
        </is>
      </c>
      <c r="B331" s="8" t="inlineStr">
        <is>
          <t>50系</t>
        </is>
      </c>
      <c r="C331" s="8" t="inlineStr">
        <is>
          <t>走行装置</t>
        </is>
      </c>
      <c r="D331" s="11" t="n">
        <v>1</v>
      </c>
      <c r="E331" s="9" t="n">
        <v>0.3</v>
      </c>
      <c r="F331" s="11" t="n">
        <v>18500</v>
      </c>
      <c r="G331" s="8" t="n">
        <v>2008</v>
      </c>
      <c r="H331" s="8" t="n">
        <v>2008</v>
      </c>
      <c r="I331" s="14" t="inlineStr">
        <is>
          <t>DBA-ACR55W</t>
        </is>
      </c>
      <c r="J331" s="14" t="inlineStr">
        <is>
          <t>[2010-02-08 DBA-ACR55W 2008/08 18500km] ホイールベースが左右で異なっており、走行中、ハンドルをまっすぐにしていても車が左に流れる。</t>
        </is>
      </c>
    </row>
    <row r="332">
      <c r="A332" s="13" t="inlineStr">
        <is>
          <t>エスティマ</t>
        </is>
      </c>
      <c r="B332" s="13" t="inlineStr">
        <is>
          <t>50系</t>
        </is>
      </c>
      <c r="C332" s="13" t="inlineStr">
        <is>
          <t>非装置</t>
        </is>
      </c>
      <c r="D332" s="15" t="n">
        <v>1</v>
      </c>
      <c r="E332" s="17" t="n">
        <v>0.3</v>
      </c>
      <c r="F332" s="15" t="n">
        <v>6000</v>
      </c>
      <c r="G332" s="13" t="n">
        <v>2010</v>
      </c>
      <c r="H332" s="13" t="n">
        <v>2010</v>
      </c>
      <c r="I332" s="14" t="inlineStr">
        <is>
          <t>DAA-AHR20W</t>
        </is>
      </c>
      <c r="J332" s="14" t="inlineStr">
        <is>
          <t>[2010-11-17 DAA-AHR20W 2010/07 6000km] Ｐレンジで、駐車ブレーキを使用した状態の停車中において、エンジンがかかる時に、後から小さく追突されたような感覚の挙動が出ることがある。</t>
        </is>
      </c>
    </row>
    <row r="333">
      <c r="A333" s="8" t="inlineStr">
        <is>
          <t>エスティマ</t>
        </is>
      </c>
      <c r="B333" s="8" t="inlineStr">
        <is>
          <t>不明</t>
        </is>
      </c>
      <c r="C333" s="8" t="inlineStr">
        <is>
          <t>エンジン</t>
        </is>
      </c>
      <c r="D333" s="11" t="n">
        <v>53</v>
      </c>
      <c r="E333" s="9" t="n">
        <v>21.4</v>
      </c>
      <c r="F333" s="11" t="n">
        <v>81235</v>
      </c>
      <c r="G333" s="8" t="n">
        <v>1995</v>
      </c>
      <c r="H333" s="8" t="n">
        <v>2005</v>
      </c>
      <c r="I333" s="14" t="inlineStr">
        <is>
          <t>ACR30W, ACR50, CAA-AHR10W, DAA-AHR20W, DBA-ACR30W, DBA-ACR50W, DBA-ACR55W, E-TCR20G, GF-TCR10W, GF-TCR20W, GH-ACR30W, GH-ACR40W, GH-MCR30W, TA-ACR30, TA-ACR30W, TA-ACR40W, TA-MCR30W, TA-MCR40W, TCR-21W, UA-ACR30W, ZA-AHR10W</t>
        </is>
      </c>
      <c r="J333" s="14" t="inlineStr">
        <is>
          <t>[2021-06-10 DBA-ACR50W  130000km] エンジンオイルの消費が多くなった。
[2021-04-12 TA-ACR40W 2002/05 56000km] 坂道下降走行中にエンジン異常音がなり、時速１００ｋｍ／ｈ程度となり、ブレーキが効かなくなった。制御不能のため、減速目的で左前をガードレールに衝突させた。この時左前輪脱落。わずかに減速したため、右側から側壁に衝突させようとしたら、右前後輪が側溝にはまり、走行持続。１００メートル程度走行後、右前輪も脱落。これがストッパーの役割をして、停止した。
[2021-01-13 DBA-ACR50W  105000km] エンジンオイルの異常消費によりオイルランプがついた。</t>
        </is>
      </c>
    </row>
    <row r="334">
      <c r="A334" s="13" t="inlineStr">
        <is>
          <t>エスティマ</t>
        </is>
      </c>
      <c r="B334" s="13" t="inlineStr">
        <is>
          <t>不明</t>
        </is>
      </c>
      <c r="C334" s="13" t="inlineStr">
        <is>
          <t>動力伝達</t>
        </is>
      </c>
      <c r="D334" s="15" t="n">
        <v>38</v>
      </c>
      <c r="E334" s="17" t="n">
        <v>15.3</v>
      </c>
      <c r="F334" s="15" t="n">
        <v>100000</v>
      </c>
      <c r="G334" s="13" t="n">
        <v>1993</v>
      </c>
      <c r="H334" s="13" t="n">
        <v>2005</v>
      </c>
      <c r="I334" s="14" t="inlineStr">
        <is>
          <t>ACR50, AHR10W, CAA-AHR10W, DBA-ACR50W, E-TCR21G, KD-CXR20G, TA-ACR40W, TA-MCR40W, UA-ACR30W, ZA-AHR10W</t>
        </is>
      </c>
      <c r="J334" s="14" t="inlineStr">
        <is>
          <t>[2020-06-22 ACR50  120000km] ＣＶＴの不良により、一般道を走行中、突然ギア抜けしてエンジン吹け上がり、走行不能になった。
[2014-04-03 DBA-ACR50W  75000km] ＣＶＴ（無段変速機）のクラッチの不具合により、走行中に異音が出るようになった。
[2013-09-26 ZA-AHR10W 2002/02 93400km] ＣＶＴのサービスキャンペーン対象車で、通知内容に記載されている症状が出ているのに「異常なしのため対処不要」という診断をされた。</t>
        </is>
      </c>
    </row>
    <row r="335">
      <c r="A335" s="8" t="inlineStr">
        <is>
          <t>エスティマ</t>
        </is>
      </c>
      <c r="B335" s="8" t="inlineStr">
        <is>
          <t>不明</t>
        </is>
      </c>
      <c r="C335" s="8" t="inlineStr">
        <is>
          <t>排ｶﾞｽ･騒音</t>
        </is>
      </c>
      <c r="D335" s="11" t="n">
        <v>31</v>
      </c>
      <c r="E335" s="9" t="n">
        <v>12.5</v>
      </c>
      <c r="F335" s="11" t="n">
        <v>57819</v>
      </c>
      <c r="G335" s="8" t="n">
        <v>2000</v>
      </c>
      <c r="H335" s="8" t="n">
        <v>2005</v>
      </c>
      <c r="I335" s="14" t="inlineStr">
        <is>
          <t>ACR30, GH-ACR30W, GH-ACR40W, GH-MCR40W, TA-ACR30W, TA-ACR40W, TA-MCR30W, TA-MCR40, TA-MCR40W</t>
        </is>
      </c>
      <c r="J335" s="14" t="inlineStr">
        <is>
          <t>[2015-01-14 TA-MCR40W 2004/03 103000km] Ｏ２センサーの不良により、走行中にエンジンチェックランプが点灯した。
[2012-11-03 TA-MCR40 2003/01 34593km] 走行距離が３４０００ｋｍ程度の使用であるにもかかわらずＯ２センサーが故障し、エンジン警告灯が点灯した。
[2012-09-27 TA-MCR40W 2003/06 48000km] Ｏ２センサーが故障したため、エンジン始動後にエンジン警告灯が点灯したままになった 。</t>
        </is>
      </c>
    </row>
    <row r="336">
      <c r="A336" s="13" t="inlineStr">
        <is>
          <t>エスティマ</t>
        </is>
      </c>
      <c r="B336" s="13" t="inlineStr">
        <is>
          <t>不明</t>
        </is>
      </c>
      <c r="C336" s="13" t="inlineStr">
        <is>
          <t>電動機(モーター)</t>
        </is>
      </c>
      <c r="D336" s="15" t="n">
        <v>31</v>
      </c>
      <c r="E336" s="17" t="n">
        <v>12.5</v>
      </c>
      <c r="F336" s="15" t="n">
        <v>109600</v>
      </c>
      <c r="G336" s="13" t="n">
        <v>2000</v>
      </c>
      <c r="H336" s="13" t="n">
        <v>2005</v>
      </c>
      <c r="I336" s="14" t="inlineStr">
        <is>
          <t>AHR10W, CAA-AHR10W, ZA-AHR10W</t>
        </is>
      </c>
      <c r="J336" s="14" t="inlineStr">
        <is>
          <t>[2015-08-12 CAA-AHR10W 2004/08 116100km] 店舗の駐車場でアイドリング状態にし、エンジンが暖まった状態で発進しようとしたところ、ハイブリッド異常を示す警告灯が点灯し、警報音が鳴った。
[2015-02-13 ZA-AHR10W 2004/01 190000km] インバーターの故障により、走行中に警告が出て走行不能になった。インバーターとハイブリッドバッテリーを交換したが、約１０万ｋｍ走行したところで再びインバーターが故障し、駐車場で始動不能になった。
[2014-09-04 AHR10W  ?km] ハイブリッド警告灯が点灯し、しばらくするとエンジンが停止する。</t>
        </is>
      </c>
    </row>
    <row r="337">
      <c r="A337" s="8" t="inlineStr">
        <is>
          <t>エスティマ</t>
        </is>
      </c>
      <c r="B337" s="8" t="inlineStr">
        <is>
          <t>不明</t>
        </is>
      </c>
      <c r="C337" s="8" t="inlineStr">
        <is>
          <t>制動装置</t>
        </is>
      </c>
      <c r="D337" s="11" t="n">
        <v>23</v>
      </c>
      <c r="E337" s="9" t="n">
        <v>9.300000000000001</v>
      </c>
      <c r="F337" s="11" t="n">
        <v>129800</v>
      </c>
      <c r="G337" s="8" t="n">
        <v>1995</v>
      </c>
      <c r="H337" s="8" t="n">
        <v>2005</v>
      </c>
      <c r="I337" s="14" t="inlineStr">
        <is>
          <t>CAA-AHR10W, DAA-AHR20W, DBA-ACR30W, DBA-ACR40W, E-TCR20G, GH-ACR40W, KD-CXR20G, TA-ACR30W, ZA-AHR10W</t>
        </is>
      </c>
      <c r="J337" s="14" t="inlineStr">
        <is>
          <t>[2020-07-21 ZA-AHR10W 2004/03 170000km] ブレーキアクチュエーターが故障し、対策品と言われている部品に交換を行ったが、４年、約３万ｋｍの使用で故障した。
[2017-08-15 ZA-AHR10W 2003/11 200072km] 走行中にＶＳＣの警告表示が出るとともにブレーキペダルを強く踏み込んでも制動力が出ない状態になった。ディーラーにてブレーキアクチュエーターの交換を行ったが、３年２５０００ｋｍ弱の走行で、再びブレーキが効かなくなった。
[2016-12-28 ZA-AHR10W 2004/01 111200km] ブレーキアクチュエーターが故障したため、ブレーキの警告灯が点灯してフェイルセーフモードが作動した。ディーラーにてブレーキアクチュエーターの修理を行ったが、１年半、５万ｋｍ弱の使用で、再びブレーキの警告灯が点灯してフェイルセーフモードが作動した。</t>
        </is>
      </c>
    </row>
    <row r="338">
      <c r="A338" s="13" t="inlineStr">
        <is>
          <t>エスティマ</t>
        </is>
      </c>
      <c r="B338" s="13" t="inlineStr">
        <is>
          <t>不明</t>
        </is>
      </c>
      <c r="C338" s="13" t="inlineStr">
        <is>
          <t>乗車装置</t>
        </is>
      </c>
      <c r="D338" s="15" t="n">
        <v>14</v>
      </c>
      <c r="E338" s="17" t="n">
        <v>5.6</v>
      </c>
      <c r="F338" s="15" t="n">
        <v>48000</v>
      </c>
      <c r="G338" s="13" t="n">
        <v>2000</v>
      </c>
      <c r="H338" s="13" t="n">
        <v>2004</v>
      </c>
      <c r="I338" s="14" t="inlineStr">
        <is>
          <t>CBA-ACR30W, DBA-ACR50W, E-TCR21W, GH-ACR30W, GH-MCR30W, MCR40W, TA-ACR30W, TA-ACR40W, TA-MCR40W, ZA-AHR10W</t>
        </is>
      </c>
      <c r="J338" s="14" t="inlineStr">
        <is>
          <t>[2021-07-08 DBA-ACR50W  40000km] 助手席ドアロックが、電子キーで開けられるが、閉められない。
[2014-12-13 GH-ACR30W 2001/03 48000km] シートベルトのバックル内部の部品が破損し、ボタンが押したままになってシートベルトが固定できない。
[2014-04-15 ZA-AHR10W 2003/05 23300km] 左のスライドドアが、開閉できなくなった。</t>
        </is>
      </c>
    </row>
    <row r="339">
      <c r="A339" s="8" t="inlineStr">
        <is>
          <t>エスティマ</t>
        </is>
      </c>
      <c r="B339" s="8" t="inlineStr">
        <is>
          <t>不明</t>
        </is>
      </c>
      <c r="C339" s="8" t="inlineStr">
        <is>
          <t>燃料装置</t>
        </is>
      </c>
      <c r="D339" s="11" t="n">
        <v>13</v>
      </c>
      <c r="E339" s="9" t="n">
        <v>5.2</v>
      </c>
      <c r="F339" s="11" t="n">
        <v>125000</v>
      </c>
      <c r="G339" s="8" t="n">
        <v>1992</v>
      </c>
      <c r="H339" s="8" t="n">
        <v>2001</v>
      </c>
      <c r="I339" s="14" t="inlineStr">
        <is>
          <t>GH-MCR40W, KD-CXR10G, Q-CXR10G, Q-CXR20G, Q-CXR21G, TA-ACR30W, TA-MCR40W, Y-CXR20G, Y-CXR21G</t>
        </is>
      </c>
      <c r="J339" s="14" t="inlineStr">
        <is>
          <t>[2013-01-31 Q-CXR10G 1992/08 98000km] エンジンから燃料が漏れた。
[2012-11-25 KD-CXR10G 1998/06 112000km] 燃料ポンプから燃料が漏れた。
[2012-04-14 GH-MCR40W 2000/02 100000km] 燃料タンク内部の仕切り板が外れたため、走行中に車体下部からガシャーン、ガシャーンと大きな異音がするようになった。</t>
        </is>
      </c>
    </row>
    <row r="340">
      <c r="A340" s="13" t="inlineStr">
        <is>
          <t>エスティマ</t>
        </is>
      </c>
      <c r="B340" s="13" t="inlineStr">
        <is>
          <t>不明</t>
        </is>
      </c>
      <c r="C340" s="13" t="inlineStr">
        <is>
          <t>かじ取り</t>
        </is>
      </c>
      <c r="D340" s="15" t="n">
        <v>12</v>
      </c>
      <c r="E340" s="17" t="n">
        <v>4.8</v>
      </c>
      <c r="F340" s="15" t="n">
        <v>79000</v>
      </c>
      <c r="G340" s="13" t="n">
        <v>2000</v>
      </c>
      <c r="H340" s="13" t="n">
        <v>2005</v>
      </c>
      <c r="I340" s="14" t="inlineStr">
        <is>
          <t>CAA-AHR10W, DBA-ACR30W, DBA-ACR50W, GH-ACR40W, TA-ACR30W, TA-ACR40W, TA-MCR40W, ZA-AHR10W</t>
        </is>
      </c>
      <c r="J340" s="14" t="inlineStr">
        <is>
          <t>[2017-07-13 DBA-ACR50W  50000km] ハンドルを操作するとカタカタと異音が出るようになった。
[2016-01-16 DBA-ACR50W  ?km] 走行中にハンドルから常にカタカタと異音がしてブレーキを掛けると小刻みにブレる。
[2015-03-07 ZA-AHR10W 2001/08 162000km] エンジンルームから異音がし、ハンドルが重くなった。パワーステアリングオイルを確認したところ、炭酸飲料が発泡しているようなシュワシュワ状態で、タンクのフタから１滴２滴と溢れ出していた。</t>
        </is>
      </c>
    </row>
    <row r="341">
      <c r="A341" s="8" t="inlineStr">
        <is>
          <t>エスティマ</t>
        </is>
      </c>
      <c r="B341" s="8" t="inlineStr">
        <is>
          <t>不明</t>
        </is>
      </c>
      <c r="C341" s="8" t="inlineStr">
        <is>
          <t>保安灯火</t>
        </is>
      </c>
      <c r="D341" s="11" t="n">
        <v>12</v>
      </c>
      <c r="E341" s="9" t="n">
        <v>4.8</v>
      </c>
      <c r="F341" s="11" t="n">
        <v>67500</v>
      </c>
      <c r="G341" s="8" t="n">
        <v>1993</v>
      </c>
      <c r="H341" s="8" t="n">
        <v>2004</v>
      </c>
      <c r="I341" s="14" t="inlineStr">
        <is>
          <t>ACR30W, CBA-ACR40W, DBA-ACR50W, GH-ACR30W, GH-MCR40W, TA-ACR30W, TA-MCR30W, TA-MCR40W, Y-CXR20G</t>
        </is>
      </c>
      <c r="J341" s="14" t="inlineStr">
        <is>
          <t>[2024-03-17 DBA-ACR50W  ?km] テールランプ外側ＬＥＤランプ切れが発生した。
[2018-04-18 TA-ACR30W 2002/06 62700km] ヘッドライトが紫外線等により黄ばむ。
[2012-09-27 TA-MCR40W 2003/06 50000km] ハイマウントストップランプの中の数個あるＬＥＤの内１つが切れた為車検が通らなくなった。</t>
        </is>
      </c>
    </row>
    <row r="342">
      <c r="A342" s="13" t="inlineStr">
        <is>
          <t>エスティマ</t>
        </is>
      </c>
      <c r="B342" s="13" t="inlineStr">
        <is>
          <t>不明</t>
        </is>
      </c>
      <c r="C342" s="13" t="inlineStr">
        <is>
          <t>車枠・車体</t>
        </is>
      </c>
      <c r="D342" s="15" t="n">
        <v>7</v>
      </c>
      <c r="E342" s="17" t="n">
        <v>2.8</v>
      </c>
      <c r="F342" s="15" t="n">
        <v>87000</v>
      </c>
      <c r="G342" s="13" t="n">
        <v>2001</v>
      </c>
      <c r="H342" s="13" t="n">
        <v>2002</v>
      </c>
      <c r="I342" s="14" t="inlineStr">
        <is>
          <t>DBA-GSR50W, TA-ACR40W, TA-MCR30W, TA-MCR40W, ZA-AHR10W</t>
        </is>
      </c>
      <c r="J342" s="14" t="inlineStr">
        <is>
          <t>[2016-03-09 ZA-AHR10W 2002/02 154000km] ＣＶＴのサービスキャンペーン検査後あたりから、発進し、時速２０ｋｍから３０ｋｍ程度の加速中に車体が横にバタバタと揺すられる。
[2011-05-30 TA-MCR40W 2001/09 70000km] サンルーフから雨漏れし、座席やバック、洋服が濡れる状態になった。
[2011-01-30 TA-ACR40W 2001/09 87000km] 豪雨時に走行していたところ、突然フロントサンルーフから大量に雨漏りしたため、追突しそうになった。</t>
        </is>
      </c>
    </row>
    <row r="343">
      <c r="A343" s="8" t="inlineStr">
        <is>
          <t>エスティマ</t>
        </is>
      </c>
      <c r="B343" s="8" t="inlineStr">
        <is>
          <t>不明</t>
        </is>
      </c>
      <c r="C343" s="8" t="inlineStr">
        <is>
          <t>電気装置</t>
        </is>
      </c>
      <c r="D343" s="11" t="n">
        <v>7</v>
      </c>
      <c r="E343" s="9" t="n">
        <v>2.8</v>
      </c>
      <c r="F343" s="11" t="n">
        <v>190000</v>
      </c>
      <c r="G343" s="8" t="n">
        <v>2000</v>
      </c>
      <c r="H343" s="8" t="n">
        <v>2004</v>
      </c>
      <c r="I343" s="14" t="inlineStr">
        <is>
          <t>CBA-ACR30W, DBA-GSR55W, GH-MCR40W, UA-ACR30W, ZA-AHR10W</t>
        </is>
      </c>
      <c r="J343" s="14" t="inlineStr">
        <is>
          <t>[2020-07-31 DBA-GSR55W  200000km] 発電機の故障により、交差点から発進時にエアバッグのランプが点灯し、その後にハンドルがロック状態になり、惰性で路肩に停車した。
[2011-10-27 CBA-ACR30W 2004/06 215000km] 発電機プーリーの不具合により、走行中に補機類用のベルトが外れたことから、バッテリーの警告灯の点灯とともにパワーステアリングが利かなくなり、ハンドルがロック状態になった。
[2010-07-30  2000/06 100000km] インストルメントパネルの固定ビスで車体のハーネスが損傷し、ショートしたため、走行中にエンストした。</t>
        </is>
      </c>
    </row>
    <row r="344">
      <c r="A344" s="13" t="inlineStr">
        <is>
          <t>エスティマ</t>
        </is>
      </c>
      <c r="B344" s="13" t="inlineStr">
        <is>
          <t>不明</t>
        </is>
      </c>
      <c r="C344" s="13" t="inlineStr">
        <is>
          <t>その他</t>
        </is>
      </c>
      <c r="D344" s="15" t="n">
        <v>6</v>
      </c>
      <c r="E344" s="17" t="n">
        <v>2.4</v>
      </c>
      <c r="F344" s="15" t="n">
        <v>80000</v>
      </c>
      <c r="G344" s="13" t="n">
        <v>2000</v>
      </c>
      <c r="H344" s="13" t="n">
        <v>2003</v>
      </c>
      <c r="I344" s="14" t="inlineStr">
        <is>
          <t>DBA-ACR50W, GH-ACR30W, GH-MCR30W, TA-MCR40W, UA-ACR30W, UA-UCF30</t>
        </is>
      </c>
      <c r="J344" s="14" t="inlineStr">
        <is>
          <t>[2016-07-11 DBA-ACR50W  80000km] エアコンが突然効かなくなることがある。
[2013-06-10 GH-ACR30W 2000/03 103200km] エアコンの冷媒および潤滑油が漏れ、コンプレッサーが潤滑不良になって破損をしたため、低速走行中にエンストした。
[2012-09-27 TA-MCR40W 2003/06 38000km] 速度計や全てのメータが突然動かなくなった。</t>
        </is>
      </c>
    </row>
    <row r="345">
      <c r="A345" s="8" t="inlineStr">
        <is>
          <t>エスティマ</t>
        </is>
      </c>
      <c r="B345" s="8" t="inlineStr">
        <is>
          <t>不明</t>
        </is>
      </c>
      <c r="C345" s="8" t="inlineStr">
        <is>
          <t>走行装置</t>
        </is>
      </c>
      <c r="D345" s="11" t="n">
        <v>1</v>
      </c>
      <c r="E345" s="9" t="n">
        <v>0.4</v>
      </c>
      <c r="F345" s="11" t="n">
        <v>166000</v>
      </c>
      <c r="G345" s="8" t="n">
        <v>1996</v>
      </c>
      <c r="H345" s="8" t="n">
        <v>1996</v>
      </c>
      <c r="I345" s="14" t="inlineStr">
        <is>
          <t>E-TCR10G</t>
        </is>
      </c>
      <c r="J345" s="14" t="inlineStr">
        <is>
          <t>[2010-08-03 E-TCR10G 1996/02 166000km] 時速６０ｋｍ／ｈで走行中、突然左後輪タイヤが外れ走行不能となった。外れたものを見ると、ドラム（ハブ）が割れており、ブレーキオイルが漏れていた。</t>
        </is>
      </c>
    </row>
    <row r="346">
      <c r="A346" s="13" t="inlineStr">
        <is>
          <t>ウィッシュ</t>
        </is>
      </c>
      <c r="B346" s="13" t="inlineStr">
        <is>
          <t>（車種全体）</t>
        </is>
      </c>
      <c r="C346" s="13" t="inlineStr">
        <is>
          <t>エンジン</t>
        </is>
      </c>
      <c r="D346" s="15" t="n">
        <v>32</v>
      </c>
      <c r="E346" s="17" t="n">
        <v>25</v>
      </c>
      <c r="F346" s="15" t="n">
        <v>70000</v>
      </c>
      <c r="G346" s="13" t="n">
        <v>2003</v>
      </c>
      <c r="H346" s="13" t="n">
        <v>2012</v>
      </c>
      <c r="I346" s="14" t="inlineStr">
        <is>
          <t>CBA-ANE10G, CBA-ZNE10G, DBA-ANE10G, DBA-NNE10G, DBA-ZGE20G, DBA-ZGE20W, DBA-ZGE21G, DBA-ZGE25G, DBA-ZNE10G, UA-ANE11W, UA-ZNE10G</t>
        </is>
      </c>
      <c r="J346" s="14" t="inlineStr">
        <is>
          <t>[2022-10-11 DBA-ZGE20W 2012/11 84000km] 走行中に警告灯が点灯したため、ディーラーで調べてもらったところ、コンティニュアスリバリアブルバルブリフトコントローラの不良と診断された。
[2021-02-27 CBA-ZNE10G 2004/03 161100km] 走行時、特に５０ｋｍ／ｈ以上出ている時にエンジンルーム内から「ゴーゴー」と毎回異音がする。
[2021-02-08 DBA-ZGE20W 2012/02 80966km] 高速道路を定速で走行中、アクセルが一定のままなのにエンジン回転が突然上がったり下がったりして最終的に走行不能に陥った。</t>
        </is>
      </c>
    </row>
    <row r="347">
      <c r="A347" s="8" t="inlineStr">
        <is>
          <t>ウィッシュ</t>
        </is>
      </c>
      <c r="B347" s="8" t="inlineStr">
        <is>
          <t>（車種全体）</t>
        </is>
      </c>
      <c r="C347" s="8" t="inlineStr">
        <is>
          <t>動力伝達</t>
        </is>
      </c>
      <c r="D347" s="11" t="n">
        <v>28</v>
      </c>
      <c r="E347" s="9" t="n">
        <v>21.9</v>
      </c>
      <c r="F347" s="11" t="n">
        <v>54748</v>
      </c>
      <c r="G347" s="8" t="n">
        <v>2003</v>
      </c>
      <c r="H347" s="8" t="n">
        <v>2017</v>
      </c>
      <c r="I347" s="14" t="inlineStr">
        <is>
          <t>ANE10, CBA-ANE10G, CBA-ZNE10G, CBA-ZNE14G, DBA-ZGE20G, DBA-ZGE20W, DBA-ZGE25W, DBA-ZNE10G, UA-ANE10G, UA-ANE11W, UA-ZNE10G, UA-ZNE14G, ZNE10G</t>
        </is>
      </c>
      <c r="J347" s="14" t="inlineStr">
        <is>
          <t>[2022-07-24 DBA-ZGE20W 2014/01 80793km] 走行中、青信号でスタート後、５～６秒後にエンジンが突然停止した。ディーラーで確認の結果オルタネーターの不具合が原因と診断された。
[2018-06-08 UA-ANE10G 2003/05 54000km] ハンドルをいっぱいに切って発進すると等速ジョイントあたりから、カタカタカタと連続音が発生する。
[2017-11-02 DBA-ZGE25W 2010/11 70793km] 車検時の運転でリヤデフのエレクトロマグネティックＣＴＬカップリングの異音を発見した。</t>
        </is>
      </c>
    </row>
    <row r="348">
      <c r="A348" s="13" t="inlineStr">
        <is>
          <t>ウィッシュ</t>
        </is>
      </c>
      <c r="B348" s="13" t="inlineStr">
        <is>
          <t>（車種全体）</t>
        </is>
      </c>
      <c r="C348" s="13" t="inlineStr">
        <is>
          <t>車枠・車体</t>
        </is>
      </c>
      <c r="D348" s="15" t="n">
        <v>20</v>
      </c>
      <c r="E348" s="17" t="n">
        <v>15.6</v>
      </c>
      <c r="F348" s="15" t="n">
        <v>89000</v>
      </c>
      <c r="G348" s="13" t="n">
        <v>2003</v>
      </c>
      <c r="H348" s="13" t="n">
        <v>2013</v>
      </c>
      <c r="I348" s="14" t="inlineStr">
        <is>
          <t>CBA-ZNE14G, DBA-ANE10G, DBA-ANE11W, DBA-ZGE20G, DBA-ZGE20W, DBA-ZGE25G, DBA-ZNE10G, UA-ANE11W, UA-ZNE10G, UA-ZNE14G</t>
        </is>
      </c>
      <c r="J348" s="14" t="inlineStr">
        <is>
          <t>[2025-11-17 DBA-ZGE20W 2010/03 ?km] パールホワイト色塗装の車で、ルーフ、ボンネット部分の塗装が剥がれた。
[2025-02-07 DBA-ZGE20G 2012/05 100000km] ボンネット、ピラー、ルーフ端部などで塗装が剥がれてきた。
[2024-04-08 DBA-ANE10G 2007/04 ?km] 電磁式トランクオープナスイッチのゴム製カバーから熱劣化によりゴム成分がしみ出した。</t>
        </is>
      </c>
    </row>
    <row r="349">
      <c r="A349" s="8" t="inlineStr">
        <is>
          <t>ウィッシュ</t>
        </is>
      </c>
      <c r="B349" s="8" t="inlineStr">
        <is>
          <t>（車種全体）</t>
        </is>
      </c>
      <c r="C349" s="8" t="inlineStr">
        <is>
          <t>その他</t>
        </is>
      </c>
      <c r="D349" s="11" t="n">
        <v>11</v>
      </c>
      <c r="E349" s="9" t="n">
        <v>8.6</v>
      </c>
      <c r="F349" s="11" t="n">
        <v>16000</v>
      </c>
      <c r="G349" s="8" t="n">
        <v>2005</v>
      </c>
      <c r="H349" s="8" t="n">
        <v>2010</v>
      </c>
      <c r="I349" s="14" t="inlineStr">
        <is>
          <t>CBA-ZNE10G, DBA-ANE10G, DBA-ZGE20G, DBA-ZGE20W, DBA-ZGE25G, DBA-ZNE10G, ZGE20W</t>
        </is>
      </c>
      <c r="J349" s="14" t="inlineStr">
        <is>
          <t>[2026-01-27 CBA-ZNE10G 2005/08 299999km] 総走行距離計が２９９９９９ｋｍから上がらない。
[2020-12-07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t>
        </is>
      </c>
    </row>
    <row r="350">
      <c r="A350" s="13" t="inlineStr">
        <is>
          <t>ウィッシュ</t>
        </is>
      </c>
      <c r="B350" s="13" t="inlineStr">
        <is>
          <t>（車種全体）</t>
        </is>
      </c>
      <c r="C350" s="13" t="inlineStr">
        <is>
          <t>制動装置</t>
        </is>
      </c>
      <c r="D350" s="15" t="n">
        <v>9</v>
      </c>
      <c r="E350" s="17" t="n">
        <v>7</v>
      </c>
      <c r="F350" s="15" t="n">
        <v>92200</v>
      </c>
      <c r="G350" s="13" t="n">
        <v>2004</v>
      </c>
      <c r="H350" s="13" t="n">
        <v>2010</v>
      </c>
      <c r="I350" s="14" t="inlineStr">
        <is>
          <t>CBA-ANE11W, CBA-ZNE14G, DBA-ZGE20G, DBA-ZGE20W, DBA-ZGE25G, DBA-ZNE10G, UA-ZNE10G</t>
        </is>
      </c>
      <c r="J350" s="14" t="inlineStr">
        <is>
          <t>[2018-09-26 DBA-ZGE25G 2010/03 125000km] 左後輪ブレーキのバックプレートが腐り、サイドブレーキのパーツが脱落したため、サイドブレーキが効かなくなった。
[2014-07-03 CBA-ANE11W 2004/02 75000km] ブレーキ系統からの漏れの形跡は全く無いのにも関わらずブレーキオイルが不自然に減る。
[2014-06-12 DBA-ZGE20W 2009/04 27500km] マスタシリンダのパッキンが割れてオイルが漏れたため、ブレーキが効かなくなった。</t>
        </is>
      </c>
    </row>
    <row r="351">
      <c r="A351" s="8" t="inlineStr">
        <is>
          <t>ウィッシュ</t>
        </is>
      </c>
      <c r="B351" s="8" t="inlineStr">
        <is>
          <t>（車種全体）</t>
        </is>
      </c>
      <c r="C351" s="8" t="inlineStr">
        <is>
          <t>保安灯火</t>
        </is>
      </c>
      <c r="D351" s="11" t="n">
        <v>7</v>
      </c>
      <c r="E351" s="9" t="n">
        <v>5.5</v>
      </c>
      <c r="F351" s="11" t="n">
        <v>46090</v>
      </c>
      <c r="G351" s="8" t="n">
        <v>2003</v>
      </c>
      <c r="H351" s="8" t="n">
        <v>2012</v>
      </c>
      <c r="I351" s="14" t="inlineStr">
        <is>
          <t>DBA-ZGE20W, DBA-ZGE25G, UA-ANE10G, UA-ZNE10G, UA-ZNE14G</t>
        </is>
      </c>
      <c r="J351"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52">
      <c r="A352" s="13" t="inlineStr">
        <is>
          <t>ウィッシュ</t>
        </is>
      </c>
      <c r="B352" s="13" t="inlineStr">
        <is>
          <t>（車種全体）</t>
        </is>
      </c>
      <c r="C352" s="13" t="inlineStr">
        <is>
          <t>かじ取り</t>
        </is>
      </c>
      <c r="D352" s="15" t="n">
        <v>5</v>
      </c>
      <c r="E352" s="17" t="n">
        <v>3.9</v>
      </c>
      <c r="F352" s="15" t="n">
        <v>66700</v>
      </c>
      <c r="G352" s="13" t="n">
        <v>2003</v>
      </c>
      <c r="H352" s="13" t="n">
        <v>2005</v>
      </c>
      <c r="I352" s="14" t="inlineStr">
        <is>
          <t>CBA-ZNE10G, UA-ZNE10G</t>
        </is>
      </c>
      <c r="J352"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53">
      <c r="A353" s="8" t="inlineStr">
        <is>
          <t>ウィッシュ</t>
        </is>
      </c>
      <c r="B353" s="8" t="inlineStr">
        <is>
          <t>（車種全体）</t>
        </is>
      </c>
      <c r="C353" s="8" t="inlineStr">
        <is>
          <t>乗車装置</t>
        </is>
      </c>
      <c r="D353" s="11" t="n">
        <v>4</v>
      </c>
      <c r="E353" s="9" t="n">
        <v>3.1</v>
      </c>
      <c r="F353" s="11" t="n">
        <v>66000</v>
      </c>
      <c r="G353" s="8" t="n">
        <v>2010</v>
      </c>
      <c r="H353" s="8" t="n">
        <v>2012</v>
      </c>
      <c r="I353" s="14" t="inlineStr">
        <is>
          <t>CBA-ZNE14G, DBA-ZGE20W, DBA-ZGE25G, DBA-ZNE10G</t>
        </is>
      </c>
      <c r="J353"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
[2010-02-04 DBA-ZNE10G  ?km] 前席ドアの上端部が鋭利な形状になっているため、誤って顔をぶつけた際に、切り傷を負った。</t>
        </is>
      </c>
    </row>
    <row r="354">
      <c r="A354" s="13" t="inlineStr">
        <is>
          <t>ウィッシュ</t>
        </is>
      </c>
      <c r="B354" s="13" t="inlineStr">
        <is>
          <t>（車種全体）</t>
        </is>
      </c>
      <c r="C354" s="13" t="inlineStr">
        <is>
          <t>走行装置</t>
        </is>
      </c>
      <c r="D354" s="15" t="n">
        <v>4</v>
      </c>
      <c r="E354" s="17" t="n">
        <v>3.1</v>
      </c>
      <c r="F354" s="15" t="n">
        <v>74000</v>
      </c>
      <c r="G354" s="13" t="n">
        <v>2003</v>
      </c>
      <c r="H354" s="13" t="n">
        <v>2014</v>
      </c>
      <c r="I354" s="14" t="inlineStr">
        <is>
          <t>DBA-ANE11W, DBA-ZGE25W, DBA-ZNE10G, UA-ZNE10G</t>
        </is>
      </c>
      <c r="J354" s="14" t="inlineStr">
        <is>
          <t>[2023-09-04 DBA-ZGE25W 2014/02 165662km] 一般道路を走行中、計器盤のスリップ表示灯、４ＷＤ警告灯、エンジン警告灯が点灯した。ディーラーでセンサーの誤作動と診断された。
[2009-04-28 UA-ZNE10G 2003/03 74000km] ハブ・ベアリングの劣化により、走行中に前輪から異音が発生した。
[2008-03-20 DBA-ZNE10G 2006/02 10150km] タイヤ交換時、ボルトを外してもホイールが外れない。ナットを締めていたら１本が折れた。</t>
        </is>
      </c>
    </row>
    <row r="355">
      <c r="A355" s="8" t="inlineStr">
        <is>
          <t>ウィッシュ</t>
        </is>
      </c>
      <c r="B355" s="8" t="inlineStr">
        <is>
          <t>（車種全体）</t>
        </is>
      </c>
      <c r="C355" s="8" t="inlineStr">
        <is>
          <t>排ｶﾞｽ･騒音</t>
        </is>
      </c>
      <c r="D355" s="11" t="n">
        <v>2</v>
      </c>
      <c r="E355" s="9" t="n">
        <v>1.6</v>
      </c>
      <c r="F355" s="11" t="n">
        <v>45500</v>
      </c>
      <c r="G355" s="8" t="n">
        <v>2007</v>
      </c>
      <c r="H355" s="8" t="n">
        <v>2008</v>
      </c>
      <c r="I355" s="14" t="inlineStr">
        <is>
          <t>CBA-ZNE14G, DBA-ZNE10G</t>
        </is>
      </c>
      <c r="J355"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56">
      <c r="A356" s="13" t="inlineStr">
        <is>
          <t>ウィッシュ</t>
        </is>
      </c>
      <c r="B356" s="13" t="inlineStr">
        <is>
          <t>（車種全体）</t>
        </is>
      </c>
      <c r="C356" s="13" t="inlineStr">
        <is>
          <t>燃料装置</t>
        </is>
      </c>
      <c r="D356" s="15" t="n">
        <v>2</v>
      </c>
      <c r="E356" s="17" t="n">
        <v>1.6</v>
      </c>
      <c r="F356" s="15" t="n">
        <v>26367</v>
      </c>
      <c r="G356" s="13" t="n">
        <v>2003</v>
      </c>
      <c r="H356" s="13" t="n">
        <v>2010</v>
      </c>
      <c r="I356" s="14" t="inlineStr">
        <is>
          <t>DBA-ZGE20G, UA-ANE10G</t>
        </is>
      </c>
      <c r="J356" s="14" t="inlineStr">
        <is>
          <t>[2016-04-14 DBA-ZGE20G 2010/07 26367km] エンジンルーム内での燃料供給管からガソリンが漏れた。
[2008-10-17 UA-ANE10G 2003/09 5000km] 燃料タンクの内部に発生した錆が燃料ポンプを詰まらせたため、エンジンが始動しなくなった。</t>
        </is>
      </c>
    </row>
    <row r="357">
      <c r="A357" s="8" t="inlineStr">
        <is>
          <t>ウィッシュ</t>
        </is>
      </c>
      <c r="B357" s="8" t="inlineStr">
        <is>
          <t>（車種全体）</t>
        </is>
      </c>
      <c r="C357" s="8" t="inlineStr">
        <is>
          <t>緩衝装置</t>
        </is>
      </c>
      <c r="D357" s="11" t="n">
        <v>2</v>
      </c>
      <c r="E357" s="9" t="n">
        <v>1.6</v>
      </c>
      <c r="F357" s="11" t="n">
        <v>110000</v>
      </c>
      <c r="G357" s="8" t="n">
        <v>2003</v>
      </c>
      <c r="H357" s="8" t="n">
        <v>2006</v>
      </c>
      <c r="I357" s="14" t="inlineStr">
        <is>
          <t>DBA-ZNE10G, UA-ANE10G</t>
        </is>
      </c>
      <c r="J357"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58">
      <c r="A358" s="13" t="inlineStr">
        <is>
          <t>ウィッシュ</t>
        </is>
      </c>
      <c r="B358" s="13" t="inlineStr">
        <is>
          <t>（車種全体）</t>
        </is>
      </c>
      <c r="C358" s="13" t="inlineStr">
        <is>
          <t>電気装置</t>
        </is>
      </c>
      <c r="D358" s="15" t="n">
        <v>2</v>
      </c>
      <c r="E358" s="17" t="n">
        <v>1.6</v>
      </c>
      <c r="F358" s="15" t="n">
        <v>93000</v>
      </c>
      <c r="G358" s="13" t="n">
        <v>2005</v>
      </c>
      <c r="H358" s="13" t="n">
        <v>2012</v>
      </c>
      <c r="I358" s="14" t="inlineStr">
        <is>
          <t>CBA-ZNE10G, DBA-ZGE20W</t>
        </is>
      </c>
      <c r="J358" s="14" t="inlineStr">
        <is>
          <t>[2017-07-21 DBA-ZGE20W 2012/03 13500km] 右後パワーウィンドウのモーター付近が焼損し、右後ドアトリム内で発煙、発火した。
[2016-04-07 CBA-ZNE10G 2005/04 93000km] 運転中にコンビネーションスイッチ周辺から発煙し、周囲のプラスチック部が焼けた。</t>
        </is>
      </c>
    </row>
    <row r="359">
      <c r="A359" s="8" t="inlineStr">
        <is>
          <t>ウィッシュ</t>
        </is>
      </c>
      <c r="B359" s="8" t="inlineStr">
        <is>
          <t>20系</t>
        </is>
      </c>
      <c r="C359" s="8" t="inlineStr">
        <is>
          <t>エンジン</t>
        </is>
      </c>
      <c r="D359" s="11" t="n">
        <v>16</v>
      </c>
      <c r="E359" s="9" t="n">
        <v>34</v>
      </c>
      <c r="F359" s="11" t="n">
        <v>42000</v>
      </c>
      <c r="G359" s="8" t="n">
        <v>2009</v>
      </c>
      <c r="H359" s="8" t="n">
        <v>2012</v>
      </c>
      <c r="I359" s="14" t="inlineStr">
        <is>
          <t>DBA-ZGE20G, DBA-ZGE20W, DBA-ZGE21G, DBA-ZGE25G</t>
        </is>
      </c>
      <c r="J359" s="14" t="inlineStr">
        <is>
          <t>[2022-10-11 DBA-ZGE20W 2012/11 84000km] 走行中に警告灯が点灯したため、ディーラーで調べてもらったところ、コンティニュアスリバリアブルバルブリフトコントローラの不良と診断された。
[2021-02-08 DBA-ZGE20W 2012/02 80966km] 高速道路を定速で走行中、アクセルが一定のままなのにエンジン回転が突然上がったり下がったりして最終的に走行不能に陥った。
[2020-12-25 DBA-ZGE20G 2012/05 80000km] コンティニュアスリバリアブルバルブリフトコントローラの不良により、走行中にエンジン警告灯が点灯するとともにエンジン回転数が上がらず、スピードも出なくなり路肩に停車した。</t>
        </is>
      </c>
    </row>
    <row r="360">
      <c r="A360" s="13" t="inlineStr">
        <is>
          <t>ウィッシュ</t>
        </is>
      </c>
      <c r="B360" s="13" t="inlineStr">
        <is>
          <t>20系</t>
        </is>
      </c>
      <c r="C360" s="13" t="inlineStr">
        <is>
          <t>車枠・車体</t>
        </is>
      </c>
      <c r="D360" s="15" t="n">
        <v>8</v>
      </c>
      <c r="E360" s="17" t="n">
        <v>17</v>
      </c>
      <c r="F360" s="15" t="n">
        <v>100000</v>
      </c>
      <c r="G360" s="13" t="n">
        <v>2009</v>
      </c>
      <c r="H360" s="13" t="n">
        <v>2013</v>
      </c>
      <c r="I360" s="14" t="inlineStr">
        <is>
          <t>DBA-ZGE20G, DBA-ZGE20W, DBA-ZGE25G</t>
        </is>
      </c>
      <c r="J360" s="14" t="inlineStr">
        <is>
          <t>[2025-11-17 DBA-ZGE20W 2010/03 ?km] パールホワイト色塗装の車で、ルーフ、ボンネット部分の塗装が剥がれた。
[2025-02-07 DBA-ZGE20G 2012/05 100000km] ボンネット、ピラー、ルーフ端部などで塗装が剥がれてきた。
[2023-05-08 DBA-ZGE20W 2013/12 120000km] 車両後部で雨漏りし、荷室がびちゃびちゃになった。整備工場でリヤハッチウェザーストリップの交換やコーキング補修などを行っているが、再発している。</t>
        </is>
      </c>
    </row>
    <row r="361">
      <c r="A361" s="8" t="inlineStr">
        <is>
          <t>ウィッシュ</t>
        </is>
      </c>
      <c r="B361" s="8" t="inlineStr">
        <is>
          <t>20系</t>
        </is>
      </c>
      <c r="C361" s="8" t="inlineStr">
        <is>
          <t>その他</t>
        </is>
      </c>
      <c r="D361" s="11" t="n">
        <v>6</v>
      </c>
      <c r="E361" s="9" t="n">
        <v>12.8</v>
      </c>
      <c r="F361" s="11" t="n">
        <v>16000</v>
      </c>
      <c r="G361" s="8" t="n">
        <v>2009</v>
      </c>
      <c r="H361" s="8" t="n">
        <v>2010</v>
      </c>
      <c r="I361" s="14" t="inlineStr">
        <is>
          <t>DBA-ZGE20G, DBA-ZGE20W, DBA-ZGE25G</t>
        </is>
      </c>
      <c r="J361" s="14" t="inlineStr">
        <is>
          <t>[2020-12-07 DBA-ZGE20G 2010/06 ?km] トヨタ純正のＥＴＣを装着し、特定のインターチェンジを通過すると、ゲートを通過した直後にＥＴＣ本体のパイロットランプが消灯し、エラー音が鳴る。
[2013-02-08 DBA-ZGE25G 2009/06 16000km] 満タンに入れても燃料計のゲージが上がらない。
[2012-12-22 DBA-ZGE20G 2009/09 19100km] スマートキーが突然使用できなくなった。電池交換の時期かと思い電池を交換したが、次の日にはまた使えなくなった。</t>
        </is>
      </c>
    </row>
    <row r="362">
      <c r="A362" s="13" t="inlineStr">
        <is>
          <t>ウィッシュ</t>
        </is>
      </c>
      <c r="B362" s="13" t="inlineStr">
        <is>
          <t>20系</t>
        </is>
      </c>
      <c r="C362" s="13" t="inlineStr">
        <is>
          <t>動力伝達</t>
        </is>
      </c>
      <c r="D362" s="15" t="n">
        <v>6</v>
      </c>
      <c r="E362" s="17" t="n">
        <v>12.8</v>
      </c>
      <c r="F362" s="15" t="n">
        <v>38000</v>
      </c>
      <c r="G362" s="13" t="n">
        <v>2009</v>
      </c>
      <c r="H362" s="13" t="n">
        <v>2017</v>
      </c>
      <c r="I362" s="14" t="inlineStr">
        <is>
          <t>DBA-ZGE20G, DBA-ZGE20W, DBA-ZGE25W</t>
        </is>
      </c>
      <c r="J362" s="14" t="inlineStr">
        <is>
          <t>[2022-07-24 DBA-ZGE20W 2014/01 80793km] 走行中、青信号でスタート後、５～６秒後にエンジンが突然停止した。ディーラーで確認の結果オルタネーターの不具合が原因と診断された。
[2017-11-02 DBA-ZGE25W 2010/11 70793km] 車検時の運転でリヤデフのエレクトロマグネティックＣＴＬカップリングの異音を発見した。
[2017-06-09 DBA-ZGE20G 2017/03 1000km] アクセルペダルを離して、また踏み込むとカツンと異音がある。</t>
        </is>
      </c>
    </row>
    <row r="363">
      <c r="A363" s="8" t="inlineStr">
        <is>
          <t>ウィッシュ</t>
        </is>
      </c>
      <c r="B363" s="8" t="inlineStr">
        <is>
          <t>20系</t>
        </is>
      </c>
      <c r="C363" s="8" t="inlineStr">
        <is>
          <t>保安灯火</t>
        </is>
      </c>
      <c r="D363" s="11" t="n">
        <v>3</v>
      </c>
      <c r="E363" s="9" t="n">
        <v>6.4</v>
      </c>
      <c r="F363" s="11" t="n">
        <v>46090</v>
      </c>
      <c r="G363" s="8" t="n">
        <v>2009</v>
      </c>
      <c r="H363" s="8" t="n">
        <v>2012</v>
      </c>
      <c r="I363" s="14" t="inlineStr">
        <is>
          <t>DBA-ZGE20W, DBA-ZGE25G</t>
        </is>
      </c>
      <c r="J363" s="14" t="inlineStr">
        <is>
          <t>[2019-03-08 DBA-ZGE20W 2009/09 46090km] 走行中に運転席側後部座席ドアから煙が発生した。
[2018-07-26 DBA-ZGE25G 2010/12 90933km] 右後席パワーウインドウが動かなくなった。
[2013-09-02 DBA-ZGE20W 2012/11 10050km] 夜間、フロントガラス越しに見える信号機、街灯、対向車のヘッドライトなどが三重にぼやけて見えて、遠近感が狂い運転しにくい。</t>
        </is>
      </c>
    </row>
    <row r="364">
      <c r="A364" s="13" t="inlineStr">
        <is>
          <t>ウィッシュ</t>
        </is>
      </c>
      <c r="B364" s="13" t="inlineStr">
        <is>
          <t>20系</t>
        </is>
      </c>
      <c r="C364" s="13" t="inlineStr">
        <is>
          <t>制動装置</t>
        </is>
      </c>
      <c r="D364" s="15" t="n">
        <v>3</v>
      </c>
      <c r="E364" s="17" t="n">
        <v>6.4</v>
      </c>
      <c r="F364" s="15" t="n">
        <v>125000</v>
      </c>
      <c r="G364" s="13" t="n">
        <v>2009</v>
      </c>
      <c r="H364" s="13" t="n">
        <v>2010</v>
      </c>
      <c r="I364" s="14" t="inlineStr">
        <is>
          <t>DBA-ZGE20W, DBA-ZGE25G</t>
        </is>
      </c>
      <c r="J364" s="14" t="inlineStr">
        <is>
          <t>[2018-09-26 DBA-ZGE25G 2010/03 125000km] 左後輪ブレーキのバックプレートが腐り、サイドブレーキのパーツが脱落したため、サイドブレーキが効かなくなった。
[2014-06-12 DBA-ZGE20W 2009/04 27500km] マスタシリンダのパッキンが割れてオイルが漏れたため、ブレーキが効かなくなった。
[2010-03-08 DBA-ZGE20W 2009/11 ?km] ブレーキペダルのアーム部の形状が悪く、２７ｃｍの靴でペダルを踏み込もうとすると、つま先周りがアーム部に当たり、ペダルがしっかりと踏めない。</t>
        </is>
      </c>
    </row>
    <row r="365">
      <c r="A365" s="8" t="inlineStr">
        <is>
          <t>ウィッシュ</t>
        </is>
      </c>
      <c r="B365" s="8" t="inlineStr">
        <is>
          <t>20系</t>
        </is>
      </c>
      <c r="C365" s="8" t="inlineStr">
        <is>
          <t>乗車装置</t>
        </is>
      </c>
      <c r="D365" s="11" t="n">
        <v>2</v>
      </c>
      <c r="E365" s="9" t="n">
        <v>4.3</v>
      </c>
      <c r="F365" s="11" t="n">
        <v>66000</v>
      </c>
      <c r="G365" s="8" t="n">
        <v>2010</v>
      </c>
      <c r="H365" s="8" t="n">
        <v>2012</v>
      </c>
      <c r="I365" s="14" t="inlineStr">
        <is>
          <t>DBA-ZGE20W, DBA-ZGE25G</t>
        </is>
      </c>
      <c r="J365" s="14" t="inlineStr">
        <is>
          <t>[2014-10-09 DBA-ZGE20W 2010/01 66000km] ４０～５０ｋｍ／ｈ位で走行中に前方に車が飛び出してきたため、その車両の側面に衝突し、車両が全損の扱いになるほどの大破をしたが、エアバッグが開かなかった。
[2013-07-11 DBA-ZGE25G 2012/12 640km] フレンドマチック（障害者補助装置搭載車）専用の運転席パワーシートにおいて、パワーシートの有線リモコンが走行中の振動等の影響で収納部から脱落しやすく、且つそのリモコンに蛍光塗料や電球などの視認性を良くするものが付けられていないために発見しにくい。また、配線がアクセルペダル右横の電源部に接続されていることから足に絡まった事もある。</t>
        </is>
      </c>
    </row>
    <row r="366">
      <c r="A366" s="13" t="inlineStr">
        <is>
          <t>ウィッシュ</t>
        </is>
      </c>
      <c r="B366" s="13" t="inlineStr">
        <is>
          <t>20系</t>
        </is>
      </c>
      <c r="C366" s="13" t="inlineStr">
        <is>
          <t>燃料装置</t>
        </is>
      </c>
      <c r="D366" s="15" t="n">
        <v>1</v>
      </c>
      <c r="E366" s="17" t="n">
        <v>2.1</v>
      </c>
      <c r="F366" s="15" t="n">
        <v>26367</v>
      </c>
      <c r="G366" s="13" t="n">
        <v>2010</v>
      </c>
      <c r="H366" s="13" t="n">
        <v>2010</v>
      </c>
      <c r="I366" s="14" t="inlineStr">
        <is>
          <t>DBA-ZGE20G</t>
        </is>
      </c>
      <c r="J366" s="14" t="inlineStr">
        <is>
          <t>[2016-04-14 DBA-ZGE20G 2010/07 26367km] エンジンルーム内での燃料供給管からガソリンが漏れた。</t>
        </is>
      </c>
    </row>
    <row r="367">
      <c r="A367" s="8" t="inlineStr">
        <is>
          <t>ウィッシュ</t>
        </is>
      </c>
      <c r="B367" s="8" t="inlineStr">
        <is>
          <t>20系</t>
        </is>
      </c>
      <c r="C367" s="8" t="inlineStr">
        <is>
          <t>走行装置</t>
        </is>
      </c>
      <c r="D367" s="11" t="n">
        <v>1</v>
      </c>
      <c r="E367" s="9" t="n">
        <v>2.1</v>
      </c>
      <c r="F367" s="11" t="n">
        <v>165662</v>
      </c>
      <c r="G367" s="8" t="n">
        <v>2014</v>
      </c>
      <c r="H367" s="8" t="n">
        <v>2014</v>
      </c>
      <c r="I367" s="14" t="inlineStr">
        <is>
          <t>DBA-ZGE25W</t>
        </is>
      </c>
      <c r="J367" s="14" t="inlineStr">
        <is>
          <t>[2023-09-04 DBA-ZGE25W 2014/02 165662km] 一般道路を走行中、計器盤のスリップ表示灯、４ＷＤ警告灯、エンジン警告灯が点灯した。ディーラーでセンサーの誤作動と診断された。</t>
        </is>
      </c>
    </row>
    <row r="368">
      <c r="A368" s="13" t="inlineStr">
        <is>
          <t>ウィッシュ</t>
        </is>
      </c>
      <c r="B368" s="13" t="inlineStr">
        <is>
          <t>20系</t>
        </is>
      </c>
      <c r="C368" s="13" t="inlineStr">
        <is>
          <t>電気装置</t>
        </is>
      </c>
      <c r="D368" s="15" t="n">
        <v>1</v>
      </c>
      <c r="E368" s="17" t="n">
        <v>2.1</v>
      </c>
      <c r="F368" s="15" t="n">
        <v>13500</v>
      </c>
      <c r="G368" s="13" t="n">
        <v>2012</v>
      </c>
      <c r="H368" s="13" t="n">
        <v>2012</v>
      </c>
      <c r="I368" s="14" t="inlineStr">
        <is>
          <t>DBA-ZGE20W</t>
        </is>
      </c>
      <c r="J368" s="14" t="inlineStr">
        <is>
          <t>[2017-07-21 DBA-ZGE20W 2012/03 13500km] 右後パワーウィンドウのモーター付近が焼損し、右後ドアトリム内で発煙、発火した。</t>
        </is>
      </c>
    </row>
    <row r="369">
      <c r="A369" s="8" t="inlineStr">
        <is>
          <t>ウィッシュ</t>
        </is>
      </c>
      <c r="B369" s="8" t="inlineStr">
        <is>
          <t>不明</t>
        </is>
      </c>
      <c r="C369" s="8" t="inlineStr">
        <is>
          <t>動力伝達</t>
        </is>
      </c>
      <c r="D369" s="11" t="n">
        <v>22</v>
      </c>
      <c r="E369" s="9" t="n">
        <v>27.2</v>
      </c>
      <c r="F369" s="11" t="n">
        <v>55000</v>
      </c>
      <c r="G369" s="8" t="n">
        <v>2003</v>
      </c>
      <c r="H369" s="8" t="n">
        <v>2009</v>
      </c>
      <c r="I369" s="14" t="inlineStr">
        <is>
          <t>ANE10, CBA-ANE10G, CBA-ZNE10G, CBA-ZNE14G, DBA-ZNE10G, UA-ANE10G, UA-ANE11W, UA-ZNE10G, UA-ZNE14G, ZNE10G</t>
        </is>
      </c>
      <c r="J369" s="14" t="inlineStr">
        <is>
          <t>[2018-06-08 UA-ANE10G 2003/05 54000km] ハンドルをいっぱいに切って発進すると等速ジョイントあたりから、カタカタカタと連続音が発生する。
[2017-09-02 CBA-ZNE14G 2009/02 54748km] ４ＷＤカップリングの不良により、走行中に後部からガガガと異音がし、止まったら前にも後ろにも動けなくなった。メーターパネルには４ＷＤランプが点灯していた。
[2017-06-09 DBA-ZNE10G 2006/12 30000km] 変速機に亀裂が生じ、オイルが漏れて無くなったため、坂道で一時停止をし、発進しようとした際にエンジンが止まり、後退してしまった。</t>
        </is>
      </c>
    </row>
    <row r="370">
      <c r="A370" s="13" t="inlineStr">
        <is>
          <t>ウィッシュ</t>
        </is>
      </c>
      <c r="B370" s="13" t="inlineStr">
        <is>
          <t>不明</t>
        </is>
      </c>
      <c r="C370" s="13" t="inlineStr">
        <is>
          <t>エンジン</t>
        </is>
      </c>
      <c r="D370" s="15" t="n">
        <v>16</v>
      </c>
      <c r="E370" s="17" t="n">
        <v>19.8</v>
      </c>
      <c r="F370" s="15" t="n">
        <v>88650</v>
      </c>
      <c r="G370" s="13" t="n">
        <v>2003</v>
      </c>
      <c r="H370" s="13" t="n">
        <v>2008</v>
      </c>
      <c r="I370" s="14" t="inlineStr">
        <is>
          <t>CBA-ANE10G, CBA-ZNE10G, DBA-ANE10G, DBA-NNE10G, DBA-ZGE20G, DBA-ZNE10G, UA-ANE11W, UA-ZNE10G</t>
        </is>
      </c>
      <c r="J370" s="14" t="inlineStr">
        <is>
          <t>[2021-02-27 CBA-ZNE10G 2004/03 161100km] 走行時、特に５０ｋｍ／ｈ以上出ている時にエンジンルーム内から「ゴーゴー」と毎回異音がする。
[2016-02-24 DBA-ZNE10G 2008/06 112900km] エンジンオイルの消費が激しく、２０００ｋｍで空に近いほど減る。
[2016-01-18 DBA-ANE10G  100000km] エンジンオイルの消費が激しくなった。</t>
        </is>
      </c>
    </row>
    <row r="371">
      <c r="A371" s="8" t="inlineStr">
        <is>
          <t>ウィッシュ</t>
        </is>
      </c>
      <c r="B371" s="8" t="inlineStr">
        <is>
          <t>不明</t>
        </is>
      </c>
      <c r="C371" s="8" t="inlineStr">
        <is>
          <t>車枠・車体</t>
        </is>
      </c>
      <c r="D371" s="11" t="n">
        <v>12</v>
      </c>
      <c r="E371" s="9" t="n">
        <v>14.8</v>
      </c>
      <c r="F371" s="11" t="n">
        <v>89000</v>
      </c>
      <c r="G371" s="8" t="n">
        <v>2003</v>
      </c>
      <c r="H371" s="8" t="n">
        <v>2008</v>
      </c>
      <c r="I371" s="14" t="inlineStr">
        <is>
          <t>CBA-ZNE14G, DBA-ANE10G, DBA-ANE11W, DBA-ZGE20G, DBA-ZNE10G, UA-ANE11W, UA-ZNE10G, UA-ZNE14G</t>
        </is>
      </c>
      <c r="J371" s="14" t="inlineStr">
        <is>
          <t>[2024-04-08 DBA-ANE10G 2007/04 ?km] 電磁式トランクオープナスイッチのゴム製カバーから熱劣化によりゴム成分がしみ出した。
[2022-10-01 DBA-ANE11W 2008/06 120000km] エンジンルームや車内に燃料の匂いがする。
[2018-10-03 CBA-ZNE14G 2005/02 89000km] パールホワイト色塗装の車で、ハッチバックドアの一部の塗装が剥離した。</t>
        </is>
      </c>
    </row>
    <row r="372">
      <c r="A372" s="13" t="inlineStr">
        <is>
          <t>ウィッシュ</t>
        </is>
      </c>
      <c r="B372" s="13" t="inlineStr">
        <is>
          <t>不明</t>
        </is>
      </c>
      <c r="C372" s="13" t="inlineStr">
        <is>
          <t>制動装置</t>
        </is>
      </c>
      <c r="D372" s="15" t="n">
        <v>6</v>
      </c>
      <c r="E372" s="17" t="n">
        <v>7.4</v>
      </c>
      <c r="F372" s="15" t="n">
        <v>92200</v>
      </c>
      <c r="G372" s="13" t="n">
        <v>2004</v>
      </c>
      <c r="H372" s="13" t="n">
        <v>2005</v>
      </c>
      <c r="I372" s="14" t="inlineStr">
        <is>
          <t>CBA-ANE11W, CBA-ZNE14G, DBA-ZGE20G, DBA-ZNE10G, UA-ZNE10G</t>
        </is>
      </c>
      <c r="J372" s="14" t="inlineStr">
        <is>
          <t>[2014-07-03 CBA-ANE11W 2004/02 75000km] ブレーキ系統からの漏れの形跡は全く無いのにも関わらずブレーキオイルが不自然に減る。
[2012-03-09 CBA-ZNE14G 2005/03 170600km] 車検に出して１週間後に、ハンマーで車の下側を叩かれるような大きな音がした後、車が重くなって、動きが悪くなったと感じたので、再入庫したところ、サイドブレーキ（インナーシュータイプ型）のインナーシューを留めている「パーキングブレーキシューホールドダウンスプリングピン」の下側が折れたので、サイドブレーキが引きずる形となっていたと回答があった。
[2010-04-28 DBA-ZNE10G  ?km] ブレーキペダルを踏み、停止している最中にガクンと衝撃が出ることがある。</t>
        </is>
      </c>
    </row>
    <row r="373">
      <c r="A373" s="8" t="inlineStr">
        <is>
          <t>ウィッシュ</t>
        </is>
      </c>
      <c r="B373" s="8" t="inlineStr">
        <is>
          <t>不明</t>
        </is>
      </c>
      <c r="C373" s="8" t="inlineStr">
        <is>
          <t>かじ取り</t>
        </is>
      </c>
      <c r="D373" s="11" t="n">
        <v>5</v>
      </c>
      <c r="E373" s="9" t="n">
        <v>6.2</v>
      </c>
      <c r="F373" s="11" t="n">
        <v>66700</v>
      </c>
      <c r="G373" s="8" t="n">
        <v>2003</v>
      </c>
      <c r="H373" s="8" t="n">
        <v>2005</v>
      </c>
      <c r="I373" s="14" t="inlineStr">
        <is>
          <t>CBA-ZNE10G, UA-ZNE10G</t>
        </is>
      </c>
      <c r="J373" s="14" t="inlineStr">
        <is>
          <t>[2017-07-05 CBA-ZNE10G 2004/07 31700km] 停止状態からハンドルを１５度くらい切って発進するとステアリングホイールにガタっと音を伴い振動が伝わるようになった。
[2017-03-03 CBA-ZNE10G 2005/02 ?km] 運転操作を誤り、側溝に車輪を落としてしまったが、脱輪した車輪のアーム周りだけでなくステアリングラックまで破損した。
[2015-02-19 CBA-ZNE10G 2004/03 187878km] 高速道路を走行中、突然ハンドル操作が重くなり、警告灯が点灯した。</t>
        </is>
      </c>
    </row>
    <row r="374">
      <c r="A374" s="13" t="inlineStr">
        <is>
          <t>ウィッシュ</t>
        </is>
      </c>
      <c r="B374" s="13" t="inlineStr">
        <is>
          <t>不明</t>
        </is>
      </c>
      <c r="C374" s="13" t="inlineStr">
        <is>
          <t>その他</t>
        </is>
      </c>
      <c r="D374" s="15" t="n">
        <v>5</v>
      </c>
      <c r="E374" s="17" t="n">
        <v>6.2</v>
      </c>
      <c r="F374" s="15" t="n">
        <v>23225</v>
      </c>
      <c r="G374" s="13" t="n">
        <v>2005</v>
      </c>
      <c r="H374" s="13" t="n">
        <v>2007</v>
      </c>
      <c r="I374" s="14" t="inlineStr">
        <is>
          <t>CBA-ZNE10G, DBA-ANE10G, DBA-ZNE10G, ZGE20W</t>
        </is>
      </c>
      <c r="J374" s="14" t="inlineStr">
        <is>
          <t>[2026-01-27 CBA-ZNE10G 2005/08 299999km] 総走行距離計が２９９９９９ｋｍから上がらない。
[2010-07-15 DBA-ANE10G 2006/04 23225km] 燃料計の不良により、燃料があるのに残量がゼロ表示になる。しばらくすると復帰する。
[2010-01-28 ZGE20W  5000km] エアコンを使用すると異臭がする。</t>
        </is>
      </c>
    </row>
    <row r="375">
      <c r="A375" s="8" t="inlineStr">
        <is>
          <t>ウィッシュ</t>
        </is>
      </c>
      <c r="B375" s="8" t="inlineStr">
        <is>
          <t>不明</t>
        </is>
      </c>
      <c r="C375" s="8" t="inlineStr">
        <is>
          <t>保安灯火</t>
        </is>
      </c>
      <c r="D375" s="11" t="n">
        <v>4</v>
      </c>
      <c r="E375" s="9" t="n">
        <v>4.9</v>
      </c>
      <c r="F375" s="11" t="n">
        <v>81000</v>
      </c>
      <c r="G375" s="8" t="n">
        <v>2003</v>
      </c>
      <c r="H375" s="8" t="n">
        <v>2003</v>
      </c>
      <c r="I375" s="14" t="inlineStr">
        <is>
          <t>UA-ANE10G, UA-ZNE10G, UA-ZNE14G</t>
        </is>
      </c>
      <c r="J375" s="14" t="inlineStr">
        <is>
          <t>[2013-03-29 UA-ZNE14G 2003/04 104000km] 助手席側の窓ガラスを上下すると「バキッ」と異音がし、そのまま閉めてもガラスがずれて後方に隙間が出来る。
[2011-03-10 UA-ZNE14G 2003/02 81000km] フロントガラスにおいて、目立った飛び石傷等が無いのにも関わらず、運転席ワイパーの先端辺りを起点に亀裂が入った。
[2008-06-11 UA-ZNE10G 2003/06 39000km] 前照灯のレンズの表面が劣化で黄色くすすけていることにより、ヘッドライトの光度が低下した。</t>
        </is>
      </c>
    </row>
    <row r="376">
      <c r="A376" s="13" t="inlineStr">
        <is>
          <t>ウィッシュ</t>
        </is>
      </c>
      <c r="B376" s="13" t="inlineStr">
        <is>
          <t>不明</t>
        </is>
      </c>
      <c r="C376" s="13" t="inlineStr">
        <is>
          <t>走行装置</t>
        </is>
      </c>
      <c r="D376" s="15" t="n">
        <v>3</v>
      </c>
      <c r="E376" s="17" t="n">
        <v>3.7</v>
      </c>
      <c r="F376" s="15" t="n">
        <v>18435</v>
      </c>
      <c r="G376" s="13" t="n">
        <v>2003</v>
      </c>
      <c r="H376" s="13" t="n">
        <v>2006</v>
      </c>
      <c r="I376" s="14" t="inlineStr">
        <is>
          <t>DBA-ANE11W, DBA-ZNE10G, UA-ZNE10G</t>
        </is>
      </c>
      <c r="J376" s="14" t="inlineStr">
        <is>
          <t>[2009-04-28 UA-ZNE10G 2003/03 74000km] ハブ・ベアリングの劣化により、走行中に前輪から異音が発生した。
[2008-03-20 DBA-ZNE10G 2006/02 10150km] タイヤ交換時、ボルトを外してもホイールが外れない。ナットを締めていたら１本が折れた。
[2008-02-15 DBA-ANE11W 2005/05 18435km] タイヤローテーション作業中、強いトルクをかける前からホイールボルトが折損した。</t>
        </is>
      </c>
    </row>
    <row r="377">
      <c r="A377" s="8" t="inlineStr">
        <is>
          <t>ウィッシュ</t>
        </is>
      </c>
      <c r="B377" s="8" t="inlineStr">
        <is>
          <t>不明</t>
        </is>
      </c>
      <c r="C377" s="8" t="inlineStr">
        <is>
          <t>乗車装置</t>
        </is>
      </c>
      <c r="D377" s="11" t="n">
        <v>2</v>
      </c>
      <c r="E377" s="9" t="n">
        <v>2.5</v>
      </c>
      <c r="F377" s="11" t="n"/>
      <c r="G377" s="8" t="n"/>
      <c r="H377" s="8" t="n"/>
      <c r="I377" s="14" t="inlineStr">
        <is>
          <t>CBA-ZNE14G, DBA-ZNE10G</t>
        </is>
      </c>
      <c r="J377" s="14" t="inlineStr">
        <is>
          <t>[2010-02-04 DBA-ZNE10G  ?km] 前席ドアの上端部が鋭利な形状になっているため、誤って顔をぶつけた際に、切り傷を負った。
[2009-12-21 CBA-ZNE14G  ?km] バックドアダンパーの不良で、気温の低い時期になると、バックドアが開けた状態を保持できなくなる。</t>
        </is>
      </c>
    </row>
    <row r="378">
      <c r="A378" s="13" t="inlineStr">
        <is>
          <t>ウィッシュ</t>
        </is>
      </c>
      <c r="B378" s="13" t="inlineStr">
        <is>
          <t>不明</t>
        </is>
      </c>
      <c r="C378" s="13" t="inlineStr">
        <is>
          <t>排ｶﾞｽ･騒音</t>
        </is>
      </c>
      <c r="D378" s="15" t="n">
        <v>2</v>
      </c>
      <c r="E378" s="17" t="n">
        <v>2.5</v>
      </c>
      <c r="F378" s="15" t="n">
        <v>45500</v>
      </c>
      <c r="G378" s="13" t="n">
        <v>2007</v>
      </c>
      <c r="H378" s="13" t="n">
        <v>2008</v>
      </c>
      <c r="I378" s="14" t="inlineStr">
        <is>
          <t>CBA-ZNE14G, DBA-ZNE10G</t>
        </is>
      </c>
      <c r="J378" s="14" t="inlineStr">
        <is>
          <t>[2011-11-04 DBA-ZNE10G 2008/02 35000km] 年間２０回程度、海辺にレジャー使用する使い方をしていたところ、下回りの洗車をしていなかったため、３年半程度で、排気管の遮熱板が腐食し、脱落した。
[2010-09-08 CBA-ZNE14G 2007/05 45500km] ３年２か月でマフラーに穴が開いた。</t>
        </is>
      </c>
    </row>
    <row r="379">
      <c r="A379" s="8" t="inlineStr">
        <is>
          <t>ウィッシュ</t>
        </is>
      </c>
      <c r="B379" s="8" t="inlineStr">
        <is>
          <t>不明</t>
        </is>
      </c>
      <c r="C379" s="8" t="inlineStr">
        <is>
          <t>緩衝装置</t>
        </is>
      </c>
      <c r="D379" s="11" t="n">
        <v>2</v>
      </c>
      <c r="E379" s="9" t="n">
        <v>2.5</v>
      </c>
      <c r="F379" s="11" t="n">
        <v>110000</v>
      </c>
      <c r="G379" s="8" t="n">
        <v>2003</v>
      </c>
      <c r="H379" s="8" t="n">
        <v>2006</v>
      </c>
      <c r="I379" s="14" t="inlineStr">
        <is>
          <t>DBA-ZNE10G, UA-ANE10G</t>
        </is>
      </c>
      <c r="J379" s="14" t="inlineStr">
        <is>
          <t>[2014-05-26 UA-ANE10G 2003/09 110000km] 前輪のスタビライザーのゴムの損傷により、異音がするようになった。
[2013-10-10 DBA-ZNE10G 2006/09 64000km] 車検の点検時にリヤショックアブソーバーからのオイル漏れを指摘された。</t>
        </is>
      </c>
    </row>
    <row r="380">
      <c r="A380" s="13" t="inlineStr">
        <is>
          <t>ウィッシュ</t>
        </is>
      </c>
      <c r="B380" s="13" t="inlineStr">
        <is>
          <t>不明</t>
        </is>
      </c>
      <c r="C380" s="13" t="inlineStr">
        <is>
          <t>燃料装置</t>
        </is>
      </c>
      <c r="D380" s="15" t="n">
        <v>1</v>
      </c>
      <c r="E380" s="17" t="n">
        <v>1.2</v>
      </c>
      <c r="F380" s="15" t="n">
        <v>5000</v>
      </c>
      <c r="G380" s="13" t="n">
        <v>2003</v>
      </c>
      <c r="H380" s="13" t="n">
        <v>2003</v>
      </c>
      <c r="I380" s="14" t="inlineStr">
        <is>
          <t>UA-ANE10G</t>
        </is>
      </c>
      <c r="J380" s="14" t="inlineStr">
        <is>
          <t>[2008-10-17 UA-ANE10G 2003/09 5000km] 燃料タンクの内部に発生した錆が燃料ポンプを詰まらせたため、エンジンが始動しなくなった。</t>
        </is>
      </c>
    </row>
    <row r="381">
      <c r="A381" s="8" t="inlineStr">
        <is>
          <t>ウィッシュ</t>
        </is>
      </c>
      <c r="B381" s="8" t="inlineStr">
        <is>
          <t>不明</t>
        </is>
      </c>
      <c r="C381" s="8" t="inlineStr">
        <is>
          <t>電気装置</t>
        </is>
      </c>
      <c r="D381" s="11" t="n">
        <v>1</v>
      </c>
      <c r="E381" s="9" t="n">
        <v>1.2</v>
      </c>
      <c r="F381" s="11" t="n">
        <v>93000</v>
      </c>
      <c r="G381" s="8" t="n">
        <v>2005</v>
      </c>
      <c r="H381" s="8" t="n">
        <v>2005</v>
      </c>
      <c r="I381" s="14" t="inlineStr">
        <is>
          <t>CBA-ZNE10G</t>
        </is>
      </c>
      <c r="J381" s="14" t="inlineStr">
        <is>
          <t>[2016-04-07 CBA-ZNE10G 2005/04 93000km] 運転中にコンビネーションスイッチ周辺から発煙し、周囲のプラスチック部が焼けた。</t>
        </is>
      </c>
    </row>
    <row r="382">
      <c r="A382" s="13" t="inlineStr">
        <is>
          <t>プリウスα</t>
        </is>
      </c>
      <c r="B382" s="13" t="inlineStr">
        <is>
          <t>（車種全体）</t>
        </is>
      </c>
      <c r="C382" s="13" t="inlineStr">
        <is>
          <t>制動装置</t>
        </is>
      </c>
      <c r="D382" s="15" t="n">
        <v>75</v>
      </c>
      <c r="E382" s="17" t="n">
        <v>51.4</v>
      </c>
      <c r="F382" s="15" t="n">
        <v>129735</v>
      </c>
      <c r="G382" s="13" t="n">
        <v>2011</v>
      </c>
      <c r="H382" s="13" t="n">
        <v>2020</v>
      </c>
      <c r="I382" s="14" t="inlineStr">
        <is>
          <t>DAA-ZVW40W, DAA-ZVW41, DAA-ZVW411W, DAA-ZVW41W</t>
        </is>
      </c>
      <c r="J382"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83">
      <c r="A383" s="8" t="inlineStr">
        <is>
          <t>プリウスα</t>
        </is>
      </c>
      <c r="B383" s="8" t="inlineStr">
        <is>
          <t>（車種全体）</t>
        </is>
      </c>
      <c r="C383" s="8" t="inlineStr">
        <is>
          <t>エンジン</t>
        </is>
      </c>
      <c r="D383" s="11" t="n">
        <v>15</v>
      </c>
      <c r="E383" s="9" t="n">
        <v>10.3</v>
      </c>
      <c r="F383" s="11" t="n">
        <v>47600</v>
      </c>
      <c r="G383" s="8" t="n">
        <v>2011</v>
      </c>
      <c r="H383" s="8" t="n">
        <v>2015</v>
      </c>
      <c r="I383" s="14" t="inlineStr">
        <is>
          <t>DAA-ZVW40W, DAA-ZVW41W</t>
        </is>
      </c>
      <c r="J383"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84">
      <c r="A384" s="13" t="inlineStr">
        <is>
          <t>プリウスα</t>
        </is>
      </c>
      <c r="B384" s="13" t="inlineStr">
        <is>
          <t>（車種全体）</t>
        </is>
      </c>
      <c r="C384" s="13" t="inlineStr">
        <is>
          <t>電動機(モーター)</t>
        </is>
      </c>
      <c r="D384" s="15" t="n">
        <v>11</v>
      </c>
      <c r="E384" s="17" t="n">
        <v>7.5</v>
      </c>
      <c r="F384" s="15" t="n">
        <v>103000</v>
      </c>
      <c r="G384" s="13" t="n">
        <v>2011</v>
      </c>
      <c r="H384" s="13" t="n">
        <v>2014</v>
      </c>
      <c r="I384" s="14" t="inlineStr">
        <is>
          <t>DAA-ZVW40W, DAA-ZVW41W</t>
        </is>
      </c>
      <c r="J384"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85">
      <c r="A385" s="8" t="inlineStr">
        <is>
          <t>プリウスα</t>
        </is>
      </c>
      <c r="B385" s="8" t="inlineStr">
        <is>
          <t>（車種全体）</t>
        </is>
      </c>
      <c r="C385" s="8" t="inlineStr">
        <is>
          <t>保安灯火</t>
        </is>
      </c>
      <c r="D385" s="11" t="n">
        <v>8</v>
      </c>
      <c r="E385" s="9" t="n">
        <v>5.5</v>
      </c>
      <c r="F385" s="11" t="n">
        <v>86200</v>
      </c>
      <c r="G385" s="8" t="n">
        <v>2011</v>
      </c>
      <c r="H385" s="8" t="n">
        <v>2013</v>
      </c>
      <c r="I385" s="14" t="inlineStr">
        <is>
          <t>DAA-ZVW41W</t>
        </is>
      </c>
      <c r="J385" s="14" t="inlineStr">
        <is>
          <t>[2019-10-16 DAA-ZVW41W 2011/04 108000km] フロントガラスのガラスとガラスの間に気泡が発生した。
[2017-12-01 DAA-ZVW41W 2011/12 86200km] ワイパーブレードごと新品に変えても運転席側のワイパーの拭き残しがいつもある。
[2017-02-20 DAA-ZVW41W 2013/04 ?km] 毎年、冬季にフロントガラスに亀裂が入る。</t>
        </is>
      </c>
    </row>
    <row r="386">
      <c r="A386" s="13" t="inlineStr">
        <is>
          <t>プリウスα</t>
        </is>
      </c>
      <c r="B386" s="13" t="inlineStr">
        <is>
          <t>（車種全体）</t>
        </is>
      </c>
      <c r="C386" s="13" t="inlineStr">
        <is>
          <t>動力伝達</t>
        </is>
      </c>
      <c r="D386" s="15" t="n">
        <v>7</v>
      </c>
      <c r="E386" s="17" t="n">
        <v>4.8</v>
      </c>
      <c r="F386" s="15" t="n">
        <v>40000</v>
      </c>
      <c r="G386" s="13" t="n">
        <v>2011</v>
      </c>
      <c r="H386" s="13" t="n">
        <v>2018</v>
      </c>
      <c r="I386" s="14" t="inlineStr">
        <is>
          <t>DAA-ZVW40W, DAA-ZVW41W</t>
        </is>
      </c>
      <c r="J386"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87">
      <c r="A387" s="8" t="inlineStr">
        <is>
          <t>プリウスα</t>
        </is>
      </c>
      <c r="B387" s="8" t="inlineStr">
        <is>
          <t>（車種全体）</t>
        </is>
      </c>
      <c r="C387" s="8" t="inlineStr">
        <is>
          <t>車枠・車体</t>
        </is>
      </c>
      <c r="D387" s="11" t="n">
        <v>7</v>
      </c>
      <c r="E387" s="9" t="n">
        <v>4.8</v>
      </c>
      <c r="F387" s="11" t="n">
        <v>93100</v>
      </c>
      <c r="G387" s="8" t="n">
        <v>2012</v>
      </c>
      <c r="H387" s="8" t="n">
        <v>2018</v>
      </c>
      <c r="I387" s="14" t="inlineStr">
        <is>
          <t>DAA-ZVW40, DAA-ZVW40W, DAA-ZVW41W</t>
        </is>
      </c>
      <c r="J387"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388">
      <c r="A388" s="13" t="inlineStr">
        <is>
          <t>プリウスα</t>
        </is>
      </c>
      <c r="B388" s="13" t="inlineStr">
        <is>
          <t>（車種全体）</t>
        </is>
      </c>
      <c r="C388" s="13" t="inlineStr">
        <is>
          <t>かじ取り</t>
        </is>
      </c>
      <c r="D388" s="15" t="n">
        <v>6</v>
      </c>
      <c r="E388" s="17" t="n">
        <v>4.1</v>
      </c>
      <c r="F388" s="15" t="n">
        <v>9661</v>
      </c>
      <c r="G388" s="13" t="n">
        <v>2013</v>
      </c>
      <c r="H388" s="13" t="n">
        <v>2016</v>
      </c>
      <c r="I388" s="14" t="inlineStr">
        <is>
          <t>DAA-ZVW40W, DAA-ZVW41W</t>
        </is>
      </c>
      <c r="J388"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389">
      <c r="A389" s="8" t="inlineStr">
        <is>
          <t>プリウスα</t>
        </is>
      </c>
      <c r="B389" s="8" t="inlineStr">
        <is>
          <t>（車種全体）</t>
        </is>
      </c>
      <c r="C389" s="8" t="inlineStr">
        <is>
          <t>乗車装置</t>
        </is>
      </c>
      <c r="D389" s="11" t="n">
        <v>6</v>
      </c>
      <c r="E389" s="9" t="n">
        <v>4.1</v>
      </c>
      <c r="F389" s="11" t="n">
        <v>30500</v>
      </c>
      <c r="G389" s="8" t="n">
        <v>2012</v>
      </c>
      <c r="H389" s="8" t="n">
        <v>2017</v>
      </c>
      <c r="I389" s="14" t="inlineStr">
        <is>
          <t>DAA-ZVW40W, DAA-ZVW41W</t>
        </is>
      </c>
      <c r="J389"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390">
      <c r="A390" s="13" t="inlineStr">
        <is>
          <t>プリウスα</t>
        </is>
      </c>
      <c r="B390" s="13" t="inlineStr">
        <is>
          <t>（車種全体）</t>
        </is>
      </c>
      <c r="C390" s="13" t="inlineStr">
        <is>
          <t>その他</t>
        </is>
      </c>
      <c r="D390" s="15" t="n">
        <v>5</v>
      </c>
      <c r="E390" s="17" t="n">
        <v>3.4</v>
      </c>
      <c r="F390" s="15" t="n">
        <v>159994</v>
      </c>
      <c r="G390" s="13" t="n">
        <v>2012</v>
      </c>
      <c r="H390" s="13" t="n">
        <v>2017</v>
      </c>
      <c r="I390" s="14" t="inlineStr">
        <is>
          <t>DAA-ZVW41W</t>
        </is>
      </c>
      <c r="J390"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391">
      <c r="A391" s="8" t="inlineStr">
        <is>
          <t>プリウスα</t>
        </is>
      </c>
      <c r="B391" s="8" t="inlineStr">
        <is>
          <t>（車種全体）</t>
        </is>
      </c>
      <c r="C391" s="8" t="inlineStr">
        <is>
          <t>排ｶﾞｽ･騒音</t>
        </is>
      </c>
      <c r="D391" s="11" t="n">
        <v>2</v>
      </c>
      <c r="E391" s="9" t="n">
        <v>1.4</v>
      </c>
      <c r="F391" s="11" t="n">
        <v>52597</v>
      </c>
      <c r="G391" s="8" t="n">
        <v>2012</v>
      </c>
      <c r="H391" s="8" t="n">
        <v>2013</v>
      </c>
      <c r="I391" s="14" t="inlineStr">
        <is>
          <t>DAA-ZVW41W</t>
        </is>
      </c>
      <c r="J391"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392">
      <c r="A392" s="13" t="inlineStr">
        <is>
          <t>プリウスα</t>
        </is>
      </c>
      <c r="B392" s="13" t="inlineStr">
        <is>
          <t>（車種全体）</t>
        </is>
      </c>
      <c r="C392" s="13" t="inlineStr">
        <is>
          <t>電気装置</t>
        </is>
      </c>
      <c r="D392" s="15" t="n">
        <v>2</v>
      </c>
      <c r="E392" s="17" t="n">
        <v>1.4</v>
      </c>
      <c r="F392" s="15" t="n">
        <v>228373</v>
      </c>
      <c r="G392" s="13" t="n">
        <v>2011</v>
      </c>
      <c r="H392" s="13" t="n">
        <v>2014</v>
      </c>
      <c r="I392" s="14" t="inlineStr">
        <is>
          <t>DAA-ZVW40W, DAA-ZVW41W</t>
        </is>
      </c>
      <c r="J392"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393">
      <c r="A393" s="8" t="inlineStr">
        <is>
          <t>プリウスα</t>
        </is>
      </c>
      <c r="B393" s="8" t="inlineStr">
        <is>
          <t>（車種全体）</t>
        </is>
      </c>
      <c r="C393" s="8" t="inlineStr">
        <is>
          <t>燃料装置</t>
        </is>
      </c>
      <c r="D393" s="11" t="n">
        <v>1</v>
      </c>
      <c r="E393" s="9" t="n">
        <v>0.7</v>
      </c>
      <c r="F393" s="11" t="n">
        <v>138600</v>
      </c>
      <c r="G393" s="8" t="n">
        <v>2011</v>
      </c>
      <c r="H393" s="8" t="n">
        <v>2011</v>
      </c>
      <c r="I393" s="14" t="inlineStr">
        <is>
          <t>DAA-ZVW41W改</t>
        </is>
      </c>
      <c r="J393" s="14" t="inlineStr">
        <is>
          <t>[2019-06-28 DAA-ZVW41W改 2011/10 138600km] ＬＰＧとガソリンのバイフューエル車で、ベーパライザー（気化器）の不良により、エンジン内に冷却水が混入し、冷却水が減るようになった。</t>
        </is>
      </c>
    </row>
    <row r="394">
      <c r="A394" s="13" t="inlineStr">
        <is>
          <t>プリウスα</t>
        </is>
      </c>
      <c r="B394" s="13" t="inlineStr">
        <is>
          <t>（車種全体）</t>
        </is>
      </c>
      <c r="C394" s="13" t="inlineStr">
        <is>
          <t>緩衝装置</t>
        </is>
      </c>
      <c r="D394" s="15" t="n">
        <v>1</v>
      </c>
      <c r="E394" s="17" t="n">
        <v>0.7</v>
      </c>
      <c r="F394" s="15" t="n">
        <v>39900</v>
      </c>
      <c r="G394" s="13" t="n">
        <v>2012</v>
      </c>
      <c r="H394" s="13" t="n">
        <v>2012</v>
      </c>
      <c r="I394" s="14" t="inlineStr">
        <is>
          <t>DAA-ZVW40W</t>
        </is>
      </c>
      <c r="J394" s="14" t="inlineStr">
        <is>
          <t>[2021-04-05 DAA-ZVW40W 2012/04 39900km] 車検前の検査時、後輪右側緩衝装置ダンパーよりオイル漏れが発見された。</t>
        </is>
      </c>
    </row>
    <row r="395">
      <c r="A395" s="8" t="inlineStr">
        <is>
          <t>プリウスα</t>
        </is>
      </c>
      <c r="B395" s="8" t="inlineStr">
        <is>
          <t>40系</t>
        </is>
      </c>
      <c r="C395" s="8" t="inlineStr">
        <is>
          <t>制動装置</t>
        </is>
      </c>
      <c r="D395" s="11" t="n">
        <v>68</v>
      </c>
      <c r="E395" s="9" t="n">
        <v>50</v>
      </c>
      <c r="F395" s="11" t="n">
        <v>129735</v>
      </c>
      <c r="G395" s="8" t="n">
        <v>2011</v>
      </c>
      <c r="H395" s="8" t="n">
        <v>2020</v>
      </c>
      <c r="I395" s="14" t="inlineStr">
        <is>
          <t>DAA-ZVW40W, DAA-ZVW41, DAA-ZVW411W, DAA-ZVW41W</t>
        </is>
      </c>
      <c r="J395" s="14" t="inlineStr">
        <is>
          <t>[2024-01-11 DAA-ZVW41W 2020/04 67400km] ブレーキペダルを踏むとブブっと音がなる。ブレーキペダルを離した際にも同じ音が鳴る場合がある。
[2022-10-28 DAA-ZVW41 2016/02 303000km] 走行中にブレーキの警告灯が点灯し、警告音も鳴ってブレーキがほぼ効かなくなった。
[2022-07-29 DAA-ZVW411W 2016/07 113200km] 前の車両が信号で停車していたためブレーキペダルを踏んだと同時に警告灯が点灯及び警告音が鳴ってブレーキが効かなくなった。</t>
        </is>
      </c>
    </row>
    <row r="396">
      <c r="A396" s="13" t="inlineStr">
        <is>
          <t>プリウスα</t>
        </is>
      </c>
      <c r="B396" s="13" t="inlineStr">
        <is>
          <t>40系</t>
        </is>
      </c>
      <c r="C396" s="13" t="inlineStr">
        <is>
          <t>エンジン</t>
        </is>
      </c>
      <c r="D396" s="15" t="n">
        <v>15</v>
      </c>
      <c r="E396" s="17" t="n">
        <v>11</v>
      </c>
      <c r="F396" s="15" t="n">
        <v>47600</v>
      </c>
      <c r="G396" s="13" t="n">
        <v>2011</v>
      </c>
      <c r="H396" s="13" t="n">
        <v>2015</v>
      </c>
      <c r="I396" s="14" t="inlineStr">
        <is>
          <t>DAA-ZVW40W, DAA-ZVW41W</t>
        </is>
      </c>
      <c r="J396" s="14" t="inlineStr">
        <is>
          <t>[2023-02-08 DAA-ZVW41W 2011/12 136300km] 駐車場に入れようとしてバックしようとして、５０ｃｍ～１ｍくらいゆっくりバックしたところ、モーターからぐっと音がして飛ぶように急加速し、建屋に衝突した。
[2021-07-01 DAA-ZVW41W 2013/06 114355km] ハイブリッドモードで停止中、エンジンからガタガタ音と振動がしてその後走行不能になった。
[2019-05-15 DAA-ZVW41W 2013/01 58548km] 駐車場で、中々エンジンが始動せずに再始動を繰り返したあと、ギアをドライブに入れ、アクセルをそーっと踏んだところ、前方へ急発進した。すぐにブレーキを踏んで幸い前方へぶつからずに車を止めた。異常と思い元の駐車位置に戻すため、バックに入れ後退しようとしたところ、今度は後方へ急加速をした。すぐにブレーキを踏み車止めで停止させた。</t>
        </is>
      </c>
    </row>
    <row r="397">
      <c r="A397" s="8" t="inlineStr">
        <is>
          <t>プリウスα</t>
        </is>
      </c>
      <c r="B397" s="8" t="inlineStr">
        <is>
          <t>40系</t>
        </is>
      </c>
      <c r="C397" s="8" t="inlineStr">
        <is>
          <t>電動機(モーター)</t>
        </is>
      </c>
      <c r="D397" s="11" t="n">
        <v>11</v>
      </c>
      <c r="E397" s="9" t="n">
        <v>8.1</v>
      </c>
      <c r="F397" s="11" t="n">
        <v>103000</v>
      </c>
      <c r="G397" s="8" t="n">
        <v>2011</v>
      </c>
      <c r="H397" s="8" t="n">
        <v>2014</v>
      </c>
      <c r="I397" s="14" t="inlineStr">
        <is>
          <t>DAA-ZVW40W, DAA-ZVW41W</t>
        </is>
      </c>
      <c r="J397" s="14" t="inlineStr">
        <is>
          <t>[2021-08-31 DAA-ZVW41W 2014/01 183000km] 始動した際、ハイブリッドシステム異常警告灯、エンジン警告灯、電子制御ブレーキ警告灯、スリップ表示が点灯し、モーター駆動しなくなった。
[2021-08-05 DAA-ZVW41W 2012/11 125000km] 交差点発進時、アクセルペダルを踏み込むとガクンと異音、振動があり、ハイブリッドチェックランプが点灯して走行不能になった。エンジン再始動にてエンジンは始動でき、ハイブリットシステム不動・チェックランプ点灯は継続していたが、エンジンは動くので自走にて帰宅した。
[2019-08-29 DAA-ZVW40W 2011/09 50000km] インバーターとリレーの不良により、走行中に突然エンジンが停止し、走行不能になった。</t>
        </is>
      </c>
    </row>
    <row r="398">
      <c r="A398" s="13" t="inlineStr">
        <is>
          <t>プリウスα</t>
        </is>
      </c>
      <c r="B398" s="13" t="inlineStr">
        <is>
          <t>40系</t>
        </is>
      </c>
      <c r="C398" s="13" t="inlineStr">
        <is>
          <t>動力伝達</t>
        </is>
      </c>
      <c r="D398" s="15" t="n">
        <v>7</v>
      </c>
      <c r="E398" s="17" t="n">
        <v>5.1</v>
      </c>
      <c r="F398" s="15" t="n">
        <v>40000</v>
      </c>
      <c r="G398" s="13" t="n">
        <v>2011</v>
      </c>
      <c r="H398" s="13" t="n">
        <v>2018</v>
      </c>
      <c r="I398" s="14" t="inlineStr">
        <is>
          <t>DAA-ZVW40W, DAA-ZVW41W</t>
        </is>
      </c>
      <c r="J398" s="14" t="inlineStr">
        <is>
          <t>[2020-08-14 DAA-ZVW41W 2014/07 104400km] 駐車場に後退して入庫しようとした際、２／３ほど入ったところでエンジン音がブアーと大きくなって急加速をした。ブレーキペダルを踏んだが、車は後退し続け、輪留めを乗り越えて塀に当たって止まった。
[2019-10-07 DAA-ZVW40W 2018/04 13000km] 平坦な路面においてＰレンジで停車し、降車して近くで作業中、５分程度後、車が勝手にそろそろと前に動き出し、駐車中の車にぶつかって停止した。
[2019-07-09 DAA-ZVW40W 2012/10 48000km] 車庫駐車時、アクセル操作をしていないのに車が急加速し、後ろの駐輪場に飛び込み、自転車５台、駐輪場柱、自車後部を大破した。</t>
        </is>
      </c>
    </row>
    <row r="399">
      <c r="A399" s="8" t="inlineStr">
        <is>
          <t>プリウスα</t>
        </is>
      </c>
      <c r="B399" s="8" t="inlineStr">
        <is>
          <t>40系</t>
        </is>
      </c>
      <c r="C399" s="8" t="inlineStr">
        <is>
          <t>車枠・車体</t>
        </is>
      </c>
      <c r="D399" s="11" t="n">
        <v>7</v>
      </c>
      <c r="E399" s="9" t="n">
        <v>5.1</v>
      </c>
      <c r="F399" s="11" t="n">
        <v>93100</v>
      </c>
      <c r="G399" s="8" t="n">
        <v>2012</v>
      </c>
      <c r="H399" s="8" t="n">
        <v>2018</v>
      </c>
      <c r="I399" s="14" t="inlineStr">
        <is>
          <t>DAA-ZVW40, DAA-ZVW40W, DAA-ZVW41W</t>
        </is>
      </c>
      <c r="J399" s="14" t="inlineStr">
        <is>
          <t>[2021-11-26 DAA-ZVW40W 2018/11 ?km] 天井の塗装に３００μｍくらいの半球状の出っ張りが３つほど出来た。
[2021-04-05 DAA-ZVW40W 2018/11 14800km] 走行中にキーンという音がする。耳鳴りがやまない健康被害を受けた。
[2017-11-09 DAA-ZVW41W 2012/07 93100km] 減速時、４０ｋｍ／ｈ以下になると、フロントからカラカラ音がする。</t>
        </is>
      </c>
    </row>
    <row r="400">
      <c r="A400" s="13" t="inlineStr">
        <is>
          <t>プリウスα</t>
        </is>
      </c>
      <c r="B400" s="13" t="inlineStr">
        <is>
          <t>40系</t>
        </is>
      </c>
      <c r="C400" s="13" t="inlineStr">
        <is>
          <t>かじ取り</t>
        </is>
      </c>
      <c r="D400" s="15" t="n">
        <v>6</v>
      </c>
      <c r="E400" s="17" t="n">
        <v>4.4</v>
      </c>
      <c r="F400" s="15" t="n">
        <v>9661</v>
      </c>
      <c r="G400" s="13" t="n">
        <v>2013</v>
      </c>
      <c r="H400" s="13" t="n">
        <v>2016</v>
      </c>
      <c r="I400" s="14" t="inlineStr">
        <is>
          <t>DAA-ZVW40W, DAA-ZVW41W</t>
        </is>
      </c>
      <c r="J400" s="14" t="inlineStr">
        <is>
          <t>[2018-11-05 DAA-ZVW40W 2014/08 9661km] パワーステアリングコンピューターの不良により、走行中に突然ハンドルが切れなくなり、走行困難になった。
[2017-03-31 DAA-ZVW41W 2015/11 56157km] 一般道路を走行中、ピッという音がしてハンドルが重くなり、路肩へ流れついた。同じ現象が３度続いた。
[2016-11-24 DAA-ZVW40W 2016/06 1000km] 車椅子で乗降する際にハンドルを支点にするため、エンジン停止後に毎回ハンドルロックをさせていたが、突然ハンドルロックをすることが出来なくなったため、乗降に困るようになった。</t>
        </is>
      </c>
    </row>
    <row r="401">
      <c r="A401" s="8" t="inlineStr">
        <is>
          <t>プリウスα</t>
        </is>
      </c>
      <c r="B401" s="8" t="inlineStr">
        <is>
          <t>40系</t>
        </is>
      </c>
      <c r="C401" s="8" t="inlineStr">
        <is>
          <t>乗車装置</t>
        </is>
      </c>
      <c r="D401" s="11" t="n">
        <v>6</v>
      </c>
      <c r="E401" s="9" t="n">
        <v>4.4</v>
      </c>
      <c r="F401" s="11" t="n">
        <v>30500</v>
      </c>
      <c r="G401" s="8" t="n">
        <v>2012</v>
      </c>
      <c r="H401" s="8" t="n">
        <v>2017</v>
      </c>
      <c r="I401" s="14" t="inlineStr">
        <is>
          <t>DAA-ZVW40W, DAA-ZVW41W</t>
        </is>
      </c>
      <c r="J401" s="14" t="inlineStr">
        <is>
          <t>[2019-12-29 DAA-ZVW41W 2017/03 30000km] 動き出す時や、減速時、曲がる時などにおいて、シート（前後スライド、背もたれ角度）がカタカタ動き、体も一緒に動いて運転に集中できない。座席と一緒に体が動くのでアクセルペダル等の踏み込み量が変わってしまう。
[2017-09-21 DAA-ZVW40W 2012/08 50800km] エアバッグ警告灯が点灯したままになる。
[2015-06-15 DAA-ZVW41W 2012/03 30500km] 運転席ドアの内側ノブの周囲に使用されているプラスチックが一部欠けた。</t>
        </is>
      </c>
    </row>
    <row r="402">
      <c r="A402" s="13" t="inlineStr">
        <is>
          <t>プリウスα</t>
        </is>
      </c>
      <c r="B402" s="13" t="inlineStr">
        <is>
          <t>40系</t>
        </is>
      </c>
      <c r="C402" s="13" t="inlineStr">
        <is>
          <t>保安灯火</t>
        </is>
      </c>
      <c r="D402" s="15" t="n">
        <v>6</v>
      </c>
      <c r="E402" s="17" t="n">
        <v>4.4</v>
      </c>
      <c r="F402" s="15" t="n">
        <v>86200</v>
      </c>
      <c r="G402" s="13" t="n">
        <v>2011</v>
      </c>
      <c r="H402" s="13" t="n">
        <v>2013</v>
      </c>
      <c r="I402" s="14" t="inlineStr">
        <is>
          <t>DAA-ZVW41W</t>
        </is>
      </c>
      <c r="J402" s="14" t="inlineStr">
        <is>
          <t>[2017-12-01 DAA-ZVW41W 2011/12 86200km] ワイパーブレードごと新品に変えても運転席側のワイパーの拭き残しがいつもある。
[2017-02-20 DAA-ZVW41W 2013/04 ?km] 毎年、冬季にフロントガラスに亀裂が入る。
[2017-02-18 DAA-ZVW41W 2011/12 65700km] 雨雪の日にワイパーを動かすと、戻るときに拭き残しが発生して視界が悪くなるため、前方の確認が十分に確保できない。</t>
        </is>
      </c>
    </row>
    <row r="403">
      <c r="A403" s="8" t="inlineStr">
        <is>
          <t>プリウスα</t>
        </is>
      </c>
      <c r="B403" s="8" t="inlineStr">
        <is>
          <t>40系</t>
        </is>
      </c>
      <c r="C403" s="8" t="inlineStr">
        <is>
          <t>その他</t>
        </is>
      </c>
      <c r="D403" s="11" t="n">
        <v>4</v>
      </c>
      <c r="E403" s="9" t="n">
        <v>2.9</v>
      </c>
      <c r="F403" s="11" t="n">
        <v>159994</v>
      </c>
      <c r="G403" s="8" t="n">
        <v>2012</v>
      </c>
      <c r="H403" s="8" t="n">
        <v>2017</v>
      </c>
      <c r="I403" s="14" t="inlineStr">
        <is>
          <t>DAA-ZVW41W</t>
        </is>
      </c>
      <c r="J403" s="14" t="inlineStr">
        <is>
          <t>[2019-08-04 DAA-ZVW41W 2013/09 159994km] ブレーキブースター＆ブースターポンプの不良により、インジケーター警告が点灯した。
[2019-08-04 DAA-ZVW41W 2014/04 315200km] ブレーキブースター＆ブースターポンプの不良により、インジケーター警告が点灯した。
[2018-09-30 DAA-ZVW41W 2017/12 4000km] 車線逸脱アラートの警告音の種類、音量が適切でないため、一瞬ぼーっとしてしまった際に警告音に気が付かなかった。</t>
        </is>
      </c>
    </row>
    <row r="404">
      <c r="A404" s="13" t="inlineStr">
        <is>
          <t>プリウスα</t>
        </is>
      </c>
      <c r="B404" s="13" t="inlineStr">
        <is>
          <t>40系</t>
        </is>
      </c>
      <c r="C404" s="13" t="inlineStr">
        <is>
          <t>排ｶﾞｽ･騒音</t>
        </is>
      </c>
      <c r="D404" s="15" t="n">
        <v>2</v>
      </c>
      <c r="E404" s="17" t="n">
        <v>1.5</v>
      </c>
      <c r="F404" s="15" t="n">
        <v>52597</v>
      </c>
      <c r="G404" s="13" t="n">
        <v>2012</v>
      </c>
      <c r="H404" s="13" t="n">
        <v>2013</v>
      </c>
      <c r="I404" s="14" t="inlineStr">
        <is>
          <t>DAA-ZVW41W</t>
        </is>
      </c>
      <c r="J404" s="14" t="inlineStr">
        <is>
          <t>[2019-02-17 DAA-ZVW41W 2013/03 52597km] 冷間時にエンジンをかけると大きな異音と共にしゃくりながら発進する。警告灯、警告音などは鳴らない。
[2017-06-29 DAA-ZVW41W 2012/01 ?km] エキゾーストパイプの触媒部とラバーマウント取付け部のブラケット先端の溶接部に亀裂が入り、エキゾーストパイプの触媒部から脱落していたため、車体底部からカンカン、カチカチ音が出るようになった。</t>
        </is>
      </c>
    </row>
    <row r="405">
      <c r="A405" s="8" t="inlineStr">
        <is>
          <t>プリウスα</t>
        </is>
      </c>
      <c r="B405" s="8" t="inlineStr">
        <is>
          <t>40系</t>
        </is>
      </c>
      <c r="C405" s="8" t="inlineStr">
        <is>
          <t>電気装置</t>
        </is>
      </c>
      <c r="D405" s="11" t="n">
        <v>2</v>
      </c>
      <c r="E405" s="9" t="n">
        <v>1.5</v>
      </c>
      <c r="F405" s="11" t="n">
        <v>228373</v>
      </c>
      <c r="G405" s="8" t="n">
        <v>2011</v>
      </c>
      <c r="H405" s="8" t="n">
        <v>2014</v>
      </c>
      <c r="I405" s="14" t="inlineStr">
        <is>
          <t>DAA-ZVW40W, DAA-ZVW41W</t>
        </is>
      </c>
      <c r="J405" s="14" t="inlineStr">
        <is>
          <t>[2021-06-05 DAA-ZVW40W 2011/06 179236km] インテリジェントパワーモジュールの故障により、一般道路を走行中、交差点手前減速時に、異音とガクッという感覚とともに警告灯が点灯して走行不能となり、再始動もできなくなった。
[2019-07-28 DAA-ZVW41W 2014/10 228373km] ブレーキブースター＆ブースターポンプの不良により、インジケーターランプが点灯した。</t>
        </is>
      </c>
    </row>
    <row r="406">
      <c r="A406" s="13" t="inlineStr">
        <is>
          <t>プリウスα</t>
        </is>
      </c>
      <c r="B406" s="13" t="inlineStr">
        <is>
          <t>40系</t>
        </is>
      </c>
      <c r="C406" s="13" t="inlineStr">
        <is>
          <t>燃料装置</t>
        </is>
      </c>
      <c r="D406" s="15" t="n">
        <v>1</v>
      </c>
      <c r="E406" s="17" t="n">
        <v>0.7</v>
      </c>
      <c r="F406" s="15" t="n">
        <v>138600</v>
      </c>
      <c r="G406" s="13" t="n">
        <v>2011</v>
      </c>
      <c r="H406" s="13" t="n">
        <v>2011</v>
      </c>
      <c r="I406" s="14" t="inlineStr">
        <is>
          <t>DAA-ZVW41W改</t>
        </is>
      </c>
      <c r="J406" s="14" t="inlineStr">
        <is>
          <t>[2019-06-28 DAA-ZVW41W改 2011/10 138600km] ＬＰＧとガソリンのバイフューエル車で、ベーパライザー（気化器）の不良により、エンジン内に冷却水が混入し、冷却水が減るようになった。</t>
        </is>
      </c>
    </row>
    <row r="407">
      <c r="A407" s="8" t="inlineStr">
        <is>
          <t>プリウスα</t>
        </is>
      </c>
      <c r="B407" s="8" t="inlineStr">
        <is>
          <t>40系</t>
        </is>
      </c>
      <c r="C407" s="8" t="inlineStr">
        <is>
          <t>緩衝装置</t>
        </is>
      </c>
      <c r="D407" s="11" t="n">
        <v>1</v>
      </c>
      <c r="E407" s="9" t="n">
        <v>0.7</v>
      </c>
      <c r="F407" s="11" t="n">
        <v>39900</v>
      </c>
      <c r="G407" s="8" t="n">
        <v>2012</v>
      </c>
      <c r="H407" s="8" t="n">
        <v>2012</v>
      </c>
      <c r="I407" s="14" t="inlineStr">
        <is>
          <t>DAA-ZVW40W</t>
        </is>
      </c>
      <c r="J407" s="14" t="inlineStr">
        <is>
          <t>[2021-04-05 DAA-ZVW40W 2012/04 39900km] 車検前の検査時、後輪右側緩衝装置ダンパーよりオイル漏れが発見された。</t>
        </is>
      </c>
    </row>
    <row r="408">
      <c r="A408" s="13" t="inlineStr">
        <is>
          <t>プリウスα</t>
        </is>
      </c>
      <c r="B408" s="13" t="inlineStr">
        <is>
          <t>不明</t>
        </is>
      </c>
      <c r="C408" s="13" t="inlineStr">
        <is>
          <t>制動装置</t>
        </is>
      </c>
      <c r="D408" s="15" t="n">
        <v>7</v>
      </c>
      <c r="E408" s="17" t="n">
        <v>70</v>
      </c>
      <c r="F408" s="15" t="n">
        <v>7000</v>
      </c>
      <c r="G408" s="13" t="n"/>
      <c r="H408" s="13" t="n"/>
      <c r="I408" s="14" t="inlineStr">
        <is>
          <t>DAA-ZVW40W, DAA-ZVW41W</t>
        </is>
      </c>
      <c r="J408" s="14" t="inlineStr">
        <is>
          <t>[2018-10-26 DAA-ZVW41W  ?km] 軽く減速を続けると、突然ブレーキペダルが軽くなり、ペダルが奥まで行き、ブレーキが効かなくなる。ブレーキペダルを奥まで踏み込むと、効く時もあれば、足を乗せたぐらいで効く時もあり、安定しない。
[2013-07-11 DAA-ZVW40W  ?km] ブレーキから異音がする。
[2013-04-03 DAA-ZVW40W  7000km] ブレーキからフョーンという異音（鳴き）が発生する。</t>
        </is>
      </c>
    </row>
    <row r="409">
      <c r="A409" s="8" t="inlineStr">
        <is>
          <t>プリウスα</t>
        </is>
      </c>
      <c r="B409" s="8" t="inlineStr">
        <is>
          <t>不明</t>
        </is>
      </c>
      <c r="C409" s="8" t="inlineStr">
        <is>
          <t>保安灯火</t>
        </is>
      </c>
      <c r="D409" s="11" t="n">
        <v>2</v>
      </c>
      <c r="E409" s="9" t="n">
        <v>20</v>
      </c>
      <c r="F409" s="11" t="n">
        <v>108000</v>
      </c>
      <c r="G409" s="8" t="n">
        <v>2011</v>
      </c>
      <c r="H409" s="8" t="n">
        <v>2011</v>
      </c>
      <c r="I409" s="14" t="inlineStr">
        <is>
          <t>DAA-ZVW41W</t>
        </is>
      </c>
      <c r="J409" s="14" t="inlineStr">
        <is>
          <t>[2019-10-16 DAA-ZVW41W 2011/04 108000km] フロントガラスのガラスとガラスの間に気泡が発生した。
[2012-02-23 DAA-ZVW41W  ?km] 運転席側ドアミラーとエアコン吹き出し口の位置関係が悪く、エアコン吹き出し口のメッキノブがミラーに映り込む事から後方が見えない。</t>
        </is>
      </c>
    </row>
    <row r="410">
      <c r="A410" s="13" t="inlineStr">
        <is>
          <t>プリウスα</t>
        </is>
      </c>
      <c r="B410" s="13" t="inlineStr">
        <is>
          <t>不明</t>
        </is>
      </c>
      <c r="C410" s="13" t="inlineStr">
        <is>
          <t>その他</t>
        </is>
      </c>
      <c r="D410" s="15" t="n">
        <v>1</v>
      </c>
      <c r="E410" s="17" t="n">
        <v>10</v>
      </c>
      <c r="F410" s="15" t="n"/>
      <c r="G410" s="13" t="n"/>
      <c r="H410" s="13" t="n"/>
      <c r="I410" s="14" t="inlineStr">
        <is>
          <t>DAA-ZVW41W</t>
        </is>
      </c>
      <c r="J410" s="14" t="inlineStr">
        <is>
          <t>[2013-01-31 DAA-ZVW41W  ?km] トラクションコントロールの過剰作動により、積雪の坂道を上っていると、途中で止まったり、坂道発進が出来ずに車がどこまでもずり下がってしまう。。</t>
        </is>
      </c>
    </row>
    <row r="411">
      <c r="A411" s="8" t="inlineStr">
        <is>
          <t>アイシス</t>
        </is>
      </c>
      <c r="B411" s="8" t="inlineStr">
        <is>
          <t>（車種全体）</t>
        </is>
      </c>
      <c r="C411" s="8" t="inlineStr">
        <is>
          <t>エンジン</t>
        </is>
      </c>
      <c r="D411" s="11" t="n">
        <v>16</v>
      </c>
      <c r="E411" s="9" t="n">
        <v>21.6</v>
      </c>
      <c r="F411" s="11" t="n">
        <v>40000</v>
      </c>
      <c r="G411" s="8" t="n">
        <v>2005</v>
      </c>
      <c r="H411" s="8" t="n">
        <v>2012</v>
      </c>
      <c r="I411" s="14" t="inlineStr">
        <is>
          <t>CBA-ANM10G, CBA-ANM10W, CBA-ZNM10G, CBA-ZNM10W, DBA-ANM10G, DBA-ANM10W, DBA-ANM15G, DBA-ZGM10W, ZNM10G-AWPEK</t>
        </is>
      </c>
      <c r="J411"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12">
      <c r="A412" s="13" t="inlineStr">
        <is>
          <t>アイシス</t>
        </is>
      </c>
      <c r="B412" s="13" t="inlineStr">
        <is>
          <t>（車種全体）</t>
        </is>
      </c>
      <c r="C412" s="13" t="inlineStr">
        <is>
          <t>乗車装置</t>
        </is>
      </c>
      <c r="D412" s="15" t="n">
        <v>12</v>
      </c>
      <c r="E412" s="17" t="n">
        <v>16.2</v>
      </c>
      <c r="F412" s="15" t="n">
        <v>40000</v>
      </c>
      <c r="G412" s="13" t="n">
        <v>2005</v>
      </c>
      <c r="H412" s="13" t="n">
        <v>2011</v>
      </c>
      <c r="I412" s="14" t="inlineStr">
        <is>
          <t>CBA-ANM10W, CBA-ANM15W, CBA-ZNM10G, DBA-ANM10G, DBA-ANM10W, DBA-ANM15G, DBA-ANM15W, DBA-ZGM10G</t>
        </is>
      </c>
      <c r="J412"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13">
      <c r="A413" s="8" t="inlineStr">
        <is>
          <t>アイシス</t>
        </is>
      </c>
      <c r="B413" s="8" t="inlineStr">
        <is>
          <t>（車種全体）</t>
        </is>
      </c>
      <c r="C413" s="8" t="inlineStr">
        <is>
          <t>燃料装置</t>
        </is>
      </c>
      <c r="D413" s="11" t="n">
        <v>12</v>
      </c>
      <c r="E413" s="9" t="n">
        <v>16.2</v>
      </c>
      <c r="F413" s="11" t="n">
        <v>100000</v>
      </c>
      <c r="G413" s="8" t="n">
        <v>2005</v>
      </c>
      <c r="H413" s="8" t="n">
        <v>2009</v>
      </c>
      <c r="I413" s="14" t="inlineStr">
        <is>
          <t>CBA-ANM15W, CBA-ZNM10G, DBA-ANM10, DBA-ANM10G, DBA-ANM10W, DBA-ANM15G</t>
        </is>
      </c>
      <c r="J41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14">
      <c r="A414" s="13" t="inlineStr">
        <is>
          <t>アイシス</t>
        </is>
      </c>
      <c r="B414" s="13" t="inlineStr">
        <is>
          <t>（車種全体）</t>
        </is>
      </c>
      <c r="C414" s="13" t="inlineStr">
        <is>
          <t>車枠・車体</t>
        </is>
      </c>
      <c r="D414" s="15" t="n">
        <v>12</v>
      </c>
      <c r="E414" s="17" t="n">
        <v>16.2</v>
      </c>
      <c r="F414" s="15" t="n">
        <v>71700</v>
      </c>
      <c r="G414" s="13" t="n">
        <v>2004</v>
      </c>
      <c r="H414" s="13" t="n">
        <v>2012</v>
      </c>
      <c r="I414" s="14" t="inlineStr">
        <is>
          <t>CBA-ANM15G, CBA-ZNM10G, CBA-ZNM10W, DBA-ANM15G, DBA-ZGM10W, DBA-ZGM11W</t>
        </is>
      </c>
      <c r="J414" s="14" t="inlineStr">
        <is>
          <t>[2021-01-20 DBA-ZGM11W  80000km] ホワイトパール塗装色の車で、洗車時にボンネットやトランクの塗装剥がれていることに気が付いた。
[2021-01-13 DBA-ZGM11W 2010/06 82000km] リアトランクの塗装が剥げている。
[2020-07-14 DBA-ZGM11W 2009/11 71700km] 降雨後、車両を見ると、塗装が剥がれていた。</t>
        </is>
      </c>
    </row>
    <row r="415">
      <c r="A415" s="8" t="inlineStr">
        <is>
          <t>アイシス</t>
        </is>
      </c>
      <c r="B415" s="8" t="inlineStr">
        <is>
          <t>（車種全体）</t>
        </is>
      </c>
      <c r="C415" s="8" t="inlineStr">
        <is>
          <t>動力伝達</t>
        </is>
      </c>
      <c r="D415" s="11" t="n">
        <v>7</v>
      </c>
      <c r="E415" s="9" t="n">
        <v>9.5</v>
      </c>
      <c r="F415" s="11" t="n">
        <v>66000</v>
      </c>
      <c r="G415" s="8" t="n">
        <v>2005</v>
      </c>
      <c r="H415" s="8" t="n">
        <v>2009</v>
      </c>
      <c r="I415" s="14" t="inlineStr">
        <is>
          <t>CBA-ANM10G, CBA-ANM10W, CBA-ANM15G, CBA-ZNM10G, DBA-ANM10W</t>
        </is>
      </c>
      <c r="J415"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16">
      <c r="A416" s="13" t="inlineStr">
        <is>
          <t>アイシス</t>
        </is>
      </c>
      <c r="B416" s="13" t="inlineStr">
        <is>
          <t>（車種全体）</t>
        </is>
      </c>
      <c r="C416" s="13" t="inlineStr">
        <is>
          <t>制動装置</t>
        </is>
      </c>
      <c r="D416" s="15" t="n">
        <v>4</v>
      </c>
      <c r="E416" s="17" t="n">
        <v>5.4</v>
      </c>
      <c r="F416" s="15" t="n">
        <v>153500</v>
      </c>
      <c r="G416" s="13" t="n">
        <v>2006</v>
      </c>
      <c r="H416" s="13" t="n">
        <v>2012</v>
      </c>
      <c r="I416" s="14" t="inlineStr">
        <is>
          <t>CBA-ZNM10G, CBA-ZNM10W, DBA-ANM10G, DBA-ZGM10W</t>
        </is>
      </c>
      <c r="J416"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17">
      <c r="A417" s="8" t="inlineStr">
        <is>
          <t>アイシス</t>
        </is>
      </c>
      <c r="B417" s="8" t="inlineStr">
        <is>
          <t>（車種全体）</t>
        </is>
      </c>
      <c r="C417" s="8" t="inlineStr">
        <is>
          <t>かじ取り</t>
        </is>
      </c>
      <c r="D417" s="11" t="n">
        <v>3</v>
      </c>
      <c r="E417" s="9" t="n">
        <v>4.1</v>
      </c>
      <c r="F417" s="11" t="n">
        <v>50000</v>
      </c>
      <c r="G417" s="8" t="n">
        <v>2005</v>
      </c>
      <c r="H417" s="8" t="n">
        <v>2008</v>
      </c>
      <c r="I417" s="14" t="inlineStr">
        <is>
          <t>CBA-ANM10G, ZNM10</t>
        </is>
      </c>
      <c r="J417"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18">
      <c r="A418" s="13" t="inlineStr">
        <is>
          <t>アイシス</t>
        </is>
      </c>
      <c r="B418" s="13" t="inlineStr">
        <is>
          <t>（車種全体）</t>
        </is>
      </c>
      <c r="C418" s="13" t="inlineStr">
        <is>
          <t>その他</t>
        </is>
      </c>
      <c r="D418" s="15" t="n">
        <v>3</v>
      </c>
      <c r="E418" s="17" t="n">
        <v>4.1</v>
      </c>
      <c r="F418" s="15" t="n">
        <v>48000</v>
      </c>
      <c r="G418" s="13" t="n">
        <v>2005</v>
      </c>
      <c r="H418" s="13" t="n">
        <v>2009</v>
      </c>
      <c r="I418" s="14" t="inlineStr">
        <is>
          <t>CBA-ANM10G, DBA-ANM10W, DBA-ZGM10W</t>
        </is>
      </c>
      <c r="J418"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19">
      <c r="A419" s="8" t="inlineStr">
        <is>
          <t>アイシス</t>
        </is>
      </c>
      <c r="B419" s="8" t="inlineStr">
        <is>
          <t>（車種全体）</t>
        </is>
      </c>
      <c r="C419" s="8" t="inlineStr">
        <is>
          <t>保安灯火</t>
        </is>
      </c>
      <c r="D419" s="11" t="n">
        <v>2</v>
      </c>
      <c r="E419" s="9" t="n">
        <v>2.7</v>
      </c>
      <c r="F419" s="11" t="n">
        <v>43000</v>
      </c>
      <c r="G419" s="8" t="n">
        <v>2007</v>
      </c>
      <c r="H419" s="8" t="n">
        <v>2007</v>
      </c>
      <c r="I419" s="14" t="inlineStr">
        <is>
          <t>CBA-ZNM10G, DBA-ANM15W</t>
        </is>
      </c>
      <c r="J419"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20">
      <c r="A420" s="13" t="inlineStr">
        <is>
          <t>アイシス</t>
        </is>
      </c>
      <c r="B420" s="13" t="inlineStr">
        <is>
          <t>（車種全体）</t>
        </is>
      </c>
      <c r="C420" s="13" t="inlineStr">
        <is>
          <t>走行装置</t>
        </is>
      </c>
      <c r="D420" s="15" t="n">
        <v>2</v>
      </c>
      <c r="E420" s="17" t="n">
        <v>2.7</v>
      </c>
      <c r="F420" s="15" t="n">
        <v>100000</v>
      </c>
      <c r="G420" s="13" t="n">
        <v>2006</v>
      </c>
      <c r="H420" s="13" t="n">
        <v>2011</v>
      </c>
      <c r="I420" s="14" t="inlineStr">
        <is>
          <t>DBA-ANM15W, DBA-ZGM10W</t>
        </is>
      </c>
      <c r="J420" s="14" t="inlineStr">
        <is>
          <t>[2021-03-05 DBA-ZGM10W 2011/11 100000km] スペアタイヤを固定しているフックが緩み、走行中にスペアタイヤが脱落した。
[2013-01-19 DBA-ANM15W 2006/04 40300km] 後輪タイヤの内側が偏摩耗する。</t>
        </is>
      </c>
    </row>
    <row r="421">
      <c r="A421" s="8" t="inlineStr">
        <is>
          <t>アイシス</t>
        </is>
      </c>
      <c r="B421" s="8" t="inlineStr">
        <is>
          <t>（車種全体）</t>
        </is>
      </c>
      <c r="C421" s="8" t="inlineStr">
        <is>
          <t>電気装置</t>
        </is>
      </c>
      <c r="D421" s="11" t="n">
        <v>1</v>
      </c>
      <c r="E421" s="9" t="n">
        <v>1.4</v>
      </c>
      <c r="F421" s="11" t="n">
        <v>45000</v>
      </c>
      <c r="G421" s="8" t="n">
        <v>2006</v>
      </c>
      <c r="H421" s="8" t="n">
        <v>2006</v>
      </c>
      <c r="I421" s="14" t="inlineStr">
        <is>
          <t>DBA-ANM10G</t>
        </is>
      </c>
      <c r="J421" s="14" t="inlineStr">
        <is>
          <t>[2012-05-22 DBA-ANM10G 2006/09 45000km] 走行中に突然パワーステアリングが利かなくなり、ハンドルが切れなくなった。</t>
        </is>
      </c>
    </row>
    <row r="422">
      <c r="A422" s="13" t="inlineStr">
        <is>
          <t>アイシス</t>
        </is>
      </c>
      <c r="B422" s="13" t="inlineStr">
        <is>
          <t>10系</t>
        </is>
      </c>
      <c r="C422" s="13" t="inlineStr">
        <is>
          <t>エンジン</t>
        </is>
      </c>
      <c r="D422" s="15" t="n">
        <v>16</v>
      </c>
      <c r="E422" s="17" t="n">
        <v>22.2</v>
      </c>
      <c r="F422" s="15" t="n">
        <v>40000</v>
      </c>
      <c r="G422" s="13" t="n">
        <v>2005</v>
      </c>
      <c r="H422" s="13" t="n">
        <v>2012</v>
      </c>
      <c r="I422" s="14" t="inlineStr">
        <is>
          <t>CBA-ANM10G, CBA-ANM10W, CBA-ZNM10G, CBA-ZNM10W, DBA-ANM10G, DBA-ANM10W, DBA-ANM15G, DBA-ZGM10W, ZNM10G-AWPEK</t>
        </is>
      </c>
      <c r="J422" s="14" t="inlineStr">
        <is>
          <t>[2017-12-25 DBA-ANM10G 2009/03 94900km] エンジンオイルの消費が激しくなり、１５００ｋｍ／１Ｌくらい減る。
[2017-07-13 DBA-ZGM10W 2012/06 40000km] スロットルバルブの不良によりエンジンのかかりが悪くなり、始動後も不調が続いて、ハンドルやブレーキが正常に機能しない状態になった。
[2015-03-15 DBA-ZGM10W 2009/11 53680km] 吸気系にカーボンがたまったため、エンジン警告灯が点灯してアイドリングが不安定になり、交差点の真ん中で停まった。</t>
        </is>
      </c>
    </row>
    <row r="423">
      <c r="A423" s="8" t="inlineStr">
        <is>
          <t>アイシス</t>
        </is>
      </c>
      <c r="B423" s="8" t="inlineStr">
        <is>
          <t>10系</t>
        </is>
      </c>
      <c r="C423" s="8" t="inlineStr">
        <is>
          <t>燃料装置</t>
        </is>
      </c>
      <c r="D423" s="11" t="n">
        <v>12</v>
      </c>
      <c r="E423" s="9" t="n">
        <v>16.7</v>
      </c>
      <c r="F423" s="11" t="n">
        <v>100000</v>
      </c>
      <c r="G423" s="8" t="n">
        <v>2005</v>
      </c>
      <c r="H423" s="8" t="n">
        <v>2009</v>
      </c>
      <c r="I423" s="14" t="inlineStr">
        <is>
          <t>CBA-ANM15W, CBA-ZNM10G, DBA-ANM10, DBA-ANM10G, DBA-ANM10W, DBA-ANM15G</t>
        </is>
      </c>
      <c r="J423" s="14" t="inlineStr">
        <is>
          <t>[2022-03-22 DBA-ANM10W 2009/03 64100km] ガソリンが漏れている臭いが車内に充満してしまう。
[2021-06-05 CBA-ZNM10G 2007/07 83100km] 給油口が日に日にずれてきて縁に擦るようになり、終いにはレバーを引いても開かなくなった。
[2020-01-30 DBA-ANM10W 2008/05 127300km] 国２６７４－２のリコールで対象範囲外の車両で、高圧燃料ポンプのチェックバルブから燃料が漏れた。</t>
        </is>
      </c>
    </row>
    <row r="424">
      <c r="A424" s="13" t="inlineStr">
        <is>
          <t>アイシス</t>
        </is>
      </c>
      <c r="B424" s="13" t="inlineStr">
        <is>
          <t>10系</t>
        </is>
      </c>
      <c r="C424" s="13" t="inlineStr">
        <is>
          <t>乗車装置</t>
        </is>
      </c>
      <c r="D424" s="15" t="n">
        <v>11</v>
      </c>
      <c r="E424" s="17" t="n">
        <v>15.3</v>
      </c>
      <c r="F424" s="15" t="n">
        <v>40000</v>
      </c>
      <c r="G424" s="13" t="n">
        <v>2005</v>
      </c>
      <c r="H424" s="13" t="n">
        <v>2011</v>
      </c>
      <c r="I424" s="14" t="inlineStr">
        <is>
          <t>CBA-ANM10W, CBA-ANM15W, CBA-ZNM10G, DBA-ANM10G, DBA-ANM10W, DBA-ANM15G, DBA-ANM15W, DBA-ZGM10G</t>
        </is>
      </c>
      <c r="J424" s="14" t="inlineStr">
        <is>
          <t>[2013-10-24 DBA-ANM15W 2009/04 26900km] 右スライドドアの自動開閉装置が故障し、ドアが開閉できなくなった。
[2013-06-16 CBA-ZNM10G 2007/02 70050km] 運転席のシートが勝手に下がる。
[2012-11-15 DBA-ANM10W 2007/11 40000km] 助手席ドアの受け側上部スイッチの不良により、ドアの自動ロックが誤作動し、ドアが閉まらなくなった。</t>
        </is>
      </c>
    </row>
    <row r="425">
      <c r="A425" s="8" t="inlineStr">
        <is>
          <t>アイシス</t>
        </is>
      </c>
      <c r="B425" s="8" t="inlineStr">
        <is>
          <t>10系</t>
        </is>
      </c>
      <c r="C425" s="8" t="inlineStr">
        <is>
          <t>車枠・車体</t>
        </is>
      </c>
      <c r="D425" s="11" t="n">
        <v>11</v>
      </c>
      <c r="E425" s="9" t="n">
        <v>15.3</v>
      </c>
      <c r="F425" s="11" t="n">
        <v>63700</v>
      </c>
      <c r="G425" s="8" t="n">
        <v>2004</v>
      </c>
      <c r="H425" s="8" t="n">
        <v>2012</v>
      </c>
      <c r="I425" s="14" t="inlineStr">
        <is>
          <t>CBA-ANM15G, CBA-ZNM10G, CBA-ZNM10W, DBA-ANM15G, DBA-ZGM10W, DBA-ZGM11W</t>
        </is>
      </c>
      <c r="J425" s="14" t="inlineStr">
        <is>
          <t>[2021-01-13 DBA-ZGM11W 2010/06 82000km] リアトランクの塗装が剥げている。
[2020-07-14 DBA-ZGM11W 2009/11 71700km] 降雨後、車両を見ると、塗装が剥がれていた。
[2016-02-09 CBA-ZNM10W 2005/03 73000km] ガソリン給油口のフタがズレたり必要以上に開く事があり、無理に閉めたようで、中のプラキャップに干渉してガソリン漏れが発生した。</t>
        </is>
      </c>
    </row>
    <row r="426">
      <c r="A426" s="13" t="inlineStr">
        <is>
          <t>アイシス</t>
        </is>
      </c>
      <c r="B426" s="13" t="inlineStr">
        <is>
          <t>10系</t>
        </is>
      </c>
      <c r="C426" s="13" t="inlineStr">
        <is>
          <t>動力伝達</t>
        </is>
      </c>
      <c r="D426" s="15" t="n">
        <v>7</v>
      </c>
      <c r="E426" s="17" t="n">
        <v>9.699999999999999</v>
      </c>
      <c r="F426" s="15" t="n">
        <v>66000</v>
      </c>
      <c r="G426" s="13" t="n">
        <v>2005</v>
      </c>
      <c r="H426" s="13" t="n">
        <v>2009</v>
      </c>
      <c r="I426" s="14" t="inlineStr">
        <is>
          <t>CBA-ANM10G, CBA-ANM10W, CBA-ANM15G, CBA-ZNM10G, DBA-ANM10W</t>
        </is>
      </c>
      <c r="J426" s="14" t="inlineStr">
        <is>
          <t>[2016-07-12 DBA-ANM10W 2009/10 66000km] ＣＶＴが故障した。
[2014-01-20 CBA-ANM10W 2005/11 70700km] ＣＶＴ（無段変速機）の不具合により、発進時に駆動力が滑って伝わらず、加速や変速をしないことが有る。
[2013-08-06 CBA-ANM15G 2005/01 121420km] 高速道路走行中、４ＷＤのデフとカップリングが過熱したため、デフオイルがオーバーフローし、車内に異臭が入って来た。さらに、そこから約１０ｋｍ位走ったところ、後輪のデフからガリガリと異音が出た。</t>
        </is>
      </c>
    </row>
    <row r="427">
      <c r="A427" s="8" t="inlineStr">
        <is>
          <t>アイシス</t>
        </is>
      </c>
      <c r="B427" s="8" t="inlineStr">
        <is>
          <t>10系</t>
        </is>
      </c>
      <c r="C427" s="8" t="inlineStr">
        <is>
          <t>制動装置</t>
        </is>
      </c>
      <c r="D427" s="11" t="n">
        <v>4</v>
      </c>
      <c r="E427" s="9" t="n">
        <v>5.6</v>
      </c>
      <c r="F427" s="11" t="n">
        <v>153500</v>
      </c>
      <c r="G427" s="8" t="n">
        <v>2006</v>
      </c>
      <c r="H427" s="8" t="n">
        <v>2012</v>
      </c>
      <c r="I427" s="14" t="inlineStr">
        <is>
          <t>CBA-ZNM10G, CBA-ZNM10W, DBA-ANM10G, DBA-ZGM10W</t>
        </is>
      </c>
      <c r="J427" s="14" t="inlineStr">
        <is>
          <t>[2022-12-13 DBA-ZGM10W 2012/03 153500km] 気温が５℃くらいの低温になると、サイドブレーキが効かなくなる。
[2019-10-23 DBA-ANM10G 2006/01 496700km] ショックアブソーバーを留める上部のボルトが全く動かず、次回の交換が不可能な状態になった。
[2010-04-21 CBA-ZNM10W 2006/07 28000km] 下り坂を走行中、エンジンが停止し、ブレーキが利かなくなった。</t>
        </is>
      </c>
    </row>
    <row r="428">
      <c r="A428" s="13" t="inlineStr">
        <is>
          <t>アイシス</t>
        </is>
      </c>
      <c r="B428" s="13" t="inlineStr">
        <is>
          <t>10系</t>
        </is>
      </c>
      <c r="C428" s="13" t="inlineStr">
        <is>
          <t>かじ取り</t>
        </is>
      </c>
      <c r="D428" s="15" t="n">
        <v>3</v>
      </c>
      <c r="E428" s="17" t="n">
        <v>4.2</v>
      </c>
      <c r="F428" s="15" t="n">
        <v>50000</v>
      </c>
      <c r="G428" s="13" t="n">
        <v>2005</v>
      </c>
      <c r="H428" s="13" t="n">
        <v>2008</v>
      </c>
      <c r="I428" s="14" t="inlineStr">
        <is>
          <t>CBA-ANM10G, ZNM10</t>
        </is>
      </c>
      <c r="J428" s="14" t="inlineStr">
        <is>
          <t>[2011-01-21 CBA-ANM10G 2005/01 100000km] パワーステアリングを制御しているコンピューターが故障したため、運転中に突然ハンドルが重くなり、ハンドル操作が困難になった。
[2009-06-26 ZNM10 2008/02 25000km] 低速でハンドルを大きく切ると異音が発生する。
[2008-02-01 CBA-ANM10G 2005/01 50000km] 走行中にパワステが効かなくなり、かじ取り操作が困難になった。</t>
        </is>
      </c>
    </row>
    <row r="429">
      <c r="A429" s="8" t="inlineStr">
        <is>
          <t>アイシス</t>
        </is>
      </c>
      <c r="B429" s="8" t="inlineStr">
        <is>
          <t>10系</t>
        </is>
      </c>
      <c r="C429" s="8" t="inlineStr">
        <is>
          <t>その他</t>
        </is>
      </c>
      <c r="D429" s="11" t="n">
        <v>3</v>
      </c>
      <c r="E429" s="9" t="n">
        <v>4.2</v>
      </c>
      <c r="F429" s="11" t="n">
        <v>48000</v>
      </c>
      <c r="G429" s="8" t="n">
        <v>2005</v>
      </c>
      <c r="H429" s="8" t="n">
        <v>2009</v>
      </c>
      <c r="I429" s="14" t="inlineStr">
        <is>
          <t>CBA-ANM10G, DBA-ANM10W, DBA-ZGM10W</t>
        </is>
      </c>
      <c r="J429" s="14" t="inlineStr">
        <is>
          <t>[2017-09-01 DBA-ZGM10W 2009/12 ?km] 走行中にボンネットが開き前面ガラスが大破した。
[2015-01-07 CBA-ANM10G 2005/01 48000km] エアコンを使用していたところ、吹きだし口から黒い粉塵の様なものが噴き出した。
[2012-07-13 DBA-ANM10W 2006/12 22000km] イモビライザーの不具合により、エンジンが始動しない事が有る。</t>
        </is>
      </c>
    </row>
    <row r="430">
      <c r="A430" s="13" t="inlineStr">
        <is>
          <t>アイシス</t>
        </is>
      </c>
      <c r="B430" s="13" t="inlineStr">
        <is>
          <t>10系</t>
        </is>
      </c>
      <c r="C430" s="13" t="inlineStr">
        <is>
          <t>保安灯火</t>
        </is>
      </c>
      <c r="D430" s="15" t="n">
        <v>2</v>
      </c>
      <c r="E430" s="17" t="n">
        <v>2.8</v>
      </c>
      <c r="F430" s="15" t="n">
        <v>43000</v>
      </c>
      <c r="G430" s="13" t="n">
        <v>2007</v>
      </c>
      <c r="H430" s="13" t="n">
        <v>2007</v>
      </c>
      <c r="I430" s="14" t="inlineStr">
        <is>
          <t>CBA-ZNM10G, DBA-ANM15W</t>
        </is>
      </c>
      <c r="J430" s="14" t="inlineStr">
        <is>
          <t>[2010-08-20 DBA-ANM15W 2007/04 43000km] 左右のヘッドライトのコーティングが割れたように剥がれた。
[2008-03-01 CBA-ZNM10G 2007/02 10000km] 運転席側の最後尾の窓に固定されている黒いプラスチックモールが横方向に割れた。</t>
        </is>
      </c>
    </row>
    <row r="431">
      <c r="A431" s="8" t="inlineStr">
        <is>
          <t>アイシス</t>
        </is>
      </c>
      <c r="B431" s="8" t="inlineStr">
        <is>
          <t>10系</t>
        </is>
      </c>
      <c r="C431" s="8" t="inlineStr">
        <is>
          <t>走行装置</t>
        </is>
      </c>
      <c r="D431" s="11" t="n">
        <v>2</v>
      </c>
      <c r="E431" s="9" t="n">
        <v>2.8</v>
      </c>
      <c r="F431" s="11" t="n">
        <v>100000</v>
      </c>
      <c r="G431" s="8" t="n">
        <v>2006</v>
      </c>
      <c r="H431" s="8" t="n">
        <v>2011</v>
      </c>
      <c r="I431" s="14" t="inlineStr">
        <is>
          <t>DBA-ANM15W, DBA-ZGM10W</t>
        </is>
      </c>
      <c r="J431" s="14" t="inlineStr">
        <is>
          <t>[2021-03-05 DBA-ZGM10W 2011/11 100000km] スペアタイヤを固定しているフックが緩み、走行中にスペアタイヤが脱落した。
[2013-01-19 DBA-ANM15W 2006/04 40300km] 後輪タイヤの内側が偏摩耗する。</t>
        </is>
      </c>
    </row>
    <row r="432">
      <c r="A432" s="13" t="inlineStr">
        <is>
          <t>アイシス</t>
        </is>
      </c>
      <c r="B432" s="13" t="inlineStr">
        <is>
          <t>10系</t>
        </is>
      </c>
      <c r="C432" s="13" t="inlineStr">
        <is>
          <t>電気装置</t>
        </is>
      </c>
      <c r="D432" s="15" t="n">
        <v>1</v>
      </c>
      <c r="E432" s="17" t="n">
        <v>1.4</v>
      </c>
      <c r="F432" s="15" t="n">
        <v>45000</v>
      </c>
      <c r="G432" s="13" t="n">
        <v>2006</v>
      </c>
      <c r="H432" s="13" t="n">
        <v>2006</v>
      </c>
      <c r="I432" s="14" t="inlineStr">
        <is>
          <t>DBA-ANM10G</t>
        </is>
      </c>
      <c r="J432" s="14" t="inlineStr">
        <is>
          <t>[2012-05-22 DBA-ANM10G 2006/09 45000km] 走行中に突然パワーステアリングが利かなくなり、ハンドルが切れなくなった。</t>
        </is>
      </c>
    </row>
    <row r="433">
      <c r="A433" s="8" t="inlineStr">
        <is>
          <t>アイシス</t>
        </is>
      </c>
      <c r="B433" s="8" t="inlineStr">
        <is>
          <t>不明</t>
        </is>
      </c>
      <c r="C433" s="8" t="inlineStr">
        <is>
          <t>乗車装置</t>
        </is>
      </c>
      <c r="D433" s="11" t="n">
        <v>1</v>
      </c>
      <c r="E433" s="9" t="n">
        <v>50</v>
      </c>
      <c r="F433" s="11" t="n"/>
      <c r="G433" s="8" t="n"/>
      <c r="H433" s="8" t="n"/>
      <c r="I433" s="14" t="inlineStr"/>
      <c r="J433" s="14" t="inlineStr">
        <is>
          <t>[2012-07-13   ?km] 走行中にハザードランプが点き、ドアロックが解錠、施錠を数回繰り返す。</t>
        </is>
      </c>
    </row>
    <row r="434">
      <c r="A434" s="13" t="inlineStr">
        <is>
          <t>アイシス</t>
        </is>
      </c>
      <c r="B434" s="13" t="inlineStr">
        <is>
          <t>不明</t>
        </is>
      </c>
      <c r="C434" s="13" t="inlineStr">
        <is>
          <t>車枠・車体</t>
        </is>
      </c>
      <c r="D434" s="15" t="n">
        <v>1</v>
      </c>
      <c r="E434" s="17" t="n">
        <v>50</v>
      </c>
      <c r="F434" s="15" t="n">
        <v>80000</v>
      </c>
      <c r="G434" s="13" t="n"/>
      <c r="H434" s="13" t="n"/>
      <c r="I434" s="14" t="inlineStr">
        <is>
          <t>DBA-ZGM11W</t>
        </is>
      </c>
      <c r="J434" s="14" t="inlineStr">
        <is>
          <t>[2021-01-20 DBA-ZGM11W  80000km] ホワイトパール塗装色の車で、洗車時にボンネットやトランクの塗装剥がれていることに気が付いた。</t>
        </is>
      </c>
    </row>
  </sheetData>
  <autoFilter ref="A1:J434"/>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96"/>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2" customWidth="1" min="3" max="3"/>
    <col width="14" customWidth="1" min="4" max="4"/>
    <col width="12" customWidth="1" min="5" max="5"/>
    <col width="34" customWidth="1" min="6" max="6"/>
    <col width="18" customWidth="1" min="7" max="7"/>
    <col width="18" customWidth="1" min="8" max="8"/>
    <col width="34" customWidth="1" min="9" max="9"/>
    <col width="34" customWidth="1" min="10" max="10"/>
  </cols>
  <sheetData>
    <row r="1" ht="32" customHeight="1">
      <c r="A1" s="7" t="inlineStr">
        <is>
          <t>車種</t>
        </is>
      </c>
      <c r="B1" s="7" t="inlineStr">
        <is>
          <t>届出日</t>
        </is>
      </c>
      <c r="C1" s="7" t="inlineStr">
        <is>
          <t>届出番号</t>
        </is>
      </c>
      <c r="D1" s="7" t="inlineStr">
        <is>
          <t>不具合装置</t>
        </is>
      </c>
      <c r="E1" s="7" t="inlineStr">
        <is>
          <t>対象台数</t>
        </is>
      </c>
      <c r="F1" s="7" t="inlineStr">
        <is>
          <t>型式</t>
        </is>
      </c>
      <c r="G1" s="7" t="inlineStr">
        <is>
          <t>製作期間
開始</t>
        </is>
      </c>
      <c r="H1" s="7" t="inlineStr">
        <is>
          <t>製作期間
終了</t>
        </is>
      </c>
      <c r="I1" s="7" t="inlineStr">
        <is>
          <t>不具合の状況</t>
        </is>
      </c>
      <c r="J1" s="7" t="inlineStr">
        <is>
          <t>改善措置</t>
        </is>
      </c>
    </row>
    <row r="2">
      <c r="A2" s="13" t="inlineStr">
        <is>
          <t>アイシス</t>
        </is>
      </c>
      <c r="B2" s="13" t="inlineStr">
        <is>
          <t>2006/05/30</t>
        </is>
      </c>
      <c r="C2" s="13" t="inlineStr">
        <is>
          <t>1116630</t>
        </is>
      </c>
      <c r="D2" s="13" t="inlineStr">
        <is>
          <t>かじ取リンク機構</t>
        </is>
      </c>
      <c r="E2" s="15" t="n">
        <v>565756</v>
      </c>
      <c r="F2" s="14" t="inlineStr">
        <is>
          <t>CBA-ANM10G, CBA-ZNM10G, CBA-ZNM10W, DBA-ANM10G</t>
        </is>
      </c>
      <c r="G2" s="13" t="inlineStr">
        <is>
          <t>2002年9月16日</t>
        </is>
      </c>
      <c r="H2" s="13" t="inlineStr">
        <is>
          <t>2005年11月22日</t>
        </is>
      </c>
      <c r="I2"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2" s="14" t="inlineStr">
        <is>
          <t>全車両、インタミディエイトシャフトとスライディングヨークを対策品に交換するとともに、インタミエクステンションシャフトの締付ボルトを規定トルクで締め付ける。</t>
        </is>
      </c>
    </row>
    <row r="3">
      <c r="A3" s="8" t="inlineStr">
        <is>
          <t>アイシス</t>
        </is>
      </c>
      <c r="B3" s="8" t="inlineStr">
        <is>
          <t>2007/07/17</t>
        </is>
      </c>
      <c r="C3" s="8" t="inlineStr">
        <is>
          <t>1119120</t>
        </is>
      </c>
      <c r="D3" s="8" t="inlineStr">
        <is>
          <t>その他(電気装置)</t>
        </is>
      </c>
      <c r="E3" s="11" t="n">
        <v>122527</v>
      </c>
      <c r="F3" s="14" t="inlineStr">
        <is>
          <t>CBA-ANM10G, CBA-ANM10W, CBA-ANM15G, CBA-ANM15W, CBA-ZNM10G, CBA-ZNM10W, DBA-ANM10G, DBA-ANM10W, DBA-ANM15G, DBA-ANM15W</t>
        </is>
      </c>
      <c r="G3" s="8" t="inlineStr">
        <is>
          <t>2004年9月20日</t>
        </is>
      </c>
      <c r="H3" s="8" t="inlineStr">
        <is>
          <t>2006年9月 1日</t>
        </is>
      </c>
      <c r="I3" s="14" t="inlineStr">
        <is>
          <t>制動灯スイッチ内部への異物侵入時の接点障害防止対策が不十分なため、絶縁性グリースが付着した作業用手袋で当該スイッチの外側に触れると、微量なグリース成分がスイッチ接点部まで徐々に拡散することがあり、スイッチ接点部の発熱により当該接点部に絶縁物が生成されて導通不良となるものがある。そのため、制動灯が点灯しなくなり、シフトレバーがパーキング位置から動かなくなるおそれがある。</t>
        </is>
      </c>
      <c r="J3" s="14" t="inlineStr">
        <is>
          <t>全車両、当該スイッチを対策品に交換するとともにリレーを追加する。</t>
        </is>
      </c>
    </row>
    <row r="4">
      <c r="A4" s="13" t="inlineStr">
        <is>
          <t>アイシス</t>
        </is>
      </c>
      <c r="B4" s="13" t="inlineStr">
        <is>
          <t>2010/11/17</t>
        </is>
      </c>
      <c r="C4" s="13" t="inlineStr">
        <is>
          <t>1126540</t>
        </is>
      </c>
      <c r="D4" s="13" t="inlineStr">
        <is>
          <t>ウオッシャー</t>
        </is>
      </c>
      <c r="E4" s="15" t="n">
        <v>4450</v>
      </c>
      <c r="F4" s="14" t="inlineStr">
        <is>
          <t>CBA-ZNM10W</t>
        </is>
      </c>
      <c r="G4" s="13" t="inlineStr">
        <is>
          <t>1995年2月13日</t>
        </is>
      </c>
      <c r="H4" s="13" t="inlineStr">
        <is>
          <t>2009年10月19日</t>
        </is>
      </c>
      <c r="I4"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4" s="14" t="inlineStr">
        <is>
          <t>全車両、当該ヒータを取り外す。</t>
        </is>
      </c>
    </row>
    <row r="5">
      <c r="A5" s="8" t="inlineStr">
        <is>
          <t>アイシス</t>
        </is>
      </c>
      <c r="B5" s="8" t="inlineStr">
        <is>
          <t>2011/01/26</t>
        </is>
      </c>
      <c r="C5" s="8" t="inlineStr">
        <is>
          <t>1126941</t>
        </is>
      </c>
      <c r="D5" s="8" t="inlineStr">
        <is>
          <t>燃料ホース/パイプ</t>
        </is>
      </c>
      <c r="E5" s="11" t="n">
        <v>1202800</v>
      </c>
      <c r="F5" s="14" t="inlineStr">
        <is>
          <t>CBA-ANM10G, CBA-ANM10W, CBA-ANM15G, CBA-ANM15W, DBA-ANM10G, DBA-ANM10W, DBA-ANM15G, DBA-ANM15W</t>
        </is>
      </c>
      <c r="G5" s="8" t="inlineStr">
        <is>
          <t>2000年5月10日</t>
        </is>
      </c>
      <c r="H5" s="8" t="inlineStr">
        <is>
          <t>2008年10月24日</t>
        </is>
      </c>
      <c r="I5"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5" s="14" t="inlineStr">
        <is>
          <t>① 全車両、燃料パイプを対策品に交換する。</t>
        </is>
      </c>
    </row>
    <row r="6">
      <c r="A6" s="13" t="inlineStr">
        <is>
          <t>アイシス</t>
        </is>
      </c>
      <c r="B6" s="13" t="inlineStr">
        <is>
          <t>2012/11/14</t>
        </is>
      </c>
      <c r="C6" s="13" t="inlineStr">
        <is>
          <t>1130551</t>
        </is>
      </c>
      <c r="D6" s="13" t="inlineStr">
        <is>
          <t>その他(かじ取り)</t>
        </is>
      </c>
      <c r="E6" s="15" t="n">
        <v>1507454</v>
      </c>
      <c r="F6" s="14" t="inlineStr">
        <is>
          <t>CBA-ANM10G, CBA-ZNM10G, CBA-ZNM10W, DBA-ANM10G</t>
        </is>
      </c>
      <c r="G6" s="13" t="inlineStr">
        <is>
          <t>2000年8月22日</t>
        </is>
      </c>
      <c r="H6" s="13" t="inlineStr">
        <is>
          <t>2011年12月16日</t>
        </is>
      </c>
      <c r="I6"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6" s="14" t="inlineStr">
        <is>
          <t>①全車両、点検し、当該継手部品を対策品に交換する。</t>
        </is>
      </c>
    </row>
    <row r="7">
      <c r="A7" s="8" t="inlineStr">
        <is>
          <t>アイシス</t>
        </is>
      </c>
      <c r="B7" s="8" t="inlineStr">
        <is>
          <t>2015/11/18</t>
        </is>
      </c>
      <c r="C7" s="8" t="inlineStr">
        <is>
          <t>1136720</t>
        </is>
      </c>
      <c r="D7" s="8" t="inlineStr">
        <is>
          <t>燃料ホース/パイプ</t>
        </is>
      </c>
      <c r="E7" s="11" t="n">
        <v>3067</v>
      </c>
      <c r="F7" s="14" t="inlineStr">
        <is>
          <t>DBA-ANM10G, DBA-ANM10W, DBA-ANM15G, DBA-ANM15W</t>
        </is>
      </c>
      <c r="G7" s="8" t="inlineStr">
        <is>
          <t>2009年5月13日</t>
        </is>
      </c>
      <c r="H7" s="8" t="inlineStr">
        <is>
          <t>2009年9月28日</t>
        </is>
      </c>
      <c r="I7" s="14" t="inlineStr">
        <is>
          <t>原動機の燃料配管（デリバリパイプ）において、燃圧センサの締結用工具が不適切なため、締結作業時に当該工具が周辺部品と干渉し締結力が不足しているものがある。そのため、締結部がシール不良となり燃料臭がしたり、燃料が漏れるおそれがある。</t>
        </is>
      </c>
      <c r="J7" s="14" t="inlineStr">
        <is>
          <t>全車両、ガスケットを新品と交換して燃圧センサを適正に締め付ける。</t>
        </is>
      </c>
    </row>
    <row r="8">
      <c r="A8" s="13" t="inlineStr">
        <is>
          <t>アイシス</t>
        </is>
      </c>
      <c r="B8" s="13" t="inlineStr">
        <is>
          <t>2018/11/01</t>
        </is>
      </c>
      <c r="C8" s="13" t="inlineStr">
        <is>
          <t>1143630</t>
        </is>
      </c>
      <c r="D8" s="13" t="inlineStr">
        <is>
          <t>エアーバッグ</t>
        </is>
      </c>
      <c r="E8" s="15" t="n">
        <v>36002</v>
      </c>
      <c r="F8" s="14" t="inlineStr">
        <is>
          <t>CBA-ANM10G, CBA-ANM10W, CBA-ANM15G, CBA-ANM15W, CBA-ZNM10G, CBA-ZNM10W, DBA-ANM10G, DBA-ANM10W, DBA-ANM15G, DBA-ANM15W</t>
        </is>
      </c>
      <c r="G8" s="13" t="inlineStr">
        <is>
          <t>2003年1月 8日</t>
        </is>
      </c>
      <c r="H8" s="13" t="inlineStr">
        <is>
          <t>2015年6月25日</t>
        </is>
      </c>
      <c r="I8"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8" s="14" t="inlineStr">
        <is>
          <t>全車両、エアバッグコントロールユニットを対策品に交換する。</t>
        </is>
      </c>
    </row>
    <row r="9">
      <c r="A9" s="8" t="inlineStr">
        <is>
          <t>アルファード</t>
        </is>
      </c>
      <c r="B9" s="8" t="inlineStr">
        <is>
          <t>2004/11/18</t>
        </is>
      </c>
      <c r="C9" s="8" t="inlineStr">
        <is>
          <t>1113041</t>
        </is>
      </c>
      <c r="D9" s="8" t="inlineStr">
        <is>
          <t>主ブレーキ一般</t>
        </is>
      </c>
      <c r="E9" s="11" t="n">
        <v>544172</v>
      </c>
      <c r="F9" s="14" t="inlineStr">
        <is>
          <t>CAA-ATH10W, ZA-ATH10W</t>
        </is>
      </c>
      <c r="G9" s="8" t="inlineStr">
        <is>
          <t>1999年1月 6日</t>
        </is>
      </c>
      <c r="H9" s="8" t="inlineStr">
        <is>
          <t>2004年8月 6日</t>
        </is>
      </c>
      <c r="I9"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9" s="14" t="inlineStr">
        <is>
          <t>①全車両、当該スイッチを対策品と交換する。</t>
        </is>
      </c>
    </row>
    <row r="10">
      <c r="A10" s="13" t="inlineStr">
        <is>
          <t>アルファード</t>
        </is>
      </c>
      <c r="B10" s="13" t="inlineStr">
        <is>
          <t>2010/10/21</t>
        </is>
      </c>
      <c r="C10" s="13" t="inlineStr">
        <is>
          <t>1126252</t>
        </is>
      </c>
      <c r="D10" s="13" t="inlineStr">
        <is>
          <t>圧力制御伝達部</t>
        </is>
      </c>
      <c r="E10" s="15" t="n">
        <v>581695</v>
      </c>
      <c r="F10" s="14" t="inlineStr">
        <is>
          <t>CBA-ANH10W, CBA-ANH15W, DBA-ANH10W, DBA-ANH15W, TA-MNH10W, TA-MNH15W, UA-ANH10W, UA-ANH15W</t>
        </is>
      </c>
      <c r="G10" s="13" t="inlineStr">
        <is>
          <t>2002年5月10日</t>
        </is>
      </c>
      <c r="H10" s="13" t="inlineStr">
        <is>
          <t>2006年3月 2日</t>
        </is>
      </c>
      <c r="I10" s="14" t="inlineStr">
        <is>
          <t>ブレーキマスターシリンダにおいて、市場で使用されるブレーキ液での潤滑性評価が不足していたため、規格に適合しているブレーキ液であってもポリマー成分の少ないブレーキ液を使用すると、シリンダ後端のゴム製シール部が潤滑不良となりめくれることがある。そのため、当該シール部よりブレーキ液が漏れて警告灯が点灯し、そのまま使用を続けると、最悪の場合、制動力が低下するおそれがある。</t>
        </is>
      </c>
      <c r="J10" s="14" t="inlineStr">
        <is>
          <t>全車両、当該シールを対策品に交換するとともに、マスターシリンダからのブレーキ液漏れを点検する。ブレーキ液漏れがあるものは、ブレーキブースタを新品と交換する。</t>
        </is>
      </c>
    </row>
    <row r="11">
      <c r="A11" s="8" t="inlineStr">
        <is>
          <t>アルファード</t>
        </is>
      </c>
      <c r="B11" s="8" t="inlineStr">
        <is>
          <t>2010/11/17</t>
        </is>
      </c>
      <c r="C11" s="8" t="inlineStr">
        <is>
          <t>1126540</t>
        </is>
      </c>
      <c r="D11" s="8" t="inlineStr">
        <is>
          <t>ウオッシャー</t>
        </is>
      </c>
      <c r="E11" s="11" t="n">
        <v>4450</v>
      </c>
      <c r="F11" s="14" t="inlineStr">
        <is>
          <t>TA-MNH10W</t>
        </is>
      </c>
      <c r="G11" s="8" t="inlineStr">
        <is>
          <t>1995年2月13日</t>
        </is>
      </c>
      <c r="H11" s="8" t="inlineStr">
        <is>
          <t>2009年10月19日</t>
        </is>
      </c>
      <c r="I11"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1" s="14" t="inlineStr">
        <is>
          <t>全車両、当該ヒータを取り外す。</t>
        </is>
      </c>
    </row>
    <row r="12">
      <c r="A12" s="13" t="inlineStr">
        <is>
          <t>アルファード</t>
        </is>
      </c>
      <c r="B12" s="13" t="inlineStr">
        <is>
          <t>2011/11/09</t>
        </is>
      </c>
      <c r="C12" s="13" t="inlineStr">
        <is>
          <t>1128490</t>
        </is>
      </c>
      <c r="D12" s="13" t="inlineStr">
        <is>
          <t>エンジン一般</t>
        </is>
      </c>
      <c r="E12" s="15" t="n">
        <v>38057</v>
      </c>
      <c r="F12" s="14" t="inlineStr">
        <is>
          <t>TA-MNH10W, TA-MNH10W改, TA-MNH15W</t>
        </is>
      </c>
      <c r="G12" s="13" t="inlineStr">
        <is>
          <t>2004年6月 1日</t>
        </is>
      </c>
      <c r="H12" s="13" t="inlineStr">
        <is>
          <t>2005年3月31日</t>
        </is>
      </c>
      <c r="I12" s="14" t="inlineStr">
        <is>
          <t>エンジンのクランクシャフトプーリにおいて、プーリ外輪と防振ゴム間の接着剤塗布量が不足しているものがある。そのため、当該接着部が剥がれて、プーリ外輪が空転することで異音が発生したり、充電警告灯が点灯することがある。また、最悪の場合、パワーステアリングポンプ用ベルトが外れて、急にハンドル操作力が増大するおそれがある。</t>
        </is>
      </c>
      <c r="J12" s="14" t="inlineStr">
        <is>
          <t>全車両、当該クランクシャフトプーリの製造記号を確認し、該当するものは良品に交換する。</t>
        </is>
      </c>
    </row>
    <row r="13">
      <c r="A13" s="8" t="inlineStr">
        <is>
          <t>アルファード</t>
        </is>
      </c>
      <c r="B13" s="8" t="inlineStr">
        <is>
          <t>2012/11/14</t>
        </is>
      </c>
      <c r="C13" s="8" t="inlineStr">
        <is>
          <t>1130552</t>
        </is>
      </c>
      <c r="D13" s="8" t="inlineStr">
        <is>
          <t>冷却装置</t>
        </is>
      </c>
      <c r="E13" s="11" t="n">
        <v>175176</v>
      </c>
      <c r="F13" s="14" t="inlineStr">
        <is>
          <t>CAA-ATH10W, DAA-ATH10W, ZA-ATH10W</t>
        </is>
      </c>
      <c r="G13" s="8" t="inlineStr">
        <is>
          <t>2000年8月22日</t>
        </is>
      </c>
      <c r="H13" s="8" t="inlineStr">
        <is>
          <t>2011年12月16日</t>
        </is>
      </c>
      <c r="I13"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13" s="14" t="inlineStr">
        <is>
          <t>②全車両、当該ウォータポンプを対策品に交換する。</t>
        </is>
      </c>
    </row>
    <row r="14">
      <c r="A14" s="13" t="inlineStr">
        <is>
          <t>アルファード</t>
        </is>
      </c>
      <c r="B14" s="13" t="inlineStr">
        <is>
          <t>2013/04/11</t>
        </is>
      </c>
      <c r="C14" s="13" t="inlineStr">
        <is>
          <t>1131400</t>
        </is>
      </c>
      <c r="D14" s="13" t="inlineStr">
        <is>
          <t>エアバッグ</t>
        </is>
      </c>
      <c r="E14" s="15" t="n">
        <v>304862</v>
      </c>
      <c r="F14" s="14" t="inlineStr">
        <is>
          <t>TA-MNH10W, TA-MNH15W, UA-ANH10W, UA-ANH15W</t>
        </is>
      </c>
      <c r="G14" s="13" t="inlineStr">
        <is>
          <t>2000年11月22日</t>
        </is>
      </c>
      <c r="H14" s="13" t="inlineStr">
        <is>
          <t>2003年6月 9日</t>
        </is>
      </c>
      <c r="I14"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4" s="14" t="inlineStr">
        <is>
          <t>全車両、当該インフレータを良品に交換する。</t>
        </is>
      </c>
    </row>
    <row r="15">
      <c r="A15" s="8" t="inlineStr">
        <is>
          <t>アルファード</t>
        </is>
      </c>
      <c r="B15" s="8" t="inlineStr">
        <is>
          <t>2014/06/11</t>
        </is>
      </c>
      <c r="C15" s="8" t="inlineStr">
        <is>
          <t>1133690</t>
        </is>
      </c>
      <c r="D15" s="8" t="inlineStr">
        <is>
          <t>エアバッグ</t>
        </is>
      </c>
      <c r="E15" s="11" t="n">
        <v>648081</v>
      </c>
      <c r="F15" s="14" t="inlineStr">
        <is>
          <t>TA-MNH10W, TA-MNH15W, UA-ANH10W, UA-ANH15W</t>
        </is>
      </c>
      <c r="G15" s="8" t="inlineStr">
        <is>
          <t>2000年12月 4日</t>
        </is>
      </c>
      <c r="H15" s="8" t="inlineStr">
        <is>
          <t>2004年4月19日</t>
        </is>
      </c>
      <c r="I15"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5"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
      <c r="A16" s="13" t="inlineStr">
        <is>
          <t>アルファード</t>
        </is>
      </c>
      <c r="B16" s="13" t="inlineStr">
        <is>
          <t>2014/12/04</t>
        </is>
      </c>
      <c r="C16" s="13" t="inlineStr">
        <is>
          <t>1134830</t>
        </is>
      </c>
      <c r="D16" s="13" t="inlineStr">
        <is>
          <t>エアバッグ</t>
        </is>
      </c>
      <c r="E16" s="15" t="n">
        <v>185093</v>
      </c>
      <c r="F16" s="14" t="inlineStr">
        <is>
          <t>TA-MNH10W, TA-MNH15W, UA-ANH10W, UA-ANH15W</t>
        </is>
      </c>
      <c r="G16" s="13" t="inlineStr">
        <is>
          <t>2002年9月24日</t>
        </is>
      </c>
      <c r="H16" s="13" t="inlineStr">
        <is>
          <t>2003年12月25日</t>
        </is>
      </c>
      <c r="I16"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6"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7">
      <c r="A17" s="8" t="inlineStr">
        <is>
          <t>アルファード</t>
        </is>
      </c>
      <c r="B17" s="8" t="inlineStr">
        <is>
          <t>2015/05/13</t>
        </is>
      </c>
      <c r="C17" s="8" t="inlineStr">
        <is>
          <t>1135630</t>
        </is>
      </c>
      <c r="D17" s="8" t="inlineStr">
        <is>
          <t>エアバッグ</t>
        </is>
      </c>
      <c r="E17" s="11" t="n">
        <v>1300983</v>
      </c>
      <c r="F17" s="14" t="inlineStr">
        <is>
          <t>CAA-ATH10W, CBA-ANH10W, CBA-ANH15W, DAA-ATH10W, DBA-ANH10W, DBA-ANH15W, TA-MNH10W, TA-MNH15W, UA-ANH10W, UA-ANH15W, ZA-ATH10W</t>
        </is>
      </c>
      <c r="G17" s="8" t="inlineStr">
        <is>
          <t>2004年1月 6日</t>
        </is>
      </c>
      <c r="H17" s="8" t="inlineStr">
        <is>
          <t>2008年3月 7日</t>
        </is>
      </c>
      <c r="I17"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7"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8">
      <c r="A18" s="13" t="inlineStr">
        <is>
          <t>アルファード</t>
        </is>
      </c>
      <c r="B18" s="13" t="inlineStr">
        <is>
          <t>2015/05/27</t>
        </is>
      </c>
      <c r="C18" s="13" t="inlineStr">
        <is>
          <t>1135770</t>
        </is>
      </c>
      <c r="D18" s="13" t="inlineStr">
        <is>
          <t>圧力制御伝達部</t>
        </is>
      </c>
      <c r="E18" s="15" t="n">
        <v>1077</v>
      </c>
      <c r="F18" s="14" t="inlineStr">
        <is>
          <t>DBA-AGH30W, DBA-AGH35W, DBA-GGH30W, DBA-GGH35W</t>
        </is>
      </c>
      <c r="G18" s="13" t="inlineStr">
        <is>
          <t>2014年11月11日</t>
        </is>
      </c>
      <c r="H18" s="13" t="inlineStr">
        <is>
          <t>2015年2月 3日</t>
        </is>
      </c>
      <c r="I18"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18" s="14" t="inlineStr">
        <is>
          <t>全車両、ＡＢＳの油圧調整装置の製造番号を確認し、該当するものは良品と交換する。</t>
        </is>
      </c>
    </row>
    <row r="19">
      <c r="A19" s="8" t="inlineStr">
        <is>
          <t>アルファード</t>
        </is>
      </c>
      <c r="B19" s="8" t="inlineStr">
        <is>
          <t>2015/06/25</t>
        </is>
      </c>
      <c r="C19" s="8" t="inlineStr">
        <is>
          <t>1135900</t>
        </is>
      </c>
      <c r="D19" s="8" t="inlineStr">
        <is>
          <t>エアバッグ</t>
        </is>
      </c>
      <c r="E19" s="11" t="n">
        <v>2230</v>
      </c>
      <c r="F19" s="14" t="inlineStr">
        <is>
          <t>TA-MNH10W, TA-MNH15W, UA-ANH10W, UA-ANH15W</t>
        </is>
      </c>
      <c r="G19" s="8" t="inlineStr">
        <is>
          <t>2001年12月20日</t>
        </is>
      </c>
      <c r="H19" s="8" t="inlineStr">
        <is>
          <t>2002年9月24日</t>
        </is>
      </c>
      <c r="I19"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したり乗員が負傷するおそれがある。</t>
        </is>
      </c>
      <c r="J19" s="14" t="inlineStr">
        <is>
          <t>全車両、助手席用インフレータを新品と交換する。</t>
        </is>
      </c>
    </row>
    <row r="20">
      <c r="A20" s="13" t="inlineStr">
        <is>
          <t>アルファード</t>
        </is>
      </c>
      <c r="B20" s="13" t="inlineStr">
        <is>
          <t>2015/06/25</t>
        </is>
      </c>
      <c r="C20" s="13" t="inlineStr">
        <is>
          <t>1135910</t>
        </is>
      </c>
      <c r="D20" s="13" t="inlineStr">
        <is>
          <t>エアバッグ</t>
        </is>
      </c>
      <c r="E20" s="15" t="n">
        <v>46344</v>
      </c>
      <c r="F20" s="14" t="inlineStr">
        <is>
          <t>ZA-ATH10W</t>
        </is>
      </c>
      <c r="G20" s="13" t="inlineStr">
        <is>
          <t>2003年5月12日</t>
        </is>
      </c>
      <c r="H20" s="13" t="inlineStr">
        <is>
          <t>2008年5月23日</t>
        </is>
      </c>
      <c r="I20" s="14" t="inlineStr">
        <is>
          <t>助手席用エアバッグのインフレータ（膨張装置）において、原因は判明していないが、エアバッグ展開時にインフレータ容器が破損するおそれがあることから、全車両、予防的措置として、当該インフレータを交換する。</t>
        </is>
      </c>
      <c r="J20" s="14" t="inlineStr">
        <is>
          <t>全車両、予防的措置として、助手席用エアバッグインフレータを新品と交換、回収して不具合原因調査を実施する。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21">
      <c r="A21" s="8" t="inlineStr">
        <is>
          <t>アルファード</t>
        </is>
      </c>
      <c r="B21" s="8" t="inlineStr">
        <is>
          <t>2015/06/25</t>
        </is>
      </c>
      <c r="C21" s="8" t="inlineStr">
        <is>
          <t>1135920</t>
        </is>
      </c>
      <c r="D21" s="8" t="inlineStr">
        <is>
          <t>エアバッグ</t>
        </is>
      </c>
      <c r="E21" s="11" t="n">
        <v>311687</v>
      </c>
      <c r="F21" s="14" t="inlineStr">
        <is>
          <t>CBA-MNH10W, CBA-MNH15W, DAA-ATH10W, DBA-ANH10W, DBA-ANH15W, TA-MNH10W, TA-MNH15W</t>
        </is>
      </c>
      <c r="G21" s="8" t="inlineStr">
        <is>
          <t>2007年4月 1日</t>
        </is>
      </c>
      <c r="H21" s="8" t="inlineStr">
        <is>
          <t>2008年12月25日</t>
        </is>
      </c>
      <c r="I21"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21"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22">
      <c r="A22" s="13" t="inlineStr">
        <is>
          <t>アルファード</t>
        </is>
      </c>
      <c r="B22" s="13" t="inlineStr">
        <is>
          <t>2015/11/25</t>
        </is>
      </c>
      <c r="C22" s="13" t="inlineStr">
        <is>
          <t>1136960</t>
        </is>
      </c>
      <c r="D22" s="13" t="inlineStr">
        <is>
          <t>エアバッグ</t>
        </is>
      </c>
      <c r="E22" s="15" t="n">
        <v>1612670</v>
      </c>
      <c r="F22" s="14" t="inlineStr">
        <is>
          <t>CAA-ATH10W, CBA-ANH10W, CBA-ANH15W, CBA-MNH10W, CBA-MNH15W, DAA-ATH10W, DBA-ANH10W, DBA-ANH15W, TA-MNH10W, TA-MNH15W, UA-ANH10W, UA-ANH15W, ZA-ATH10W</t>
        </is>
      </c>
      <c r="G22" s="13" t="inlineStr">
        <is>
          <t>2004年1月 6日</t>
        </is>
      </c>
      <c r="H22" s="13" t="inlineStr">
        <is>
          <t>2008年12月25日</t>
        </is>
      </c>
      <c r="I22" s="14" t="inlineStr">
        <is>
          <t>助手席用一段展開制御式エアバッグのインフレータ（膨張装置）において、エアバッグ展開時にインフレータ容器が破損して飛び散り、出火したり乗員が負傷するおそれがある。</t>
        </is>
      </c>
      <c r="J22"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23">
      <c r="A23" s="8" t="inlineStr">
        <is>
          <t>アルファード</t>
        </is>
      </c>
      <c r="B23" s="8" t="inlineStr">
        <is>
          <t>2016/10/26</t>
        </is>
      </c>
      <c r="C23" s="8" t="inlineStr">
        <is>
          <t>1139110</t>
        </is>
      </c>
      <c r="D23" s="8" t="inlineStr">
        <is>
          <t>エアバッグ</t>
        </is>
      </c>
      <c r="E23" s="11" t="n">
        <v>1159578</v>
      </c>
      <c r="F23" s="14" t="inlineStr">
        <is>
          <t>DBA-ANH20W, DBA-ANH25W, DBA-GGH20W, DBA-GGH25W</t>
        </is>
      </c>
      <c r="G23" s="8" t="inlineStr">
        <is>
          <t>2000年8月22日</t>
        </is>
      </c>
      <c r="H23" s="8" t="inlineStr">
        <is>
          <t>2011年12月28日</t>
        </is>
      </c>
      <c r="I2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3"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24">
      <c r="A24" s="13" t="inlineStr">
        <is>
          <t>アルファード</t>
        </is>
      </c>
      <c r="B24" s="13" t="inlineStr">
        <is>
          <t>2017/03/30</t>
        </is>
      </c>
      <c r="C24" s="13" t="inlineStr">
        <is>
          <t>1140180</t>
        </is>
      </c>
      <c r="D24" s="13" t="inlineStr">
        <is>
          <t>エアバッグ</t>
        </is>
      </c>
      <c r="E24" s="15" t="n">
        <v>725999</v>
      </c>
      <c r="F24" s="14" t="inlineStr">
        <is>
          <t>DAA-ATH20W, DBA-ANH20W, DBA-ANH25W, DBA-GGH20W, DBA-GGH25W</t>
        </is>
      </c>
      <c r="G24" s="13" t="inlineStr">
        <is>
          <t>2010年1月 6日</t>
        </is>
      </c>
      <c r="H24" s="13" t="inlineStr">
        <is>
          <t>2012年12月26日</t>
        </is>
      </c>
      <c r="I2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4" s="14" t="inlineStr">
        <is>
          <t>全車両、予防的措置としてエアバッグインフレータまたはエアバッグアッセンブリを改良品に交換する。</t>
        </is>
      </c>
    </row>
    <row r="25">
      <c r="A25" s="8" t="inlineStr">
        <is>
          <t>アルファード</t>
        </is>
      </c>
      <c r="B25" s="8" t="inlineStr">
        <is>
          <t>2018/01/31</t>
        </is>
      </c>
      <c r="C25" s="8" t="inlineStr">
        <is>
          <t>1141851</t>
        </is>
      </c>
      <c r="D25" s="8" t="inlineStr">
        <is>
          <t>エアバッグ</t>
        </is>
      </c>
      <c r="E25" s="11" t="n">
        <v>91210</v>
      </c>
      <c r="F25" s="14" t="inlineStr">
        <is>
          <t>DAA-AYH30W, DBA-AGH30W, DBA-AGH35W, DBA-GGH30W, DBA-GGH35W</t>
        </is>
      </c>
      <c r="G25" s="8" t="inlineStr">
        <is>
          <t>2015年5月20日</t>
        </is>
      </c>
      <c r="H25" s="8" t="inlineStr">
        <is>
          <t>2016年1月 7日</t>
        </is>
      </c>
      <c r="I2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25" s="14" t="inlineStr">
        <is>
          <t>全車両、各センサの製造番号を点検し、該当する場合は良品と交換する。</t>
        </is>
      </c>
    </row>
    <row r="26">
      <c r="A26" s="13" t="inlineStr">
        <is>
          <t>アルファード</t>
        </is>
      </c>
      <c r="B26" s="13" t="inlineStr">
        <is>
          <t>2018/03/28</t>
        </is>
      </c>
      <c r="C26" s="13" t="inlineStr">
        <is>
          <t>1142280</t>
        </is>
      </c>
      <c r="D26" s="13" t="inlineStr">
        <is>
          <t>エアバッグ</t>
        </is>
      </c>
      <c r="E26" s="15" t="n">
        <v>249473</v>
      </c>
      <c r="F26" s="14" t="inlineStr">
        <is>
          <t>DAA-ATH20W, DBA-ANH20W, DBA-ANH25W, DBA-GGH20W, DBA-GGH25W</t>
        </is>
      </c>
      <c r="G26" s="13" t="inlineStr">
        <is>
          <t>2013年1月 7日</t>
        </is>
      </c>
      <c r="H26" s="13" t="inlineStr">
        <is>
          <t>2014年12月25日</t>
        </is>
      </c>
      <c r="I2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6" s="14" t="inlineStr">
        <is>
          <t>全車両、予防的措置としてエアバッグインフレータまたはエアバッグアッセンブリを代替品と交換する。</t>
        </is>
      </c>
    </row>
    <row r="27">
      <c r="A27" s="8" t="inlineStr">
        <is>
          <t>アルファード</t>
        </is>
      </c>
      <c r="B27" s="8" t="inlineStr">
        <is>
          <t>2018/05/23</t>
        </is>
      </c>
      <c r="C27" s="8" t="inlineStr">
        <is>
          <t>1142650</t>
        </is>
      </c>
      <c r="D27" s="8" t="inlineStr">
        <is>
          <t>駐車ブレーキ一般</t>
        </is>
      </c>
      <c r="E27" s="11" t="n">
        <v>35213</v>
      </c>
      <c r="F27" s="14" t="inlineStr">
        <is>
          <t>DBA-AGH30W, DBA-AGH35W, DBA-GGH30W, DBA-GGH35W</t>
        </is>
      </c>
      <c r="G27" s="8" t="inlineStr">
        <is>
          <t>2014年12月 8日</t>
        </is>
      </c>
      <c r="H27" s="8" t="inlineStr">
        <is>
          <t>2018年2月26日</t>
        </is>
      </c>
      <c r="I27"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27" s="14" t="inlineStr">
        <is>
          <t>全車両、制御プログラムを修正する。</t>
        </is>
      </c>
    </row>
    <row r="28">
      <c r="A28" s="13" t="inlineStr">
        <is>
          <t>アルファード</t>
        </is>
      </c>
      <c r="B28" s="13" t="inlineStr">
        <is>
          <t>2018/11/01</t>
        </is>
      </c>
      <c r="C28" s="13" t="inlineStr">
        <is>
          <t>1143640</t>
        </is>
      </c>
      <c r="D28" s="13" t="inlineStr">
        <is>
          <t>エアーバッグ</t>
        </is>
      </c>
      <c r="E28" s="15" t="n">
        <v>298445</v>
      </c>
      <c r="F28" s="14" t="inlineStr">
        <is>
          <t>TA-MNH10W, TA-MNH15W, UA-ANH10W, UA-ANH15W</t>
        </is>
      </c>
      <c r="G28" s="13" t="inlineStr">
        <is>
          <t>2000年11月22日</t>
        </is>
      </c>
      <c r="H28" s="13" t="inlineStr">
        <is>
          <t>2006年6月23日</t>
        </is>
      </c>
      <c r="I2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8" s="14" t="inlineStr">
        <is>
          <t>全車両、予防的措置としてエアバッグインフレータまたはエアバッグアッセンブリを代替品と交換する。</t>
        </is>
      </c>
    </row>
    <row r="29">
      <c r="A29" s="8" t="inlineStr">
        <is>
          <t>アルファード</t>
        </is>
      </c>
      <c r="B29" s="8" t="inlineStr">
        <is>
          <t>2019/08/28</t>
        </is>
      </c>
      <c r="C29" s="8" t="inlineStr">
        <is>
          <t>1145560</t>
        </is>
      </c>
      <c r="D29" s="8" t="inlineStr">
        <is>
          <t>エアバッグ</t>
        </is>
      </c>
      <c r="E29" s="11" t="n">
        <v>181653</v>
      </c>
      <c r="F29" s="14" t="inlineStr">
        <is>
          <t>TA-MNH10W, TA-MNH15W, UA-ANH10W, UA-ANH15W</t>
        </is>
      </c>
      <c r="G29" s="8" t="inlineStr">
        <is>
          <t>2003年1月 6日</t>
        </is>
      </c>
      <c r="H29" s="8" t="inlineStr">
        <is>
          <t>2010年7月16日</t>
        </is>
      </c>
      <c r="I29"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29" s="14" t="inlineStr">
        <is>
          <t>全車両、予防的措置としてエアバッグインフレータまたはエアバッグアッセンブリを代替品と交換する。</t>
        </is>
      </c>
    </row>
    <row r="30">
      <c r="A30" s="13" t="inlineStr">
        <is>
          <t>アルファード</t>
        </is>
      </c>
      <c r="B30" s="13" t="inlineStr">
        <is>
          <t>2019/09/19</t>
        </is>
      </c>
      <c r="C30" s="13" t="inlineStr">
        <is>
          <t>1145671</t>
        </is>
      </c>
      <c r="D30" s="13" t="inlineStr">
        <is>
          <t>燃料ポンプ</t>
        </is>
      </c>
      <c r="E30" s="15" t="n">
        <v>390633</v>
      </c>
      <c r="F30" s="14" t="inlineStr">
        <is>
          <t>DAA-AYH30W</t>
        </is>
      </c>
      <c r="G30" s="13" t="inlineStr">
        <is>
          <t>2013年12月20日</t>
        </is>
      </c>
      <c r="H30" s="13" t="inlineStr">
        <is>
          <t>2018年7月18日</t>
        </is>
      </c>
      <c r="I30"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30" s="14" t="inlineStr">
        <is>
          <t>全車両、燃料ポンプを対策品に交換する。</t>
        </is>
      </c>
    </row>
    <row r="31">
      <c r="A31" s="8" t="inlineStr">
        <is>
          <t>アルファード</t>
        </is>
      </c>
      <c r="B31" s="8" t="inlineStr">
        <is>
          <t>2019/10/30</t>
        </is>
      </c>
      <c r="C31" s="8" t="inlineStr">
        <is>
          <t>1145960</t>
        </is>
      </c>
      <c r="D31" s="8" t="inlineStr">
        <is>
          <t>コンピュータ(エンジ</t>
        </is>
      </c>
      <c r="E31" s="11" t="n">
        <v>23833</v>
      </c>
      <c r="F31" s="14" t="inlineStr">
        <is>
          <t>DBA-AGH30W, DBA-AGH35W, DBA-GGH30W, DBA-GGH35W</t>
        </is>
      </c>
      <c r="G31" s="8" t="inlineStr">
        <is>
          <t>2017年12月13日</t>
        </is>
      </c>
      <c r="H31" s="8" t="inlineStr">
        <is>
          <t>2019年4月25日</t>
        </is>
      </c>
      <c r="I31"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31" s="14" t="inlineStr">
        <is>
          <t>全車両、エンジン制御用コンピュータのプログラムを対策仕様に修正する。また、バッテリ液の状態を点検し、異常がある場合はバッテリを新品に交換する。</t>
        </is>
      </c>
    </row>
    <row r="32">
      <c r="A32" s="13" t="inlineStr">
        <is>
          <t>アルファード</t>
        </is>
      </c>
      <c r="B32" s="13" t="inlineStr">
        <is>
          <t>2019/12/11</t>
        </is>
      </c>
      <c r="C32" s="13" t="inlineStr">
        <is>
          <t>1146250</t>
        </is>
      </c>
      <c r="D32" s="13" t="inlineStr">
        <is>
          <t>シートベルト</t>
        </is>
      </c>
      <c r="E32" s="15" t="n">
        <v>7790</v>
      </c>
      <c r="F32" s="14" t="inlineStr">
        <is>
          <t>DAA-AYH30W, DBA-AGH30W, DBA-AGH35W, DBA-GGH30W, DBA-GGH35W</t>
        </is>
      </c>
      <c r="G32" s="13" t="inlineStr">
        <is>
          <t>2019年8月19日</t>
        </is>
      </c>
      <c r="H32" s="13" t="inlineStr">
        <is>
          <t>2019年9月12日</t>
        </is>
      </c>
      <c r="I32"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32" s="14" t="inlineStr">
        <is>
          <t>全車両、対象となる後部座席ベルトの製造番号を点検し、該当する場合は座席ベルトを良品と交換する。</t>
        </is>
      </c>
    </row>
    <row r="33">
      <c r="A33" s="8" t="inlineStr">
        <is>
          <t>アルファード</t>
        </is>
      </c>
      <c r="B33" s="8" t="inlineStr">
        <is>
          <t>2020/03/04</t>
        </is>
      </c>
      <c r="C33" s="8" t="inlineStr">
        <is>
          <t>1146830</t>
        </is>
      </c>
      <c r="D33" s="8" t="inlineStr">
        <is>
          <t>燃料ポンプ</t>
        </is>
      </c>
      <c r="E33" s="11" t="n">
        <v>112934</v>
      </c>
      <c r="F33" s="14" t="inlineStr">
        <is>
          <t>DBA-GGH30W, DBA-GGH35W</t>
        </is>
      </c>
      <c r="G33" s="8" t="inlineStr">
        <is>
          <t>2013年9月 2日</t>
        </is>
      </c>
      <c r="H33" s="8" t="inlineStr">
        <is>
          <t>2019年1月14日</t>
        </is>
      </c>
      <c r="I3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3" s="14" t="inlineStr">
        <is>
          <t>全車両、低圧燃料ポンプを対策品と交換する。</t>
        </is>
      </c>
    </row>
    <row r="34">
      <c r="A34" s="13" t="inlineStr">
        <is>
          <t>アルファード</t>
        </is>
      </c>
      <c r="B34" s="13" t="inlineStr">
        <is>
          <t>2020/10/28</t>
        </is>
      </c>
      <c r="C34" s="13" t="inlineStr">
        <is>
          <t>1148300</t>
        </is>
      </c>
      <c r="D34" s="13" t="inlineStr">
        <is>
          <t>燃料ポンプ</t>
        </is>
      </c>
      <c r="E34" s="15" t="n">
        <v>210363</v>
      </c>
      <c r="F34" s="14" t="inlineStr">
        <is>
          <t>DAA-AYH30W, DBA-AGH30W, DBA-AGH35W, DBA-GGH30W, DBA-GGH35W</t>
        </is>
      </c>
      <c r="G34" s="13" t="inlineStr">
        <is>
          <t>2017年7月 5日</t>
        </is>
      </c>
      <c r="H34" s="13" t="inlineStr">
        <is>
          <t>2019年12月 6日</t>
        </is>
      </c>
      <c r="I34"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4" s="14" t="inlineStr">
        <is>
          <t>全車両、低圧燃料ポンプを対策品と交換する。</t>
        </is>
      </c>
    </row>
    <row r="35">
      <c r="A35" s="8" t="inlineStr">
        <is>
          <t>アルファード</t>
        </is>
      </c>
      <c r="B35" s="8" t="inlineStr">
        <is>
          <t>2021/07/07</t>
        </is>
      </c>
      <c r="C35" s="8" t="inlineStr">
        <is>
          <t>1149870</t>
        </is>
      </c>
      <c r="D35" s="8" t="inlineStr">
        <is>
          <t>コンピュータ(エンジ</t>
        </is>
      </c>
      <c r="E35" s="11" t="n">
        <v>50983</v>
      </c>
      <c r="F35" s="14" t="inlineStr">
        <is>
          <t>3BA-AGH30W, 3BA-AGH35W, 3BA-GGH30W, 3BA-GGH35W, DBA-AGH30W, DBA-AGH35W, DBA-GGH30W, DBA-GGH35W</t>
        </is>
      </c>
      <c r="G35" s="8" t="inlineStr">
        <is>
          <t>2017年12月13日</t>
        </is>
      </c>
      <c r="H35" s="8" t="inlineStr">
        <is>
          <t>2021年6月11日</t>
        </is>
      </c>
      <c r="I35"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35"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36">
      <c r="A36" s="13" t="inlineStr">
        <is>
          <t>アルファード</t>
        </is>
      </c>
      <c r="B36" s="13" t="inlineStr">
        <is>
          <t>2021/09/22</t>
        </is>
      </c>
      <c r="C36" s="13" t="inlineStr">
        <is>
          <t>1150181</t>
        </is>
      </c>
      <c r="D36" s="13" t="inlineStr">
        <is>
          <t>その他(その他)</t>
        </is>
      </c>
      <c r="E36" s="15" t="n">
        <v>111842</v>
      </c>
      <c r="F36" s="14" t="inlineStr">
        <is>
          <t>3BA-AGH30W, 3BA-AGH35W, 3BA-GGH30W, 3BA-GGH35W, 6AA-AYH30W</t>
        </is>
      </c>
      <c r="G36" s="13" t="inlineStr">
        <is>
          <t>2021年4月26日</t>
        </is>
      </c>
      <c r="H36" s="13" t="inlineStr">
        <is>
          <t>2021年8月 3日</t>
        </is>
      </c>
      <c r="I36"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36" s="14" t="inlineStr">
        <is>
          <t>（１）全車両、車載通信モジュールの制御プログラムを対策仕様に修正する。</t>
        </is>
      </c>
    </row>
    <row r="37">
      <c r="A37" s="8" t="inlineStr">
        <is>
          <t>アルファード</t>
        </is>
      </c>
      <c r="B37" s="8" t="inlineStr">
        <is>
          <t>2021/09/22</t>
        </is>
      </c>
      <c r="C37" s="8" t="inlineStr">
        <is>
          <t>1150182</t>
        </is>
      </c>
      <c r="D37" s="8" t="inlineStr">
        <is>
          <t>コンピュータ</t>
        </is>
      </c>
      <c r="E37" s="11" t="n">
        <v>111842</v>
      </c>
      <c r="F37" s="14" t="inlineStr">
        <is>
          <t>3BA-AGH30W, 3BA-AGH35W, 3BA-GGH30W, 3BA-GGH35W, 6AA-AYH30W</t>
        </is>
      </c>
      <c r="G37" s="8" t="inlineStr">
        <is>
          <t>2021年4月26日</t>
        </is>
      </c>
      <c r="H37" s="8" t="inlineStr">
        <is>
          <t>2021年8月 3日</t>
        </is>
      </c>
      <c r="I37"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37" s="14" t="inlineStr">
        <is>
          <t>（２）全車両、ハイブリッドビークルコントロールコンピュータの制御プログラムを対策仕様に修正する。</t>
        </is>
      </c>
    </row>
    <row r="38">
      <c r="A38" s="13" t="inlineStr">
        <is>
          <t>アルファード</t>
        </is>
      </c>
      <c r="B38" s="13" t="inlineStr">
        <is>
          <t>2021/09/22</t>
        </is>
      </c>
      <c r="C38" s="13" t="inlineStr">
        <is>
          <t>1150183</t>
        </is>
      </c>
      <c r="D38" s="13" t="inlineStr">
        <is>
          <t>排気管</t>
        </is>
      </c>
      <c r="E38" s="15" t="n">
        <v>111842</v>
      </c>
      <c r="F38" s="14" t="inlineStr">
        <is>
          <t>3BA-AGH30W, 3BA-AGH35W, 3BA-GGH30W, 3BA-GGH35W, 6AA-AYH30W</t>
        </is>
      </c>
      <c r="G38" s="13" t="inlineStr">
        <is>
          <t>2021年4月26日</t>
        </is>
      </c>
      <c r="H38" s="13" t="inlineStr">
        <is>
          <t>2021年8月 3日</t>
        </is>
      </c>
      <c r="I38"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38" s="14" t="inlineStr">
        <is>
          <t>（３）全車両、エキゾーストマニホールドを良品と交換する。</t>
        </is>
      </c>
    </row>
    <row r="39">
      <c r="A39" s="8" t="inlineStr">
        <is>
          <t>アルファード</t>
        </is>
      </c>
      <c r="B39" s="8" t="inlineStr">
        <is>
          <t>2023/11/02</t>
        </is>
      </c>
      <c r="C39" s="8" t="inlineStr">
        <is>
          <t>1154040</t>
        </is>
      </c>
      <c r="D39" s="8" t="inlineStr">
        <is>
          <t>燃料ポンプ</t>
        </is>
      </c>
      <c r="E39" s="11" t="n">
        <v>328108</v>
      </c>
      <c r="F39" s="14" t="inlineStr">
        <is>
          <t>DAA-AYH30W, DBA-AGH30W, DBA-AGH35W</t>
        </is>
      </c>
      <c r="G39" s="8" t="inlineStr">
        <is>
          <t>2017年7月 3日</t>
        </is>
      </c>
      <c r="H39" s="8" t="inlineStr">
        <is>
          <t>2020年1月14日</t>
        </is>
      </c>
      <c r="I39"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39" s="14" t="inlineStr">
        <is>
          <t>全車両、低圧燃料ポンプを対策品と交換する。</t>
        </is>
      </c>
    </row>
    <row r="40">
      <c r="A40" s="13" t="inlineStr">
        <is>
          <t>アルファード</t>
        </is>
      </c>
      <c r="B40" s="13" t="inlineStr">
        <is>
          <t>2025/01/22</t>
        </is>
      </c>
      <c r="C40" s="13" t="inlineStr">
        <is>
          <t>1156010</t>
        </is>
      </c>
      <c r="D40" s="13" t="inlineStr">
        <is>
          <t>燃料ポンプ</t>
        </is>
      </c>
      <c r="E40" s="15" t="n">
        <v>54577</v>
      </c>
      <c r="F40" s="14" t="inlineStr">
        <is>
          <t>DBA-AGH30W, DBA-AGH35W</t>
        </is>
      </c>
      <c r="G40" s="13" t="inlineStr">
        <is>
          <t>2017年7月 6日</t>
        </is>
      </c>
      <c r="H40" s="13" t="inlineStr">
        <is>
          <t>2019年9月10日</t>
        </is>
      </c>
      <c r="I40"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40" s="14" t="inlineStr">
        <is>
          <t>全車両、低圧燃料ポンプを対策品と交換する。</t>
        </is>
      </c>
    </row>
    <row r="41">
      <c r="A41" s="8" t="inlineStr">
        <is>
          <t>アルファード</t>
        </is>
      </c>
      <c r="B41" s="8" t="inlineStr">
        <is>
          <t>2025/01/22</t>
        </is>
      </c>
      <c r="C41" s="8" t="inlineStr">
        <is>
          <t>1156021</t>
        </is>
      </c>
      <c r="D41" s="8" t="inlineStr">
        <is>
          <t>その他(エンジン)</t>
        </is>
      </c>
      <c r="E41" s="11" t="n">
        <v>434520</v>
      </c>
      <c r="F41" s="14" t="inlineStr">
        <is>
          <t>3BA-AGH30W, 3BA-AGH35W, 3BA-GGH30W, 3BA-GGH35W, 6AA-AYH30W, DBA-AGH30W, DBA-AGH35W, DBA-GGH30W, DBA-GGH35W</t>
        </is>
      </c>
      <c r="G41" s="8" t="inlineStr">
        <is>
          <t>2014年12月 6日</t>
        </is>
      </c>
      <c r="H41" s="8" t="inlineStr">
        <is>
          <t>2023年4月24日</t>
        </is>
      </c>
      <c r="I41"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41"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42">
      <c r="A42" s="13" t="inlineStr">
        <is>
          <t>アルファード</t>
        </is>
      </c>
      <c r="B42" s="13" t="inlineStr">
        <is>
          <t>2025/01/22</t>
        </is>
      </c>
      <c r="C42" s="13" t="inlineStr">
        <is>
          <t>1156022</t>
        </is>
      </c>
      <c r="D42" s="13" t="inlineStr">
        <is>
          <t>車両全般</t>
        </is>
      </c>
      <c r="E42" s="15" t="n">
        <v>434520</v>
      </c>
      <c r="F42" s="14" t="inlineStr">
        <is>
          <t>3BA-AGH30W, 3BA-AGH35W, 3BA-GGH30W, 3BA-GGH35W, 6AA-AYH30W, DBA-AGH30W, DBA-AGH35W, DBA-GGH30W, DBA-GGH35W</t>
        </is>
      </c>
      <c r="G42" s="13" t="inlineStr">
        <is>
          <t>2014年12月 6日</t>
        </is>
      </c>
      <c r="H42" s="13" t="inlineStr">
        <is>
          <t>2023年4月24日</t>
        </is>
      </c>
      <c r="I42"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42"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43">
      <c r="A43" s="8" t="inlineStr">
        <is>
          <t>アルファード</t>
        </is>
      </c>
      <c r="B43" s="8" t="inlineStr">
        <is>
          <t>2025/07/16</t>
        </is>
      </c>
      <c r="C43" s="8" t="inlineStr">
        <is>
          <t>1156940</t>
        </is>
      </c>
      <c r="D43" s="8" t="inlineStr">
        <is>
          <t>その他(電気装置)</t>
        </is>
      </c>
      <c r="E43" s="11" t="n">
        <v>646376</v>
      </c>
      <c r="F43" s="14" t="inlineStr">
        <is>
          <t>3BA-AGH40W, 3BA-AGH45W, 6AA-AAHH40W, 6AA-AAHH45W, 6LA-AAHP45W</t>
        </is>
      </c>
      <c r="G43" s="8" t="inlineStr">
        <is>
          <t>2022年6月15日</t>
        </is>
      </c>
      <c r="H43" s="8" t="inlineStr">
        <is>
          <t>2025年6月19日</t>
        </is>
      </c>
      <c r="I43"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43"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44">
      <c r="A44" s="13" t="inlineStr">
        <is>
          <t>アルファード</t>
        </is>
      </c>
      <c r="B44" s="13" t="inlineStr">
        <is>
          <t>2025/10/30</t>
        </is>
      </c>
      <c r="C44" s="13" t="inlineStr">
        <is>
          <t>1157310</t>
        </is>
      </c>
      <c r="D44" s="13" t="inlineStr">
        <is>
          <t>後写鏡</t>
        </is>
      </c>
      <c r="E44" s="15" t="n">
        <v>1285002</v>
      </c>
      <c r="F44" s="14" t="inlineStr">
        <is>
          <t>3BA-AGH40W, 3BA-AGH45W, 6AA-AAHH40W, 6AA-AAHH45W, 6LA-AAHP45W</t>
        </is>
      </c>
      <c r="G44" s="13" t="inlineStr">
        <is>
          <t>2021年9月 1日</t>
        </is>
      </c>
      <c r="H44" s="13" t="inlineStr">
        <is>
          <t>2025年9月25日</t>
        </is>
      </c>
      <c r="I44"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44" s="14" t="inlineStr">
        <is>
          <t>全車両、パノラミックビューモニター用制御コンピュータのプログラムを対策仕様に修正する。</t>
        </is>
      </c>
    </row>
    <row r="45">
      <c r="A45" s="8" t="inlineStr">
        <is>
          <t>ウィッシュ</t>
        </is>
      </c>
      <c r="B45" s="8" t="inlineStr">
        <is>
          <t>2004/07/22</t>
        </is>
      </c>
      <c r="C45" s="8" t="inlineStr">
        <is>
          <t>1111750</t>
        </is>
      </c>
      <c r="D45" s="8" t="inlineStr">
        <is>
          <t>無段変速機</t>
        </is>
      </c>
      <c r="E45" s="11" t="n">
        <v>86</v>
      </c>
      <c r="F45" s="14" t="inlineStr">
        <is>
          <t>CBA-ANE10G, CBA-ANE11W</t>
        </is>
      </c>
      <c r="G45" s="8" t="inlineStr">
        <is>
          <t>2004年6月23日</t>
        </is>
      </c>
      <c r="H45" s="8" t="inlineStr">
        <is>
          <t>2004年6月28日</t>
        </is>
      </c>
      <c r="I45" s="14" t="inlineStr">
        <is>
          <t>無段変速機の内部にある変速制御用の油圧逃がし弁に加工が不適切なものがあるため、 当該逃がし弁が開いたままとなり、油圧が上がらなくなることがある。そのため、駆動力 の伝達が不十分となり、異音や振動が生じ、最悪の場合、走行できなくなるおそれがある 。</t>
        </is>
      </c>
      <c r="J45" s="14" t="inlineStr">
        <is>
          <t>全車両、無段変速機を良品と交換する。</t>
        </is>
      </c>
    </row>
    <row r="46">
      <c r="A46" s="13" t="inlineStr">
        <is>
          <t>ウィッシュ</t>
        </is>
      </c>
      <c r="B46" s="13" t="inlineStr">
        <is>
          <t>2004/11/18</t>
        </is>
      </c>
      <c r="C46" s="13" t="inlineStr">
        <is>
          <t>1113041</t>
        </is>
      </c>
      <c r="D46" s="13" t="inlineStr">
        <is>
          <t>主ブレーキ一般</t>
        </is>
      </c>
      <c r="E46" s="15" t="n">
        <v>544172</v>
      </c>
      <c r="F46" s="14" t="inlineStr">
        <is>
          <t>CBA-ANE10G, CBA-ANE11W, CBA-ZNE10G, CBA-ZNE14G, UA-ANE10G, UA-ANE11W, UA-ZNE10G, UA-ZNE14G</t>
        </is>
      </c>
      <c r="G46" s="13" t="inlineStr">
        <is>
          <t>1999年1月 6日</t>
        </is>
      </c>
      <c r="H46" s="13" t="inlineStr">
        <is>
          <t>2004年8月 6日</t>
        </is>
      </c>
      <c r="I46"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46" s="14" t="inlineStr">
        <is>
          <t>①全車両、当該スイッチを対策品と交換する。</t>
        </is>
      </c>
    </row>
    <row r="47">
      <c r="A47" s="8" t="inlineStr">
        <is>
          <t>ウィッシュ</t>
        </is>
      </c>
      <c r="B47" s="8" t="inlineStr">
        <is>
          <t>2006/05/30</t>
        </is>
      </c>
      <c r="C47" s="8" t="inlineStr">
        <is>
          <t>1116630</t>
        </is>
      </c>
      <c r="D47" s="8" t="inlineStr">
        <is>
          <t>かじ取リンク機構</t>
        </is>
      </c>
      <c r="E47" s="11" t="n">
        <v>565756</v>
      </c>
      <c r="F47" s="14" t="inlineStr">
        <is>
          <t>CBA-ANE10G, CBA-ZNE10G, DBA-ANE10G, DBA-ZNE10G, UA-ANE10G, UA-ZNE10G</t>
        </is>
      </c>
      <c r="G47" s="8" t="inlineStr">
        <is>
          <t>2002年9月16日</t>
        </is>
      </c>
      <c r="H47" s="8" t="inlineStr">
        <is>
          <t>2005年11月22日</t>
        </is>
      </c>
      <c r="I47" s="14" t="inlineStr">
        <is>
          <t>電動式パワーステアリング付車のハンドルとギヤボックスを連結しているインタミディエイトシャフトとスライディングヨークの強度が不足しているため、低速時にハンドルを強く一杯に切ったり、走行中縁石にタイヤを接触させる等、当該部品に過大な力が繰り返し作用すると、連結部が緩んだり、亀裂が発生することがある。そのため、そのまま使用を続けると、最悪の場合、連結部が外れたり折損して、かじ取り操作ができなくなるおそれがある。</t>
        </is>
      </c>
      <c r="J47" s="14" t="inlineStr">
        <is>
          <t>全車両、インタミディエイトシャフトとスライディングヨークを対策品に交換するとともに、インタミエクステンションシャフトの締付ボルトを規定トルクで締め付ける。</t>
        </is>
      </c>
    </row>
    <row r="48">
      <c r="A48" s="13" t="inlineStr">
        <is>
          <t>ウィッシュ</t>
        </is>
      </c>
      <c r="B48" s="13" t="inlineStr">
        <is>
          <t>2010/11/17</t>
        </is>
      </c>
      <c r="C48" s="13" t="inlineStr">
        <is>
          <t>1126540</t>
        </is>
      </c>
      <c r="D48" s="13" t="inlineStr">
        <is>
          <t>ウオッシャー</t>
        </is>
      </c>
      <c r="E48" s="15" t="n">
        <v>4450</v>
      </c>
      <c r="F48" s="14" t="inlineStr">
        <is>
          <t>CBA-ANE10G, CBA-ZNE10G, CBA-ZNE14G</t>
        </is>
      </c>
      <c r="G48" s="13" t="inlineStr">
        <is>
          <t>1995年2月13日</t>
        </is>
      </c>
      <c r="H48" s="13" t="inlineStr">
        <is>
          <t>2009年10月19日</t>
        </is>
      </c>
      <c r="I48"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48" s="14" t="inlineStr">
        <is>
          <t>全車両、当該ヒータを取り外す。</t>
        </is>
      </c>
    </row>
    <row r="49">
      <c r="A49" s="8" t="inlineStr">
        <is>
          <t>ウィッシュ</t>
        </is>
      </c>
      <c r="B49" s="8" t="inlineStr">
        <is>
          <t>2011/01/26</t>
        </is>
      </c>
      <c r="C49" s="8" t="inlineStr">
        <is>
          <t>1126941</t>
        </is>
      </c>
      <c r="D49" s="8" t="inlineStr">
        <is>
          <t>燃料ホース/パイプ</t>
        </is>
      </c>
      <c r="E49" s="11" t="n">
        <v>1202800</v>
      </c>
      <c r="F49" s="14" t="inlineStr">
        <is>
          <t>CBA-ANE10G, CBA-ANE11W, DBA-ANE10G, DBA-ANE11W, UA-ANE10G, UA-ANE11W</t>
        </is>
      </c>
      <c r="G49" s="8" t="inlineStr">
        <is>
          <t>2000年5月10日</t>
        </is>
      </c>
      <c r="H49" s="8" t="inlineStr">
        <is>
          <t>2008年10月24日</t>
        </is>
      </c>
      <c r="I49"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49" s="14" t="inlineStr">
        <is>
          <t>① 全車両、燃料パイプを対策品に交換する。</t>
        </is>
      </c>
    </row>
    <row r="50">
      <c r="A50" s="13" t="inlineStr">
        <is>
          <t>ウィッシュ</t>
        </is>
      </c>
      <c r="B50" s="13" t="inlineStr">
        <is>
          <t>2012/11/14</t>
        </is>
      </c>
      <c r="C50" s="13" t="inlineStr">
        <is>
          <t>1130551</t>
        </is>
      </c>
      <c r="D50" s="13" t="inlineStr">
        <is>
          <t>その他(かじ取り)</t>
        </is>
      </c>
      <c r="E50" s="15" t="n">
        <v>1507454</v>
      </c>
      <c r="F50" s="14" t="inlineStr">
        <is>
          <t>CBA-ANE10G, CBA-ZNE10G, DBA-ANE10G, DBA-ZNE10G, UA-ANE10G, UA-ZNE10G</t>
        </is>
      </c>
      <c r="G50" s="13" t="inlineStr">
        <is>
          <t>2000年8月22日</t>
        </is>
      </c>
      <c r="H50" s="13" t="inlineStr">
        <is>
          <t>2011年12月16日</t>
        </is>
      </c>
      <c r="I50" s="14" t="inlineStr">
        <is>
          <t>①かじ取装置において、ハンドルとギヤボックスを連結している継手部品（インタミエクステンションシャフト）のギヤボックス側強度が不足しているものがあるため、低速時にハンドルを強く一杯に切る操作を繰り返すと、継手部品の連結部にガタが発生することがある。そのため、そのまま使用を続けると、連結部が摩滅し、かじ取り操作ができなくなるおそれがある。</t>
        </is>
      </c>
      <c r="J50" s="14" t="inlineStr">
        <is>
          <t>①全車両、点検し、当該継手部品を対策品に交換する。</t>
        </is>
      </c>
    </row>
    <row r="51">
      <c r="A51" s="8" t="inlineStr">
        <is>
          <t>ウィッシュ</t>
        </is>
      </c>
      <c r="B51" s="8" t="inlineStr">
        <is>
          <t>2014/01/29</t>
        </is>
      </c>
      <c r="C51" s="8" t="inlineStr">
        <is>
          <t>1132980</t>
        </is>
      </c>
      <c r="D51" s="8" t="inlineStr">
        <is>
          <t>その他(動力伝達)</t>
        </is>
      </c>
      <c r="E51" s="11" t="n">
        <v>716</v>
      </c>
      <c r="F51" s="14" t="inlineStr">
        <is>
          <t>DBA-ZGE20G, DBA-ZGE20W, DBA-ZGE25G, DBA-ZGE25W</t>
        </is>
      </c>
      <c r="G51" s="8" t="inlineStr">
        <is>
          <t>2013年12月 2日</t>
        </is>
      </c>
      <c r="H51" s="8" t="inlineStr">
        <is>
          <t>2014年1月20日</t>
        </is>
      </c>
      <c r="I51" s="14" t="inlineStr">
        <is>
          <t>自動変速機において、シフトケーブルと変速機を締結するナットの締付け工程が不適切なため、締付け不足のものがある。そのため、そのままの状態で使用を続けると、当該ナットが外れてシフト操作できなくなるおそれがある。</t>
        </is>
      </c>
      <c r="J51" s="14" t="inlineStr">
        <is>
          <t>全車両、ナットの締付け状態を点検し、緩みのあるものは規定トルクで締付ける。</t>
        </is>
      </c>
    </row>
    <row r="52">
      <c r="A52" s="13" t="inlineStr">
        <is>
          <t>ウィッシュ</t>
        </is>
      </c>
      <c r="B52" s="13" t="inlineStr">
        <is>
          <t>2018/11/01</t>
        </is>
      </c>
      <c r="C52" s="13" t="inlineStr">
        <is>
          <t>1143630</t>
        </is>
      </c>
      <c r="D52" s="13" t="inlineStr">
        <is>
          <t>エアーバッグ</t>
        </is>
      </c>
      <c r="E52" s="15" t="n">
        <v>36002</v>
      </c>
      <c r="F52" s="14" t="inlineStr">
        <is>
          <t>CBA-ANE10G, CBA-ANE11W, CBA-ZNE10G, CBA-ZNE14G, DBA-ANE10G, DBA-ANE11W, DBA-ZNE10G, UA-ANE10G, UA-ANE11W, UA-ZNE10G, UA-ZNE14G</t>
        </is>
      </c>
      <c r="G52" s="13" t="inlineStr">
        <is>
          <t>2003年1月 8日</t>
        </is>
      </c>
      <c r="H52" s="13" t="inlineStr">
        <is>
          <t>2015年6月25日</t>
        </is>
      </c>
      <c r="I52"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52" s="14" t="inlineStr">
        <is>
          <t>全車両、エアバッグコントロールユニットを対策品に交換する。</t>
        </is>
      </c>
    </row>
    <row r="53">
      <c r="A53" s="8" t="inlineStr">
        <is>
          <t>ウィッシュ</t>
        </is>
      </c>
      <c r="B53" s="8" t="inlineStr">
        <is>
          <t>2022/11/10</t>
        </is>
      </c>
      <c r="C53" s="8" t="inlineStr">
        <is>
          <t>1152290</t>
        </is>
      </c>
      <c r="D53" s="8" t="inlineStr">
        <is>
          <t>シートベルト</t>
        </is>
      </c>
      <c r="E53" s="11" t="n">
        <v>21</v>
      </c>
      <c r="F53" s="14" t="inlineStr">
        <is>
          <t>CBA-ZNE14G, UA-ANE10G, UA-ZNE10</t>
        </is>
      </c>
      <c r="G53" s="8" t="inlineStr">
        <is>
          <t>2001年7月19日</t>
        </is>
      </c>
      <c r="H53" s="8" t="inlineStr">
        <is>
          <t>2009年6月 3日</t>
        </is>
      </c>
      <c r="I53" s="14" t="inlineStr">
        <is>
          <t>交換修理用のフォースリミッタ（※）付き前席シートベルトにおいて、巻取機構内のシャフトの製造管理が不適切なため、形状不良のものがある。そのため、衝突時に乗員保護のためのフォースリミッタが作動した際、ベルトの引き出し量が増加して、乗員の拘束力が弱まるおそれがある。 （※）フォースリミッタ：衝突時にシートベルトの拘束力を一定レベルに保ちながらシートベルトを少しずつゆるめることにより、乗員の胸部に加わる衝撃を緩和する装置。</t>
        </is>
      </c>
      <c r="J53" s="14" t="inlineStr">
        <is>
          <t>全車両、対象となるシートベルトの製造番号を点検し、該当する場合は良品と交換する。</t>
        </is>
      </c>
    </row>
    <row r="54">
      <c r="A54" s="13" t="inlineStr">
        <is>
          <t>エスクァイア</t>
        </is>
      </c>
      <c r="B54" s="13" t="inlineStr">
        <is>
          <t>2018/01/31</t>
        </is>
      </c>
      <c r="C54" s="13" t="inlineStr">
        <is>
          <t>1141851</t>
        </is>
      </c>
      <c r="D54" s="13" t="inlineStr">
        <is>
          <t>エアバッグ</t>
        </is>
      </c>
      <c r="E54" s="15" t="n">
        <v>91210</v>
      </c>
      <c r="F54" s="14" t="inlineStr">
        <is>
          <t>DAA-ZWR80G, DBA-ZRR80G, DBA-ZRR85G</t>
        </is>
      </c>
      <c r="G54" s="13" t="inlineStr">
        <is>
          <t>2015年5月20日</t>
        </is>
      </c>
      <c r="H54" s="13" t="inlineStr">
        <is>
          <t>2016年1月 7日</t>
        </is>
      </c>
      <c r="I54"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54" s="14" t="inlineStr">
        <is>
          <t>全車両、各センサの製造番号を点検し、該当する場合は良品と交換する。</t>
        </is>
      </c>
    </row>
    <row r="55">
      <c r="A55" s="8" t="inlineStr">
        <is>
          <t>エスクァイア</t>
        </is>
      </c>
      <c r="B55" s="8" t="inlineStr">
        <is>
          <t>2019/09/19</t>
        </is>
      </c>
      <c r="C55" s="8" t="inlineStr">
        <is>
          <t>1145671</t>
        </is>
      </c>
      <c r="D55" s="8" t="inlineStr">
        <is>
          <t>燃料ポンプ</t>
        </is>
      </c>
      <c r="E55" s="11" t="n">
        <v>390633</v>
      </c>
      <c r="F55" s="14" t="inlineStr">
        <is>
          <t>DAA-ZWR80G</t>
        </is>
      </c>
      <c r="G55" s="8" t="inlineStr">
        <is>
          <t>2013年12月20日</t>
        </is>
      </c>
      <c r="H55" s="8" t="inlineStr">
        <is>
          <t>2018年7月18日</t>
        </is>
      </c>
      <c r="I55"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55" s="14" t="inlineStr">
        <is>
          <t>全車両、燃料ポンプを対策品に交換する。</t>
        </is>
      </c>
    </row>
    <row r="56">
      <c r="A56" s="13" t="inlineStr">
        <is>
          <t>エスクァイア</t>
        </is>
      </c>
      <c r="B56" s="13" t="inlineStr">
        <is>
          <t>2019/09/19</t>
        </is>
      </c>
      <c r="C56" s="13" t="inlineStr">
        <is>
          <t>1145672</t>
        </is>
      </c>
      <c r="D56" s="13" t="inlineStr">
        <is>
          <t>座席</t>
        </is>
      </c>
      <c r="E56" s="15" t="n">
        <v>202917</v>
      </c>
      <c r="F56" s="14" t="inlineStr">
        <is>
          <t>DAA-ZWR80G, DBA-ZRR80G, DBA-ZRR85G</t>
        </is>
      </c>
      <c r="G56" s="13" t="inlineStr">
        <is>
          <t>2017年4月10日</t>
        </is>
      </c>
      <c r="H56" s="13" t="inlineStr">
        <is>
          <t>2018年5月11日</t>
        </is>
      </c>
      <c r="I56"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56"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57">
      <c r="A57" s="8" t="inlineStr">
        <is>
          <t>エスクァイア</t>
        </is>
      </c>
      <c r="B57" s="8" t="inlineStr">
        <is>
          <t>2019/12/11</t>
        </is>
      </c>
      <c r="C57" s="8" t="inlineStr">
        <is>
          <t>1146250</t>
        </is>
      </c>
      <c r="D57" s="8" t="inlineStr">
        <is>
          <t>シートベルト</t>
        </is>
      </c>
      <c r="E57" s="11" t="n">
        <v>7790</v>
      </c>
      <c r="F57" s="14" t="inlineStr">
        <is>
          <t>DBA-ZRR80G, DBA-ZRR80G改, DBA-ZRR85G, DBA-ZRR85G改</t>
        </is>
      </c>
      <c r="G57" s="8" t="inlineStr">
        <is>
          <t>2019年8月19日</t>
        </is>
      </c>
      <c r="H57" s="8" t="inlineStr">
        <is>
          <t>2019年9月12日</t>
        </is>
      </c>
      <c r="I57"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57" s="14" t="inlineStr">
        <is>
          <t>全車両、対象となる後部座席ベルトの製造番号を点検し、該当する場合は座席ベルトを良品と交換する。</t>
        </is>
      </c>
    </row>
    <row r="58">
      <c r="A58" s="13" t="inlineStr">
        <is>
          <t>エスクァイア</t>
        </is>
      </c>
      <c r="B58" s="13" t="inlineStr">
        <is>
          <t>2020/03/04</t>
        </is>
      </c>
      <c r="C58" s="13" t="inlineStr">
        <is>
          <t>1146830</t>
        </is>
      </c>
      <c r="D58" s="13" t="inlineStr">
        <is>
          <t>燃料ポンプ</t>
        </is>
      </c>
      <c r="E58" s="15" t="n">
        <v>112934</v>
      </c>
      <c r="F58" s="14" t="inlineStr">
        <is>
          <t>DBA-ZRR80G, DBA-ZRR80G改, DBA-ZRR85G, DBA-ZRR85G改</t>
        </is>
      </c>
      <c r="G58" s="13" t="inlineStr">
        <is>
          <t>2013年9月 2日</t>
        </is>
      </c>
      <c r="H58" s="13" t="inlineStr">
        <is>
          <t>2019年1月14日</t>
        </is>
      </c>
      <c r="I58"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8" s="14" t="inlineStr">
        <is>
          <t>全車両、低圧燃料ポンプを対策品と交換する。</t>
        </is>
      </c>
    </row>
    <row r="59">
      <c r="A59" s="8" t="inlineStr">
        <is>
          <t>エスクァイア</t>
        </is>
      </c>
      <c r="B59" s="8" t="inlineStr">
        <is>
          <t>2020/10/28</t>
        </is>
      </c>
      <c r="C59" s="8" t="inlineStr">
        <is>
          <t>1148300</t>
        </is>
      </c>
      <c r="D59" s="8" t="inlineStr">
        <is>
          <t>燃料ポンプ</t>
        </is>
      </c>
      <c r="E59" s="11" t="n">
        <v>210363</v>
      </c>
      <c r="F59" s="14" t="inlineStr">
        <is>
          <t>DAA-ZWR80G, DBA-ZRR80G, DBA-ZRR85G</t>
        </is>
      </c>
      <c r="G59" s="8" t="inlineStr">
        <is>
          <t>2017年7月 5日</t>
        </is>
      </c>
      <c r="H59" s="8" t="inlineStr">
        <is>
          <t>2019年12月 6日</t>
        </is>
      </c>
      <c r="I59"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59" s="14" t="inlineStr">
        <is>
          <t>全車両、低圧燃料ポンプを対策品と交換する。</t>
        </is>
      </c>
    </row>
    <row r="60">
      <c r="A60" s="13" t="inlineStr">
        <is>
          <t>エスクァイア</t>
        </is>
      </c>
      <c r="B60" s="13" t="inlineStr">
        <is>
          <t>2021/06/01</t>
        </is>
      </c>
      <c r="C60" s="13" t="inlineStr">
        <is>
          <t>1149660</t>
        </is>
      </c>
      <c r="D60" s="13" t="inlineStr">
        <is>
          <t>その他(電気装置)</t>
        </is>
      </c>
      <c r="E60" s="15" t="n">
        <v>24162</v>
      </c>
      <c r="F60" s="14" t="inlineStr">
        <is>
          <t>6AA-ZWR80G, 6AA-ZWR80W</t>
        </is>
      </c>
      <c r="G60" s="13" t="inlineStr">
        <is>
          <t>2020年11月27日</t>
        </is>
      </c>
      <c r="H60" s="13" t="inlineStr">
        <is>
          <t>2021年4月14日</t>
        </is>
      </c>
      <c r="I60"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60" s="14" t="inlineStr">
        <is>
          <t>全車両、電力変換モジュールを点検し、対象となるものは対策品に交換する。</t>
        </is>
      </c>
    </row>
    <row r="61">
      <c r="A61" s="8" t="inlineStr">
        <is>
          <t>エスクァイア</t>
        </is>
      </c>
      <c r="B61" s="8" t="inlineStr">
        <is>
          <t>2023/11/02</t>
        </is>
      </c>
      <c r="C61" s="8" t="inlineStr">
        <is>
          <t>1154040</t>
        </is>
      </c>
      <c r="D61" s="8" t="inlineStr">
        <is>
          <t>燃料ポンプ</t>
        </is>
      </c>
      <c r="E61" s="11" t="n">
        <v>328108</v>
      </c>
      <c r="F61" s="14" t="inlineStr">
        <is>
          <t>DAA-ZWR80G, DBA-ZRR80G, DBA-ZRR85G</t>
        </is>
      </c>
      <c r="G61" s="8" t="inlineStr">
        <is>
          <t>2017年7月 3日</t>
        </is>
      </c>
      <c r="H61" s="8" t="inlineStr">
        <is>
          <t>2020年1月14日</t>
        </is>
      </c>
      <c r="I6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61" s="14" t="inlineStr">
        <is>
          <t>全車両、低圧燃料ポンプを対策品と交換する。</t>
        </is>
      </c>
    </row>
    <row r="62">
      <c r="A62" s="13" t="inlineStr">
        <is>
          <t>エスティマ</t>
        </is>
      </c>
      <c r="B62" s="13" t="inlineStr">
        <is>
          <t>2004/11/18</t>
        </is>
      </c>
      <c r="C62" s="13" t="inlineStr">
        <is>
          <t>1113041</t>
        </is>
      </c>
      <c r="D62" s="13" t="inlineStr">
        <is>
          <t>主ブレーキ一般</t>
        </is>
      </c>
      <c r="E62" s="15" t="n">
        <v>544172</v>
      </c>
      <c r="F62" s="14" t="inlineStr">
        <is>
          <t>CAA-AHR10W, ZA-AHR10W</t>
        </is>
      </c>
      <c r="G62" s="13" t="inlineStr">
        <is>
          <t>1999年1月 6日</t>
        </is>
      </c>
      <c r="H62" s="13" t="inlineStr">
        <is>
          <t>2004年8月 6日</t>
        </is>
      </c>
      <c r="I62"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62" s="14" t="inlineStr">
        <is>
          <t>①全車両、当該スイッチを対策品と交換する。</t>
        </is>
      </c>
    </row>
    <row r="63">
      <c r="A63" s="8" t="inlineStr">
        <is>
          <t>エスティマ</t>
        </is>
      </c>
      <c r="B63" s="8" t="inlineStr">
        <is>
          <t>2005/09/15</t>
        </is>
      </c>
      <c r="C63" s="8" t="inlineStr">
        <is>
          <t>1115180</t>
        </is>
      </c>
      <c r="D63" s="8" t="inlineStr">
        <is>
          <t>配線</t>
        </is>
      </c>
      <c r="E63" s="11" t="n">
        <v>4388</v>
      </c>
      <c r="F63" s="14" t="inlineStr">
        <is>
          <t>ZA-AHR10W</t>
        </is>
      </c>
      <c r="G63" s="8" t="inlineStr">
        <is>
          <t>2001年3月27日</t>
        </is>
      </c>
      <c r="H63" s="8" t="inlineStr">
        <is>
          <t>2001年11月23日</t>
        </is>
      </c>
      <c r="I63" s="14" t="inlineStr">
        <is>
          <t>補機バッテリーを充電する電圧変換装置（ＤＣ－ＤＣコンバータ）の電気配線の端子が不適切なため、寒冷時等、電気負荷が増加するような使用を長期間行うと、当該かしめ部に酸化物が生成され、発熱し断線するものがある。そのため、補機バッテリーへの充電ができなくなり、最悪の場合、走行中に原動機や電動機（モーター）が停止し、再始動できなくなるおそれがある。</t>
        </is>
      </c>
      <c r="J63" s="14" t="inlineStr">
        <is>
          <t>全車両、電圧変換装置の製造番号を確認し、該当するものは当該電気配線を対策品に交換する。</t>
        </is>
      </c>
    </row>
    <row r="64">
      <c r="A64" s="13" t="inlineStr">
        <is>
          <t>エスティマ</t>
        </is>
      </c>
      <c r="B64" s="13" t="inlineStr">
        <is>
          <t>2006/10/31</t>
        </is>
      </c>
      <c r="C64" s="13" t="inlineStr">
        <is>
          <t>2103390</t>
        </is>
      </c>
      <c r="D64" s="13" t="inlineStr">
        <is>
          <t>ＡＢＳ</t>
        </is>
      </c>
      <c r="E64" s="15" t="n">
        <v>18149</v>
      </c>
      <c r="F64" s="14" t="inlineStr">
        <is>
          <t>DBA-ACR55W, DBA-GSR55W</t>
        </is>
      </c>
      <c r="G64" s="13" t="inlineStr">
        <is>
          <t>2005年12月19日</t>
        </is>
      </c>
      <c r="H64" s="13" t="inlineStr">
        <is>
          <t>2006年10月 1日</t>
        </is>
      </c>
      <c r="I64" s="14" t="inlineStr">
        <is>
          <t>４輪駆動車のＡＢＳ（アンチロックブレーキシステム）の制御プログラムが不適切なため、凹凸路面等でＡＢＳの作動を制限する制御が不十分になる場合がある。そのため、低速走行時に凹凸の続く下り坂の路面においてブレーキ操作した場合に、運転者の予測より制動停止距離が伸びるおそれがある。</t>
        </is>
      </c>
      <c r="J64" s="14" t="inlineStr">
        <is>
          <t>全車両、ＡＢＳ制御プログラムを修正する。</t>
        </is>
      </c>
    </row>
    <row r="65">
      <c r="A65" s="8" t="inlineStr">
        <is>
          <t>エスティマ</t>
        </is>
      </c>
      <c r="B65" s="8" t="inlineStr">
        <is>
          <t>2010/11/17</t>
        </is>
      </c>
      <c r="C65" s="8" t="inlineStr">
        <is>
          <t>1126540</t>
        </is>
      </c>
      <c r="D65" s="8" t="inlineStr">
        <is>
          <t>ウオッシャー</t>
        </is>
      </c>
      <c r="E65" s="11" t="n">
        <v>4450</v>
      </c>
      <c r="F65" s="14" t="inlineStr">
        <is>
          <t>DAA-AHR20W, DBA-ACR50W</t>
        </is>
      </c>
      <c r="G65" s="8" t="inlineStr">
        <is>
          <t>1995年2月13日</t>
        </is>
      </c>
      <c r="H65" s="8" t="inlineStr">
        <is>
          <t>2009年10月19日</t>
        </is>
      </c>
      <c r="I65"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65" s="14" t="inlineStr">
        <is>
          <t>全車両、当該ヒータを取り外す。</t>
        </is>
      </c>
    </row>
    <row r="66">
      <c r="A66" s="13" t="inlineStr">
        <is>
          <t>エスティマ</t>
        </is>
      </c>
      <c r="B66" s="13" t="inlineStr">
        <is>
          <t>2012/11/14</t>
        </is>
      </c>
      <c r="C66" s="13" t="inlineStr">
        <is>
          <t>1130552</t>
        </is>
      </c>
      <c r="D66" s="13" t="inlineStr">
        <is>
          <t>冷却装置</t>
        </is>
      </c>
      <c r="E66" s="15" t="n">
        <v>175176</v>
      </c>
      <c r="F66" s="14" t="inlineStr">
        <is>
          <t>CAA-AHR10W, ZA-AHR10W</t>
        </is>
      </c>
      <c r="G66" s="13" t="inlineStr">
        <is>
          <t>2000年8月22日</t>
        </is>
      </c>
      <c r="H66" s="13" t="inlineStr">
        <is>
          <t>2011年12月16日</t>
        </is>
      </c>
      <c r="I66" s="14" t="inlineStr">
        <is>
          <t>②ハイブリッドシステムの電圧変換器（インバータ）用電動ウォータポンプにおいて、コイルの巻き線工程が不適切なためコイル線に傷がついたものがある。そのため、コイル線の腐食断線によりウォータポンプが停止して警告灯点灯や出力制限走行となる。また、線間ショートした場合には、電源ヒューズが切れて走行不能となるおそれがある。 インバータ：高電圧の直流を交流に変換する装置</t>
        </is>
      </c>
      <c r="J66" s="14" t="inlineStr">
        <is>
          <t>②全車両、当該ウォータポンプを対策品に交換する。</t>
        </is>
      </c>
    </row>
    <row r="67">
      <c r="A67" s="8" t="inlineStr">
        <is>
          <t>エスティマ</t>
        </is>
      </c>
      <c r="B67" s="8" t="inlineStr">
        <is>
          <t>2019/10/17</t>
        </is>
      </c>
      <c r="C67" s="8" t="inlineStr">
        <is>
          <t>2105800</t>
        </is>
      </c>
      <c r="D67" s="8" t="inlineStr">
        <is>
          <t>車体</t>
        </is>
      </c>
      <c r="E67" s="11" t="n">
        <v>9213</v>
      </c>
      <c r="F67" s="14" t="inlineStr">
        <is>
          <t>DAA-AHR20W, DBA-ACR50W, DBA-ACR55W</t>
        </is>
      </c>
      <c r="G67" s="8" t="inlineStr">
        <is>
          <t>2019年1月24日</t>
        </is>
      </c>
      <c r="H67" s="8" t="inlineStr">
        <is>
          <t>2019年4月 1日</t>
        </is>
      </c>
      <c r="I67" s="14" t="inlineStr">
        <is>
          <t>バックドア用ガス封入式ダンパステーにおいて、メッキ工程での温度管理が不適切なため、メッキ生成時の内部応力によりダンパステー表面に微小亀裂が発生するものがある。そのため、封入されたガスが漏れ、最悪の場合、バックドアを保持できなくなるおそれがある。</t>
        </is>
      </c>
      <c r="J67" s="14" t="inlineStr">
        <is>
          <t>ダンパステーの製造番号を確認し、該当するものは良品と交換する。なお、製造番号を確認できない一部車種については、全車両、ダンパステーを良品と交換する。</t>
        </is>
      </c>
    </row>
    <row r="68">
      <c r="A68" s="13" t="inlineStr">
        <is>
          <t>グランエース</t>
        </is>
      </c>
      <c r="B68" s="13" t="inlineStr">
        <is>
          <t>2021/09/22</t>
        </is>
      </c>
      <c r="C68" s="13" t="inlineStr">
        <is>
          <t>1150181</t>
        </is>
      </c>
      <c r="D68" s="13" t="inlineStr">
        <is>
          <t>その他(その他)</t>
        </is>
      </c>
      <c r="E68" s="15" t="n">
        <v>111842</v>
      </c>
      <c r="F68" s="14" t="inlineStr">
        <is>
          <t>3DA-GDH303W</t>
        </is>
      </c>
      <c r="G68" s="13" t="inlineStr">
        <is>
          <t>2021年4月26日</t>
        </is>
      </c>
      <c r="H68" s="13" t="inlineStr">
        <is>
          <t>2021年8月 3日</t>
        </is>
      </c>
      <c r="I68"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68" s="14" t="inlineStr">
        <is>
          <t>（１）全車両、車載通信モジュールの制御プログラムを対策仕様に修正する。</t>
        </is>
      </c>
    </row>
    <row r="69">
      <c r="A69" s="8" t="inlineStr">
        <is>
          <t>グランエース</t>
        </is>
      </c>
      <c r="B69" s="8" t="inlineStr">
        <is>
          <t>2021/09/22</t>
        </is>
      </c>
      <c r="C69" s="8" t="inlineStr">
        <is>
          <t>1150182</t>
        </is>
      </c>
      <c r="D69" s="8" t="inlineStr">
        <is>
          <t>コンピュータ</t>
        </is>
      </c>
      <c r="E69" s="11" t="n">
        <v>111842</v>
      </c>
      <c r="F69" s="14" t="inlineStr">
        <is>
          <t>3DA-GDH303W</t>
        </is>
      </c>
      <c r="G69" s="8" t="inlineStr">
        <is>
          <t>2021年4月26日</t>
        </is>
      </c>
      <c r="H69" s="8" t="inlineStr">
        <is>
          <t>2021年8月 3日</t>
        </is>
      </c>
      <c r="I69"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69" s="14" t="inlineStr">
        <is>
          <t>（２）全車両、ハイブリッドビークルコントロールコンピュータの制御プログラムを対策仕様に修正する。</t>
        </is>
      </c>
    </row>
    <row r="70">
      <c r="A70" s="13" t="inlineStr">
        <is>
          <t>グランエース</t>
        </is>
      </c>
      <c r="B70" s="13" t="inlineStr">
        <is>
          <t>2021/09/22</t>
        </is>
      </c>
      <c r="C70" s="13" t="inlineStr">
        <is>
          <t>1150183</t>
        </is>
      </c>
      <c r="D70" s="13" t="inlineStr">
        <is>
          <t>排気管</t>
        </is>
      </c>
      <c r="E70" s="15" t="n">
        <v>111842</v>
      </c>
      <c r="F70" s="14" t="inlineStr">
        <is>
          <t>3DA-GDH303W</t>
        </is>
      </c>
      <c r="G70" s="13" t="inlineStr">
        <is>
          <t>2021年4月26日</t>
        </is>
      </c>
      <c r="H70" s="13" t="inlineStr">
        <is>
          <t>2021年8月 3日</t>
        </is>
      </c>
      <c r="I70"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70" s="14" t="inlineStr">
        <is>
          <t>（３）全車両、エキゾーストマニホールドを良品と交換する。</t>
        </is>
      </c>
    </row>
    <row r="71">
      <c r="A71" s="8" t="inlineStr">
        <is>
          <t>グランエース</t>
        </is>
      </c>
      <c r="B71" s="8" t="inlineStr">
        <is>
          <t>2023/07/12</t>
        </is>
      </c>
      <c r="C71" s="8" t="inlineStr">
        <is>
          <t>1153551</t>
        </is>
      </c>
      <c r="D71" s="8" t="inlineStr">
        <is>
          <t>コンピュータ(制御装</t>
        </is>
      </c>
      <c r="E71" s="11" t="n">
        <v>18</v>
      </c>
      <c r="F71" s="14" t="inlineStr">
        <is>
          <t>3DA-GDH303W改</t>
        </is>
      </c>
      <c r="G71" s="8" t="inlineStr">
        <is>
          <t>2019年12月 2日</t>
        </is>
      </c>
      <c r="H71" s="8" t="inlineStr">
        <is>
          <t>2022年3月24日</t>
        </is>
      </c>
      <c r="I71"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1" s="14" t="inlineStr">
        <is>
          <t>（１）ブレーキ液量センサに電気通信配線を追加する。（２）車両仕様に応じ、前部霧灯表示灯を追加、または前部霧灯の機能を廃止する。（３）オートライトシステムを取付ける。</t>
        </is>
      </c>
    </row>
    <row r="72">
      <c r="A72" s="13" t="inlineStr">
        <is>
          <t>グランエース</t>
        </is>
      </c>
      <c r="B72" s="13" t="inlineStr">
        <is>
          <t>2023/07/12</t>
        </is>
      </c>
      <c r="C72" s="13" t="inlineStr">
        <is>
          <t>1153552</t>
        </is>
      </c>
      <c r="D72" s="13" t="inlineStr">
        <is>
          <t>前部霧灯</t>
        </is>
      </c>
      <c r="E72" s="15" t="n">
        <v>18</v>
      </c>
      <c r="F72" s="14" t="inlineStr">
        <is>
          <t>3DA-GDH303W改</t>
        </is>
      </c>
      <c r="G72" s="13" t="inlineStr">
        <is>
          <t>2019年12月 2日</t>
        </is>
      </c>
      <c r="H72" s="13" t="inlineStr">
        <is>
          <t>2022年3月24日</t>
        </is>
      </c>
      <c r="I72"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2" s="14" t="inlineStr">
        <is>
          <t>（１）ブレーキ液量センサに電気通信配線を追加する。（２）車両仕様に応じ、前部霧灯表示灯を追加、または前部霧灯の機能を廃止する。（３）オートライトシステムを取付ける。</t>
        </is>
      </c>
    </row>
    <row r="73">
      <c r="A73" s="8" t="inlineStr">
        <is>
          <t>グランエース</t>
        </is>
      </c>
      <c r="B73" s="8" t="inlineStr">
        <is>
          <t>2023/07/12</t>
        </is>
      </c>
      <c r="C73" s="8" t="inlineStr">
        <is>
          <t>1153553</t>
        </is>
      </c>
      <c r="D73" s="8" t="inlineStr">
        <is>
          <t>前照灯</t>
        </is>
      </c>
      <c r="E73" s="11" t="n">
        <v>18</v>
      </c>
      <c r="F73" s="14" t="inlineStr">
        <is>
          <t>3DA-GDH303W改</t>
        </is>
      </c>
      <c r="G73" s="8" t="inlineStr">
        <is>
          <t>2019年12月 2日</t>
        </is>
      </c>
      <c r="H73" s="8" t="inlineStr">
        <is>
          <t>2022年3月24日</t>
        </is>
      </c>
      <c r="I73" s="14" t="inlineStr">
        <is>
          <t>水素燃料電池自動車として試作・改造した車両において、改造に係る周辺部品の設計が不適切なため、（１）制動装置のブレーキ液量センサへの電気配線がなく、液量が減少した際、ブレーキ警告灯が点灯しない。（２）前部霧灯表示灯の設定がなく、運転者に点灯操作状態を表示できない。（３）前照灯の自動点灯装置（オートライトシステム）が装備されておらず、作動しない。</t>
        </is>
      </c>
      <c r="J73" s="14" t="inlineStr">
        <is>
          <t>（１）ブレーキ液量センサに電気通信配線を追加する。（２）車両仕様に応じ、前部霧灯表示灯を追加、または前部霧灯の機能を廃止する。（３）オートライトシステムを取付ける。</t>
        </is>
      </c>
    </row>
    <row r="74">
      <c r="A74" s="13" t="inlineStr">
        <is>
          <t>シエンタ</t>
        </is>
      </c>
      <c r="B74" s="13" t="inlineStr">
        <is>
          <t>2004/11/18</t>
        </is>
      </c>
      <c r="C74" s="13" t="inlineStr">
        <is>
          <t>1113041</t>
        </is>
      </c>
      <c r="D74" s="13" t="inlineStr">
        <is>
          <t>主ブレーキ一般</t>
        </is>
      </c>
      <c r="E74" s="15" t="n">
        <v>544172</v>
      </c>
      <c r="F74" s="14" t="inlineStr">
        <is>
          <t>CBA-NCP81G, CBA-NCP85G, UA-NCP81G, UA-NCP85G</t>
        </is>
      </c>
      <c r="G74" s="13" t="inlineStr">
        <is>
          <t>1999年1月 6日</t>
        </is>
      </c>
      <c r="H74" s="13" t="inlineStr">
        <is>
          <t>2004年8月 6日</t>
        </is>
      </c>
      <c r="I74" s="14" t="inlineStr">
        <is>
          <t>①制動灯用スイッチの接点にはたらく電気負荷に対する接点部の形状が不適切なため、接 点に酸化物が生成され接触抵抗が増大するものがある。そのため、スイッチが導通不良と なり、制動灯が点灯しなくなるおそれがある。</t>
        </is>
      </c>
      <c r="J74" s="14" t="inlineStr">
        <is>
          <t>①全車両、当該スイッチを対策品と交換する。</t>
        </is>
      </c>
    </row>
    <row r="75">
      <c r="A75" s="8" t="inlineStr">
        <is>
          <t>シエンタ</t>
        </is>
      </c>
      <c r="B75" s="8" t="inlineStr">
        <is>
          <t>2004/11/18</t>
        </is>
      </c>
      <c r="C75" s="8" t="inlineStr">
        <is>
          <t>1113042</t>
        </is>
      </c>
      <c r="D75" s="8" t="inlineStr">
        <is>
          <t>燃料ポンプ</t>
        </is>
      </c>
      <c r="E75" s="11" t="n">
        <v>544172</v>
      </c>
      <c r="F75" s="14" t="inlineStr">
        <is>
          <t>CBA-NCP81G, CBA-NCP85G, UA-NCP81G, UA-NCP85G</t>
        </is>
      </c>
      <c r="G75" s="8" t="inlineStr">
        <is>
          <t>1999年1月 6日</t>
        </is>
      </c>
      <c r="H75" s="8" t="inlineStr">
        <is>
          <t>2004年8月 6日</t>
        </is>
      </c>
      <c r="I75" s="14" t="inlineStr">
        <is>
          <t>②電動式燃料ポンプの製造時に異物の除去が不充分なため、内部モータの配線被覆が異物 により損傷して短絡し、燃料ポンプ回路のヒューズが切れたり、モータブラシが異常摩耗 することがある。そのため、燃料ポンプが作動しなくなり、エンジンが停止して再始動で きなくなるおそれがある。</t>
        </is>
      </c>
      <c r="J75" s="14" t="inlineStr">
        <is>
          <t>②全車両、当該燃料ポンプを良品と交換する。</t>
        </is>
      </c>
    </row>
    <row r="76">
      <c r="A76" s="13" t="inlineStr">
        <is>
          <t>シエンタ</t>
        </is>
      </c>
      <c r="B76" s="13" t="inlineStr">
        <is>
          <t>2007/10/17</t>
        </is>
      </c>
      <c r="C76" s="13" t="inlineStr">
        <is>
          <t>1119520</t>
        </is>
      </c>
      <c r="D76" s="13" t="inlineStr">
        <is>
          <t>燃料ポンプ</t>
        </is>
      </c>
      <c r="E76" s="15" t="n">
        <v>120406</v>
      </c>
      <c r="F76" s="14" t="inlineStr">
        <is>
          <t>CBA-NCP81G, CBA-NCP81G(改), CBA-NCP85G, UA-NCP81G, UA-NCP81G(改), UA-NCP85G</t>
        </is>
      </c>
      <c r="G76" s="13" t="inlineStr">
        <is>
          <t>2003年9月18日</t>
        </is>
      </c>
      <c r="H76" s="13" t="inlineStr">
        <is>
          <t>2005年2月10日</t>
        </is>
      </c>
      <c r="I76" s="14" t="inlineStr">
        <is>
          <t>電動式燃料ポンプの内部モータの隣接するコイル線が干渉しているため、燃料中の微小異物とモータの振動によりコイル線の被覆が摩耗することがある。そのため、そのまま使用を続けると、コイル線の被覆が損傷して短絡し、燃料ポンプが作動しなくなり、エンジンが停止して再始動できなくなるおそれがある。</t>
        </is>
      </c>
      <c r="J76" s="14" t="inlineStr">
        <is>
          <t>全車両、当該燃料ポンプを対策品と交換する</t>
        </is>
      </c>
    </row>
    <row r="77">
      <c r="A77" s="8" t="inlineStr">
        <is>
          <t>シエンタ</t>
        </is>
      </c>
      <c r="B77" s="8" t="inlineStr">
        <is>
          <t>2010/11/17</t>
        </is>
      </c>
      <c r="C77" s="8" t="inlineStr">
        <is>
          <t>1126540</t>
        </is>
      </c>
      <c r="D77" s="8" t="inlineStr">
        <is>
          <t>ウオッシャー</t>
        </is>
      </c>
      <c r="E77" s="11" t="n">
        <v>4450</v>
      </c>
      <c r="F77" s="14" t="inlineStr">
        <is>
          <t>CBA-NCP85G, UA-NCP81G</t>
        </is>
      </c>
      <c r="G77" s="8" t="inlineStr">
        <is>
          <t>1995年2月13日</t>
        </is>
      </c>
      <c r="H77" s="8" t="inlineStr">
        <is>
          <t>2009年10月19日</t>
        </is>
      </c>
      <c r="I77"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77" s="14" t="inlineStr">
        <is>
          <t>全車両、当該ヒータを取り外す。</t>
        </is>
      </c>
    </row>
    <row r="78">
      <c r="A78" s="13" t="inlineStr">
        <is>
          <t>シエンタ</t>
        </is>
      </c>
      <c r="B78" s="13" t="inlineStr">
        <is>
          <t>2018/01/31</t>
        </is>
      </c>
      <c r="C78" s="13" t="inlineStr">
        <is>
          <t>1141851</t>
        </is>
      </c>
      <c r="D78" s="13" t="inlineStr">
        <is>
          <t>エアバッグ</t>
        </is>
      </c>
      <c r="E78" s="15" t="n">
        <v>91210</v>
      </c>
      <c r="F78" s="14" t="inlineStr">
        <is>
          <t>DAA-NHP170G, DBA-NCP175G, DBA-NSP170G, DBA-NSP172G</t>
        </is>
      </c>
      <c r="G78" s="13" t="inlineStr">
        <is>
          <t>2015年5月20日</t>
        </is>
      </c>
      <c r="H78" s="13" t="inlineStr">
        <is>
          <t>2016年1月 7日</t>
        </is>
      </c>
      <c r="I78"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78" s="14" t="inlineStr">
        <is>
          <t>全車両、各センサの製造番号を点検し、該当する場合は良品と交換する。</t>
        </is>
      </c>
    </row>
    <row r="79">
      <c r="A79" s="8" t="inlineStr">
        <is>
          <t>シエンタ</t>
        </is>
      </c>
      <c r="B79" s="8" t="inlineStr">
        <is>
          <t>2018/05/23</t>
        </is>
      </c>
      <c r="C79" s="8" t="inlineStr">
        <is>
          <t>1142640</t>
        </is>
      </c>
      <c r="D79" s="8" t="inlineStr">
        <is>
          <t>エアバッグ</t>
        </is>
      </c>
      <c r="E79" s="11" t="n">
        <v>1239</v>
      </c>
      <c r="F79" s="14" t="inlineStr">
        <is>
          <t>DAA-NHP170G, DBA-NCP175G, DBA-NSP170G, DBA-NSP172G</t>
        </is>
      </c>
      <c r="G79" s="8" t="inlineStr">
        <is>
          <t>2015年9月12日</t>
        </is>
      </c>
      <c r="H79" s="8" t="inlineStr">
        <is>
          <t>2015年10月29日</t>
        </is>
      </c>
      <c r="I79" s="14" t="inlineStr">
        <is>
          <t>エアバッグ制御システムにおいて、加速度センサ内ＩＣチップの製造条件が不適切なため、ＩＣ内部で断線することがある。そのため、エアバッグ警告灯が点灯し、エアバッグが正常に作動できないおそれがある。</t>
        </is>
      </c>
      <c r="J79" s="14" t="inlineStr">
        <is>
          <t>全車両、各センサの製造番号を点検し、該当する場合は良品と交換する。</t>
        </is>
      </c>
    </row>
    <row r="80">
      <c r="A80" s="13" t="inlineStr">
        <is>
          <t>シエンタ</t>
        </is>
      </c>
      <c r="B80" s="13" t="inlineStr">
        <is>
          <t>2018/11/01</t>
        </is>
      </c>
      <c r="C80" s="13" t="inlineStr">
        <is>
          <t>1143630</t>
        </is>
      </c>
      <c r="D80" s="13" t="inlineStr">
        <is>
          <t>エアーバッグ</t>
        </is>
      </c>
      <c r="E80" s="15" t="n">
        <v>36002</v>
      </c>
      <c r="F80" s="14" t="inlineStr">
        <is>
          <t>CBA-NCP81G, CBA-NCP85G, DBA-NCP81G, DBA-NCP85G, UA-NCP81G, UA-NCP85G</t>
        </is>
      </c>
      <c r="G80" s="13" t="inlineStr">
        <is>
          <t>2003年1月 8日</t>
        </is>
      </c>
      <c r="H80" s="13" t="inlineStr">
        <is>
          <t>2015年6月25日</t>
        </is>
      </c>
      <c r="I80" s="14" t="inlineStr">
        <is>
          <t>エアバッグコントロールユニットにおいて、電気ノイズの影響に対する検討が不十分なため、ノイズ耐力が不足しているものがある。そのため、車両の電装部品から発生するノイズにより、使用過程で当該ユニット内のＩＣチップが損傷し、最悪の場合、走行中にエアバッグが展開するおそれがある。</t>
        </is>
      </c>
      <c r="J80" s="14" t="inlineStr">
        <is>
          <t>全車両、エアバッグコントロールユニットを対策品に交換する。</t>
        </is>
      </c>
    </row>
    <row r="81">
      <c r="A81" s="8" t="inlineStr">
        <is>
          <t>シエンタ</t>
        </is>
      </c>
      <c r="B81" s="8" t="inlineStr">
        <is>
          <t>2019/06/26</t>
        </is>
      </c>
      <c r="C81" s="8" t="inlineStr">
        <is>
          <t>1145210</t>
        </is>
      </c>
      <c r="D81" s="8" t="inlineStr">
        <is>
          <t>エンジン本体</t>
        </is>
      </c>
      <c r="E81" s="11" t="n">
        <v>137016</v>
      </c>
      <c r="F81" s="14" t="inlineStr">
        <is>
          <t>DAA-NHP170G</t>
        </is>
      </c>
      <c r="G81" s="8" t="inlineStr">
        <is>
          <t>2015年5月 7日</t>
        </is>
      </c>
      <c r="H81" s="8" t="inlineStr">
        <is>
          <t>2018年9月 3日</t>
        </is>
      </c>
      <c r="I81" s="14" t="inlineStr">
        <is>
          <t>ハイブリッド車において、エンジンルーム後部に取付けているカウルルーバの防水構造が不適切なため、集中豪雨など多量の雨水がかかった場合、水がエンジン上部に滴下して、インジェクタ取付け部から燃焼室に侵入することがある。そのため、コンロッドが変形して異音が発生し、最悪の場合、エンジンが破損するおそれがある。</t>
        </is>
      </c>
      <c r="J81" s="14" t="inlineStr">
        <is>
          <t>カウルルーバの仕様に応じてシール材を貼り付けるとともに、全車両、エンジンに防水カバーを追加する。また、エンジンの燃焼室を点検し、異常がある場合はエンジンを新品に交換する。</t>
        </is>
      </c>
    </row>
    <row r="82">
      <c r="A82" s="13" t="inlineStr">
        <is>
          <t>シエンタ</t>
        </is>
      </c>
      <c r="B82" s="13" t="inlineStr">
        <is>
          <t>2019/06/26</t>
        </is>
      </c>
      <c r="C82" s="13" t="inlineStr">
        <is>
          <t>1145220</t>
        </is>
      </c>
      <c r="D82" s="13" t="inlineStr">
        <is>
          <t>その他(電気装置)</t>
        </is>
      </c>
      <c r="E82" s="15" t="n">
        <v>19618</v>
      </c>
      <c r="F82" s="14" t="inlineStr">
        <is>
          <t>6AA-NHP170G, DAA-NHP170G</t>
        </is>
      </c>
      <c r="G82" s="13" t="inlineStr">
        <is>
          <t>2018年2月 6日</t>
        </is>
      </c>
      <c r="H82" s="13" t="inlineStr">
        <is>
          <t>2018年11月15日</t>
        </is>
      </c>
      <c r="I82" s="14" t="inlineStr">
        <is>
          <t>電圧変換装置（ＤＣ－ＤＣコンバータ）において、生産設備の管理が不適切なため、制御基板の半田付けが不十分なものがある。そのため、使用過程における冷熱の繰り返しで半田が剥離して、補機バッテリへの充電ができなくなることで警告灯が点灯し、最悪の場合、ハイブリッドシステムが停止して走行不能となるおそれがある。</t>
        </is>
      </c>
      <c r="J82" s="14" t="inlineStr">
        <is>
          <t>全車両、ＤＣ－ＤＣコンバータの製造番号を点検し、該当する場合は良品と交換する。</t>
        </is>
      </c>
    </row>
    <row r="83">
      <c r="A83" s="8" t="inlineStr">
        <is>
          <t>シエンタ</t>
        </is>
      </c>
      <c r="B83" s="8" t="inlineStr">
        <is>
          <t>2021/06/01</t>
        </is>
      </c>
      <c r="C83" s="8" t="inlineStr">
        <is>
          <t>1149660</t>
        </is>
      </c>
      <c r="D83" s="8" t="inlineStr">
        <is>
          <t>その他(電気装置)</t>
        </is>
      </c>
      <c r="E83" s="11" t="n">
        <v>24162</v>
      </c>
      <c r="F83" s="14" t="inlineStr">
        <is>
          <t>6AA-NHP170G</t>
        </is>
      </c>
      <c r="G83" s="8" t="inlineStr">
        <is>
          <t>2020年11月27日</t>
        </is>
      </c>
      <c r="H83" s="8" t="inlineStr">
        <is>
          <t>2021年4月14日</t>
        </is>
      </c>
      <c r="I83"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83" s="14" t="inlineStr">
        <is>
          <t>全車両、電力変換モジュールを点検し、対象となるものは対策品に交換する。</t>
        </is>
      </c>
    </row>
    <row r="84">
      <c r="A84" s="13" t="inlineStr">
        <is>
          <t>シエンタ</t>
        </is>
      </c>
      <c r="B84" s="13" t="inlineStr">
        <is>
          <t>2022/04/13</t>
        </is>
      </c>
      <c r="C84" s="13" t="inlineStr">
        <is>
          <t>1151310</t>
        </is>
      </c>
      <c r="D84" s="13" t="inlineStr">
        <is>
          <t>エンジン本体</t>
        </is>
      </c>
      <c r="E84" s="15" t="n">
        <v>259991</v>
      </c>
      <c r="F84" s="14" t="inlineStr">
        <is>
          <t>6AA-NHP170G, DAA-NHP170G</t>
        </is>
      </c>
      <c r="G84" s="13" t="inlineStr">
        <is>
          <t>2015年5月 7日</t>
        </is>
      </c>
      <c r="H84" s="13" t="inlineStr">
        <is>
          <t>2022年3月12日</t>
        </is>
      </c>
      <c r="I84" s="14" t="inlineStr">
        <is>
          <t>ハイブリッド車のカウルルーバにおいて、サービスホールカバー部の防水性能が不適切なため、経年で防水性が低下し、多量の雨水等がかかった場合、水がエンジンのインジェクタ取付部から燃焼室に浸入することがある。そのため、コンロッドが変形して異音が生じ、最悪の場合、エンジンが破損し、走行不能となるおそれがある。</t>
        </is>
      </c>
      <c r="J84" s="14" t="inlineStr">
        <is>
          <t>全車両、サービスホールカバーに排水ガイドおよびフードにシールゴムを追加する。また、エンジンの燃焼室を点検し、異常がある場合はエンジンを新品に交換する。</t>
        </is>
      </c>
    </row>
    <row r="85">
      <c r="A85" s="8" t="inlineStr">
        <is>
          <t>シエンタ</t>
        </is>
      </c>
      <c r="B85" s="8" t="inlineStr">
        <is>
          <t>2023/02/16</t>
        </is>
      </c>
      <c r="C85" s="8" t="inlineStr">
        <is>
          <t>1152831</t>
        </is>
      </c>
      <c r="D85" s="8" t="inlineStr">
        <is>
          <t>コンピュータ(制御装</t>
        </is>
      </c>
      <c r="E85" s="11" t="n">
        <v>196984</v>
      </c>
      <c r="F85" s="14" t="inlineStr">
        <is>
          <t>5BA-MXPC10G, 5BA-MXPC12G, 6AA-MXPL10G, 6AA-MXPL12G, 6AA-MXPL15G</t>
        </is>
      </c>
      <c r="G85" s="8" t="inlineStr">
        <is>
          <t>2021年9月 1日</t>
        </is>
      </c>
      <c r="H85" s="8" t="inlineStr">
        <is>
          <t>2023年1月 9日</t>
        </is>
      </c>
      <c r="I85"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85" s="14" t="inlineStr">
        <is>
          <t>（１）全車両、衝突被害軽減ブレーキ用前方カメラのプログラムを対策仕様に修正する。</t>
        </is>
      </c>
    </row>
    <row r="86">
      <c r="A86" s="13" t="inlineStr">
        <is>
          <t>シエンタ</t>
        </is>
      </c>
      <c r="B86" s="13" t="inlineStr">
        <is>
          <t>2023/04/06</t>
        </is>
      </c>
      <c r="C86" s="13" t="inlineStr">
        <is>
          <t>1153041</t>
        </is>
      </c>
      <c r="D86" s="13" t="inlineStr">
        <is>
          <t>前照灯</t>
        </is>
      </c>
      <c r="E86" s="15" t="n">
        <v>52502</v>
      </c>
      <c r="F86" s="14" t="inlineStr">
        <is>
          <t>5BA-MXPC10G, 5BA-MXPC12G, 6AA-MXPL10G, 6AA-MXPL12G, 6AA-MXPL15G</t>
        </is>
      </c>
      <c r="G86" s="13" t="inlineStr">
        <is>
          <t>2022年6月15日</t>
        </is>
      </c>
      <c r="H86" s="13" t="inlineStr">
        <is>
          <t>2023年3月 6日</t>
        </is>
      </c>
      <c r="I86" s="14" t="inlineStr">
        <is>
          <t>（１）運転支援装置のＡＨＳ（※）において、制御プログラムが不適切なため、走行用前照灯（ハイビーム）が自動消灯の直後に再点灯する場合、配光制御ができなくなることがある。そのため、警告メッセージが表示し、ハイビームが点灯しなくなるおそれがある。（※）アダプティブハイビームシステム：周辺環境と運転状況に応じて、ハイビームの配光を制御し、前方視界確保を補助するシステム</t>
        </is>
      </c>
      <c r="J86" s="14" t="inlineStr">
        <is>
          <t>（１）全車両、前照灯用制御コンピュータのプログラムを対策仕様に修正する。</t>
        </is>
      </c>
    </row>
    <row r="87">
      <c r="A87" s="8" t="inlineStr">
        <is>
          <t>シエンタ</t>
        </is>
      </c>
      <c r="B87" s="8" t="inlineStr">
        <is>
          <t>2023/04/06</t>
        </is>
      </c>
      <c r="C87" s="8" t="inlineStr">
        <is>
          <t>1153042</t>
        </is>
      </c>
      <c r="D87" s="8" t="inlineStr">
        <is>
          <t>シートベルト</t>
        </is>
      </c>
      <c r="E87" s="11" t="n">
        <v>32000</v>
      </c>
      <c r="F87" s="14" t="inlineStr">
        <is>
          <t>5BA-MXPC10G, 6AA-MXPL10G, 6AA-MXPL15G</t>
        </is>
      </c>
      <c r="G87" s="8" t="inlineStr">
        <is>
          <t>2022年6月15日</t>
        </is>
      </c>
      <c r="H87" s="8" t="inlineStr">
        <is>
          <t>2023年3月 6日</t>
        </is>
      </c>
      <c r="I87" s="14" t="inlineStr">
        <is>
          <t>（２）後部左用座席ベルトのバックルにおいて、保持構造が不適切なため、座席内部に落ち込んで座席リクライニングができなくなることがある。その状態でリクライニング操作を行うと、バックルが損傷して当該座席ベルトが正しくロックできず、最悪の場合、走行中にベルトが外れるおそれがある。</t>
        </is>
      </c>
      <c r="J87" s="14" t="inlineStr">
        <is>
          <t>（２）全車両、車台番号を確認するとともに、一部車両に対しては、バックル取付部の保持用バンドを点検し、対象となる場合は当該バンドを対策品に、バックルを新品に交換する。</t>
        </is>
      </c>
    </row>
    <row r="88">
      <c r="A88" s="13" t="inlineStr">
        <is>
          <t>シエンタ</t>
        </is>
      </c>
      <c r="B88" s="13" t="inlineStr">
        <is>
          <t>2023/04/06</t>
        </is>
      </c>
      <c r="C88" s="13" t="inlineStr">
        <is>
          <t>1153043</t>
        </is>
      </c>
      <c r="D88" s="13" t="inlineStr">
        <is>
          <t>ホイール</t>
        </is>
      </c>
      <c r="E88" s="15" t="n">
        <v>1833</v>
      </c>
      <c r="F88" s="14" t="inlineStr">
        <is>
          <t>5BA-MXPC10G, 5BA-MXPC12G, 6AA-MXPL10G, 6AA-MXPL12G, 6AA-MXPL15G</t>
        </is>
      </c>
      <c r="G88" s="13" t="inlineStr">
        <is>
          <t>2022年6月15日</t>
        </is>
      </c>
      <c r="H88" s="13" t="inlineStr">
        <is>
          <t>2023年3月 6日</t>
        </is>
      </c>
      <c r="I88" s="14" t="inlineStr">
        <is>
          <t>（３）スチール製ディスクホイールにおいて、プレス設備の管理が不適切なため、ディスクが形状不良となり、リムとの溶接強度が不足しているものがある。そのため、溶接部に亀裂が生じ、最悪の場合、ディスクホイールが破損するおそれがある。</t>
        </is>
      </c>
      <c r="J88" s="14" t="inlineStr">
        <is>
          <t>（３）全車両、ディスクホイールの製造番号を点検し、該当する場合は良品と交換する。</t>
        </is>
      </c>
    </row>
    <row r="89">
      <c r="A89" s="8" t="inlineStr">
        <is>
          <t>シエンタ</t>
        </is>
      </c>
      <c r="B89" s="8" t="inlineStr">
        <is>
          <t>2023/04/06</t>
        </is>
      </c>
      <c r="C89" s="8" t="inlineStr">
        <is>
          <t>1153050</t>
        </is>
      </c>
      <c r="D89" s="8" t="inlineStr">
        <is>
          <t>始動装置</t>
        </is>
      </c>
      <c r="E89" s="11" t="n">
        <v>234787</v>
      </c>
      <c r="F89" s="14" t="inlineStr">
        <is>
          <t>DBA-NSP170G, DBA-NSP172G</t>
        </is>
      </c>
      <c r="G89" s="8" t="inlineStr">
        <is>
          <t>2015年2月17日</t>
        </is>
      </c>
      <c r="H89" s="8" t="inlineStr">
        <is>
          <t>2017年8月31日</t>
        </is>
      </c>
      <c r="I89" s="14" t="inlineStr">
        <is>
          <t>スタータにおいて、スルーボルトの締付指示が不適切なため、経年で当該ボルトが緩み、構成部品の位置がずれてスタータの出力が不足することがある。そのため、そのまま使用を続けると、エンジン始動不能となり、その状態で始動操作を繰返すとスタータが過熱し、最悪の場合、火災に至るおそれがある。</t>
        </is>
      </c>
      <c r="J89" s="14" t="inlineStr">
        <is>
          <t>全車両、スタータを点検し、スルーボルトの緩みがない場合は増締めを行う。スルーボルトの緩みが認められる場合はスタータを対策品に、スタータリレーを新品に交換する。また、構成部品の位置ずれが認められる場合は電気配線も新品に交換する。</t>
        </is>
      </c>
    </row>
    <row r="90">
      <c r="A90" s="13" t="inlineStr">
        <is>
          <t>シエンタ</t>
        </is>
      </c>
      <c r="B90" s="13" t="inlineStr">
        <is>
          <t>2023/06/23</t>
        </is>
      </c>
      <c r="C90" s="13" t="inlineStr">
        <is>
          <t>1153400</t>
        </is>
      </c>
      <c r="D90" s="13" t="inlineStr">
        <is>
          <t>緩衝アーム/ロッド</t>
        </is>
      </c>
      <c r="E90" s="15" t="n">
        <v>594140</v>
      </c>
      <c r="F90" s="14" t="inlineStr">
        <is>
          <t>5BA-MXPC10G, 5BA-MXPC12G, 6AA-MXPL10G, 6AA-MXPL12G, 6AA-MXPL15G</t>
        </is>
      </c>
      <c r="G90" s="13" t="inlineStr">
        <is>
          <t>2019年12月11日</t>
        </is>
      </c>
      <c r="H90" s="13" t="inlineStr">
        <is>
          <t>2023年5月 9日</t>
        </is>
      </c>
      <c r="I90" s="14" t="inlineStr">
        <is>
          <t>前輪緩衝装置のロアアームにおいて、ボールジョイント取付部の製造が不適切なため、亀裂が生じているものがある。そのため、凹凸路面等を繰返し走行すると亀裂が進展し、最悪の場合、ロアアームが破断し、ボールジョイントが脱落して走行安定性を損なうおそれがある。</t>
        </is>
      </c>
      <c r="J90" s="14" t="inlineStr">
        <is>
          <t>全車両、左右ロアアームを点検し、亀裂が生じているものは良品と交換する。</t>
        </is>
      </c>
    </row>
    <row r="91">
      <c r="A91" s="8" t="inlineStr">
        <is>
          <t>シエンタ</t>
        </is>
      </c>
      <c r="B91" s="8" t="inlineStr">
        <is>
          <t>2023/11/22</t>
        </is>
      </c>
      <c r="C91" s="8" t="inlineStr">
        <is>
          <t>1154161</t>
        </is>
      </c>
      <c r="D91" s="8" t="inlineStr">
        <is>
          <t>駐車レバー/ペダル</t>
        </is>
      </c>
      <c r="E91" s="11" t="n">
        <v>580792</v>
      </c>
      <c r="F91" s="14" t="inlineStr">
        <is>
          <t>3BA-NCP175G, 5BA-NSP170G, 5BA-NSP172G, 6AA-NHP170G, DAA-NHP170G, DBA-NCP175G, DBA-NSP170G, DBA-NSP172G</t>
        </is>
      </c>
      <c r="G91" s="8" t="inlineStr">
        <is>
          <t>2015年5月12日</t>
        </is>
      </c>
      <c r="H91" s="8" t="inlineStr">
        <is>
          <t>2023年3月24日</t>
        </is>
      </c>
      <c r="I91" s="14" t="inlineStr">
        <is>
          <t>（１）足踏み式パーキングブレーキにおいて、ペダルをボデーに固定するボルトの締付トルク指示が不適切なため、締結力が不足しているものがある。そのため、使用過程で当該ボルトが緩んで脱落し、最悪の場合、パーキングブレーキの操作ができなくなるおそれがある。</t>
        </is>
      </c>
      <c r="J91" s="14" t="inlineStr">
        <is>
          <t>（１）全車両、当該ボルトの締付状態を点検し、緩みのあるものは適正トルクで増し締めし、脱落しているものはパーキングブレーキペダルを新品に交換し当該ボルトを適正トルクで締付ける。</t>
        </is>
      </c>
    </row>
    <row r="92">
      <c r="A92" s="13" t="inlineStr">
        <is>
          <t>シエンタ</t>
        </is>
      </c>
      <c r="B92" s="13" t="inlineStr">
        <is>
          <t>2023/11/22</t>
        </is>
      </c>
      <c r="C92" s="13" t="inlineStr">
        <is>
          <t>1154162</t>
        </is>
      </c>
      <c r="D92" s="13" t="inlineStr">
        <is>
          <t>その他(その他)</t>
        </is>
      </c>
      <c r="E92" s="15" t="n">
        <v>405714</v>
      </c>
      <c r="F92" s="14" t="inlineStr">
        <is>
          <t>3BA-NCP175G, 5BA-NSP170G, 5BA-NSP172G, 6AA-NHP170G, DAA-NHP170G, DBA-NCP175G, DBA-NSP170G, DBA-NSP172G</t>
        </is>
      </c>
      <c r="G92" s="13" t="inlineStr">
        <is>
          <t>2015年5月12日</t>
        </is>
      </c>
      <c r="H92" s="13" t="inlineStr">
        <is>
          <t>2023年3月24日</t>
        </is>
      </c>
      <c r="I92" s="14" t="inlineStr">
        <is>
          <t>（２）フロントピラーガーニッシュ取付部において、取付用クリップの防水耐久性が不十分なため、経年により車室内に浸水して、電装品のコネクタが被水し短絡することがある。そのため、電動ドアロック等の作動不良や、最悪の場合、電動スライドドア装着車は走行中にスライドドアが開くおそれがある。</t>
        </is>
      </c>
      <c r="J92" s="14" t="inlineStr">
        <is>
          <t>（２）全車両、フロントピラーガーニッシュ取付用クリップを対策品に交換し、電動スライドドア装着車は、電動スライドドア制御コンピュータのプログラムを対策仕様に修正する。また、コネクタに被水跡がある場合は、グリスを塗布する。</t>
        </is>
      </c>
    </row>
    <row r="93">
      <c r="A93" s="8" t="inlineStr">
        <is>
          <t>シエンタ</t>
        </is>
      </c>
      <c r="B93" s="8" t="inlineStr">
        <is>
          <t>2024/01/31</t>
        </is>
      </c>
      <c r="C93" s="8" t="inlineStr">
        <is>
          <t>1154450</t>
        </is>
      </c>
      <c r="D93" s="8" t="inlineStr">
        <is>
          <t>緩衝アーム/ロッド</t>
        </is>
      </c>
      <c r="E93" s="11" t="n">
        <v>790329</v>
      </c>
      <c r="F93" s="14" t="inlineStr">
        <is>
          <t>5BA-MXPC10G, 5BA-MXPC12G, 6AA-MXPL10G, 6AA-MXPL12G, 6AA-MXPL15G</t>
        </is>
      </c>
      <c r="G93" s="8" t="inlineStr">
        <is>
          <t>2019年12月11日</t>
        </is>
      </c>
      <c r="H93" s="8" t="inlineStr">
        <is>
          <t>2024年1月19日</t>
        </is>
      </c>
      <c r="I93" s="14" t="inlineStr">
        <is>
          <t>前輪ロアアームのボールジョイント取付部において、使用環境に対する耐久性の検討が不十分なため、降雪地域で融雪剤が頻繁にかかると、腐食して亀裂が生じることがある。そのため、そのまま使用を続けると亀裂が進展し、最悪の場合、ロアアームが破断し、ボールジョイントが脱落して走行不能となるおそれがある。</t>
        </is>
      </c>
      <c r="J93" s="14" t="inlineStr">
        <is>
          <t>全車両、左右ロアアームを対策品に交換する。なお、交換用部品の準備に時間を要することから、部品の準備ができ次第、使用者に改めて案内し対策品に交換する。</t>
        </is>
      </c>
    </row>
    <row r="94">
      <c r="A94" s="13" t="inlineStr">
        <is>
          <t>シエンタ</t>
        </is>
      </c>
      <c r="B94" s="13" t="inlineStr">
        <is>
          <t>2024/06/14</t>
        </is>
      </c>
      <c r="C94" s="13" t="inlineStr">
        <is>
          <t>1154970</t>
        </is>
      </c>
      <c r="D94" s="13" t="inlineStr">
        <is>
          <t>その他(その他)</t>
        </is>
      </c>
      <c r="E94" s="15" t="n">
        <v>235077</v>
      </c>
      <c r="F94" s="14" t="inlineStr">
        <is>
          <t>5BA-MXPC10G, 5BA-MXPC12G, 6AA-MXPL10G, 6AA-MXPL12G, 6AA-MXPL15G</t>
        </is>
      </c>
      <c r="G94" s="13" t="inlineStr">
        <is>
          <t>2022年11月 7日</t>
        </is>
      </c>
      <c r="H94" s="13" t="inlineStr">
        <is>
          <t>2023年9月27日</t>
        </is>
      </c>
      <c r="I94"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94" s="14" t="inlineStr">
        <is>
          <t>全車両、当該カメラの製造番号を点検し、該当する場合は良品と交換する。</t>
        </is>
      </c>
    </row>
    <row r="95">
      <c r="A95" s="8" t="inlineStr">
        <is>
          <t>シエンタ</t>
        </is>
      </c>
      <c r="B95" s="8" t="inlineStr">
        <is>
          <t>2025/10/30</t>
        </is>
      </c>
      <c r="C95" s="8" t="inlineStr">
        <is>
          <t>1157310</t>
        </is>
      </c>
      <c r="D95" s="8" t="inlineStr">
        <is>
          <t>後写鏡</t>
        </is>
      </c>
      <c r="E95" s="11" t="n">
        <v>1285002</v>
      </c>
      <c r="F95" s="14" t="inlineStr">
        <is>
          <t>6AA-MXPL10G, 6AA-MXPL12G, 6AA-MXPL15G</t>
        </is>
      </c>
      <c r="G95" s="8" t="inlineStr">
        <is>
          <t>2021年9月 1日</t>
        </is>
      </c>
      <c r="H95" s="8" t="inlineStr">
        <is>
          <t>2025年9月25日</t>
        </is>
      </c>
      <c r="I95"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95" s="14" t="inlineStr">
        <is>
          <t>全車両、パノラミックビューモニター用制御コンピュータのプログラムを対策仕様に修正する。</t>
        </is>
      </c>
    </row>
    <row r="96">
      <c r="A96" s="13" t="inlineStr">
        <is>
          <t>シエンタ</t>
        </is>
      </c>
      <c r="B96" s="13" t="inlineStr">
        <is>
          <t>2026/06/18</t>
        </is>
      </c>
      <c r="C96" s="13" t="inlineStr">
        <is>
          <t>1158321</t>
        </is>
      </c>
      <c r="D96" s="13" t="inlineStr">
        <is>
          <t>シートベルト</t>
        </is>
      </c>
      <c r="E96" s="15" t="n">
        <v>158233</v>
      </c>
      <c r="F96" s="14" t="inlineStr">
        <is>
          <t>5BA-MXPC10G, 5BA-MXPC12G, 6AA-MXPL10G, 6AA-MXPL12G, 6AA-MXPL15G</t>
        </is>
      </c>
      <c r="G96" s="13" t="inlineStr">
        <is>
          <t>2022年6月15日</t>
        </is>
      </c>
      <c r="H96" s="13" t="inlineStr">
        <is>
          <t>2026年3月17日</t>
        </is>
      </c>
      <c r="I96"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96" s="14" t="inlineStr">
        <is>
          <t>該当車両において、（１）二列目左側座席バックルの電気配線の配索を点検し、異常がある場合はバックルを新品に交換する。</t>
        </is>
      </c>
    </row>
    <row r="97">
      <c r="A97" s="8" t="inlineStr">
        <is>
          <t>シエンタ</t>
        </is>
      </c>
      <c r="B97" s="8" t="inlineStr">
        <is>
          <t>2026/06/18</t>
        </is>
      </c>
      <c r="C97" s="8" t="inlineStr">
        <is>
          <t>1158322</t>
        </is>
      </c>
      <c r="D97" s="8" t="inlineStr">
        <is>
          <t>シートベルト</t>
        </is>
      </c>
      <c r="E97" s="11" t="n">
        <v>8305</v>
      </c>
      <c r="F97" s="14" t="inlineStr">
        <is>
          <t>5BA-MXPC12G, 6AA-MXPL12G</t>
        </is>
      </c>
      <c r="G97" s="8" t="inlineStr">
        <is>
          <t>2022年6月15日</t>
        </is>
      </c>
      <c r="H97" s="8" t="inlineStr">
        <is>
          <t>2026年3月17日</t>
        </is>
      </c>
      <c r="I97" s="14" t="inlineStr">
        <is>
          <t>二列目座席シートベルト非装着時警報装置において、バックル電気配線の配索検討が不十分なため、シートベルト脱着時に当該配線に繰返し負荷がかかり断線することがある。そのため、シートベルト装着状態が正しく警報されないおそれがある。</t>
        </is>
      </c>
      <c r="J97" s="14" t="inlineStr">
        <is>
          <t>該当車両において、（２）二列目右側座席バックルを新品に交換および保護カバーを追加するとともに、関連するシートクッションカバーおよびリクライニングカバーを対策品に交換する。</t>
        </is>
      </c>
    </row>
    <row r="98">
      <c r="A98" s="13" t="inlineStr">
        <is>
          <t>ノア</t>
        </is>
      </c>
      <c r="B98" s="13" t="inlineStr">
        <is>
          <t>2004/12/07</t>
        </is>
      </c>
      <c r="C98" s="13" t="inlineStr">
        <is>
          <t>1113130</t>
        </is>
      </c>
      <c r="D98" s="13" t="inlineStr">
        <is>
          <t>燃料ホース/パイプ</t>
        </is>
      </c>
      <c r="E98" s="15" t="n">
        <v>168049</v>
      </c>
      <c r="F98" s="14" t="inlineStr">
        <is>
          <t>TA-AZR60G, TA-AZR65G</t>
        </is>
      </c>
      <c r="G98" s="13" t="inlineStr">
        <is>
          <t>2001年4月26日</t>
        </is>
      </c>
      <c r="H98" s="13" t="inlineStr">
        <is>
          <t>2002年4月13日</t>
        </is>
      </c>
      <c r="I98" s="14" t="inlineStr">
        <is>
          <t>燃料タンクの燃料給油用パイプと通気用パイプの材質が不適切なため、凍結防止剤や海 水等の影響により局部的に腐食が生じることがある。そのため、そのまま使用を続けると 、当該パイプに微細な穴が開き、燃料が漏れるおそれがある。</t>
        </is>
      </c>
      <c r="J98" s="14" t="inlineStr">
        <is>
          <t>ＴＡ－ＡＣＭ２１Ｗ型車，ＴＡ－ＡＣＭ２６Ｗ型車： 全車両、燃料給油用パイプと通気用パイプを対策品と交換する。 ＴＡ－ＡＺＲ６０Ｇ型車，ＴＡ－ＡＺＲ６５Ｇ型車： 全車両、通気用パイプを対策品と交換する。</t>
        </is>
      </c>
    </row>
    <row r="99">
      <c r="A99" s="8" t="inlineStr">
        <is>
          <t>ノア</t>
        </is>
      </c>
      <c r="B99" s="8" t="inlineStr">
        <is>
          <t>2008/04/09</t>
        </is>
      </c>
      <c r="C99" s="8" t="inlineStr">
        <is>
          <t>1120790</t>
        </is>
      </c>
      <c r="D99" s="8" t="inlineStr">
        <is>
          <t>コンピュータ(エンジ</t>
        </is>
      </c>
      <c r="E99" s="11" t="n">
        <v>2623</v>
      </c>
      <c r="F99" s="14" t="inlineStr">
        <is>
          <t>DBA-ZRR70G, DBA-ZRR75G</t>
        </is>
      </c>
      <c r="G99" s="8" t="inlineStr">
        <is>
          <t>2007年6月 7日</t>
        </is>
      </c>
      <c r="H99" s="8" t="inlineStr">
        <is>
          <t>2007年11月23日</t>
        </is>
      </c>
      <c r="I99"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99" s="14" t="inlineStr">
        <is>
          <t>全車両、エンジン制御コンピュータのプログラムを修正する。</t>
        </is>
      </c>
    </row>
    <row r="100">
      <c r="A100" s="13" t="inlineStr">
        <is>
          <t>ノア</t>
        </is>
      </c>
      <c r="B100" s="13" t="inlineStr">
        <is>
          <t>2008/04/09</t>
        </is>
      </c>
      <c r="C100" s="13" t="inlineStr">
        <is>
          <t>1120800</t>
        </is>
      </c>
      <c r="D100" s="13" t="inlineStr">
        <is>
          <t>燃料タンク</t>
        </is>
      </c>
      <c r="E100" s="15" t="n">
        <v>628239</v>
      </c>
      <c r="F100" s="14" t="inlineStr">
        <is>
          <t>CBA-AZR60G, CBA-AZR60G改, DBA-AZR60G, DBA-AZR60G改, TA-AZR60G, TA-AZR60G改</t>
        </is>
      </c>
      <c r="G100" s="13" t="inlineStr">
        <is>
          <t>2001年11月 7日</t>
        </is>
      </c>
      <c r="H100" s="13" t="inlineStr">
        <is>
          <t>2007年5月31日</t>
        </is>
      </c>
      <c r="I100" s="14" t="inlineStr">
        <is>
          <t>燃料タンクの車体への取付方法が不適切なため、車体が大きく捩られるような路面を繰り返し走行すると、当該タンクの左後部取付けボルト部付近に応力が集中し亀裂が発生することがある。そのため、そのままの状態で使用を続けると、亀裂が進行し、最悪の場合、燃料が漏れるおそれがある。</t>
        </is>
      </c>
      <c r="J100" s="14" t="inlineStr">
        <is>
          <t>全車両、燃料タンク左後部の取付けボルトを取り外し、異音防止のための緩衝材を取り付けるとともに、燃料タンクを点検し、亀裂のあるものは新品の燃料タンクと交換する。</t>
        </is>
      </c>
    </row>
    <row r="101">
      <c r="A101" s="8" t="inlineStr">
        <is>
          <t>ノア</t>
        </is>
      </c>
      <c r="B101" s="8" t="inlineStr">
        <is>
          <t>2010/10/21</t>
        </is>
      </c>
      <c r="C101" s="8" t="inlineStr">
        <is>
          <t>1126260</t>
        </is>
      </c>
      <c r="D101" s="8" t="inlineStr">
        <is>
          <t>その他(その他)</t>
        </is>
      </c>
      <c r="E101" s="11" t="n">
        <v>1869</v>
      </c>
      <c r="F101" s="14" t="inlineStr">
        <is>
          <t>DBA-ZRR70G, DBA-ZRR70W, DBA-ZRR75G, DBA-ZRR75W</t>
        </is>
      </c>
      <c r="G101" s="8" t="inlineStr">
        <is>
          <t>2010年4月12日</t>
        </is>
      </c>
      <c r="H101" s="8" t="inlineStr">
        <is>
          <t>2010年9月17日</t>
        </is>
      </c>
      <c r="I101" s="14" t="inlineStr">
        <is>
          <t>スピードメータなど計器盤照明の制御プログラムが不適切なため、スイッチを操作して車幅灯等を点灯させた際に計器盤照明が連動して点灯しないことがある。</t>
        </is>
      </c>
      <c r="J101" s="14" t="inlineStr">
        <is>
          <t>全車両、照明制御プログラムを修正した計器盤に交換する。</t>
        </is>
      </c>
    </row>
    <row r="102">
      <c r="A102" s="13" t="inlineStr">
        <is>
          <t>ノア</t>
        </is>
      </c>
      <c r="B102" s="13" t="inlineStr">
        <is>
          <t>2010/11/17</t>
        </is>
      </c>
      <c r="C102" s="13" t="inlineStr">
        <is>
          <t>1126540</t>
        </is>
      </c>
      <c r="D102" s="13" t="inlineStr">
        <is>
          <t>ウオッシャー</t>
        </is>
      </c>
      <c r="E102" s="15" t="n">
        <v>4450</v>
      </c>
      <c r="F102" s="14" t="inlineStr">
        <is>
          <t>CBA-AZR60G, CBA-AZR65G, DBA-AZR60G, TA-AZR60G, TA-AZR65G</t>
        </is>
      </c>
      <c r="G102" s="13" t="inlineStr">
        <is>
          <t>1995年2月13日</t>
        </is>
      </c>
      <c r="H102" s="13" t="inlineStr">
        <is>
          <t>2009年10月19日</t>
        </is>
      </c>
      <c r="I102" s="14" t="inlineStr">
        <is>
          <t>販売店オプションとして設定しているウォッシャ液凍結防止ヒータが装着された車両において、ヒータ制御回路部の防水用オーリングの締め代が不足しているため、ウォッシャ液が制御回路内に浸入することがある。そのため、制御回路が溶損し、最悪の場合、火災に至るおそれがある。</t>
        </is>
      </c>
      <c r="J102" s="14" t="inlineStr">
        <is>
          <t>全車両、当該ヒータを取り外す。</t>
        </is>
      </c>
    </row>
    <row r="103">
      <c r="A103" s="8" t="inlineStr">
        <is>
          <t>ノア</t>
        </is>
      </c>
      <c r="B103" s="8" t="inlineStr">
        <is>
          <t>2011/01/26</t>
        </is>
      </c>
      <c r="C103" s="8" t="inlineStr">
        <is>
          <t>1126941</t>
        </is>
      </c>
      <c r="D103" s="8" t="inlineStr">
        <is>
          <t>燃料ホース/パイプ</t>
        </is>
      </c>
      <c r="E103" s="11" t="n">
        <v>1202800</v>
      </c>
      <c r="F103" s="14" t="inlineStr">
        <is>
          <t>CBA-AZR60G, CBA-AZR60G改, CBA-AZR65G, DBA-AZR60G, DBA-AZR60G改, DBA-AZR65G, TA-AZR60G, TA-AZR60G改, TA-AZR65G</t>
        </is>
      </c>
      <c r="G103" s="8" t="inlineStr">
        <is>
          <t>2000年5月10日</t>
        </is>
      </c>
      <c r="H103" s="8" t="inlineStr">
        <is>
          <t>2008年10月24日</t>
        </is>
      </c>
      <c r="I103"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103" s="14" t="inlineStr">
        <is>
          <t>① 全車両、燃料パイプを対策品に交換する。</t>
        </is>
      </c>
    </row>
    <row r="104">
      <c r="A104" s="13" t="inlineStr">
        <is>
          <t>ノア</t>
        </is>
      </c>
      <c r="B104" s="13" t="inlineStr">
        <is>
          <t>2011/01/26</t>
        </is>
      </c>
      <c r="C104" s="13" t="inlineStr">
        <is>
          <t>1126942</t>
        </is>
      </c>
      <c r="D104" s="13" t="inlineStr">
        <is>
          <t>燃料ポンプ</t>
        </is>
      </c>
      <c r="E104" s="15" t="n">
        <v>358672</v>
      </c>
      <c r="F104" s="14" t="inlineStr">
        <is>
          <t>TA-AZR60G, TA-AZR60G改, TA-AZR65G</t>
        </is>
      </c>
      <c r="G104" s="13" t="inlineStr">
        <is>
          <t>2000年5月10日</t>
        </is>
      </c>
      <c r="H104" s="13" t="inlineStr">
        <is>
          <t>2008年10月24日</t>
        </is>
      </c>
      <c r="I104"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104" s="14" t="inlineStr">
        <is>
          <t>② 全車両、チェックバルブとガスケットを対策品に交換する。</t>
        </is>
      </c>
    </row>
    <row r="105">
      <c r="A105" s="8" t="inlineStr">
        <is>
          <t>ノア</t>
        </is>
      </c>
      <c r="B105" s="8" t="inlineStr">
        <is>
          <t>2013/04/11</t>
        </is>
      </c>
      <c r="C105" s="8" t="inlineStr">
        <is>
          <t>1131400</t>
        </is>
      </c>
      <c r="D105" s="8" t="inlineStr">
        <is>
          <t>エアバッグ</t>
        </is>
      </c>
      <c r="E105" s="11" t="n">
        <v>304862</v>
      </c>
      <c r="F105" s="14" t="inlineStr">
        <is>
          <t>TA-AZR60G, TA-AZR65G</t>
        </is>
      </c>
      <c r="G105" s="8" t="inlineStr">
        <is>
          <t>2000年11月22日</t>
        </is>
      </c>
      <c r="H105" s="8" t="inlineStr">
        <is>
          <t>2003年6月 9日</t>
        </is>
      </c>
      <c r="I105"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05" s="14" t="inlineStr">
        <is>
          <t>全車両、当該インフレータを良品に交換する。</t>
        </is>
      </c>
    </row>
    <row r="106">
      <c r="A106" s="13" t="inlineStr">
        <is>
          <t>ノア</t>
        </is>
      </c>
      <c r="B106" s="13" t="inlineStr">
        <is>
          <t>2014/06/11</t>
        </is>
      </c>
      <c r="C106" s="13" t="inlineStr">
        <is>
          <t>1133690</t>
        </is>
      </c>
      <c r="D106" s="13" t="inlineStr">
        <is>
          <t>エアバッグ</t>
        </is>
      </c>
      <c r="E106" s="15" t="n">
        <v>648081</v>
      </c>
      <c r="F106" s="14" t="inlineStr">
        <is>
          <t>TA-AZR60G, TA-AZR65G</t>
        </is>
      </c>
      <c r="G106" s="13" t="inlineStr">
        <is>
          <t>2000年12月 4日</t>
        </is>
      </c>
      <c r="H106" s="13" t="inlineStr">
        <is>
          <t>2004年4月19日</t>
        </is>
      </c>
      <c r="I106"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06"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07">
      <c r="A107" s="8" t="inlineStr">
        <is>
          <t>ノア</t>
        </is>
      </c>
      <c r="B107" s="8" t="inlineStr">
        <is>
          <t>2014/10/15</t>
        </is>
      </c>
      <c r="C107" s="8" t="inlineStr">
        <is>
          <t>1134482</t>
        </is>
      </c>
      <c r="D107" s="8" t="inlineStr">
        <is>
          <t>圧力制御伝達部</t>
        </is>
      </c>
      <c r="E107" s="11" t="n">
        <v>704295</v>
      </c>
      <c r="F107" s="14" t="inlineStr">
        <is>
          <t>DBA-ZRR70G, DBA-ZRR70W, DBA-ZRR75G, DBA-ZRR75W</t>
        </is>
      </c>
      <c r="G107" s="8" t="inlineStr">
        <is>
          <t>2006年2月 6日</t>
        </is>
      </c>
      <c r="H107" s="8" t="inlineStr">
        <is>
          <t>2012年4月 4日</t>
        </is>
      </c>
      <c r="I107"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107" s="14" t="inlineStr">
        <is>
          <t>全車両、ゴム製シールを対策品に交換する。なお、ブレーキ液漏れがあるものは、ブレーキブースタを新品と交換する。</t>
        </is>
      </c>
    </row>
    <row r="108">
      <c r="A108" s="13" t="inlineStr">
        <is>
          <t>ノア</t>
        </is>
      </c>
      <c r="B108" s="13" t="inlineStr">
        <is>
          <t>2014/12/04</t>
        </is>
      </c>
      <c r="C108" s="13" t="inlineStr">
        <is>
          <t>1134830</t>
        </is>
      </c>
      <c r="D108" s="13" t="inlineStr">
        <is>
          <t>エアバッグ</t>
        </is>
      </c>
      <c r="E108" s="15" t="n">
        <v>185093</v>
      </c>
      <c r="F108" s="14" t="inlineStr">
        <is>
          <t>TA-AZR60G, TA-AZR65G</t>
        </is>
      </c>
      <c r="G108" s="13" t="inlineStr">
        <is>
          <t>2002年9月24日</t>
        </is>
      </c>
      <c r="H108" s="13" t="inlineStr">
        <is>
          <t>2003年12月25日</t>
        </is>
      </c>
      <c r="I108"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08"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09">
      <c r="A109" s="8" t="inlineStr">
        <is>
          <t>ノア</t>
        </is>
      </c>
      <c r="B109" s="8" t="inlineStr">
        <is>
          <t>2015/05/13</t>
        </is>
      </c>
      <c r="C109" s="8" t="inlineStr">
        <is>
          <t>1135630</t>
        </is>
      </c>
      <c r="D109" s="8" t="inlineStr">
        <is>
          <t>エアバッグ</t>
        </is>
      </c>
      <c r="E109" s="11" t="n">
        <v>1300983</v>
      </c>
      <c r="F109" s="14" t="inlineStr">
        <is>
          <t>CBA-AZR60G, CBA-AZR65G, DBA-AZR60G, DBA-AZR65G, TA-AZR60G, TA-AZR65G</t>
        </is>
      </c>
      <c r="G109" s="8" t="inlineStr">
        <is>
          <t>2004年1月 6日</t>
        </is>
      </c>
      <c r="H109" s="8" t="inlineStr">
        <is>
          <t>2008年3月 7日</t>
        </is>
      </c>
      <c r="I109"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09"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10">
      <c r="A110" s="13" t="inlineStr">
        <is>
          <t>ノア</t>
        </is>
      </c>
      <c r="B110" s="13" t="inlineStr">
        <is>
          <t>2015/06/25</t>
        </is>
      </c>
      <c r="C110" s="13" t="inlineStr">
        <is>
          <t>1135920</t>
        </is>
      </c>
      <c r="D110" s="13" t="inlineStr">
        <is>
          <t>エアバッグ</t>
        </is>
      </c>
      <c r="E110" s="15" t="n">
        <v>311687</v>
      </c>
      <c r="F110" s="14" t="inlineStr">
        <is>
          <t>DBA-AZR60G, DBA-AZR65G</t>
        </is>
      </c>
      <c r="G110" s="13" t="inlineStr">
        <is>
          <t>2007年4月 1日</t>
        </is>
      </c>
      <c r="H110" s="13" t="inlineStr">
        <is>
          <t>2008年12月25日</t>
        </is>
      </c>
      <c r="I110"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110"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11">
      <c r="A111" s="8" t="inlineStr">
        <is>
          <t>ノア</t>
        </is>
      </c>
      <c r="B111" s="8" t="inlineStr">
        <is>
          <t>2015/11/25</t>
        </is>
      </c>
      <c r="C111" s="8" t="inlineStr">
        <is>
          <t>1136960</t>
        </is>
      </c>
      <c r="D111" s="8" t="inlineStr">
        <is>
          <t>エアバッグ</t>
        </is>
      </c>
      <c r="E111" s="11" t="n">
        <v>1612670</v>
      </c>
      <c r="F111" s="14" t="inlineStr">
        <is>
          <t>CBA-AZR60G, CBA-AZR65G, DBA-AZR60G, DBA-AZR65G, TA-AZR60G, TA-AZR65G</t>
        </is>
      </c>
      <c r="G111" s="8" t="inlineStr">
        <is>
          <t>2004年1月 6日</t>
        </is>
      </c>
      <c r="H111" s="8" t="inlineStr">
        <is>
          <t>2008年12月25日</t>
        </is>
      </c>
      <c r="I111" s="14" t="inlineStr">
        <is>
          <t>助手席用一段展開制御式エアバッグのインフレータ（膨張装置）において、エアバッグ展開時にインフレータ容器が破損して飛び散り、出火したり乗員が負傷するおそれがある。</t>
        </is>
      </c>
      <c r="J111"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12">
      <c r="A112" s="13" t="inlineStr">
        <is>
          <t>ノア</t>
        </is>
      </c>
      <c r="B112" s="13" t="inlineStr">
        <is>
          <t>2016/10/26</t>
        </is>
      </c>
      <c r="C112" s="13" t="inlineStr">
        <is>
          <t>1139110</t>
        </is>
      </c>
      <c r="D112" s="13" t="inlineStr">
        <is>
          <t>エアバッグ</t>
        </is>
      </c>
      <c r="E112" s="15" t="n">
        <v>1159578</v>
      </c>
      <c r="F112" s="14" t="inlineStr">
        <is>
          <t>DBA-ZRR70G, DBA-ZRR70W, DBA-ZRR75G, DBA-ZRR75W</t>
        </is>
      </c>
      <c r="G112" s="13" t="inlineStr">
        <is>
          <t>2000年8月22日</t>
        </is>
      </c>
      <c r="H112" s="13" t="inlineStr">
        <is>
          <t>2011年12月28日</t>
        </is>
      </c>
      <c r="I112"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2"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13">
      <c r="A113" s="8" t="inlineStr">
        <is>
          <t>ノア</t>
        </is>
      </c>
      <c r="B113" s="8" t="inlineStr">
        <is>
          <t>2017/03/30</t>
        </is>
      </c>
      <c r="C113" s="8" t="inlineStr">
        <is>
          <t>1140180</t>
        </is>
      </c>
      <c r="D113" s="8" t="inlineStr">
        <is>
          <t>エアバッグ</t>
        </is>
      </c>
      <c r="E113" s="11" t="n">
        <v>725999</v>
      </c>
      <c r="F113" s="14" t="inlineStr">
        <is>
          <t>DBA-ZRR70G, DBA-ZRR70W, DBA-ZRR75G, DBA-ZRR75W</t>
        </is>
      </c>
      <c r="G113" s="8" t="inlineStr">
        <is>
          <t>2010年1月 6日</t>
        </is>
      </c>
      <c r="H113" s="8" t="inlineStr">
        <is>
          <t>2012年12月26日</t>
        </is>
      </c>
      <c r="I11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3" s="14" t="inlineStr">
        <is>
          <t>全車両、予防的措置としてエアバッグインフレータまたはエアバッグアッセンブリを改良品に交換する。</t>
        </is>
      </c>
    </row>
    <row r="114">
      <c r="A114" s="13" t="inlineStr">
        <is>
          <t>ノア</t>
        </is>
      </c>
      <c r="B114" s="13" t="inlineStr">
        <is>
          <t>2018/01/17</t>
        </is>
      </c>
      <c r="C114" s="13" t="inlineStr">
        <is>
          <t>1141740</t>
        </is>
      </c>
      <c r="D114" s="13" t="inlineStr">
        <is>
          <t>エアバッグ</t>
        </is>
      </c>
      <c r="E114" s="15" t="n">
        <v>452</v>
      </c>
      <c r="F114" s="14" t="inlineStr">
        <is>
          <t>DBA-ZRR70G, DBA-ZRR70W, DBA-ZRR75G, DBA-ZRR75W</t>
        </is>
      </c>
      <c r="G114" s="13" t="inlineStr">
        <is>
          <t>2005年9月22日</t>
        </is>
      </c>
      <c r="H114" s="13" t="inlineStr">
        <is>
          <t>2011年12月12日</t>
        </is>
      </c>
      <c r="I114"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114" s="14" t="inlineStr">
        <is>
          <t>全車両、助手席エアバッグを良品と交換する。</t>
        </is>
      </c>
    </row>
    <row r="115">
      <c r="A115" s="8" t="inlineStr">
        <is>
          <t>ノア</t>
        </is>
      </c>
      <c r="B115" s="8" t="inlineStr">
        <is>
          <t>2018/01/31</t>
        </is>
      </c>
      <c r="C115" s="8" t="inlineStr">
        <is>
          <t>1141851</t>
        </is>
      </c>
      <c r="D115" s="8" t="inlineStr">
        <is>
          <t>エアバッグ</t>
        </is>
      </c>
      <c r="E115" s="11" t="n">
        <v>91210</v>
      </c>
      <c r="F115" s="14" t="inlineStr">
        <is>
          <t>DAA-ZWR80G, DBA-ZRR80G, DBA-ZRR80W, DBA-ZRR85G, DBA-ZRR85W</t>
        </is>
      </c>
      <c r="G115" s="8" t="inlineStr">
        <is>
          <t>2015年5月20日</t>
        </is>
      </c>
      <c r="H115" s="8" t="inlineStr">
        <is>
          <t>2016年1月 7日</t>
        </is>
      </c>
      <c r="I11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15" s="14" t="inlineStr">
        <is>
          <t>全車両、各センサの製造番号を点検し、該当する場合は良品と交換する。</t>
        </is>
      </c>
    </row>
    <row r="116">
      <c r="A116" s="13" t="inlineStr">
        <is>
          <t>ノア</t>
        </is>
      </c>
      <c r="B116" s="13" t="inlineStr">
        <is>
          <t>2018/03/28</t>
        </is>
      </c>
      <c r="C116" s="13" t="inlineStr">
        <is>
          <t>1142280</t>
        </is>
      </c>
      <c r="D116" s="13" t="inlineStr">
        <is>
          <t>エアバッグ</t>
        </is>
      </c>
      <c r="E116" s="15" t="n">
        <v>249473</v>
      </c>
      <c r="F116" s="14" t="inlineStr">
        <is>
          <t>DBA-ZRR70G, DBA-ZRR70W, DBA-ZRR75G, DBA-ZRR75W</t>
        </is>
      </c>
      <c r="G116" s="13" t="inlineStr">
        <is>
          <t>2013年1月 7日</t>
        </is>
      </c>
      <c r="H116" s="13" t="inlineStr">
        <is>
          <t>2014年12月25日</t>
        </is>
      </c>
      <c r="I11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6" s="14" t="inlineStr">
        <is>
          <t>全車両、予防的措置としてエアバッグインフレータまたはエアバッグアッセンブリを代替品と交換する。</t>
        </is>
      </c>
    </row>
    <row r="117">
      <c r="A117" s="8" t="inlineStr">
        <is>
          <t>ノア</t>
        </is>
      </c>
      <c r="B117" s="8" t="inlineStr">
        <is>
          <t>2018/11/01</t>
        </is>
      </c>
      <c r="C117" s="8" t="inlineStr">
        <is>
          <t>1143640</t>
        </is>
      </c>
      <c r="D117" s="8" t="inlineStr">
        <is>
          <t>エアーバッグ</t>
        </is>
      </c>
      <c r="E117" s="11" t="n">
        <v>298445</v>
      </c>
      <c r="F117" s="14" t="inlineStr">
        <is>
          <t>TA-AZR60G, TA-AZR65G</t>
        </is>
      </c>
      <c r="G117" s="8" t="inlineStr">
        <is>
          <t>2000年11月22日</t>
        </is>
      </c>
      <c r="H117" s="8" t="inlineStr">
        <is>
          <t>2006年6月23日</t>
        </is>
      </c>
      <c r="I117"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7" s="14" t="inlineStr">
        <is>
          <t>全車両、予防的措置としてエアバッグインフレータまたはエアバッグアッセンブリを代替品と交換する。</t>
        </is>
      </c>
    </row>
    <row r="118">
      <c r="A118" s="13" t="inlineStr">
        <is>
          <t>ノア</t>
        </is>
      </c>
      <c r="B118" s="13" t="inlineStr">
        <is>
          <t>2019/08/28</t>
        </is>
      </c>
      <c r="C118" s="13" t="inlineStr">
        <is>
          <t>1145560</t>
        </is>
      </c>
      <c r="D118" s="13" t="inlineStr">
        <is>
          <t>エアバッグ</t>
        </is>
      </c>
      <c r="E118" s="15" t="n">
        <v>181653</v>
      </c>
      <c r="F118" s="14" t="inlineStr">
        <is>
          <t>TA-AZR60G, TA-AZR65G</t>
        </is>
      </c>
      <c r="G118" s="13" t="inlineStr">
        <is>
          <t>2003年1月 6日</t>
        </is>
      </c>
      <c r="H118" s="13" t="inlineStr">
        <is>
          <t>2010年7月16日</t>
        </is>
      </c>
      <c r="I11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18" s="14" t="inlineStr">
        <is>
          <t>全車両、予防的措置としてエアバッグインフレータまたはエアバッグアッセンブリを代替品と交換する。</t>
        </is>
      </c>
    </row>
    <row r="119">
      <c r="A119" s="8" t="inlineStr">
        <is>
          <t>ノア</t>
        </is>
      </c>
      <c r="B119" s="8" t="inlineStr">
        <is>
          <t>2019/09/19</t>
        </is>
      </c>
      <c r="C119" s="8" t="inlineStr">
        <is>
          <t>1145671</t>
        </is>
      </c>
      <c r="D119" s="8" t="inlineStr">
        <is>
          <t>燃料ポンプ</t>
        </is>
      </c>
      <c r="E119" s="11" t="n">
        <v>390633</v>
      </c>
      <c r="F119" s="14" t="inlineStr">
        <is>
          <t>DAA-ZWR80G, DAA-ZWR80W</t>
        </is>
      </c>
      <c r="G119" s="8" t="inlineStr">
        <is>
          <t>2013年12月20日</t>
        </is>
      </c>
      <c r="H119" s="8" t="inlineStr">
        <is>
          <t>2018年7月18日</t>
        </is>
      </c>
      <c r="I119"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19" s="14" t="inlineStr">
        <is>
          <t>全車両、燃料ポンプを対策品に交換する。</t>
        </is>
      </c>
    </row>
    <row r="120">
      <c r="A120" s="13" t="inlineStr">
        <is>
          <t>ノア</t>
        </is>
      </c>
      <c r="B120" s="13" t="inlineStr">
        <is>
          <t>2019/09/19</t>
        </is>
      </c>
      <c r="C120" s="13" t="inlineStr">
        <is>
          <t>1145672</t>
        </is>
      </c>
      <c r="D120" s="13" t="inlineStr">
        <is>
          <t>座席</t>
        </is>
      </c>
      <c r="E120" s="15" t="n">
        <v>202917</v>
      </c>
      <c r="F120" s="14" t="inlineStr">
        <is>
          <t>DAA-ZWR80G, DAA-ZWR80W, DBA-ZRR80G, DBA-ZRR80W, DBA-ZRR85G, DBA-ZRR85W</t>
        </is>
      </c>
      <c r="G120" s="13" t="inlineStr">
        <is>
          <t>2017年4月10日</t>
        </is>
      </c>
      <c r="H120" s="13" t="inlineStr">
        <is>
          <t>2018年5月11日</t>
        </is>
      </c>
      <c r="I120"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120"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121">
      <c r="A121" s="8" t="inlineStr">
        <is>
          <t>ノア</t>
        </is>
      </c>
      <c r="B121" s="8" t="inlineStr">
        <is>
          <t>2019/12/11</t>
        </is>
      </c>
      <c r="C121" s="8" t="inlineStr">
        <is>
          <t>1146250</t>
        </is>
      </c>
      <c r="D121" s="8" t="inlineStr">
        <is>
          <t>シートベルト</t>
        </is>
      </c>
      <c r="E121" s="11" t="n">
        <v>7790</v>
      </c>
      <c r="F121" s="14" t="inlineStr">
        <is>
          <t>DBA-ZRR80G, DBA-ZRR80G改, DBA-ZRR80W, DBA-ZRR80W改, DBA-ZRR85G, DBA-ZRR85G改, DBA-ZRR85W</t>
        </is>
      </c>
      <c r="G121" s="8" t="inlineStr">
        <is>
          <t>2019年8月19日</t>
        </is>
      </c>
      <c r="H121" s="8" t="inlineStr">
        <is>
          <t>2019年9月12日</t>
        </is>
      </c>
      <c r="I121"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21" s="14" t="inlineStr">
        <is>
          <t>全車両、対象となる後部座席ベルトの製造番号を点検し、該当する場合は座席ベルトを良品と交換する。</t>
        </is>
      </c>
    </row>
    <row r="122">
      <c r="A122" s="13" t="inlineStr">
        <is>
          <t>ノア</t>
        </is>
      </c>
      <c r="B122" s="13" t="inlineStr">
        <is>
          <t>2020/03/04</t>
        </is>
      </c>
      <c r="C122" s="13" t="inlineStr">
        <is>
          <t>1146830</t>
        </is>
      </c>
      <c r="D122" s="13" t="inlineStr">
        <is>
          <t>燃料ポンプ</t>
        </is>
      </c>
      <c r="E122" s="15" t="n">
        <v>112934</v>
      </c>
      <c r="F122" s="14" t="inlineStr">
        <is>
          <t>DBA-ZRR80G, DBA-ZRR80G改, DBA-ZRR80W, DBA-ZRR80W改, DBA-ZRR85G, DBA-ZRR85G改, DBA-ZRR85W</t>
        </is>
      </c>
      <c r="G122" s="13" t="inlineStr">
        <is>
          <t>2013年9月 2日</t>
        </is>
      </c>
      <c r="H122" s="13" t="inlineStr">
        <is>
          <t>2019年1月14日</t>
        </is>
      </c>
      <c r="I12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22" s="14" t="inlineStr">
        <is>
          <t>全車両、低圧燃料ポンプを対策品と交換する。</t>
        </is>
      </c>
    </row>
    <row r="123">
      <c r="A123" s="8" t="inlineStr">
        <is>
          <t>ノア</t>
        </is>
      </c>
      <c r="B123" s="8" t="inlineStr">
        <is>
          <t>2020/10/28</t>
        </is>
      </c>
      <c r="C123" s="8" t="inlineStr">
        <is>
          <t>1148300</t>
        </is>
      </c>
      <c r="D123" s="8" t="inlineStr">
        <is>
          <t>燃料ポンプ</t>
        </is>
      </c>
      <c r="E123" s="11" t="n">
        <v>210363</v>
      </c>
      <c r="F123" s="14" t="inlineStr">
        <is>
          <t>DAA-ZWR80G, DAA-ZWR80W, DBA-ZRR80G, DBA-ZRR80G改, DBA-ZRR80W, DBA-ZRR80W改, DBA-ZRR85G, DBA-ZRR85G改, DBA-ZRR85W</t>
        </is>
      </c>
      <c r="G123" s="8" t="inlineStr">
        <is>
          <t>2017年7月 5日</t>
        </is>
      </c>
      <c r="H123" s="8" t="inlineStr">
        <is>
          <t>2019年12月 6日</t>
        </is>
      </c>
      <c r="I12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23" s="14" t="inlineStr">
        <is>
          <t>全車両、低圧燃料ポンプを対策品と交換する。</t>
        </is>
      </c>
    </row>
    <row r="124">
      <c r="A124" s="13" t="inlineStr">
        <is>
          <t>ノア</t>
        </is>
      </c>
      <c r="B124" s="13" t="inlineStr">
        <is>
          <t>2021/06/01</t>
        </is>
      </c>
      <c r="C124" s="13" t="inlineStr">
        <is>
          <t>1149660</t>
        </is>
      </c>
      <c r="D124" s="13" t="inlineStr">
        <is>
          <t>その他(電気装置)</t>
        </is>
      </c>
      <c r="E124" s="15" t="n">
        <v>24162</v>
      </c>
      <c r="F124" s="14" t="inlineStr">
        <is>
          <t>6AA-ZWR80G, 6AA-ZWR80W</t>
        </is>
      </c>
      <c r="G124" s="13" t="inlineStr">
        <is>
          <t>2020年11月27日</t>
        </is>
      </c>
      <c r="H124" s="13" t="inlineStr">
        <is>
          <t>2021年4月14日</t>
        </is>
      </c>
      <c r="I124"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24" s="14" t="inlineStr">
        <is>
          <t>全車両、電力変換モジュールを点検し、対象となるものは対策品に交換する。</t>
        </is>
      </c>
    </row>
    <row r="125">
      <c r="A125" s="8" t="inlineStr">
        <is>
          <t>ノア</t>
        </is>
      </c>
      <c r="B125" s="8" t="inlineStr">
        <is>
          <t>2022/04/13</t>
        </is>
      </c>
      <c r="C125" s="8" t="inlineStr">
        <is>
          <t>2106450</t>
        </is>
      </c>
      <c r="D125" s="8" t="inlineStr">
        <is>
          <t>その他(その他)</t>
        </is>
      </c>
      <c r="E125" s="11" t="n">
        <v>31534</v>
      </c>
      <c r="F125" s="14" t="inlineStr">
        <is>
          <t>6AA-ZWR90W, 6AA-ZWR92W, 6AA-ZWR95W, 6BA-MZRA90W, 6BA-MZRA92W, 6BA-MZRA95W, 6BA-MZRA95W改, 6BA-MZRA97W</t>
        </is>
      </c>
      <c r="G125" s="8" t="inlineStr">
        <is>
          <t>2021年9月 1日</t>
        </is>
      </c>
      <c r="H125" s="8" t="inlineStr">
        <is>
          <t>2022年4月 8日</t>
        </is>
      </c>
      <c r="I125"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125" s="14" t="inlineStr">
        <is>
          <t>全車両、ディスプレイオーディオの制御プログラムを対策仕様に修正する。</t>
        </is>
      </c>
    </row>
    <row r="126">
      <c r="A126" s="13" t="inlineStr">
        <is>
          <t>ノア</t>
        </is>
      </c>
      <c r="B126" s="13" t="inlineStr">
        <is>
          <t>2022/06/03</t>
        </is>
      </c>
      <c r="C126" s="13" t="inlineStr">
        <is>
          <t>1151620</t>
        </is>
      </c>
      <c r="D126" s="13" t="inlineStr">
        <is>
          <t>コンピュータ(制御装</t>
        </is>
      </c>
      <c r="E126" s="15" t="n">
        <v>18784</v>
      </c>
      <c r="F126" s="14" t="inlineStr">
        <is>
          <t>6AA-ZWR90W, 6AA-ZWR92W, 6AA-ZWR95W</t>
        </is>
      </c>
      <c r="G126" s="13" t="inlineStr">
        <is>
          <t>2021年12月 1日</t>
        </is>
      </c>
      <c r="H126" s="13" t="inlineStr">
        <is>
          <t>2022年5月25日</t>
        </is>
      </c>
      <c r="I126"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126" s="14" t="inlineStr">
        <is>
          <t>全車両、ブレーキアクチュエータ用制御コンピュータのプログラムを対策仕様に修正する。また、ブレーキ関連部品を点検し、過熱による異常が認められた場合は交換する。</t>
        </is>
      </c>
    </row>
    <row r="127">
      <c r="A127" s="8" t="inlineStr">
        <is>
          <t>ノア</t>
        </is>
      </c>
      <c r="B127" s="8" t="inlineStr">
        <is>
          <t>2022/09/01</t>
        </is>
      </c>
      <c r="C127" s="8" t="inlineStr">
        <is>
          <t>1152021</t>
        </is>
      </c>
      <c r="D127" s="8" t="inlineStr">
        <is>
          <t>コンピュータ(かじ取</t>
        </is>
      </c>
      <c r="E127" s="11" t="n">
        <v>49651</v>
      </c>
      <c r="F127" s="14" t="inlineStr">
        <is>
          <t>6AA-ZWR90W, 6AA-ZWR92W, 6AA-ZWR95W, 6BA-MZRA90W, 6BA-MZRA92W, 6BA-MZRA95W, 6BA-MZRA95W改, 6BA-MZRA97W</t>
        </is>
      </c>
      <c r="G127" s="8" t="inlineStr">
        <is>
          <t>2021年9月 1日</t>
        </is>
      </c>
      <c r="H127" s="8" t="inlineStr">
        <is>
          <t>2022年8月 9日</t>
        </is>
      </c>
      <c r="I127"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127" s="14" t="inlineStr">
        <is>
          <t>（１）全車両、レーントレーシングアシスト用制御コンピュータのプログラムを対策仕様に修正する。</t>
        </is>
      </c>
    </row>
    <row r="128">
      <c r="A128" s="13" t="inlineStr">
        <is>
          <t>ノア</t>
        </is>
      </c>
      <c r="B128" s="13" t="inlineStr">
        <is>
          <t>2022/09/01</t>
        </is>
      </c>
      <c r="C128" s="13" t="inlineStr">
        <is>
          <t>1152022</t>
        </is>
      </c>
      <c r="D128" s="13" t="inlineStr">
        <is>
          <t>後写鏡</t>
        </is>
      </c>
      <c r="E128" s="15" t="n">
        <v>30721</v>
      </c>
      <c r="F128" s="14" t="inlineStr">
        <is>
          <t>6AA-ZWR90W, 6AA-ZWR92W, 6AA-ZWR95W, 6BA-MZRA90W, 6BA-MZRA92W, 6BA-MZRA95W</t>
        </is>
      </c>
      <c r="G128" s="13" t="inlineStr">
        <is>
          <t>2021年9月 1日</t>
        </is>
      </c>
      <c r="H128" s="13" t="inlineStr">
        <is>
          <t>2022年8月 9日</t>
        </is>
      </c>
      <c r="I128"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128" s="14" t="inlineStr">
        <is>
          <t>（２）全車両、ディスプレイオーディオ用制御プログラムを対策仕様に修正する。</t>
        </is>
      </c>
    </row>
    <row r="129">
      <c r="A129" s="8" t="inlineStr">
        <is>
          <t>ノア</t>
        </is>
      </c>
      <c r="B129" s="8" t="inlineStr">
        <is>
          <t>2022/09/01</t>
        </is>
      </c>
      <c r="C129" s="8" t="inlineStr">
        <is>
          <t>1152023</t>
        </is>
      </c>
      <c r="D129" s="8" t="inlineStr">
        <is>
          <t>コンピュータ(制御装</t>
        </is>
      </c>
      <c r="E129" s="11" t="n">
        <v>27599</v>
      </c>
      <c r="F129" s="14" t="inlineStr">
        <is>
          <t>6BA-MZRA90W, 6BA-MZRA92W, 6BA-MZRA95W, 6BA-MZRA95W改, 6BA-MZRA97W</t>
        </is>
      </c>
      <c r="G129" s="8" t="inlineStr">
        <is>
          <t>2021年9月 1日</t>
        </is>
      </c>
      <c r="H129" s="8" t="inlineStr">
        <is>
          <t>2022年8月 9日</t>
        </is>
      </c>
      <c r="I129"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129" s="14" t="inlineStr">
        <is>
          <t>（３）全車両、ブレーキアクチュエータ用制御コンピュータのプログラムを対策仕様に修正する。</t>
        </is>
      </c>
    </row>
    <row r="130">
      <c r="A130" s="13" t="inlineStr">
        <is>
          <t>ノア</t>
        </is>
      </c>
      <c r="B130" s="13" t="inlineStr">
        <is>
          <t>2023/02/16</t>
        </is>
      </c>
      <c r="C130" s="13" t="inlineStr">
        <is>
          <t>1152831</t>
        </is>
      </c>
      <c r="D130" s="13" t="inlineStr">
        <is>
          <t>コンピュータ(制御装</t>
        </is>
      </c>
      <c r="E130" s="15" t="n">
        <v>196984</v>
      </c>
      <c r="F130" s="14" t="inlineStr">
        <is>
          <t>6AA-ZWR90W, 6AA-ZWR92W, 6AA-ZWR95W, 6BA-MZRA90W, 6BA-MZRA92W, 6BA-MZRA95W, 6BA-MZRA95W改, 6BA-MZRA97W</t>
        </is>
      </c>
      <c r="G130" s="13" t="inlineStr">
        <is>
          <t>2021年9月 1日</t>
        </is>
      </c>
      <c r="H130" s="13" t="inlineStr">
        <is>
          <t>2023年1月 9日</t>
        </is>
      </c>
      <c r="I130"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30" s="14" t="inlineStr">
        <is>
          <t>（１）全車両、衝突被害軽減ブレーキ用前方カメラのプログラムを対策仕様に修正する。</t>
        </is>
      </c>
    </row>
    <row r="131">
      <c r="A131" s="8" t="inlineStr">
        <is>
          <t>ノア</t>
        </is>
      </c>
      <c r="B131" s="8" t="inlineStr">
        <is>
          <t>2023/02/16</t>
        </is>
      </c>
      <c r="C131" s="8" t="inlineStr">
        <is>
          <t>1152832</t>
        </is>
      </c>
      <c r="D131" s="8" t="inlineStr">
        <is>
          <t>コンピュータ(かじ取</t>
        </is>
      </c>
      <c r="E131" s="11" t="n">
        <v>38477</v>
      </c>
      <c r="F131" s="14" t="inlineStr">
        <is>
          <t>6AA-ZWR90W, 6AA-ZWR92W, 6AA-ZWR95W, 6BA-MZRA90W, 6BA-MZRA92W, 6BA-MZRA95W, 6BA-MZRA95W改, 6BA-MZRA97W</t>
        </is>
      </c>
      <c r="G131" s="8" t="inlineStr">
        <is>
          <t>2021年12月 1日</t>
        </is>
      </c>
      <c r="H131" s="8" t="inlineStr">
        <is>
          <t>2022年12月 9日</t>
        </is>
      </c>
      <c r="I131"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131" s="14" t="inlineStr">
        <is>
          <t>（２）全車両、コンビネーションメータのプログラムを対策仕様に修正する。</t>
        </is>
      </c>
    </row>
    <row r="132">
      <c r="A132" s="13" t="inlineStr">
        <is>
          <t>ノア</t>
        </is>
      </c>
      <c r="B132" s="13" t="inlineStr">
        <is>
          <t>2023/11/02</t>
        </is>
      </c>
      <c r="C132" s="13" t="inlineStr">
        <is>
          <t>1154040</t>
        </is>
      </c>
      <c r="D132" s="13" t="inlineStr">
        <is>
          <t>燃料ポンプ</t>
        </is>
      </c>
      <c r="E132" s="15" t="n">
        <v>328108</v>
      </c>
      <c r="F132" s="14" t="inlineStr">
        <is>
          <t>DAA-ZWR80G, DAA-ZWR80W, DBA-ZRR80G, DBA-ZRR80G改, DBA-ZRR80W, DBA-ZRR80W改, DBA-ZRR85G, DBA-ZRR85G改, DBA-ZRR85W</t>
        </is>
      </c>
      <c r="G132" s="13" t="inlineStr">
        <is>
          <t>2017年7月 3日</t>
        </is>
      </c>
      <c r="H132" s="13" t="inlineStr">
        <is>
          <t>2020年1月14日</t>
        </is>
      </c>
      <c r="I13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32" s="14" t="inlineStr">
        <is>
          <t>全車両、低圧燃料ポンプを対策品と交換する。</t>
        </is>
      </c>
    </row>
    <row r="133">
      <c r="A133" s="8" t="inlineStr">
        <is>
          <t>ノア</t>
        </is>
      </c>
      <c r="B133" s="8" t="inlineStr">
        <is>
          <t>2024/05/08</t>
        </is>
      </c>
      <c r="C133" s="8" t="inlineStr">
        <is>
          <t>1154780</t>
        </is>
      </c>
      <c r="D133" s="8" t="inlineStr">
        <is>
          <t>その他(保安灯火)</t>
        </is>
      </c>
      <c r="E133" s="11" t="n">
        <v>1271</v>
      </c>
      <c r="F133" s="14" t="inlineStr">
        <is>
          <t>6AA-ZWR90W, 6AA-ZWR92W, 6AA-ZWR95W, 6BA-MZRA90W, 6BA-MZRA92W, 6BA-MZRA95W, 6BA-MZRA97W</t>
        </is>
      </c>
      <c r="G133" s="8" t="inlineStr">
        <is>
          <t>2024年4月 4日</t>
        </is>
      </c>
      <c r="H133" s="8" t="inlineStr">
        <is>
          <t>2024年4月 9日</t>
        </is>
      </c>
      <c r="I133"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133" s="14" t="inlineStr">
        <is>
          <t>全車両、ライトコントロールコンピュータのプログラムを対策仕様に修正した前照灯に交換する。</t>
        </is>
      </c>
    </row>
    <row r="134">
      <c r="A134" s="13" t="inlineStr">
        <is>
          <t>ノア</t>
        </is>
      </c>
      <c r="B134" s="13" t="inlineStr">
        <is>
          <t>2024/06/14</t>
        </is>
      </c>
      <c r="C134" s="13" t="inlineStr">
        <is>
          <t>1154970</t>
        </is>
      </c>
      <c r="D134" s="13" t="inlineStr">
        <is>
          <t>その他(その他)</t>
        </is>
      </c>
      <c r="E134" s="15" t="n">
        <v>235077</v>
      </c>
      <c r="F134" s="14" t="inlineStr">
        <is>
          <t>6AA-ZWR90W, 6AA-ZWR92W, 6AA-ZWR95W, 6BA-MZRA90W, 6BA-MZRA92W, 6BA-MZRA95W, 6BA-MZRA95W改, 6BA-MZRA97W</t>
        </is>
      </c>
      <c r="G134" s="13" t="inlineStr">
        <is>
          <t>2022年11月 7日</t>
        </is>
      </c>
      <c r="H134" s="13" t="inlineStr">
        <is>
          <t>2023年9月27日</t>
        </is>
      </c>
      <c r="I134"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34" s="14" t="inlineStr">
        <is>
          <t>全車両、当該カメラの製造番号を点検し、該当する場合は良品と交換する。</t>
        </is>
      </c>
    </row>
    <row r="135">
      <c r="A135" s="8" t="inlineStr">
        <is>
          <t>ノア</t>
        </is>
      </c>
      <c r="B135" s="8" t="inlineStr">
        <is>
          <t>2025/10/30</t>
        </is>
      </c>
      <c r="C135" s="8" t="inlineStr">
        <is>
          <t>1157310</t>
        </is>
      </c>
      <c r="D135" s="8" t="inlineStr">
        <is>
          <t>後写鏡</t>
        </is>
      </c>
      <c r="E135" s="11" t="n">
        <v>1285002</v>
      </c>
      <c r="F135" s="14" t="inlineStr">
        <is>
          <t>6AA-ZWR90W, 6AA-ZWR92W, 6AA-ZWR95W, 6BA-MZRA90W, 6BA-MZRA92W, 6BA-MZRA95W, 6BA-MZRA95W改, 6BA-MZRA97W</t>
        </is>
      </c>
      <c r="G135" s="8" t="inlineStr">
        <is>
          <t>2021年9月 1日</t>
        </is>
      </c>
      <c r="H135" s="8" t="inlineStr">
        <is>
          <t>2025年9月25日</t>
        </is>
      </c>
      <c r="I135"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35" s="14" t="inlineStr">
        <is>
          <t>全車両、パノラミックビューモニター用制御コンピュータのプログラムを対策仕様に修正する。</t>
        </is>
      </c>
    </row>
    <row r="136">
      <c r="A136" s="13" t="inlineStr">
        <is>
          <t>プリウスα</t>
        </is>
      </c>
      <c r="B136" s="13" t="inlineStr">
        <is>
          <t>2015/07/15</t>
        </is>
      </c>
      <c r="C136" s="13" t="inlineStr">
        <is>
          <t>1136040</t>
        </is>
      </c>
      <c r="D136" s="13" t="inlineStr">
        <is>
          <t>ﾊｲﾌﾞﾘｯﾄﾞ制御装置(ｲﾝﾊ</t>
        </is>
      </c>
      <c r="E136" s="15" t="n">
        <v>342401</v>
      </c>
      <c r="F136" s="14" t="inlineStr">
        <is>
          <t>DAA-ZVW40W, DAA-ZVW41W</t>
        </is>
      </c>
      <c r="G136" s="13" t="inlineStr">
        <is>
          <t>2011年2月 4日</t>
        </is>
      </c>
      <c r="H136" s="13" t="inlineStr">
        <is>
          <t>2014年11月12日</t>
        </is>
      </c>
      <c r="I136" s="14" t="inlineStr">
        <is>
          <t>ハイブリッドシステムにおいて、制御ソフトが不適切なため、電力変換器（ＤＣ－ＡＣインバータ）の昇圧回路用素子が熱応力で損傷することがある。そのため、警告灯が点灯しフェールセーフのモータ走行となり、素子損傷時に電気ノイズが発生した場合には、ハイブリッドシステムが停止し、走行不能となるおそれがある。</t>
        </is>
      </c>
      <c r="J136" s="14" t="inlineStr">
        <is>
          <t>全車両、制御ソフトを対策仕様に修正する。 制御ソフト修正後に素子が損傷して警告灯が点灯した場合は、電力変換器のモジュールを無償交換する。</t>
        </is>
      </c>
    </row>
    <row r="137">
      <c r="A137" s="8" t="inlineStr">
        <is>
          <t>プリウスα</t>
        </is>
      </c>
      <c r="B137" s="8" t="inlineStr">
        <is>
          <t>2016/06/29</t>
        </is>
      </c>
      <c r="C137" s="8" t="inlineStr">
        <is>
          <t>1138360</t>
        </is>
      </c>
      <c r="D137" s="8" t="inlineStr">
        <is>
          <t>その他(燃料装置)</t>
        </is>
      </c>
      <c r="E137" s="11" t="n">
        <v>1552509</v>
      </c>
      <c r="F137" s="14" t="inlineStr">
        <is>
          <t>DAA-ZVW40W, DAA-ZVW41W</t>
        </is>
      </c>
      <c r="G137" s="8" t="inlineStr">
        <is>
          <t>2009年3月23日</t>
        </is>
      </c>
      <c r="H137" s="8" t="inlineStr">
        <is>
          <t>2015年2月24日</t>
        </is>
      </c>
      <c r="I137" s="14" t="inlineStr">
        <is>
          <t>燃料蒸発ガス排出抑制装置において、蒸発ガス通路（樹脂製）の端部形状が不適切なため、使用過程で当該端部に亀裂が発生することがある。そのため、長期間使用を続けると亀裂が貫通し、満タン時に燃料が漏れて、燃料臭がするおそれがある。</t>
        </is>
      </c>
      <c r="J137" s="14" t="inlineStr">
        <is>
          <t>全車両、燃料蒸発ガス排出抑制装置を対策品と交換する。</t>
        </is>
      </c>
    </row>
    <row r="138">
      <c r="A138" s="13" t="inlineStr">
        <is>
          <t>プリウスα</t>
        </is>
      </c>
      <c r="B138" s="13" t="inlineStr">
        <is>
          <t>2018/10/05</t>
        </is>
      </c>
      <c r="C138" s="13" t="inlineStr">
        <is>
          <t>1143440</t>
        </is>
      </c>
      <c r="D138" s="13" t="inlineStr">
        <is>
          <t>コンピュータ</t>
        </is>
      </c>
      <c r="E138" s="15" t="n">
        <v>1249662</v>
      </c>
      <c r="F138" s="14" t="inlineStr">
        <is>
          <t>DAA-ZVW40W, DAA-ZVW41W</t>
        </is>
      </c>
      <c r="G138" s="13" t="inlineStr">
        <is>
          <t>2009年3月23日</t>
        </is>
      </c>
      <c r="H138" s="13" t="inlineStr">
        <is>
          <t>2014年11月12日</t>
        </is>
      </c>
      <c r="I138" s="14" t="inlineStr">
        <is>
          <t>ハイブリッドシステムにおいて、異常判定時の制御プログラムが不適切なため、急加速時等の高負荷走行中に昇圧回路の素子が損傷した場合に、フェールセーフモードに移行すべきところ、移行できないことがある。そのため、警告灯が点灯し、ハイブリッドシステムが停止して、走行不能となるおそれがある。</t>
        </is>
      </c>
      <c r="J138" s="14" t="inlineStr">
        <is>
          <t>全車両、異常判定時の制御プログラムを対策仕様に修正する。 当該制御プログラム修正後に素子が損傷して警告灯が点灯した場合は、電力変換器のモジュールを無償交換する。</t>
        </is>
      </c>
    </row>
    <row r="139">
      <c r="A139" s="8" t="inlineStr">
        <is>
          <t>プリウスα</t>
        </is>
      </c>
      <c r="B139" s="8" t="inlineStr">
        <is>
          <t>2020/01/29</t>
        </is>
      </c>
      <c r="C139" s="8" t="inlineStr">
        <is>
          <t>1146490</t>
        </is>
      </c>
      <c r="D139" s="8" t="inlineStr">
        <is>
          <t>シートベルト</t>
        </is>
      </c>
      <c r="E139" s="11" t="n">
        <v>418929</v>
      </c>
      <c r="F139" s="14" t="inlineStr">
        <is>
          <t>DAA-ZVW40W, DAA-ZVW41W</t>
        </is>
      </c>
      <c r="G139" s="8" t="inlineStr">
        <is>
          <t>2014年10月14日</t>
        </is>
      </c>
      <c r="H139" s="8" t="inlineStr">
        <is>
          <t>2019年7月29日</t>
        </is>
      </c>
      <c r="I139" s="14" t="inlineStr">
        <is>
          <t>運転者席シートベルトの非装着時警報装置において、バックル内の警報スイッチ接点の組付けが不適切なため、シートベルト脱着の繰返しにより接点が異常摩耗して、接点間に摩耗粉が堆積することがある。そのため、接点間が短絡し、シートベルトを正しく装着した場合でも警報が解除されないおそれがある。</t>
        </is>
      </c>
      <c r="J139" s="14" t="inlineStr">
        <is>
          <t>全車両、バックルを点検し、該当する場合はバックル内の警報スイッチまたはバックルを良品と交換する。</t>
        </is>
      </c>
    </row>
    <row r="140">
      <c r="A140" s="13" t="inlineStr">
        <is>
          <t>プリウスα</t>
        </is>
      </c>
      <c r="B140" s="13" t="inlineStr">
        <is>
          <t>2020/06/24</t>
        </is>
      </c>
      <c r="C140" s="13" t="inlineStr">
        <is>
          <t>1147620</t>
        </is>
      </c>
      <c r="D140" s="13" t="inlineStr">
        <is>
          <t>コンピュータ</t>
        </is>
      </c>
      <c r="E140" s="15" t="n">
        <v>250284</v>
      </c>
      <c r="F140" s="14" t="inlineStr">
        <is>
          <t>DAA-ZVW41W</t>
        </is>
      </c>
      <c r="G140" s="13" t="inlineStr">
        <is>
          <t>2014年2月 4日</t>
        </is>
      </c>
      <c r="H140" s="13" t="inlineStr">
        <is>
          <t>2020年2月 5日</t>
        </is>
      </c>
      <c r="I140" s="14" t="inlineStr">
        <is>
          <t>ハイブリッドシステムにおいて、異常判定時の制御プログラムが不適切なため、極低速から急加速するような高負荷走行時等に昇圧回路の素子が損傷した場合、フェールセーフモードに移行できないことがある。そのため、警告灯が点灯し、ハイブリッドシステムが停止して、走行不能となるおそれがある。</t>
        </is>
      </c>
      <c r="J140" s="14" t="inlineStr">
        <is>
          <t>全車両、異常判定時の制御プログラムを対策仕様に修正する。 当該制御プログラム修正後に素子が損傷して警告灯が点灯した場合は、電力変換器のモジュールを無償交換する。</t>
        </is>
      </c>
    </row>
    <row r="141">
      <c r="A141" s="8" t="inlineStr">
        <is>
          <t>プリウスα</t>
        </is>
      </c>
      <c r="B141" s="8" t="inlineStr">
        <is>
          <t>2021/06/01</t>
        </is>
      </c>
      <c r="C141" s="8" t="inlineStr">
        <is>
          <t>1149660</t>
        </is>
      </c>
      <c r="D141" s="8" t="inlineStr">
        <is>
          <t>その他(電気装置)</t>
        </is>
      </c>
      <c r="E141" s="11" t="n">
        <v>24162</v>
      </c>
      <c r="F141" s="14" t="inlineStr">
        <is>
          <t>6AA-ZVW40W, 6AA-ZVW41W</t>
        </is>
      </c>
      <c r="G141" s="8" t="inlineStr">
        <is>
          <t>2020年11月27日</t>
        </is>
      </c>
      <c r="H141" s="8" t="inlineStr">
        <is>
          <t>2021年4月14日</t>
        </is>
      </c>
      <c r="I141"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41" s="14" t="inlineStr">
        <is>
          <t>全車両、電力変換モジュールを点検し、対象となるものは対策品に交換する。</t>
        </is>
      </c>
    </row>
    <row r="142">
      <c r="A142" s="13" t="inlineStr">
        <is>
          <t>ヴェルファイア</t>
        </is>
      </c>
      <c r="B142" s="13" t="inlineStr">
        <is>
          <t>2015/05/27</t>
        </is>
      </c>
      <c r="C142" s="13" t="inlineStr">
        <is>
          <t>1135770</t>
        </is>
      </c>
      <c r="D142" s="13" t="inlineStr">
        <is>
          <t>圧力制御伝達部</t>
        </is>
      </c>
      <c r="E142" s="15" t="n">
        <v>1077</v>
      </c>
      <c r="F142" s="14" t="inlineStr">
        <is>
          <t>DBA-AGH30W, DBA-AGH35W, DBA-GGH30W, DBA-GGH35W</t>
        </is>
      </c>
      <c r="G142" s="13" t="inlineStr">
        <is>
          <t>2014年11月11日</t>
        </is>
      </c>
      <c r="H142" s="13" t="inlineStr">
        <is>
          <t>2015年2月 3日</t>
        </is>
      </c>
      <c r="I142" s="14" t="inlineStr">
        <is>
          <t>アンチロックブレーキシステム（ＡＢＳ）の油圧調整装置において、構成部品の形状が不適切なため、圧入組付け時に樹脂製の異物が発生することがある。そのため、当該異物が油圧制御弁などに噛み込んでＡＢＳ作動時に調圧が遅れて、走行安定性を損なうおそれがある。</t>
        </is>
      </c>
      <c r="J142" s="14" t="inlineStr">
        <is>
          <t>全車両、ＡＢＳの油圧調整装置の製造番号を確認し、該当するものは良品と交換する。</t>
        </is>
      </c>
    </row>
    <row r="143">
      <c r="A143" s="8" t="inlineStr">
        <is>
          <t>ヴェルファイア</t>
        </is>
      </c>
      <c r="B143" s="8" t="inlineStr">
        <is>
          <t>2016/10/26</t>
        </is>
      </c>
      <c r="C143" s="8" t="inlineStr">
        <is>
          <t>1139110</t>
        </is>
      </c>
      <c r="D143" s="8" t="inlineStr">
        <is>
          <t>エアバッグ</t>
        </is>
      </c>
      <c r="E143" s="11" t="n">
        <v>1159578</v>
      </c>
      <c r="F143" s="14" t="inlineStr">
        <is>
          <t>DBA-ANH20W, DBA-ANH25W, DBA-GGH20W, DBA-GGH25W</t>
        </is>
      </c>
      <c r="G143" s="8" t="inlineStr">
        <is>
          <t>2000年8月22日</t>
        </is>
      </c>
      <c r="H143" s="8" t="inlineStr">
        <is>
          <t>2011年12月28日</t>
        </is>
      </c>
      <c r="I143"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3"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44">
      <c r="A144" s="13" t="inlineStr">
        <is>
          <t>ヴェルファイア</t>
        </is>
      </c>
      <c r="B144" s="13" t="inlineStr">
        <is>
          <t>2017/03/30</t>
        </is>
      </c>
      <c r="C144" s="13" t="inlineStr">
        <is>
          <t>1140180</t>
        </is>
      </c>
      <c r="D144" s="13" t="inlineStr">
        <is>
          <t>エアバッグ</t>
        </is>
      </c>
      <c r="E144" s="15" t="n">
        <v>725999</v>
      </c>
      <c r="F144" s="14" t="inlineStr">
        <is>
          <t>DAA-ATH20W, DBA-ANH20W, DBA-ANH25W, DBA-GGH20W, DBA-GGH25W</t>
        </is>
      </c>
      <c r="G144" s="13" t="inlineStr">
        <is>
          <t>2010年1月 6日</t>
        </is>
      </c>
      <c r="H144" s="13" t="inlineStr">
        <is>
          <t>2012年12月26日</t>
        </is>
      </c>
      <c r="I14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4" s="14" t="inlineStr">
        <is>
          <t>全車両、予防的措置としてエアバッグインフレータまたはエアバッグアッセンブリを改良品に交換する。</t>
        </is>
      </c>
    </row>
    <row r="145">
      <c r="A145" s="8" t="inlineStr">
        <is>
          <t>ヴェルファイア</t>
        </is>
      </c>
      <c r="B145" s="8" t="inlineStr">
        <is>
          <t>2018/01/31</t>
        </is>
      </c>
      <c r="C145" s="8" t="inlineStr">
        <is>
          <t>1141851</t>
        </is>
      </c>
      <c r="D145" s="8" t="inlineStr">
        <is>
          <t>エアバッグ</t>
        </is>
      </c>
      <c r="E145" s="11" t="n">
        <v>91210</v>
      </c>
      <c r="F145" s="14" t="inlineStr">
        <is>
          <t>DAA-AYH30W, DBA-AGH30W, DBA-AGH35W, DBA-GGH30W, DBA-GGH35W</t>
        </is>
      </c>
      <c r="G145" s="8" t="inlineStr">
        <is>
          <t>2015年5月20日</t>
        </is>
      </c>
      <c r="H145" s="8" t="inlineStr">
        <is>
          <t>2016年1月 7日</t>
        </is>
      </c>
      <c r="I145"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45" s="14" t="inlineStr">
        <is>
          <t>全車両、各センサの製造番号を点検し、該当する場合は良品と交換する。</t>
        </is>
      </c>
    </row>
    <row r="146">
      <c r="A146" s="13" t="inlineStr">
        <is>
          <t>ヴェルファイア</t>
        </is>
      </c>
      <c r="B146" s="13" t="inlineStr">
        <is>
          <t>2018/03/28</t>
        </is>
      </c>
      <c r="C146" s="13" t="inlineStr">
        <is>
          <t>1142280</t>
        </is>
      </c>
      <c r="D146" s="13" t="inlineStr">
        <is>
          <t>エアバッグ</t>
        </is>
      </c>
      <c r="E146" s="15" t="n">
        <v>249473</v>
      </c>
      <c r="F146" s="14" t="inlineStr">
        <is>
          <t>DAA-ATH20W, DBA-ANH20W, DBA-ANH25W, DBA-GGH20W, DBA-GGH25W</t>
        </is>
      </c>
      <c r="G146" s="13" t="inlineStr">
        <is>
          <t>2013年1月 7日</t>
        </is>
      </c>
      <c r="H146" s="13" t="inlineStr">
        <is>
          <t>2014年12月25日</t>
        </is>
      </c>
      <c r="I146"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46" s="14" t="inlineStr">
        <is>
          <t>全車両、予防的措置としてエアバッグインフレータまたはエアバッグアッセンブリを代替品と交換する。</t>
        </is>
      </c>
    </row>
    <row r="147">
      <c r="A147" s="8" t="inlineStr">
        <is>
          <t>ヴェルファイア</t>
        </is>
      </c>
      <c r="B147" s="8" t="inlineStr">
        <is>
          <t>2018/05/23</t>
        </is>
      </c>
      <c r="C147" s="8" t="inlineStr">
        <is>
          <t>1142650</t>
        </is>
      </c>
      <c r="D147" s="8" t="inlineStr">
        <is>
          <t>駐車ブレーキ一般</t>
        </is>
      </c>
      <c r="E147" s="11" t="n">
        <v>35213</v>
      </c>
      <c r="F147" s="14" t="inlineStr">
        <is>
          <t>DBA-AGH30W, DBA-AGH35W, DBA-GGH30W, DBA-GGH35W</t>
        </is>
      </c>
      <c r="G147" s="8" t="inlineStr">
        <is>
          <t>2014年12月 8日</t>
        </is>
      </c>
      <c r="H147" s="8" t="inlineStr">
        <is>
          <t>2018年2月26日</t>
        </is>
      </c>
      <c r="I147" s="14" t="inlineStr">
        <is>
          <t>電動パーキングブレーキにおいて、制御用コンピュータ電源回路の異常検出プログラムが不適切なため、バッテリが劣化しているとアイドリングストップから再始動する際の電圧低下を異常と判定することがある。そのため、警告灯が点灯して、電動パーキングブレーキが作動しないおそれがある。</t>
        </is>
      </c>
      <c r="J147" s="14" t="inlineStr">
        <is>
          <t>全車両、制御プログラムを修正する。</t>
        </is>
      </c>
    </row>
    <row r="148">
      <c r="A148" s="13" t="inlineStr">
        <is>
          <t>ヴェルファイア</t>
        </is>
      </c>
      <c r="B148" s="13" t="inlineStr">
        <is>
          <t>2019/09/19</t>
        </is>
      </c>
      <c r="C148" s="13" t="inlineStr">
        <is>
          <t>1145671</t>
        </is>
      </c>
      <c r="D148" s="13" t="inlineStr">
        <is>
          <t>燃料ポンプ</t>
        </is>
      </c>
      <c r="E148" s="15" t="n">
        <v>390633</v>
      </c>
      <c r="F148" s="14" t="inlineStr">
        <is>
          <t>DAA-AYH30W</t>
        </is>
      </c>
      <c r="G148" s="13" t="inlineStr">
        <is>
          <t>2013年12月20日</t>
        </is>
      </c>
      <c r="H148" s="13" t="inlineStr">
        <is>
          <t>2018年7月18日</t>
        </is>
      </c>
      <c r="I148"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48" s="14" t="inlineStr">
        <is>
          <t>全車両、燃料ポンプを対策品に交換する。</t>
        </is>
      </c>
    </row>
    <row r="149">
      <c r="A149" s="8" t="inlineStr">
        <is>
          <t>ヴェルファイア</t>
        </is>
      </c>
      <c r="B149" s="8" t="inlineStr">
        <is>
          <t>2019/10/30</t>
        </is>
      </c>
      <c r="C149" s="8" t="inlineStr">
        <is>
          <t>1145960</t>
        </is>
      </c>
      <c r="D149" s="8" t="inlineStr">
        <is>
          <t>コンピュータ(エンジ</t>
        </is>
      </c>
      <c r="E149" s="11" t="n">
        <v>23833</v>
      </c>
      <c r="F149" s="14" t="inlineStr">
        <is>
          <t>DBA-AGH30W, DBA-AGH35W, DBA-GGH30W, DBA-GGH35W</t>
        </is>
      </c>
      <c r="G149" s="8" t="inlineStr">
        <is>
          <t>2017年12月13日</t>
        </is>
      </c>
      <c r="H149" s="8" t="inlineStr">
        <is>
          <t>2019年4月25日</t>
        </is>
      </c>
      <c r="I149" s="14" t="inlineStr">
        <is>
          <t>エンジン制御用コンピュータにおいて、充電制御プログラムが不適切なため、長時間のアイドリングを頻繁に繰返すとバッテリが異常劣化することがある。そのため、アイドリングストップ後、エンジンが再始動できなくなるおそれがある。</t>
        </is>
      </c>
      <c r="J149" s="14" t="inlineStr">
        <is>
          <t>全車両、エンジン制御用コンピュータのプログラムを対策仕様に修正する。また、バッテリ液の状態を点検し、異常がある場合はバッテリを新品に交換する。</t>
        </is>
      </c>
    </row>
    <row r="150">
      <c r="A150" s="13" t="inlineStr">
        <is>
          <t>ヴェルファイア</t>
        </is>
      </c>
      <c r="B150" s="13" t="inlineStr">
        <is>
          <t>2019/12/11</t>
        </is>
      </c>
      <c r="C150" s="13" t="inlineStr">
        <is>
          <t>1146250</t>
        </is>
      </c>
      <c r="D150" s="13" t="inlineStr">
        <is>
          <t>シートベルト</t>
        </is>
      </c>
      <c r="E150" s="15" t="n">
        <v>7790</v>
      </c>
      <c r="F150" s="14" t="inlineStr">
        <is>
          <t>DAA-AYH30W, DBA-AGH30W, DBA-AGH35W, DBA-GGH30W, DBA-GGH35W</t>
        </is>
      </c>
      <c r="G150" s="13" t="inlineStr">
        <is>
          <t>2019年8月19日</t>
        </is>
      </c>
      <c r="H150" s="13" t="inlineStr">
        <is>
          <t>2019年9月12日</t>
        </is>
      </c>
      <c r="I150"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50" s="14" t="inlineStr">
        <is>
          <t>全車両、対象となる後部座席ベルトの製造番号を点検し、該当する場合は座席ベルトを良品と交換する。</t>
        </is>
      </c>
    </row>
    <row r="151">
      <c r="A151" s="8" t="inlineStr">
        <is>
          <t>ヴェルファイア</t>
        </is>
      </c>
      <c r="B151" s="8" t="inlineStr">
        <is>
          <t>2020/03/04</t>
        </is>
      </c>
      <c r="C151" s="8" t="inlineStr">
        <is>
          <t>1146830</t>
        </is>
      </c>
      <c r="D151" s="8" t="inlineStr">
        <is>
          <t>燃料ポンプ</t>
        </is>
      </c>
      <c r="E151" s="11" t="n">
        <v>112934</v>
      </c>
      <c r="F151" s="14" t="inlineStr">
        <is>
          <t>DBA-GGH30W, DBA-GGH35W</t>
        </is>
      </c>
      <c r="G151" s="8" t="inlineStr">
        <is>
          <t>2013年9月 2日</t>
        </is>
      </c>
      <c r="H151" s="8" t="inlineStr">
        <is>
          <t>2019年1月14日</t>
        </is>
      </c>
      <c r="I151"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1" s="14" t="inlineStr">
        <is>
          <t>全車両、低圧燃料ポンプを対策品と交換する。</t>
        </is>
      </c>
    </row>
    <row r="152">
      <c r="A152" s="13" t="inlineStr">
        <is>
          <t>ヴェルファイア</t>
        </is>
      </c>
      <c r="B152" s="13" t="inlineStr">
        <is>
          <t>2020/10/28</t>
        </is>
      </c>
      <c r="C152" s="13" t="inlineStr">
        <is>
          <t>1148300</t>
        </is>
      </c>
      <c r="D152" s="13" t="inlineStr">
        <is>
          <t>燃料ポンプ</t>
        </is>
      </c>
      <c r="E152" s="15" t="n">
        <v>210363</v>
      </c>
      <c r="F152" s="14" t="inlineStr">
        <is>
          <t>DAA-AYH30W, DBA-AGH30W, DBA-AGH35W, DBA-GGH30W, DBA-GGH35W</t>
        </is>
      </c>
      <c r="G152" s="13" t="inlineStr">
        <is>
          <t>2017年7月 5日</t>
        </is>
      </c>
      <c r="H152" s="13" t="inlineStr">
        <is>
          <t>2019年12月 6日</t>
        </is>
      </c>
      <c r="I152"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2" s="14" t="inlineStr">
        <is>
          <t>全車両、低圧燃料ポンプを対策品と交換する。</t>
        </is>
      </c>
    </row>
    <row r="153">
      <c r="A153" s="8" t="inlineStr">
        <is>
          <t>ヴェルファイア</t>
        </is>
      </c>
      <c r="B153" s="8" t="inlineStr">
        <is>
          <t>2021/07/07</t>
        </is>
      </c>
      <c r="C153" s="8" t="inlineStr">
        <is>
          <t>1149870</t>
        </is>
      </c>
      <c r="D153" s="8" t="inlineStr">
        <is>
          <t>コンピュータ(エンジ</t>
        </is>
      </c>
      <c r="E153" s="11" t="n">
        <v>50983</v>
      </c>
      <c r="F153" s="14" t="inlineStr">
        <is>
          <t>3BA-AGH30W, 3BA-AGH35W, 3BA-GGH30W, 3BA-GGH35W, DBA-AGH30W, DBA-AGH35W, DBA-GGH30W, DBA-GGH35W</t>
        </is>
      </c>
      <c r="G153" s="8" t="inlineStr">
        <is>
          <t>2017年12月13日</t>
        </is>
      </c>
      <c r="H153" s="8" t="inlineStr">
        <is>
          <t>2021年6月11日</t>
        </is>
      </c>
      <c r="I153" s="14" t="inlineStr">
        <is>
          <t>アイドリングストップ搭載車において、制御プログラムが不適切かつバッテリの断熱が不十分なため、長時間アイドリングによりバッテリ温度が高い状態で使用を繰返すと、劣化抑制の再生充電が不足してバッテリが異常劣化することがある。そのため、アイドリングストップ後、再始動できなくなるおそれがある。</t>
        </is>
      </c>
      <c r="J153" s="14" t="inlineStr">
        <is>
          <t>全車両、エンジン制御用コンピュータおよびアイドリングストップコンピュータのプログラムを対策仕様に修正するとともに、一部車両に対しては、バッテリ断熱カバーを対策品に交換する。また、バッテリの劣化状態を点検し、異常がある場合は新品に交換する。</t>
        </is>
      </c>
    </row>
    <row r="154">
      <c r="A154" s="13" t="inlineStr">
        <is>
          <t>ヴェルファイア</t>
        </is>
      </c>
      <c r="B154" s="13" t="inlineStr">
        <is>
          <t>2021/09/22</t>
        </is>
      </c>
      <c r="C154" s="13" t="inlineStr">
        <is>
          <t>1150181</t>
        </is>
      </c>
      <c r="D154" s="13" t="inlineStr">
        <is>
          <t>その他(その他)</t>
        </is>
      </c>
      <c r="E154" s="15" t="n">
        <v>111842</v>
      </c>
      <c r="F154" s="14" t="inlineStr">
        <is>
          <t>3BA-AGH30W, 3BA-AGH35W, 3BA-GGH30W, 3BA-GGH35W, 6AA-AYH30W</t>
        </is>
      </c>
      <c r="G154" s="13" t="inlineStr">
        <is>
          <t>2021年4月26日</t>
        </is>
      </c>
      <c r="H154" s="13" t="inlineStr">
        <is>
          <t>2021年8月 3日</t>
        </is>
      </c>
      <c r="I154" s="14" t="inlineStr">
        <is>
          <t>（１）緊急通報装置において、車載通信モジュールの制御プログラムが不適切なため、音声データと通信データ間の相互変換ができない場合がある。そのため、緊急時に音声通話ができず、保安基準第４３条の８（事故自動緊急通報装置の基準）に適合しない。</t>
        </is>
      </c>
      <c r="J154" s="14" t="inlineStr">
        <is>
          <t>（１）全車両、車載通信モジュールの制御プログラムを対策仕様に修正する。</t>
        </is>
      </c>
    </row>
    <row r="155">
      <c r="A155" s="8" t="inlineStr">
        <is>
          <t>ヴェルファイア</t>
        </is>
      </c>
      <c r="B155" s="8" t="inlineStr">
        <is>
          <t>2021/09/22</t>
        </is>
      </c>
      <c r="C155" s="8" t="inlineStr">
        <is>
          <t>1150182</t>
        </is>
      </c>
      <c r="D155" s="8" t="inlineStr">
        <is>
          <t>コンピュータ</t>
        </is>
      </c>
      <c r="E155" s="11" t="n">
        <v>111842</v>
      </c>
      <c r="F155" s="14" t="inlineStr">
        <is>
          <t>3BA-AGH30W, 3BA-AGH35W, 3BA-GGH30W, 3BA-GGH35W, 6AA-AYH30W</t>
        </is>
      </c>
      <c r="G155" s="8" t="inlineStr">
        <is>
          <t>2021年4月26日</t>
        </is>
      </c>
      <c r="H155" s="8" t="inlineStr">
        <is>
          <t>2021年8月 3日</t>
        </is>
      </c>
      <c r="I155" s="14" t="inlineStr">
        <is>
          <t>（２）ハイブリッドシステムにおいて、制御プログラムが不適切なため、シフトレンジに関する演算の途中でシフトの切替え操作が行われると、異常と誤検出する場合がある。そのため、警告灯が点灯して、ハイブリッドシステムが停止し、走行不能となるおそれがある。</t>
        </is>
      </c>
      <c r="J155" s="14" t="inlineStr">
        <is>
          <t>（２）全車両、ハイブリッドビークルコントロールコンピュータの制御プログラムを対策仕様に修正する。</t>
        </is>
      </c>
    </row>
    <row r="156">
      <c r="A156" s="13" t="inlineStr">
        <is>
          <t>ヴェルファイア</t>
        </is>
      </c>
      <c r="B156" s="13" t="inlineStr">
        <is>
          <t>2021/09/22</t>
        </is>
      </c>
      <c r="C156" s="13" t="inlineStr">
        <is>
          <t>1150183</t>
        </is>
      </c>
      <c r="D156" s="13" t="inlineStr">
        <is>
          <t>排気管</t>
        </is>
      </c>
      <c r="E156" s="15" t="n">
        <v>111842</v>
      </c>
      <c r="F156" s="14" t="inlineStr">
        <is>
          <t>3BA-AGH30W, 3BA-AGH35W, 3BA-GGH30W, 3BA-GGH35W, 6AA-AYH30W</t>
        </is>
      </c>
      <c r="G156" s="13" t="inlineStr">
        <is>
          <t>2021年4月26日</t>
        </is>
      </c>
      <c r="H156" s="13" t="inlineStr">
        <is>
          <t>2021年8月 3日</t>
        </is>
      </c>
      <c r="I156" s="14" t="inlineStr">
        <is>
          <t>（３）ガソリンエンジンのエキゾーストマニホールドにおいて、パイプの溶接条件変更時の強度検討が不十分なため、冷熱の繰返しや振動等により当該溶接部に亀裂が生じるものがある。そのため、登坂路走行等の高回転時に排出ガスが漏れ基準値を満足しなくなるおそれがある。</t>
        </is>
      </c>
      <c r="J156" s="14" t="inlineStr">
        <is>
          <t>（３）全車両、エキゾーストマニホールドを良品と交換する。</t>
        </is>
      </c>
    </row>
    <row r="157">
      <c r="A157" s="8" t="inlineStr">
        <is>
          <t>ヴェルファイア</t>
        </is>
      </c>
      <c r="B157" s="8" t="inlineStr">
        <is>
          <t>2023/11/02</t>
        </is>
      </c>
      <c r="C157" s="8" t="inlineStr">
        <is>
          <t>1154040</t>
        </is>
      </c>
      <c r="D157" s="8" t="inlineStr">
        <is>
          <t>燃料ポンプ</t>
        </is>
      </c>
      <c r="E157" s="11" t="n">
        <v>328108</v>
      </c>
      <c r="F157" s="14" t="inlineStr">
        <is>
          <t>DAA-AYH30W, DBA-AGH30W, DBA-AGH35W</t>
        </is>
      </c>
      <c r="G157" s="8" t="inlineStr">
        <is>
          <t>2017年7月 3日</t>
        </is>
      </c>
      <c r="H157" s="8" t="inlineStr">
        <is>
          <t>2020年1月14日</t>
        </is>
      </c>
      <c r="I157"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7" s="14" t="inlineStr">
        <is>
          <t>全車両、低圧燃料ポンプを対策品と交換する。</t>
        </is>
      </c>
    </row>
    <row r="158">
      <c r="A158" s="13" t="inlineStr">
        <is>
          <t>ヴェルファイア</t>
        </is>
      </c>
      <c r="B158" s="13" t="inlineStr">
        <is>
          <t>2025/01/22</t>
        </is>
      </c>
      <c r="C158" s="13" t="inlineStr">
        <is>
          <t>1156010</t>
        </is>
      </c>
      <c r="D158" s="13" t="inlineStr">
        <is>
          <t>燃料ポンプ</t>
        </is>
      </c>
      <c r="E158" s="15" t="n">
        <v>54577</v>
      </c>
      <c r="F158" s="14" t="inlineStr">
        <is>
          <t>DBA-AGH30W, DBA-AGH35W</t>
        </is>
      </c>
      <c r="G158" s="13" t="inlineStr">
        <is>
          <t>2017年7月 6日</t>
        </is>
      </c>
      <c r="H158" s="13" t="inlineStr">
        <is>
          <t>2019年9月10日</t>
        </is>
      </c>
      <c r="I158"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58" s="14" t="inlineStr">
        <is>
          <t>全車両、低圧燃料ポンプを対策品と交換する。</t>
        </is>
      </c>
    </row>
    <row r="159">
      <c r="A159" s="8" t="inlineStr">
        <is>
          <t>ヴェルファイア</t>
        </is>
      </c>
      <c r="B159" s="8" t="inlineStr">
        <is>
          <t>2025/01/22</t>
        </is>
      </c>
      <c r="C159" s="8" t="inlineStr">
        <is>
          <t>1156021</t>
        </is>
      </c>
      <c r="D159" s="8" t="inlineStr">
        <is>
          <t>その他(エンジン)</t>
        </is>
      </c>
      <c r="E159" s="11" t="n">
        <v>434520</v>
      </c>
      <c r="F159" s="14" t="inlineStr">
        <is>
          <t>3BA-AGH30W, 3BA-AGH35W, 3BA-GGH30W, 3BA-GGH35W, 6AA-AYH30W, DBA-AGH30W, DBA-AGH35W, DBA-GGH30W, DBA-GGH35W</t>
        </is>
      </c>
      <c r="G159" s="8" t="inlineStr">
        <is>
          <t>2014年12月 6日</t>
        </is>
      </c>
      <c r="H159" s="8" t="inlineStr">
        <is>
          <t>2023年4月24日</t>
        </is>
      </c>
      <c r="I159"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159"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160">
      <c r="A160" s="13" t="inlineStr">
        <is>
          <t>ヴェルファイア</t>
        </is>
      </c>
      <c r="B160" s="13" t="inlineStr">
        <is>
          <t>2025/01/22</t>
        </is>
      </c>
      <c r="C160" s="13" t="inlineStr">
        <is>
          <t>1156022</t>
        </is>
      </c>
      <c r="D160" s="13" t="inlineStr">
        <is>
          <t>車両全般</t>
        </is>
      </c>
      <c r="E160" s="15" t="n">
        <v>434520</v>
      </c>
      <c r="F160" s="14" t="inlineStr">
        <is>
          <t>3BA-AGH30W, 3BA-AGH35W, 3BA-GGH30W, 3BA-GGH35W, 6AA-AYH30W, DBA-AGH30W, DBA-AGH35W, DBA-GGH30W, DBA-GGH35W</t>
        </is>
      </c>
      <c r="G160" s="13" t="inlineStr">
        <is>
          <t>2014年12月 6日</t>
        </is>
      </c>
      <c r="H160" s="13" t="inlineStr">
        <is>
          <t>2023年4月24日</t>
        </is>
      </c>
      <c r="I160" s="14" t="inlineStr">
        <is>
          <t>（１）オルタネータ（発電機）のクラッチ付プーリにおいて、エンジン振動に対する耐久性の検討が不十分なため、長時間のアイドリングや特定のエンジン回転での走行を繰返すと、プーリ内部のクラッチが摩耗して破損することがある。そのため、異音や充電警告灯が点灯し、そのままの状態で使用を続けると、最悪の場合、走行中エンストするおそれがある。 （２）ボンネットモールディングにおいて、取付構造の検討が不十分なため、温度変化によりモールディングが変形して、取付部に応力が繰返しかかることで亀裂や緩みが生じることがある。そのため、そのままの状態で使用を続けると、モールディングが脱落し、他の交通の妨げとなるおそれがある。</t>
        </is>
      </c>
      <c r="J160" s="14" t="inlineStr">
        <is>
          <t>（１）全車両、オルタネータプーリの形状を点検し、該当する場合は対策品と交換する。 （２）全車両、ボンネットモールディングに補強板を追加する。なお、当該モールディングの一部仕様または損傷状態に応じて、対策品（補強板を追加したモールディング）に交換する。</t>
        </is>
      </c>
    </row>
    <row r="161">
      <c r="A161" s="8" t="inlineStr">
        <is>
          <t>ヴェルファイア</t>
        </is>
      </c>
      <c r="B161" s="8" t="inlineStr">
        <is>
          <t>2025/07/16</t>
        </is>
      </c>
      <c r="C161" s="8" t="inlineStr">
        <is>
          <t>1156940</t>
        </is>
      </c>
      <c r="D161" s="8" t="inlineStr">
        <is>
          <t>その他(電気装置)</t>
        </is>
      </c>
      <c r="E161" s="11" t="n">
        <v>646376</v>
      </c>
      <c r="F161" s="14" t="inlineStr">
        <is>
          <t>5BA-TAHA40W, 5BA-TAHA45W, 6AA-AAHH40W, 6AA-AAHH45W</t>
        </is>
      </c>
      <c r="G161" s="8" t="inlineStr">
        <is>
          <t>2022年6月15日</t>
        </is>
      </c>
      <c r="H161" s="8" t="inlineStr">
        <is>
          <t>2025年6月19日</t>
        </is>
      </c>
      <c r="I161" s="14" t="inlineStr">
        <is>
          <t>コンビネーションメータにおいて、制御プログラムの検討が不十分なため、当該メータ稼働時間が長くなると、回路基板上の素子が早期に劣化することがある。そのため、始動の際のメータ起動時にメータ画面が表示されず、速度計や警告灯等が確認できないおそれがある。</t>
        </is>
      </c>
      <c r="J161" s="14" t="inlineStr">
        <is>
          <t>全車両、コンビネーションメータのプログラムを対策仕様に修正または当該メータを対策仕様のプログラムに修正した対策品に交換する。なお、プログラム修正後にメータ画面が表示されなくなった場合は、メータを無償交換する。</t>
        </is>
      </c>
    </row>
    <row r="162">
      <c r="A162" s="13" t="inlineStr">
        <is>
          <t>ヴェルファイア</t>
        </is>
      </c>
      <c r="B162" s="13" t="inlineStr">
        <is>
          <t>2025/10/30</t>
        </is>
      </c>
      <c r="C162" s="13" t="inlineStr">
        <is>
          <t>1157310</t>
        </is>
      </c>
      <c r="D162" s="13" t="inlineStr">
        <is>
          <t>後写鏡</t>
        </is>
      </c>
      <c r="E162" s="15" t="n">
        <v>1285002</v>
      </c>
      <c r="F162" s="14" t="inlineStr">
        <is>
          <t>5BA-TAHA40W, 5BA-TAHA45W, 6AA-AAHH40W, 6AA-AAHH45W</t>
        </is>
      </c>
      <c r="G162" s="13" t="inlineStr">
        <is>
          <t>2021年9月 1日</t>
        </is>
      </c>
      <c r="H162" s="13" t="inlineStr">
        <is>
          <t>2025年9月25日</t>
        </is>
      </c>
      <c r="I162"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62" s="14" t="inlineStr">
        <is>
          <t>全車両、パノラミックビューモニター用制御コンピュータのプログラムを対策仕様に修正する。</t>
        </is>
      </c>
    </row>
    <row r="163">
      <c r="A163" s="8" t="inlineStr">
        <is>
          <t>ヴォクシー</t>
        </is>
      </c>
      <c r="B163" s="8" t="inlineStr">
        <is>
          <t>2008/04/09</t>
        </is>
      </c>
      <c r="C163" s="8" t="inlineStr">
        <is>
          <t>1120790</t>
        </is>
      </c>
      <c r="D163" s="8" t="inlineStr">
        <is>
          <t>コンピュータ(エンジ</t>
        </is>
      </c>
      <c r="E163" s="11" t="n">
        <v>2623</v>
      </c>
      <c r="F163" s="14" t="inlineStr">
        <is>
          <t>DBA-ZRR70G, DBA-ZRR75G</t>
        </is>
      </c>
      <c r="G163" s="8" t="inlineStr">
        <is>
          <t>2007年6月 7日</t>
        </is>
      </c>
      <c r="H163" s="8" t="inlineStr">
        <is>
          <t>2007年11月23日</t>
        </is>
      </c>
      <c r="I163" s="14" t="inlineStr">
        <is>
          <t>エンジン制御コンピュータのプログラムが不適切なため、クルーズコントロール制御による高速走行中に追い越し等でアクセルペダルを大きく踏み込むと、スロットル異常と誤判定しエンジン警告灯が点灯し、エンジンが停止するおそれがある。</t>
        </is>
      </c>
      <c r="J163" s="14" t="inlineStr">
        <is>
          <t>全車両、エンジン制御コンピュータのプログラムを修正する。</t>
        </is>
      </c>
    </row>
    <row r="164">
      <c r="A164" s="13" t="inlineStr">
        <is>
          <t>ヴォクシー</t>
        </is>
      </c>
      <c r="B164" s="13" t="inlineStr">
        <is>
          <t>2010/10/21</t>
        </is>
      </c>
      <c r="C164" s="13" t="inlineStr">
        <is>
          <t>1126260</t>
        </is>
      </c>
      <c r="D164" s="13" t="inlineStr">
        <is>
          <t>その他(その他)</t>
        </is>
      </c>
      <c r="E164" s="15" t="n">
        <v>1869</v>
      </c>
      <c r="F164" s="14" t="inlineStr">
        <is>
          <t>DBA-ZRR70G, DBA-ZRR70W, DBA-ZRR75G, DBA-ZRR75W</t>
        </is>
      </c>
      <c r="G164" s="13" t="inlineStr">
        <is>
          <t>2010年4月12日</t>
        </is>
      </c>
      <c r="H164" s="13" t="inlineStr">
        <is>
          <t>2010年9月17日</t>
        </is>
      </c>
      <c r="I164" s="14" t="inlineStr">
        <is>
          <t>スピードメータなど計器盤照明の制御プログラムが不適切なため、スイッチを操作して車幅灯等を点灯させた際に計器盤照明が連動して点灯しないことがある。</t>
        </is>
      </c>
      <c r="J164" s="14" t="inlineStr">
        <is>
          <t>全車両、照明制御プログラムを修正した計器盤に交換する。</t>
        </is>
      </c>
    </row>
    <row r="165">
      <c r="A165" s="8" t="inlineStr">
        <is>
          <t>ヴォクシー</t>
        </is>
      </c>
      <c r="B165" s="8" t="inlineStr">
        <is>
          <t>2011/01/26</t>
        </is>
      </c>
      <c r="C165" s="8" t="inlineStr">
        <is>
          <t>1126941</t>
        </is>
      </c>
      <c r="D165" s="8" t="inlineStr">
        <is>
          <t>燃料ホース/パイプ</t>
        </is>
      </c>
      <c r="E165" s="11" t="n">
        <v>1202800</v>
      </c>
      <c r="F165" s="14" t="inlineStr">
        <is>
          <t>CBA-AZR60G, CBA-AZR60G改, CBA-AZR65G, DBA-AZR60G, DBA-AZR60G改, DBA-AZR65G, TA-AZR60G, TA-AZR60G改, TA-AZR65G</t>
        </is>
      </c>
      <c r="G165" s="8" t="inlineStr">
        <is>
          <t>2000年5月10日</t>
        </is>
      </c>
      <c r="H165" s="8" t="inlineStr">
        <is>
          <t>2008年10月24日</t>
        </is>
      </c>
      <c r="I165" s="14" t="inlineStr">
        <is>
          <t>① エンジンの燃料パイプにおいて、加工ばらつきによる強度評価が不足していたため、加工時の肉厚減少が大きいとその部位の応力が高くなり、燃料中の腐食成分が作用してパイプに微小な亀裂が発生することがある。そのため、そのまま使用を続けると、燃料の圧力変動により亀裂が進行し、燃料が漏れるおそれがある。</t>
        </is>
      </c>
      <c r="J165" s="14" t="inlineStr">
        <is>
          <t>① 全車両、燃料パイプを対策品に交換する。</t>
        </is>
      </c>
    </row>
    <row r="166">
      <c r="A166" s="13" t="inlineStr">
        <is>
          <t>ヴォクシー</t>
        </is>
      </c>
      <c r="B166" s="13" t="inlineStr">
        <is>
          <t>2011/01/26</t>
        </is>
      </c>
      <c r="C166" s="13" t="inlineStr">
        <is>
          <t>1126942</t>
        </is>
      </c>
      <c r="D166" s="13" t="inlineStr">
        <is>
          <t>燃料ポンプ</t>
        </is>
      </c>
      <c r="E166" s="15" t="n">
        <v>358672</v>
      </c>
      <c r="F166" s="14" t="inlineStr">
        <is>
          <t>TA-AZR60G, TA-AZR60G改, TA-AZR65G</t>
        </is>
      </c>
      <c r="G166" s="13" t="inlineStr">
        <is>
          <t>2000年5月10日</t>
        </is>
      </c>
      <c r="H166" s="13" t="inlineStr">
        <is>
          <t>2008年10月24日</t>
        </is>
      </c>
      <c r="I166" s="14" t="inlineStr">
        <is>
          <t>② エンジンの高圧燃料ポンプにおいて、チェックバルブ（逆止弁）締結部ガスケットのばらつきによるシール性評価が不足していたため、長時間使用するとガスケットの応力緩和によりチェックバルブ締結力が低下するものがある。そのため、そのまま使用を続けると、締結ねじ部を伝って燃料が漏れるおそれがある。</t>
        </is>
      </c>
      <c r="J166" s="14" t="inlineStr">
        <is>
          <t>② 全車両、チェックバルブとガスケットを対策品に交換する。</t>
        </is>
      </c>
    </row>
    <row r="167">
      <c r="A167" s="8" t="inlineStr">
        <is>
          <t>ヴォクシー</t>
        </is>
      </c>
      <c r="B167" s="8" t="inlineStr">
        <is>
          <t>2013/04/11</t>
        </is>
      </c>
      <c r="C167" s="8" t="inlineStr">
        <is>
          <t>1131400</t>
        </is>
      </c>
      <c r="D167" s="8" t="inlineStr">
        <is>
          <t>エアバッグ</t>
        </is>
      </c>
      <c r="E167" s="11" t="n">
        <v>304862</v>
      </c>
      <c r="F167" s="14" t="inlineStr">
        <is>
          <t>TA-AZR60G, TA-AZR65G</t>
        </is>
      </c>
      <c r="G167" s="8" t="inlineStr">
        <is>
          <t>2000年11月22日</t>
        </is>
      </c>
      <c r="H167" s="8" t="inlineStr">
        <is>
          <t>2003年6月 9日</t>
        </is>
      </c>
      <c r="I167" s="14" t="inlineStr">
        <is>
          <t>助手席用エアバッグのインフレータ（膨張装置）において、ガス発生剤の成型工程が不適切又は成型後の吸湿防止措置が不適切なため、密度が不足したガス発生剤が組み込まれたものがある。そのため、エアバッグ展開時にインフレータ内圧が異常上昇し、インフレータ容器が破損して飛び散り、出火するおそれがある。</t>
        </is>
      </c>
      <c r="J167" s="14" t="inlineStr">
        <is>
          <t>全車両、当該インフレータを良品に交換する。</t>
        </is>
      </c>
    </row>
    <row r="168">
      <c r="A168" s="13" t="inlineStr">
        <is>
          <t>ヴォクシー</t>
        </is>
      </c>
      <c r="B168" s="13" t="inlineStr">
        <is>
          <t>2014/06/11</t>
        </is>
      </c>
      <c r="C168" s="13" t="inlineStr">
        <is>
          <t>1133690</t>
        </is>
      </c>
      <c r="D168" s="13" t="inlineStr">
        <is>
          <t>エアバッグ</t>
        </is>
      </c>
      <c r="E168" s="15" t="n">
        <v>648081</v>
      </c>
      <c r="F168" s="14" t="inlineStr">
        <is>
          <t>TA-AZR60G, TA-AZR65G</t>
        </is>
      </c>
      <c r="G168" s="13" t="inlineStr">
        <is>
          <t>2000年12月 4日</t>
        </is>
      </c>
      <c r="H168" s="13" t="inlineStr">
        <is>
          <t>2004年4月19日</t>
        </is>
      </c>
      <c r="I168" s="14" t="inlineStr">
        <is>
          <t>助手席エアバッグのインフレータ（膨張装置）において、ガス発生剤の成型工程が不適切又は成型後の吸湿防止措置が不適切なため、エアバッグ展開時にインフレータ内圧が異常上昇し、インフレータ容器が破損して飛び散り、出火したり乗員が負傷するおそれがある。</t>
        </is>
      </c>
      <c r="J168" s="14" t="inlineStr">
        <is>
          <t>全車両、当該インフレータを良品に交換する。なお、改善措置用部品の準備に時間を要することから、部品が供給できるまでの暫定措置として、助手席用エアバッグの機能を停止するとともに、助手席サンバイザ部に当該エアバッグが作動しない旨の警告を表示する。</t>
        </is>
      </c>
    </row>
    <row r="169">
      <c r="A169" s="8" t="inlineStr">
        <is>
          <t>ヴォクシー</t>
        </is>
      </c>
      <c r="B169" s="8" t="inlineStr">
        <is>
          <t>2014/10/15</t>
        </is>
      </c>
      <c r="C169" s="8" t="inlineStr">
        <is>
          <t>1134482</t>
        </is>
      </c>
      <c r="D169" s="8" t="inlineStr">
        <is>
          <t>圧力制御伝達部</t>
        </is>
      </c>
      <c r="E169" s="11" t="n">
        <v>704295</v>
      </c>
      <c r="F169" s="14" t="inlineStr">
        <is>
          <t>DBA-ZRR70G, DBA-ZRR70W, DBA-ZRR75G, DBA-ZRR75W</t>
        </is>
      </c>
      <c r="G169" s="8" t="inlineStr">
        <is>
          <t>2006年2月 6日</t>
        </is>
      </c>
      <c r="H169" s="8" t="inlineStr">
        <is>
          <t>2012年4月 4日</t>
        </is>
      </c>
      <c r="I169" s="14" t="inlineStr">
        <is>
          <t>制動装置のブレーキマスターシリンダにおいて、シール溝の形状が不適切なため、ゴム製シールが当該溝に強く押し付けられた際にシールリップ部が傷付くことがある。そのため、傷を起点に亀裂が進行してブレーキ液が漏れ、警告灯が点灯し、制動力が低下するおそれがある。</t>
        </is>
      </c>
      <c r="J169" s="14" t="inlineStr">
        <is>
          <t>全車両、ゴム製シールを対策品に交換する。なお、ブレーキ液漏れがあるものは、ブレーキブースタを新品と交換する。</t>
        </is>
      </c>
    </row>
    <row r="170">
      <c r="A170" s="13" t="inlineStr">
        <is>
          <t>ヴォクシー</t>
        </is>
      </c>
      <c r="B170" s="13" t="inlineStr">
        <is>
          <t>2014/12/04</t>
        </is>
      </c>
      <c r="C170" s="13" t="inlineStr">
        <is>
          <t>1134830</t>
        </is>
      </c>
      <c r="D170" s="13" t="inlineStr">
        <is>
          <t>エアバッグ</t>
        </is>
      </c>
      <c r="E170" s="15" t="n">
        <v>185093</v>
      </c>
      <c r="F170" s="14" t="inlineStr">
        <is>
          <t>TA-AZR60G, TA-AZR65G</t>
        </is>
      </c>
      <c r="G170" s="13" t="inlineStr">
        <is>
          <t>2002年9月24日</t>
        </is>
      </c>
      <c r="H170" s="13" t="inlineStr">
        <is>
          <t>2003年12月25日</t>
        </is>
      </c>
      <c r="I170" s="14" t="inlineStr">
        <is>
          <t>助手席用エアバッグのインフレータ（膨張装置）において、車両解体作業時にインフレータ容器の破損が発生した。このため、原因は判明していないが、同年式で同タイプのインフレータはエアバッグ展開時にインフレータ容器が破損して飛び散り、出火したり乗員が負傷するおそれがあることから、全車両、予防的措置として、当該インフレータを良品に交換する。</t>
        </is>
      </c>
      <c r="J170" s="14" t="inlineStr">
        <is>
          <t>全車両、予防的措置として、助手席用エアバッグインフレータを良品と交換、回収して不具合原因調査を実施する。 なお、部品が供給できない場合には、暫定措置として助手席用エアバッグの機能を停止するとともに、助手席サンバイザ部に当該エアバッグが作動しない旨の警告を表示する。</t>
        </is>
      </c>
    </row>
    <row r="171">
      <c r="A171" s="8" t="inlineStr">
        <is>
          <t>ヴォクシー</t>
        </is>
      </c>
      <c r="B171" s="8" t="inlineStr">
        <is>
          <t>2015/05/13</t>
        </is>
      </c>
      <c r="C171" s="8" t="inlineStr">
        <is>
          <t>1135630</t>
        </is>
      </c>
      <c r="D171" s="8" t="inlineStr">
        <is>
          <t>エアバッグ</t>
        </is>
      </c>
      <c r="E171" s="11" t="n">
        <v>1300983</v>
      </c>
      <c r="F171" s="14" t="inlineStr">
        <is>
          <t>CBA-AZR60G, CBA-AZR65G, DBA-AZR60G, DBA-AZR65G, TA-AZR60G, TA-AZR65G</t>
        </is>
      </c>
      <c r="G171" s="8" t="inlineStr">
        <is>
          <t>2004年1月 6日</t>
        </is>
      </c>
      <c r="H171" s="8" t="inlineStr">
        <is>
          <t>2008年3月 7日</t>
        </is>
      </c>
      <c r="I171" s="14" t="inlineStr">
        <is>
          <t>助手席用一段展開制御式エアバッグのインフレータ（膨張装置）において、市場回収品を調査した結果、インフレータ容器に気密不良のものがあることを確認した。そのため、長期間使用する過程で大気中の水分がインフレータ内部に浸入し、ガス発生剤が吸湿してエアバッグ展開時に正常に展開しないおそれがある。</t>
        </is>
      </c>
      <c r="J171" s="14" t="inlineStr">
        <is>
          <t>全車両、予防的措置として、当該インフレータ容器の気密点検を行い、気密不良のものはインフレータを新品と交換、または、助手席エアバッグの機能を停止する。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72">
      <c r="A172" s="13" t="inlineStr">
        <is>
          <t>ヴォクシー</t>
        </is>
      </c>
      <c r="B172" s="13" t="inlineStr">
        <is>
          <t>2015/06/25</t>
        </is>
      </c>
      <c r="C172" s="13" t="inlineStr">
        <is>
          <t>1135920</t>
        </is>
      </c>
      <c r="D172" s="13" t="inlineStr">
        <is>
          <t>エアバッグ</t>
        </is>
      </c>
      <c r="E172" s="15" t="n">
        <v>311687</v>
      </c>
      <c r="F172" s="14" t="inlineStr">
        <is>
          <t>DBA-AZR60G, DBA-AZR65G</t>
        </is>
      </c>
      <c r="G172" s="13" t="inlineStr">
        <is>
          <t>2007年4月 1日</t>
        </is>
      </c>
      <c r="H172" s="13" t="inlineStr">
        <is>
          <t>2008年12月25日</t>
        </is>
      </c>
      <c r="I172" s="14" t="inlineStr">
        <is>
          <t>助手席用一段展開制御式エアバッグのインフレータ（膨張装置）において、原因は判明していないが、エアバッグ展開時にインフレータ容器が破損するおそれがあることから、全車両予防的措置として、当該インフレータを交換する。</t>
        </is>
      </c>
      <c r="J172" s="14" t="inlineStr">
        <is>
          <t>全車両、予防的措置として、平成２７年５月１３日付け、届出番号「３５６３」に含め、当該インフレータ容器の気密点検を行い、気密不良のものは、インフレータを新品と交換、または助手席エアバッグの機能を停止する。 また、交換用部品の準備ができた段階で、年式の古いものから順次新品と交換する。 なお、交換部品については全数回収して原因調査を実施する。</t>
        </is>
      </c>
    </row>
    <row r="173">
      <c r="A173" s="8" t="inlineStr">
        <is>
          <t>ヴォクシー</t>
        </is>
      </c>
      <c r="B173" s="8" t="inlineStr">
        <is>
          <t>2015/11/25</t>
        </is>
      </c>
      <c r="C173" s="8" t="inlineStr">
        <is>
          <t>1136960</t>
        </is>
      </c>
      <c r="D173" s="8" t="inlineStr">
        <is>
          <t>エアバッグ</t>
        </is>
      </c>
      <c r="E173" s="11" t="n">
        <v>1612670</v>
      </c>
      <c r="F173" s="14" t="inlineStr">
        <is>
          <t>CBA-AZR60G, CBA-AZR65G, DBA-AZR60G, DBA-AZR65G, TA-AZR60G, TA-AZR65G</t>
        </is>
      </c>
      <c r="G173" s="8" t="inlineStr">
        <is>
          <t>2004年1月 6日</t>
        </is>
      </c>
      <c r="H173" s="8" t="inlineStr">
        <is>
          <t>2008年12月25日</t>
        </is>
      </c>
      <c r="I173" s="14" t="inlineStr">
        <is>
          <t>助手席用一段展開制御式エアバッグのインフレータ（膨張装置）において、エアバッグ展開時にインフレータ容器が破損して飛び散り、出火したり乗員が負傷するおそれがある。</t>
        </is>
      </c>
      <c r="J173" s="14" t="inlineStr">
        <is>
          <t>全車両、当該インフレータを新品と交換する。なお、交換用部品が不足した場合は、助手席エアバッグの機能を停止するとともに、助手席サンバイザ部に当該エアバッグが作動しない旨の警告を表示する。</t>
        </is>
      </c>
    </row>
    <row r="174">
      <c r="A174" s="13" t="inlineStr">
        <is>
          <t>ヴォクシー</t>
        </is>
      </c>
      <c r="B174" s="13" t="inlineStr">
        <is>
          <t>2016/10/26</t>
        </is>
      </c>
      <c r="C174" s="13" t="inlineStr">
        <is>
          <t>1139110</t>
        </is>
      </c>
      <c r="D174" s="13" t="inlineStr">
        <is>
          <t>エアバッグ</t>
        </is>
      </c>
      <c r="E174" s="15" t="n">
        <v>1159578</v>
      </c>
      <c r="F174" s="14" t="inlineStr">
        <is>
          <t>DBA-ZRR70G, DBA-ZRR70W, DBA-ZRR75G, DBA-ZRR75W</t>
        </is>
      </c>
      <c r="G174" s="13" t="inlineStr">
        <is>
          <t>2000年8月22日</t>
        </is>
      </c>
      <c r="H174" s="13" t="inlineStr">
        <is>
          <t>2011年12月28日</t>
        </is>
      </c>
      <c r="I174"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4" s="14" t="inlineStr">
        <is>
          <t>全車両、予防的措置としてエアバッグインフレータまたはエアバッグアッセンブリを改良品と交換する。なお、交換用部品が不足した場合には、助手席エアバッグの機能を停止するとともに、助手席サンバイザ部に当該エアバッグが作動しない旨の警告を表示する。</t>
        </is>
      </c>
    </row>
    <row r="175">
      <c r="A175" s="8" t="inlineStr">
        <is>
          <t>ヴォクシー</t>
        </is>
      </c>
      <c r="B175" s="8" t="inlineStr">
        <is>
          <t>2017/03/30</t>
        </is>
      </c>
      <c r="C175" s="8" t="inlineStr">
        <is>
          <t>1140180</t>
        </is>
      </c>
      <c r="D175" s="8" t="inlineStr">
        <is>
          <t>エアバッグ</t>
        </is>
      </c>
      <c r="E175" s="11" t="n">
        <v>725999</v>
      </c>
      <c r="F175" s="14" t="inlineStr">
        <is>
          <t>DBA-ZRR70G, DBA-ZRR70W, DBA-ZRR75G, DBA-ZRR75W</t>
        </is>
      </c>
      <c r="G175" s="8" t="inlineStr">
        <is>
          <t>2010年1月 6日</t>
        </is>
      </c>
      <c r="H175" s="8" t="inlineStr">
        <is>
          <t>2012年12月26日</t>
        </is>
      </c>
      <c r="I175"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5" s="14" t="inlineStr">
        <is>
          <t>全車両、予防的措置としてエアバッグインフレータまたはエアバッグアッセンブリを改良品に交換する。</t>
        </is>
      </c>
    </row>
    <row r="176">
      <c r="A176" s="13" t="inlineStr">
        <is>
          <t>ヴォクシー</t>
        </is>
      </c>
      <c r="B176" s="13" t="inlineStr">
        <is>
          <t>2018/01/17</t>
        </is>
      </c>
      <c r="C176" s="13" t="inlineStr">
        <is>
          <t>1141740</t>
        </is>
      </c>
      <c r="D176" s="13" t="inlineStr">
        <is>
          <t>エアバッグ</t>
        </is>
      </c>
      <c r="E176" s="15" t="n">
        <v>452</v>
      </c>
      <c r="F176" s="14" t="inlineStr">
        <is>
          <t>DBA-ZRR70G, DBA-ZRR70W, DBA-ZRR75G, DBA-ZRR75W</t>
        </is>
      </c>
      <c r="G176" s="13" t="inlineStr">
        <is>
          <t>2005年9月22日</t>
        </is>
      </c>
      <c r="H176" s="13" t="inlineStr">
        <is>
          <t>2011年12月12日</t>
        </is>
      </c>
      <c r="I176" s="14" t="inlineStr">
        <is>
          <t>助手席用エアバッグのインフレータ（膨張装置）において、着火剤充填工程での設備停止時の処置が不適切なため、充填量が少ないものがある。このため、エアバッグ作動時に正常に展開しないおそれがある。</t>
        </is>
      </c>
      <c r="J176" s="14" t="inlineStr">
        <is>
          <t>全車両、助手席エアバッグを良品と交換する。</t>
        </is>
      </c>
    </row>
    <row r="177">
      <c r="A177" s="8" t="inlineStr">
        <is>
          <t>ヴォクシー</t>
        </is>
      </c>
      <c r="B177" s="8" t="inlineStr">
        <is>
          <t>2018/01/31</t>
        </is>
      </c>
      <c r="C177" s="8" t="inlineStr">
        <is>
          <t>1141851</t>
        </is>
      </c>
      <c r="D177" s="8" t="inlineStr">
        <is>
          <t>エアバッグ</t>
        </is>
      </c>
      <c r="E177" s="11" t="n">
        <v>91210</v>
      </c>
      <c r="F177" s="14" t="inlineStr">
        <is>
          <t>DAA-ZWR80G, DBA-ZRR80G, DBA-ZRR80W, DBA-ZRR85G, DBA-ZRR85W</t>
        </is>
      </c>
      <c r="G177" s="8" t="inlineStr">
        <is>
          <t>2015年5月20日</t>
        </is>
      </c>
      <c r="H177" s="8" t="inlineStr">
        <is>
          <t>2016年1月 7日</t>
        </is>
      </c>
      <c r="I177" s="14" t="inlineStr">
        <is>
          <t>エアバッグ制御システムにおいて、①加速度センサまたは②圧力センサ内ＩＣチップの製造条件が不適切なため、ＩＣ内部で断線することがある。そのため、エアバッグ警告灯が点灯し、エアバッグが正常に作動しないおそれがある。</t>
        </is>
      </c>
      <c r="J177" s="14" t="inlineStr">
        <is>
          <t>全車両、各センサの製造番号を点検し、該当する場合は良品と交換する。</t>
        </is>
      </c>
    </row>
    <row r="178">
      <c r="A178" s="13" t="inlineStr">
        <is>
          <t>ヴォクシー</t>
        </is>
      </c>
      <c r="B178" s="13" t="inlineStr">
        <is>
          <t>2018/03/28</t>
        </is>
      </c>
      <c r="C178" s="13" t="inlineStr">
        <is>
          <t>1142280</t>
        </is>
      </c>
      <c r="D178" s="13" t="inlineStr">
        <is>
          <t>エアバッグ</t>
        </is>
      </c>
      <c r="E178" s="15" t="n">
        <v>249473</v>
      </c>
      <c r="F178" s="14" t="inlineStr">
        <is>
          <t>DBA-ZRR70G, DBA-ZRR70W, DBA-ZRR75G, DBA-ZRR75W</t>
        </is>
      </c>
      <c r="G178" s="13" t="inlineStr">
        <is>
          <t>2013年1月 7日</t>
        </is>
      </c>
      <c r="H178" s="13" t="inlineStr">
        <is>
          <t>2014年12月25日</t>
        </is>
      </c>
      <c r="I178"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8" s="14" t="inlineStr">
        <is>
          <t>全車両、予防的措置としてエアバッグインフレータまたはエアバッグアッセンブリを代替品と交換する。</t>
        </is>
      </c>
    </row>
    <row r="179">
      <c r="A179" s="8" t="inlineStr">
        <is>
          <t>ヴォクシー</t>
        </is>
      </c>
      <c r="B179" s="8" t="inlineStr">
        <is>
          <t>2018/11/01</t>
        </is>
      </c>
      <c r="C179" s="8" t="inlineStr">
        <is>
          <t>1143640</t>
        </is>
      </c>
      <c r="D179" s="8" t="inlineStr">
        <is>
          <t>エアーバッグ</t>
        </is>
      </c>
      <c r="E179" s="11" t="n">
        <v>298445</v>
      </c>
      <c r="F179" s="14" t="inlineStr">
        <is>
          <t>TA-AZR60G, TA-AZR65G</t>
        </is>
      </c>
      <c r="G179" s="8" t="inlineStr">
        <is>
          <t>2000年11月22日</t>
        </is>
      </c>
      <c r="H179" s="8" t="inlineStr">
        <is>
          <t>2006年6月23日</t>
        </is>
      </c>
      <c r="I179" s="14" t="inlineStr">
        <is>
          <t>助手席用エアバッグのインフレータ（膨張装置）において、ガス発生剤の吸湿防止が不適切なため、温度および湿度変化の繰り返しによりガス発生剤が劣化することがある。このため、エアバッグ展開時にインフレータ容器が破損するおそれがある。</t>
        </is>
      </c>
      <c r="J179" s="14" t="inlineStr">
        <is>
          <t>全車両、予防的措置としてエアバッグインフレータまたはエアバッグアッセンブリを代替品と交換する。</t>
        </is>
      </c>
    </row>
    <row r="180">
      <c r="A180" s="13" t="inlineStr">
        <is>
          <t>ヴォクシー</t>
        </is>
      </c>
      <c r="B180" s="13" t="inlineStr">
        <is>
          <t>2019/09/19</t>
        </is>
      </c>
      <c r="C180" s="13" t="inlineStr">
        <is>
          <t>1145671</t>
        </is>
      </c>
      <c r="D180" s="13" t="inlineStr">
        <is>
          <t>燃料ポンプ</t>
        </is>
      </c>
      <c r="E180" s="15" t="n">
        <v>390633</v>
      </c>
      <c r="F180" s="14" t="inlineStr">
        <is>
          <t>DAA-ZWR80G, DAA-ZWR80W</t>
        </is>
      </c>
      <c r="G180" s="13" t="inlineStr">
        <is>
          <t>2013年12月20日</t>
        </is>
      </c>
      <c r="H180" s="13" t="inlineStr">
        <is>
          <t>2018年7月18日</t>
        </is>
      </c>
      <c r="I180" s="14" t="inlineStr">
        <is>
          <t>ハイブリッド車の燃料ポンプにおいて、当該ポンプへかかる電圧が高く、かつモータブラシの組付けが不適切なため、ブラシが傾いて過大なスパークが発生し異常摩耗することがある。そのため、燃料ポンプが作動不良となりエンストするおそれがある。</t>
        </is>
      </c>
      <c r="J180" s="14" t="inlineStr">
        <is>
          <t>全車両、燃料ポンプを対策品に交換する。</t>
        </is>
      </c>
    </row>
    <row r="181">
      <c r="A181" s="8" t="inlineStr">
        <is>
          <t>ヴォクシー</t>
        </is>
      </c>
      <c r="B181" s="8" t="inlineStr">
        <is>
          <t>2019/09/19</t>
        </is>
      </c>
      <c r="C181" s="8" t="inlineStr">
        <is>
          <t>1145672</t>
        </is>
      </c>
      <c r="D181" s="8" t="inlineStr">
        <is>
          <t>座席</t>
        </is>
      </c>
      <c r="E181" s="11" t="n">
        <v>202917</v>
      </c>
      <c r="F181" s="14" t="inlineStr">
        <is>
          <t>DAA-ZWR80G, DAA-ZWR80W, DBA-ZRR80G, DBA-ZRR80W, DBA-ZRR85G, DBA-ZRR85W</t>
        </is>
      </c>
      <c r="G181" s="8" t="inlineStr">
        <is>
          <t>2017年4月10日</t>
        </is>
      </c>
      <c r="H181" s="8" t="inlineStr">
        <is>
          <t>2018年5月11日</t>
        </is>
      </c>
      <c r="I181" s="14" t="inlineStr">
        <is>
          <t>運転者席および助手席のシートリクライニング機構において、リクライニングロック用のスプリングを取付けるスプリングスペーサ成形時の端部形状が不適切なため、リクライニング操作の繰返しにより当該スプリングがスプリングスペーサから外れるものがある。そのため、シートバックを保持できなくなり、最悪の場合、リクライニングレバーが戻らないことに気づかず走行すると、意図せずシートバックが倒れるおそれがある。</t>
        </is>
      </c>
      <c r="J181" s="14" t="inlineStr">
        <is>
          <t>全車両、運転者席および助手席の内側シートリクライニング機構部にリクライニングロックスプリング外れ防止のためのブッシュを追加する。なお、既に外れている場合、当該スプリングを新品に交換する。</t>
        </is>
      </c>
    </row>
    <row r="182">
      <c r="A182" s="13" t="inlineStr">
        <is>
          <t>ヴォクシー</t>
        </is>
      </c>
      <c r="B182" s="13" t="inlineStr">
        <is>
          <t>2019/12/11</t>
        </is>
      </c>
      <c r="C182" s="13" t="inlineStr">
        <is>
          <t>1146250</t>
        </is>
      </c>
      <c r="D182" s="13" t="inlineStr">
        <is>
          <t>シートベルト</t>
        </is>
      </c>
      <c r="E182" s="15" t="n">
        <v>7790</v>
      </c>
      <c r="F182" s="14" t="inlineStr">
        <is>
          <t>DBA-ZRR80G, DBA-ZRR80G改, DBA-ZRR80W, DBA-ZRR80W改, DBA-ZRR85G, DBA-ZRR85G改, DBA-ZRR85W</t>
        </is>
      </c>
      <c r="G182" s="13" t="inlineStr">
        <is>
          <t>2019年8月19日</t>
        </is>
      </c>
      <c r="H182" s="13" t="inlineStr">
        <is>
          <t>2019年9月12日</t>
        </is>
      </c>
      <c r="I182" s="14" t="inlineStr">
        <is>
          <t>後部座席ベルトにおいて、組付設備の調整が不適切なため、ベルトリトラクタロック機構部のスプリングが屈曲して組付けられたものがある。そのため、当該スプリングが構成部品と干渉し、シートベルトが素早く引き出された際にロックしないおそれがある。</t>
        </is>
      </c>
      <c r="J182" s="14" t="inlineStr">
        <is>
          <t>全車両、対象となる後部座席ベルトの製造番号を点検し、該当する場合は座席ベルトを良品と交換する。</t>
        </is>
      </c>
    </row>
    <row r="183">
      <c r="A183" s="8" t="inlineStr">
        <is>
          <t>ヴォクシー</t>
        </is>
      </c>
      <c r="B183" s="8" t="inlineStr">
        <is>
          <t>2020/03/04</t>
        </is>
      </c>
      <c r="C183" s="8" t="inlineStr">
        <is>
          <t>1146830</t>
        </is>
      </c>
      <c r="D183" s="8" t="inlineStr">
        <is>
          <t>燃料ポンプ</t>
        </is>
      </c>
      <c r="E183" s="11" t="n">
        <v>112934</v>
      </c>
      <c r="F183" s="14" t="inlineStr">
        <is>
          <t>DBA-ZRR80G, DBA-ZRR80G改, DBA-ZRR80W, DBA-ZRR80W改, DBA-ZRR85G, DBA-ZRR85G改, DBA-ZRR85W</t>
        </is>
      </c>
      <c r="G183" s="8" t="inlineStr">
        <is>
          <t>2013年9月 2日</t>
        </is>
      </c>
      <c r="H183" s="8" t="inlineStr">
        <is>
          <t>2019年1月14日</t>
        </is>
      </c>
      <c r="I18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83" s="14" t="inlineStr">
        <is>
          <t>全車両、低圧燃料ポンプを対策品と交換する。</t>
        </is>
      </c>
    </row>
    <row r="184">
      <c r="A184" s="13" t="inlineStr">
        <is>
          <t>ヴォクシー</t>
        </is>
      </c>
      <c r="B184" s="13" t="inlineStr">
        <is>
          <t>2020/10/28</t>
        </is>
      </c>
      <c r="C184" s="13" t="inlineStr">
        <is>
          <t>1148300</t>
        </is>
      </c>
      <c r="D184" s="13" t="inlineStr">
        <is>
          <t>燃料ポンプ</t>
        </is>
      </c>
      <c r="E184" s="15" t="n">
        <v>210363</v>
      </c>
      <c r="F184" s="14" t="inlineStr">
        <is>
          <t>DAA-ZWR80G, DAA-ZWR80W, DBA-ZRR80G, DBA-ZRR80W, DBA-ZRR85G, DBA-ZRR85W</t>
        </is>
      </c>
      <c r="G184" s="13" t="inlineStr">
        <is>
          <t>2017年7月 5日</t>
        </is>
      </c>
      <c r="H184" s="13" t="inlineStr">
        <is>
          <t>2019年12月 6日</t>
        </is>
      </c>
      <c r="I184"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84" s="14" t="inlineStr">
        <is>
          <t>全車両、低圧燃料ポンプを対策品と交換する。</t>
        </is>
      </c>
    </row>
    <row r="185">
      <c r="A185" s="8" t="inlineStr">
        <is>
          <t>ヴォクシー</t>
        </is>
      </c>
      <c r="B185" s="8" t="inlineStr">
        <is>
          <t>2021/06/01</t>
        </is>
      </c>
      <c r="C185" s="8" t="inlineStr">
        <is>
          <t>1149660</t>
        </is>
      </c>
      <c r="D185" s="8" t="inlineStr">
        <is>
          <t>その他(電気装置)</t>
        </is>
      </c>
      <c r="E185" s="11" t="n">
        <v>24162</v>
      </c>
      <c r="F185" s="14" t="inlineStr">
        <is>
          <t>6AA-ZWR80G, 6AA-ZWR80W</t>
        </is>
      </c>
      <c r="G185" s="8" t="inlineStr">
        <is>
          <t>2020年11月27日</t>
        </is>
      </c>
      <c r="H185" s="8" t="inlineStr">
        <is>
          <t>2021年4月14日</t>
        </is>
      </c>
      <c r="I185" s="14" t="inlineStr">
        <is>
          <t>ハイブリッドシステムにおいて、電力変換モジュール制御基板の電気ノイズ耐性不足により、高電圧回路の電圧変動で発生する電気ノイズを電源制御回路が異常と誤検知し瞬間的に停止する場合がある。そのため、電源電圧が一瞬低下して、エンジン警告灯の点灯とともに、一時的な動力損失が発生するおそれがある。</t>
        </is>
      </c>
      <c r="J185" s="14" t="inlineStr">
        <is>
          <t>全車両、電力変換モジュールを点検し、対象となるものは対策品に交換する。</t>
        </is>
      </c>
    </row>
    <row r="186">
      <c r="A186" s="13" t="inlineStr">
        <is>
          <t>ヴォクシー</t>
        </is>
      </c>
      <c r="B186" s="13" t="inlineStr">
        <is>
          <t>2022/04/13</t>
        </is>
      </c>
      <c r="C186" s="13" t="inlineStr">
        <is>
          <t>2106450</t>
        </is>
      </c>
      <c r="D186" s="13" t="inlineStr">
        <is>
          <t>その他(その他)</t>
        </is>
      </c>
      <c r="E186" s="15" t="n">
        <v>31534</v>
      </c>
      <c r="F186" s="14" t="inlineStr">
        <is>
          <t>6AA-ZWR90W, 6AA-ZWR92W, 6AA-ZWR95W, 6BA-MZRA90W, 6BA-MZRA92W, 6BA-MZRA95W</t>
        </is>
      </c>
      <c r="G186" s="13" t="inlineStr">
        <is>
          <t>2021年9月 1日</t>
        </is>
      </c>
      <c r="H186" s="13" t="inlineStr">
        <is>
          <t>2022年4月 8日</t>
        </is>
      </c>
      <c r="I186" s="14" t="inlineStr">
        <is>
          <t>ディスプレイオーディオにおいて、制御プログラムが不適切なため、シフト操作もしくは車速入力時に画面表示の切替え指示が正しくされない場合がある。そのため、走行開始後も意図せず動画（テレビ映像等）が表示されたままとなるおそれがある。</t>
        </is>
      </c>
      <c r="J186" s="14" t="inlineStr">
        <is>
          <t>全車両、ディスプレイオーディオの制御プログラムを対策仕様に修正する。</t>
        </is>
      </c>
    </row>
    <row r="187">
      <c r="A187" s="8" t="inlineStr">
        <is>
          <t>ヴォクシー</t>
        </is>
      </c>
      <c r="B187" s="8" t="inlineStr">
        <is>
          <t>2022/06/03</t>
        </is>
      </c>
      <c r="C187" s="8" t="inlineStr">
        <is>
          <t>1151620</t>
        </is>
      </c>
      <c r="D187" s="8" t="inlineStr">
        <is>
          <t>コンピュータ(制御装</t>
        </is>
      </c>
      <c r="E187" s="11" t="n">
        <v>18784</v>
      </c>
      <c r="F187" s="14" t="inlineStr">
        <is>
          <t>6AA-ZWR90W, 6AA-ZWR92W, 6AA-ZWR95W</t>
        </is>
      </c>
      <c r="G187" s="8" t="inlineStr">
        <is>
          <t>2021年12月 1日</t>
        </is>
      </c>
      <c r="H187" s="8" t="inlineStr">
        <is>
          <t>2022年5月25日</t>
        </is>
      </c>
      <c r="I187" s="14" t="inlineStr">
        <is>
          <t>運転支援装置のＰＤＡ（※）において、制御プログラムが不適切なため、ＰＤＡによる減速制御中にブレーキペダルを操作すると、制御終了後もブレーキが作動したままとなる場合がある。そのため、加速不良が発生し、そのままの状態で使用を続けると、ブレーキ過熱により発煙し、最悪の場合、火災に至るおそれがある。 （※）プロアクティブドライビングアシスト：周辺環境と運転状況に応じて、車両減速と操舵を支援するシステム</t>
        </is>
      </c>
      <c r="J187" s="14" t="inlineStr">
        <is>
          <t>全車両、ブレーキアクチュエータ用制御コンピュータのプログラムを対策仕様に修正する。また、ブレーキ関連部品を点検し、過熱による異常が認められた場合は交換する。</t>
        </is>
      </c>
    </row>
    <row r="188">
      <c r="A188" s="13" t="inlineStr">
        <is>
          <t>ヴォクシー</t>
        </is>
      </c>
      <c r="B188" s="13" t="inlineStr">
        <is>
          <t>2022/09/01</t>
        </is>
      </c>
      <c r="C188" s="13" t="inlineStr">
        <is>
          <t>1152021</t>
        </is>
      </c>
      <c r="D188" s="13" t="inlineStr">
        <is>
          <t>コンピュータ(かじ取</t>
        </is>
      </c>
      <c r="E188" s="15" t="n">
        <v>49651</v>
      </c>
      <c r="F188" s="14" t="inlineStr">
        <is>
          <t>6AA-ZWR90W, 6AA-ZWR95W, 6BA-MZRA90W, 6BA-MZRA95W</t>
        </is>
      </c>
      <c r="G188" s="13" t="inlineStr">
        <is>
          <t>2021年9月 1日</t>
        </is>
      </c>
      <c r="H188" s="13" t="inlineStr">
        <is>
          <t>2022年8月 9日</t>
        </is>
      </c>
      <c r="I188" s="14" t="inlineStr">
        <is>
          <t>（１）運転支援装置のＬＴＡ（※）において、制御プログラムが不適切なため、ハンドル舵角の中立位置のずれにより、ＬＴＡでのハンドル操舵の補正が不足するものがある。そのため、カーブと車両速度の状況によっては、早期に警報が作動して、運転者による操舵が必要となり、保安基準第１１条（かじ取り装置）に適合しないおそれがある。（※）レーントレーシングアシスト：レーダークルーズコントロールの作動中車線維持に必要なハンドル操作を支援するシステム</t>
        </is>
      </c>
      <c r="J188" s="14" t="inlineStr">
        <is>
          <t>（１）全車両、レーントレーシングアシスト用制御コンピュータのプログラムを対策仕様に修正する。</t>
        </is>
      </c>
    </row>
    <row r="189">
      <c r="A189" s="8" t="inlineStr">
        <is>
          <t>ヴォクシー</t>
        </is>
      </c>
      <c r="B189" s="8" t="inlineStr">
        <is>
          <t>2022/09/01</t>
        </is>
      </c>
      <c r="C189" s="8" t="inlineStr">
        <is>
          <t>1152022</t>
        </is>
      </c>
      <c r="D189" s="8" t="inlineStr">
        <is>
          <t>後写鏡</t>
        </is>
      </c>
      <c r="E189" s="11" t="n">
        <v>30721</v>
      </c>
      <c r="F189" s="14" t="inlineStr">
        <is>
          <t>6AA-ZWR90W, 6AA-ZWR95W, 6BA-MZRA90W, 6BA-MZRA95W</t>
        </is>
      </c>
      <c r="G189" s="8" t="inlineStr">
        <is>
          <t>2021年9月 1日</t>
        </is>
      </c>
      <c r="H189" s="8" t="inlineStr">
        <is>
          <t>2022年8月 9日</t>
        </is>
      </c>
      <c r="I189" s="14" t="inlineStr">
        <is>
          <t>（２）ディスプレイオーディオにおいて、制御プログラムが不適切なため、ナビのルート案内中に車両を再始動し、直後にパノラミックビューモニターの映像を表示した場合、ナビ案内図を車両左側の映像に重ねて表示する場合がある。そのため、車両左側の映像が確認できず、保安基準第４４条（後写鏡等の基準）に適合しないおそれがある。</t>
        </is>
      </c>
      <c r="J189" s="14" t="inlineStr">
        <is>
          <t>（２）全車両、ディスプレイオーディオ用制御プログラムを対策仕様に修正する。</t>
        </is>
      </c>
    </row>
    <row r="190">
      <c r="A190" s="13" t="inlineStr">
        <is>
          <t>ヴォクシー</t>
        </is>
      </c>
      <c r="B190" s="13" t="inlineStr">
        <is>
          <t>2022/09/01</t>
        </is>
      </c>
      <c r="C190" s="13" t="inlineStr">
        <is>
          <t>1152023</t>
        </is>
      </c>
      <c r="D190" s="13" t="inlineStr">
        <is>
          <t>コンピュータ(制御装</t>
        </is>
      </c>
      <c r="E190" s="15" t="n">
        <v>27599</v>
      </c>
      <c r="F190" s="14" t="inlineStr">
        <is>
          <t>6BA-MZRA90W, 6BA-MZRA95W</t>
        </is>
      </c>
      <c r="G190" s="13" t="inlineStr">
        <is>
          <t>2021年9月 1日</t>
        </is>
      </c>
      <c r="H190" s="13" t="inlineStr">
        <is>
          <t>2022年8月 9日</t>
        </is>
      </c>
      <c r="I190" s="14" t="inlineStr">
        <is>
          <t>（３）電動パーキングブレーキにおいて、制御コンピュータ電源回路の異常検出プログラムが不適切なため、回路内で発生する一時的な応答遅れを異常と誤判定することがある。そのため、警告灯が点灯して、電動パーキングブレーキが作動しないおそれがある。</t>
        </is>
      </c>
      <c r="J190" s="14" t="inlineStr">
        <is>
          <t>（３）全車両、ブレーキアクチュエータ用制御コンピュータのプログラムを対策仕様に修正する。</t>
        </is>
      </c>
    </row>
    <row r="191">
      <c r="A191" s="8" t="inlineStr">
        <is>
          <t>ヴォクシー</t>
        </is>
      </c>
      <c r="B191" s="8" t="inlineStr">
        <is>
          <t>2023/02/16</t>
        </is>
      </c>
      <c r="C191" s="8" t="inlineStr">
        <is>
          <t>1152831</t>
        </is>
      </c>
      <c r="D191" s="8" t="inlineStr">
        <is>
          <t>コンピュータ(制御装</t>
        </is>
      </c>
      <c r="E191" s="11" t="n">
        <v>196984</v>
      </c>
      <c r="F191" s="14" t="inlineStr">
        <is>
          <t>6AA-ZWR90W, 6AA-ZWR92W, 6AA-ZWR95W, 6BA-MZRA90W, 6BA-MZRA92W, 6BA-MZRA95W</t>
        </is>
      </c>
      <c r="G191" s="8" t="inlineStr">
        <is>
          <t>2021年9月 1日</t>
        </is>
      </c>
      <c r="H191" s="8" t="inlineStr">
        <is>
          <t>2023年1月 9日</t>
        </is>
      </c>
      <c r="I191" s="14" t="inlineStr">
        <is>
          <t>（１）衝突被害軽減ブレーキにおいて、制御プログラムが不適切なため、駐停車している車列の側方を通過する際に、前方カメラとミリ波センサによる車両認識に差異が発生し、システムが停止することがある。そのため、システムが再起動する間、警告灯が点灯して衝突被害軽減ブレーキが作動しないおそれがある。</t>
        </is>
      </c>
      <c r="J191" s="14" t="inlineStr">
        <is>
          <t>（１）全車両、衝突被害軽減ブレーキ用前方カメラのプログラムを対策仕様に修正する。</t>
        </is>
      </c>
    </row>
    <row r="192">
      <c r="A192" s="13" t="inlineStr">
        <is>
          <t>ヴォクシー</t>
        </is>
      </c>
      <c r="B192" s="13" t="inlineStr">
        <is>
          <t>2023/02/16</t>
        </is>
      </c>
      <c r="C192" s="13" t="inlineStr">
        <is>
          <t>1152832</t>
        </is>
      </c>
      <c r="D192" s="13" t="inlineStr">
        <is>
          <t>コンピュータ(かじ取</t>
        </is>
      </c>
      <c r="E192" s="15" t="n">
        <v>38477</v>
      </c>
      <c r="F192" s="14" t="inlineStr">
        <is>
          <t>6AA-ZWR90W, 6AA-ZWR92W, 6AA-ZWR95W, 6BA-MZRA90W, 6BA-MZRA92W, 6BA-MZRA95W</t>
        </is>
      </c>
      <c r="G192" s="13" t="inlineStr">
        <is>
          <t>2021年12月 1日</t>
        </is>
      </c>
      <c r="H192" s="13" t="inlineStr">
        <is>
          <t>2022年12月 9日</t>
        </is>
      </c>
      <c r="I192" s="14" t="inlineStr">
        <is>
          <t>（２）自動命令型操舵機能であるアドバンストパーク（※）において、制御プログラムが不適切なため、駐車条件が整わない等により駐車支援を中止した場合に警告音が吹鳴しないことがある。そのため、保安基準第１１条（かじ取り装置）に適合しないおそれがある。（※）ステアリング、アクセル、ブレーキ操作を制御する駐車支援システム</t>
        </is>
      </c>
      <c r="J192" s="14" t="inlineStr">
        <is>
          <t>（２）全車両、コンビネーションメータのプログラムを対策仕様に修正する。</t>
        </is>
      </c>
    </row>
    <row r="193">
      <c r="A193" s="8" t="inlineStr">
        <is>
          <t>ヴォクシー</t>
        </is>
      </c>
      <c r="B193" s="8" t="inlineStr">
        <is>
          <t>2023/11/02</t>
        </is>
      </c>
      <c r="C193" s="8" t="inlineStr">
        <is>
          <t>1154040</t>
        </is>
      </c>
      <c r="D193" s="8" t="inlineStr">
        <is>
          <t>燃料ポンプ</t>
        </is>
      </c>
      <c r="E193" s="11" t="n">
        <v>328108</v>
      </c>
      <c r="F193" s="14" t="inlineStr">
        <is>
          <t>DAA-ZWR80G, DAA-ZWR80W, DBA-ZRR80G, DBA-ZRR80W, DBA-ZRR85G, DBA-ZRR85W</t>
        </is>
      </c>
      <c r="G193" s="8" t="inlineStr">
        <is>
          <t>2017年7月 3日</t>
        </is>
      </c>
      <c r="H193" s="8" t="inlineStr">
        <is>
          <t>2020年1月14日</t>
        </is>
      </c>
      <c r="I193" s="14" t="inlineStr">
        <is>
          <t>低圧燃料ポンプのインペラ（樹脂製羽根車）において、成形条件が不適切なため、樹脂密度が低くなって、燃料により膨潤して変形することがある。そのため、インペラがポンプケースと接触して燃料ポンプが作動不良となり、最悪の場合、走行中エンストに至るおそれがある。</t>
        </is>
      </c>
      <c r="J193" s="14" t="inlineStr">
        <is>
          <t>全車両、低圧燃料ポンプを対策品と交換する。</t>
        </is>
      </c>
    </row>
    <row r="194">
      <c r="A194" s="13" t="inlineStr">
        <is>
          <t>ヴォクシー</t>
        </is>
      </c>
      <c r="B194" s="13" t="inlineStr">
        <is>
          <t>2024/05/08</t>
        </is>
      </c>
      <c r="C194" s="13" t="inlineStr">
        <is>
          <t>1154780</t>
        </is>
      </c>
      <c r="D194" s="13" t="inlineStr">
        <is>
          <t>その他(保安灯火)</t>
        </is>
      </c>
      <c r="E194" s="15" t="n">
        <v>1271</v>
      </c>
      <c r="F194" s="14" t="inlineStr">
        <is>
          <t>6AA-ZWR90W, 6AA-ZWR95W, 6BA-MZRA90W, 6BA-MZRA92W, 6BA-MZRA95W</t>
        </is>
      </c>
      <c r="G194" s="13" t="inlineStr">
        <is>
          <t>2024年4月 4日</t>
        </is>
      </c>
      <c r="H194" s="13" t="inlineStr">
        <is>
          <t>2024年4月 9日</t>
        </is>
      </c>
      <c r="I194" s="14" t="inlineStr">
        <is>
          <t>ライトコントロールコンピュータにおいて、点灯制御プログラムの設定を誤ったため、車幅灯が他の灯火器と同期して点灯・消灯すべきところ、方向指示器または非常点滅表示灯を操作した場合、正しく作動しないことがある。そのため、保安基準第３４条（車幅灯の基準）に適合しない。</t>
        </is>
      </c>
      <c r="J194" s="14" t="inlineStr">
        <is>
          <t>全車両、ライトコントロールコンピュータのプログラムを対策仕様に修正した前照灯に交換する。</t>
        </is>
      </c>
    </row>
    <row r="195">
      <c r="A195" s="8" t="inlineStr">
        <is>
          <t>ヴォクシー</t>
        </is>
      </c>
      <c r="B195" s="8" t="inlineStr">
        <is>
          <t>2024/06/14</t>
        </is>
      </c>
      <c r="C195" s="8" t="inlineStr">
        <is>
          <t>1154970</t>
        </is>
      </c>
      <c r="D195" s="8" t="inlineStr">
        <is>
          <t>その他(その他)</t>
        </is>
      </c>
      <c r="E195" s="11" t="n">
        <v>235077</v>
      </c>
      <c r="F195" s="14" t="inlineStr">
        <is>
          <t>6AA-ZWR90W, 6AA-ZWR92W, 6AA-ZWR95W, 6BA-MZRA90W, 6BA-MZRA92W, 6BA-MZRA95W</t>
        </is>
      </c>
      <c r="G195" s="8" t="inlineStr">
        <is>
          <t>2022年11月 7日</t>
        </is>
      </c>
      <c r="H195" s="8" t="inlineStr">
        <is>
          <t>2023年9月27日</t>
        </is>
      </c>
      <c r="I195" s="14" t="inlineStr">
        <is>
          <t>パノラミックビューまたはバックガイドモニターにおいて、溶着設備の管理が不十分なため、カメラケース接合面の防水性が確保できず、雨水等が浸入することがある。そのため、回路が腐食して導通不良となりカメラ映像が映らず、車両周辺が確認できないおそれがある。</t>
        </is>
      </c>
      <c r="J195" s="14" t="inlineStr">
        <is>
          <t>全車両、当該カメラの製造番号を点検し、該当する場合は良品と交換する。</t>
        </is>
      </c>
    </row>
    <row r="196">
      <c r="A196" s="13" t="inlineStr">
        <is>
          <t>ヴォクシー</t>
        </is>
      </c>
      <c r="B196" s="13" t="inlineStr">
        <is>
          <t>2025/10/30</t>
        </is>
      </c>
      <c r="C196" s="13" t="inlineStr">
        <is>
          <t>1157310</t>
        </is>
      </c>
      <c r="D196" s="13" t="inlineStr">
        <is>
          <t>後写鏡</t>
        </is>
      </c>
      <c r="E196" s="15" t="n">
        <v>1285002</v>
      </c>
      <c r="F196" s="14" t="inlineStr">
        <is>
          <t>6AA-ZWR90W, 6AA-ZWR95W, 6BA-MZRA90W, 6BA-MZRA95W</t>
        </is>
      </c>
      <c r="G196" s="13" t="inlineStr">
        <is>
          <t>2021年9月 1日</t>
        </is>
      </c>
      <c r="H196" s="13" t="inlineStr">
        <is>
          <t>2025年9月25日</t>
        </is>
      </c>
      <c r="I196" s="14" t="inlineStr">
        <is>
          <t>パノラミックビューモニターにおいて、制御プログラムの検討が不十分なため、始動直後に後退する等の操作を行うと、車両周辺の映像がずれたり、一時的に停止または映らなくなることがある。そのため、保安基準に適合しないおそれがある。</t>
        </is>
      </c>
      <c r="J196" s="14" t="inlineStr">
        <is>
          <t>全車両、パノラミックビューモニター用制御コンピュータのプログラムを対策仕様に修正する。</t>
        </is>
      </c>
    </row>
  </sheetData>
  <autoFilter ref="A1:J19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77"/>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0" customWidth="1" min="3" max="3"/>
    <col width="18" customWidth="1" min="4" max="4"/>
    <col width="10" customWidth="1" min="5" max="5"/>
    <col width="20" customWidth="1" min="6" max="6"/>
    <col width="12" customWidth="1" min="7" max="7"/>
    <col width="10" customWidth="1" min="8" max="8"/>
    <col width="16" customWidth="1" min="9" max="9"/>
    <col width="12" customWidth="1" min="10" max="10"/>
    <col width="34" customWidth="1" min="11" max="11"/>
    <col width="10" customWidth="1" min="12" max="12"/>
  </cols>
  <sheetData>
    <row r="1" ht="32" customHeight="1">
      <c r="A1" s="7" t="inlineStr">
        <is>
          <t>車種</t>
        </is>
      </c>
      <c r="B1" s="7" t="inlineStr">
        <is>
          <t>年式</t>
        </is>
      </c>
      <c r="C1" s="7" t="inlineStr">
        <is>
          <t>世代</t>
        </is>
      </c>
      <c r="D1" s="7" t="inlineStr">
        <is>
          <t>落札価格(円)</t>
        </is>
      </c>
      <c r="E1" s="7" t="inlineStr">
        <is>
          <t>入札数</t>
        </is>
      </c>
      <c r="F1" s="7" t="inlineStr">
        <is>
          <t>走行距離(km)</t>
        </is>
      </c>
      <c r="G1" s="7" t="inlineStr">
        <is>
          <t>距離区分</t>
        </is>
      </c>
      <c r="H1" s="7" t="inlineStr">
        <is>
          <t>修復歴</t>
        </is>
      </c>
      <c r="I1" s="7" t="inlineStr">
        <is>
          <t>諸費用(円)</t>
        </is>
      </c>
      <c r="J1" s="7" t="inlineStr">
        <is>
          <t>終了日時</t>
        </is>
      </c>
      <c r="K1" s="7" t="inlineStr">
        <is>
          <t>商品名</t>
        </is>
      </c>
      <c r="L1" s="7" t="inlineStr">
        <is>
          <t>URL</t>
        </is>
      </c>
    </row>
    <row r="2">
      <c r="A2" s="13" t="inlineStr">
        <is>
          <t>アイシス</t>
        </is>
      </c>
      <c r="B2" s="13" t="n">
        <v>2012</v>
      </c>
      <c r="C2" s="13" t="inlineStr">
        <is>
          <t>10系</t>
        </is>
      </c>
      <c r="D2" s="15" t="n">
        <v>171000</v>
      </c>
      <c r="E2" s="13" t="n">
        <v>11</v>
      </c>
      <c r="F2" s="15" t="n">
        <v>184000</v>
      </c>
      <c r="G2" s="13" t="inlineStr">
        <is>
          <t>REAL_MILEAGE</t>
        </is>
      </c>
      <c r="H2" s="13" t="inlineStr">
        <is>
          <t>NONE</t>
        </is>
      </c>
      <c r="I2" s="15" t="n">
        <v>50030</v>
      </c>
      <c r="J2" s="13" t="inlineStr">
        <is>
          <t>2026-07-10T20:26:18+09:00</t>
        </is>
      </c>
      <c r="K2" s="14" t="inlineStr">
        <is>
          <t>【車検R9/8】アイシス プラタナVホワイトセレクション 両側電動ドア Bluetoothナビ Bカメラ ETC スペアキー付</t>
        </is>
      </c>
      <c r="L2" s="13" t="inlineStr">
        <is>
          <t>https://page.auctions.yahoo.co.jp/jp/auction/c1235220596</t>
        </is>
      </c>
    </row>
    <row r="3">
      <c r="A3" s="8" t="inlineStr">
        <is>
          <t>アイシス</t>
        </is>
      </c>
      <c r="B3" s="8" t="n">
        <v>2012</v>
      </c>
      <c r="C3" s="8" t="inlineStr">
        <is>
          <t>10系</t>
        </is>
      </c>
      <c r="D3" s="11" t="n">
        <v>199000</v>
      </c>
      <c r="E3" s="8" t="n">
        <v>6</v>
      </c>
      <c r="F3" s="11" t="n">
        <v>184000</v>
      </c>
      <c r="G3" s="8" t="inlineStr">
        <is>
          <t>REAL_MILEAGE</t>
        </is>
      </c>
      <c r="H3" s="8" t="inlineStr">
        <is>
          <t>NONE</t>
        </is>
      </c>
      <c r="I3" s="11" t="n">
        <v>50030</v>
      </c>
      <c r="J3" s="8" t="inlineStr">
        <is>
          <t>2026-06-27T20:42:50+09:00</t>
        </is>
      </c>
      <c r="K3" s="14" t="inlineStr">
        <is>
          <t>【車検R9/8】アイシス プラタナVホワイトセレクション 両側電動ドア Bluetoothナビ Bカメラ ETC スペアキー付</t>
        </is>
      </c>
      <c r="L3" s="8" t="inlineStr">
        <is>
          <t>https://page.auctions.yahoo.co.jp/jp/auction/c1233869883</t>
        </is>
      </c>
    </row>
    <row r="4">
      <c r="A4" s="13" t="inlineStr">
        <is>
          <t>アイシス</t>
        </is>
      </c>
      <c r="B4" s="13" t="n">
        <v>2008</v>
      </c>
      <c r="C4" s="13" t="inlineStr">
        <is>
          <t>10系</t>
        </is>
      </c>
      <c r="D4" s="15" t="n">
        <v>171000</v>
      </c>
      <c r="E4" s="13" t="n">
        <v>20</v>
      </c>
      <c r="F4" s="15" t="n">
        <v>73778</v>
      </c>
      <c r="G4" s="13" t="inlineStr">
        <is>
          <t>REAL_MILEAGE</t>
        </is>
      </c>
      <c r="H4" s="13" t="n"/>
      <c r="I4" s="15" t="n">
        <v>0</v>
      </c>
      <c r="J4" s="13" t="inlineStr">
        <is>
          <t>2026-06-19T10:44:03+09:00</t>
        </is>
      </c>
      <c r="K4" s="14" t="inlineStr">
        <is>
          <t>アイシス福祉車両</t>
        </is>
      </c>
      <c r="L4" s="13" t="inlineStr">
        <is>
          <t>https://page.auctions.yahoo.co.jp/jp/auction/d1232751404</t>
        </is>
      </c>
    </row>
    <row r="5">
      <c r="A5" s="8" t="inlineStr">
        <is>
          <t>アイシス</t>
        </is>
      </c>
      <c r="B5" s="8" t="n">
        <v>2007</v>
      </c>
      <c r="C5" s="8" t="inlineStr">
        <is>
          <t>10系</t>
        </is>
      </c>
      <c r="D5" s="11" t="n">
        <v>82000</v>
      </c>
      <c r="E5" s="8" t="n">
        <v>3</v>
      </c>
      <c r="F5" s="11" t="n">
        <v>96000</v>
      </c>
      <c r="G5" s="8" t="inlineStr">
        <is>
          <t>REAL_MILEAGE</t>
        </is>
      </c>
      <c r="H5" s="8" t="inlineStr">
        <is>
          <t>NONE</t>
        </is>
      </c>
      <c r="I5" s="11" t="n">
        <v>0</v>
      </c>
      <c r="J5" s="8" t="inlineStr">
        <is>
          <t>2026-04-19T20:53:28+09:00</t>
        </is>
      </c>
      <c r="K5" s="14" t="inlineStr">
        <is>
          <t>アイシス　両側自動スライドドア　売り切り　個人</t>
        </is>
      </c>
      <c r="L5" s="8" t="inlineStr">
        <is>
          <t>https://page.auctions.yahoo.co.jp/jp/auction/n1225967945</t>
        </is>
      </c>
    </row>
    <row r="6">
      <c r="A6" s="13" t="inlineStr">
        <is>
          <t>アイシス</t>
        </is>
      </c>
      <c r="B6" s="13" t="n">
        <v>2007</v>
      </c>
      <c r="C6" s="13" t="inlineStr">
        <is>
          <t>10系</t>
        </is>
      </c>
      <c r="D6" s="15" t="n">
        <v>120000</v>
      </c>
      <c r="E6" s="13" t="n">
        <v>1</v>
      </c>
      <c r="F6" s="15" t="n">
        <v>148700</v>
      </c>
      <c r="G6" s="13" t="inlineStr">
        <is>
          <t>REAL_MILEAGE</t>
        </is>
      </c>
      <c r="H6" s="13" t="n"/>
      <c r="I6" s="15" t="n">
        <v>0</v>
      </c>
      <c r="J6" s="13" t="inlineStr">
        <is>
          <t>2026-03-17T21:09:18+09:00</t>
        </is>
      </c>
      <c r="K6" s="14" t="inlineStr">
        <is>
          <t>個人出品 検R8/8まで アイシス 2.0プラタナ 希少なU-セレクション 両側パワスラ パワーバックドア Bluetooth ETC 京都から売り切り</t>
        </is>
      </c>
      <c r="L6" s="13" t="inlineStr">
        <is>
          <t>https://page.auctions.yahoo.co.jp/jp/auction/k1222421481</t>
        </is>
      </c>
    </row>
    <row r="7">
      <c r="A7" s="8" t="inlineStr">
        <is>
          <t>アイシス</t>
        </is>
      </c>
      <c r="B7" s="8" t="n"/>
      <c r="C7" s="8" t="inlineStr"/>
      <c r="D7" s="11" t="n">
        <v>300000</v>
      </c>
      <c r="E7" s="8" t="n">
        <v>48</v>
      </c>
      <c r="F7" s="11" t="n"/>
      <c r="G7" s="8" t="n"/>
      <c r="H7" s="8" t="n"/>
      <c r="I7" s="11" t="n"/>
      <c r="J7" s="8" t="inlineStr">
        <is>
          <t>2026-03-05T21:38:34+09:00</t>
        </is>
      </c>
      <c r="K7" s="14" t="inlineStr">
        <is>
          <t>車検満タンR10年3月迄★H25プラタナVセレクション☆ナビ/ETC/バックカメラ/DVD地デジ走行OK/プッシュスタート/両側パワースライドドア</t>
        </is>
      </c>
      <c r="L7" s="8" t="inlineStr">
        <is>
          <t>https://page.auctions.yahoo.co.jp/jp/auction/x1221168405</t>
        </is>
      </c>
    </row>
    <row r="8">
      <c r="A8" s="13" t="inlineStr">
        <is>
          <t>アルファード</t>
        </is>
      </c>
      <c r="B8" s="13" t="n">
        <v>2025</v>
      </c>
      <c r="C8" s="13" t="inlineStr">
        <is>
          <t>40系</t>
        </is>
      </c>
      <c r="D8" s="15" t="n">
        <v>6080000</v>
      </c>
      <c r="E8" s="13" t="n">
        <v>1</v>
      </c>
      <c r="F8" s="15" t="n">
        <v>3800</v>
      </c>
      <c r="G8" s="13" t="inlineStr">
        <is>
          <t>REAL_MILEAGE</t>
        </is>
      </c>
      <c r="H8" s="13" t="inlineStr">
        <is>
          <t>EXISTS</t>
        </is>
      </c>
      <c r="I8" s="15" t="n">
        <v>0</v>
      </c>
      <c r="J8" s="13" t="inlineStr">
        <is>
          <t>2026-08-13T03:58:13+09:00</t>
        </is>
      </c>
      <c r="K8" s="14" t="inlineStr">
        <is>
          <t>★令和7年★アルファードハイブリッドZ★モデリスタエアロ★ムーンルーフ★実走行★車検付き★ナビTV★リアモニター★程度良好★</t>
        </is>
      </c>
      <c r="L8" s="13" t="inlineStr">
        <is>
          <t>https://page.auctions.yahoo.co.jp/jp/auction/d1228493693</t>
        </is>
      </c>
    </row>
    <row r="9">
      <c r="A9" s="8" t="inlineStr">
        <is>
          <t>アルファード</t>
        </is>
      </c>
      <c r="B9" s="8" t="n">
        <v>2025</v>
      </c>
      <c r="C9" s="8" t="inlineStr">
        <is>
          <t>40系</t>
        </is>
      </c>
      <c r="D9" s="11" t="n">
        <v>5450000</v>
      </c>
      <c r="E9" s="8" t="n">
        <v>1</v>
      </c>
      <c r="F9" s="11" t="n">
        <v>15000</v>
      </c>
      <c r="G9" s="8" t="inlineStr">
        <is>
          <t>REAL_MILEAGE</t>
        </is>
      </c>
      <c r="H9" s="8" t="inlineStr">
        <is>
          <t>NONE</t>
        </is>
      </c>
      <c r="I9" s="11" t="n">
        <v>0</v>
      </c>
      <c r="J9" s="8" t="inlineStr">
        <is>
          <t>2026-05-06T05:37:03+09:00</t>
        </is>
      </c>
      <c r="K9" s="14" t="inlineStr">
        <is>
          <t>アルファード ハイブリッド 2.5 X トヨタセーフティセンス</t>
        </is>
      </c>
      <c r="L9" s="8" t="inlineStr">
        <is>
          <t>https://page.auctions.yahoo.co.jp/jp/auction/j1227691818</t>
        </is>
      </c>
    </row>
    <row r="10">
      <c r="A10" s="13" t="inlineStr">
        <is>
          <t>アルファード</t>
        </is>
      </c>
      <c r="B10" s="13" t="n">
        <v>2025</v>
      </c>
      <c r="C10" s="13" t="inlineStr">
        <is>
          <t>40系</t>
        </is>
      </c>
      <c r="D10" s="15" t="n">
        <v>7898000</v>
      </c>
      <c r="E10" s="13" t="n">
        <v>1</v>
      </c>
      <c r="F10" s="15" t="n">
        <v>51</v>
      </c>
      <c r="G10" s="13" t="inlineStr">
        <is>
          <t>REAL_MILEAGE</t>
        </is>
      </c>
      <c r="H10" s="13" t="inlineStr">
        <is>
          <t>NONE</t>
        </is>
      </c>
      <c r="I10" s="15" t="n">
        <v>0</v>
      </c>
      <c r="J10" s="13" t="inlineStr">
        <is>
          <t>2026-04-21T22:26:28+09:00</t>
        </is>
      </c>
      <c r="K10" s="14" t="inlineStr">
        <is>
          <t>アルファード 2.5 Z ディスプレイオーディオPLUS・14インチリア</t>
        </is>
      </c>
      <c r="L10" s="13" t="inlineStr">
        <is>
          <t>https://page.auctions.yahoo.co.jp/jp/auction/k1223937563</t>
        </is>
      </c>
    </row>
    <row r="11">
      <c r="A11" s="8" t="inlineStr">
        <is>
          <t>アルファード</t>
        </is>
      </c>
      <c r="B11" s="8" t="n">
        <v>2025</v>
      </c>
      <c r="C11" s="8" t="inlineStr">
        <is>
          <t>40系</t>
        </is>
      </c>
      <c r="D11" s="11" t="n">
        <v>4801000</v>
      </c>
      <c r="E11" s="8" t="n">
        <v>90</v>
      </c>
      <c r="F11" s="11" t="n">
        <v>14680</v>
      </c>
      <c r="G11" s="8" t="inlineStr">
        <is>
          <t>REAL_MILEAGE</t>
        </is>
      </c>
      <c r="H11" s="8" t="inlineStr">
        <is>
          <t>EXISTS</t>
        </is>
      </c>
      <c r="I11" s="11" t="n">
        <v>0</v>
      </c>
      <c r="J11" s="8" t="inlineStr">
        <is>
          <t>2026-04-16T20:02:26+09:00</t>
        </is>
      </c>
      <c r="K11" s="14" t="inlineStr">
        <is>
          <t>令和7年 トヨタ アルファード AGH45W グレード Z 2500cc ガソリン 純正ナビ,レーダークルーズ,3眼LEDヘッドライト,パワーゲート,ETC2.0,4WD</t>
        </is>
      </c>
      <c r="L11" s="8" t="inlineStr">
        <is>
          <t>https://page.auctions.yahoo.co.jp/jp/auction/u1226178765</t>
        </is>
      </c>
    </row>
    <row r="12">
      <c r="A12" s="13" t="inlineStr">
        <is>
          <t>アルファード</t>
        </is>
      </c>
      <c r="B12" s="13" t="n">
        <v>2025</v>
      </c>
      <c r="C12" s="13" t="inlineStr">
        <is>
          <t>40系</t>
        </is>
      </c>
      <c r="D12" s="15" t="n">
        <v>5001000</v>
      </c>
      <c r="E12" s="13" t="n">
        <v>48</v>
      </c>
      <c r="F12" s="15" t="n">
        <v>90000</v>
      </c>
      <c r="G12" s="13" t="inlineStr">
        <is>
          <t>REAL_MILEAGE</t>
        </is>
      </c>
      <c r="H12" s="13" t="inlineStr">
        <is>
          <t>NONE</t>
        </is>
      </c>
      <c r="I12" s="15" t="n">
        <v>0</v>
      </c>
      <c r="J12" s="13" t="inlineStr">
        <is>
          <t>2026-04-03T12:15:13+09:00</t>
        </is>
      </c>
      <c r="K12" s="14" t="inlineStr">
        <is>
          <t>トヨタ アルファードHV 自社ローン 審査通過率100% 頭金0円〜 保証人不要 即日審査 全国陸送OK</t>
        </is>
      </c>
      <c r="L12" s="13" t="inlineStr">
        <is>
          <t>https://page.auctions.yahoo.co.jp/jp/auction/1224780593</t>
        </is>
      </c>
    </row>
    <row r="13">
      <c r="A13" s="8" t="inlineStr">
        <is>
          <t>アルファード</t>
        </is>
      </c>
      <c r="B13" s="8" t="n">
        <v>2025</v>
      </c>
      <c r="C13" s="8" t="inlineStr">
        <is>
          <t>40系</t>
        </is>
      </c>
      <c r="D13" s="11" t="n">
        <v>5480000</v>
      </c>
      <c r="E13" s="8" t="n">
        <v>1</v>
      </c>
      <c r="F13" s="11" t="n">
        <v>3000</v>
      </c>
      <c r="G13" s="8" t="inlineStr">
        <is>
          <t>REAL_MILEAGE</t>
        </is>
      </c>
      <c r="H13" s="8" t="inlineStr">
        <is>
          <t>EXISTS</t>
        </is>
      </c>
      <c r="I13" s="11" t="n">
        <v>0</v>
      </c>
      <c r="J13" s="8" t="inlineStr">
        <is>
          <t>2026-03-22T23:17:08+09:00</t>
        </is>
      </c>
      <c r="K13" s="14" t="inlineStr">
        <is>
          <t>アルファード 2.5 Z トヨタセーフティセンス　サンルーフ</t>
        </is>
      </c>
      <c r="L13" s="8" t="inlineStr">
        <is>
          <t>https://page.auctions.yahoo.co.jp/jp/auction/1223634222</t>
        </is>
      </c>
    </row>
    <row r="14">
      <c r="A14" s="13" t="inlineStr">
        <is>
          <t>アルファード</t>
        </is>
      </c>
      <c r="B14" s="13" t="n">
        <v>2025</v>
      </c>
      <c r="C14" s="13" t="inlineStr">
        <is>
          <t>40系</t>
        </is>
      </c>
      <c r="D14" s="15" t="n">
        <v>7703000</v>
      </c>
      <c r="E14" s="13" t="n">
        <v>1376</v>
      </c>
      <c r="F14" s="15" t="n">
        <v>14000</v>
      </c>
      <c r="G14" s="13" t="inlineStr">
        <is>
          <t>REAL_MILEAGE</t>
        </is>
      </c>
      <c r="H14" s="13" t="inlineStr">
        <is>
          <t>NONE</t>
        </is>
      </c>
      <c r="I14" s="15" t="n">
        <v>0</v>
      </c>
      <c r="J14" s="13" t="inlineStr">
        <is>
          <t>2026-03-21T01:33:02+09:00</t>
        </is>
      </c>
      <c r="K14" s="14" t="inlineStr">
        <is>
          <t>トヨタアルファードHV エグゼクティブ　自社ローン　保証会社利用　全国陸送可　保証人不要　頭金0円〜　金利0% 即日審査　検10.1 大阪発</t>
        </is>
      </c>
      <c r="L14" s="13" t="inlineStr">
        <is>
          <t>https://page.auctions.yahoo.co.jp/jp/auction/m1221979917</t>
        </is>
      </c>
    </row>
    <row r="15">
      <c r="A15" s="8" t="inlineStr">
        <is>
          <t>アルファード</t>
        </is>
      </c>
      <c r="B15" s="8" t="n">
        <v>2024</v>
      </c>
      <c r="C15" s="8" t="inlineStr">
        <is>
          <t>40系</t>
        </is>
      </c>
      <c r="D15" s="11" t="n">
        <v>5080000</v>
      </c>
      <c r="E15" s="8" t="n">
        <v>1</v>
      </c>
      <c r="F15" s="11" t="n">
        <v>22000</v>
      </c>
      <c r="G15" s="8" t="inlineStr">
        <is>
          <t>REAL_MILEAGE</t>
        </is>
      </c>
      <c r="H15" s="8" t="inlineStr">
        <is>
          <t>NONE</t>
        </is>
      </c>
      <c r="I15" s="11" t="n">
        <v>0</v>
      </c>
      <c r="J15" s="8" t="inlineStr">
        <is>
          <t>2026-08-21T17:07:22+09:00</t>
        </is>
      </c>
      <c r="K15" s="14" t="inlineStr">
        <is>
          <t>アルファード 2.5 Z トヨタセーフティセンス　レザーシート</t>
        </is>
      </c>
      <c r="L15" s="8" t="inlineStr">
        <is>
          <t>https://page.auctions.yahoo.co.jp/jp/auction/t1240187169</t>
        </is>
      </c>
    </row>
    <row r="16">
      <c r="A16" s="13" t="inlineStr">
        <is>
          <t>アルファード</t>
        </is>
      </c>
      <c r="B16" s="13" t="n">
        <v>2024</v>
      </c>
      <c r="C16" s="13" t="inlineStr">
        <is>
          <t>40系</t>
        </is>
      </c>
      <c r="D16" s="15" t="n">
        <v>5620000</v>
      </c>
      <c r="E16" s="13" t="n">
        <v>1</v>
      </c>
      <c r="F16" s="15" t="n">
        <v>12371</v>
      </c>
      <c r="G16" s="13" t="inlineStr">
        <is>
          <t>REAL_MILEAGE</t>
        </is>
      </c>
      <c r="H16" s="13" t="inlineStr">
        <is>
          <t>EXISTS</t>
        </is>
      </c>
      <c r="I16" s="15" t="n">
        <v>0</v>
      </c>
      <c r="J16" s="13" t="inlineStr">
        <is>
          <t>2026-03-26T10:02:42+09:00</t>
        </is>
      </c>
      <c r="K16" s="14" t="inlineStr">
        <is>
          <t>激安！！格安！！ここまで安い40型アルファードはまずありません！！しかも車検2年付！！人気の黒・Z・革シート・Wサンルーフ</t>
        </is>
      </c>
      <c r="L16" s="13" t="inlineStr">
        <is>
          <t>https://page.auctions.yahoo.co.jp/jp/auction/q1223923725</t>
        </is>
      </c>
    </row>
    <row r="17">
      <c r="A17" s="8" t="inlineStr">
        <is>
          <t>アルファード</t>
        </is>
      </c>
      <c r="B17" s="8" t="n">
        <v>2024</v>
      </c>
      <c r="C17" s="8" t="inlineStr">
        <is>
          <t>40系</t>
        </is>
      </c>
      <c r="D17" s="11" t="n">
        <v>5001000</v>
      </c>
      <c r="E17" s="8" t="n">
        <v>2</v>
      </c>
      <c r="F17" s="11" t="n">
        <v>55300</v>
      </c>
      <c r="G17" s="8" t="inlineStr">
        <is>
          <t>REAL_MILEAGE</t>
        </is>
      </c>
      <c r="H17" s="8" t="inlineStr">
        <is>
          <t>NONE</t>
        </is>
      </c>
      <c r="I17" s="11" t="n">
        <v>0</v>
      </c>
      <c r="J17" s="8" t="inlineStr">
        <is>
          <t>2026-02-25T16:58:59+09:00</t>
        </is>
      </c>
      <c r="K17" s="14" t="inlineStr">
        <is>
          <t xml:space="preserve">【車検2年取得後のお渡し】アルファード ハイブリッド Z 2WD 55,300km 車検2年付き 状態良好 ビル保管 法人ワンオーナー D記録簿あり </t>
        </is>
      </c>
      <c r="L17" s="8" t="inlineStr">
        <is>
          <t>https://page.auctions.yahoo.co.jp/jp/auction/w1220427283</t>
        </is>
      </c>
    </row>
    <row r="18">
      <c r="A18" s="13" t="inlineStr">
        <is>
          <t>アルファード</t>
        </is>
      </c>
      <c r="B18" s="13" t="n">
        <v>2023</v>
      </c>
      <c r="C18" s="13" t="inlineStr">
        <is>
          <t>40系</t>
        </is>
      </c>
      <c r="D18" s="15" t="n">
        <v>7400000</v>
      </c>
      <c r="E18" s="13" t="n">
        <v>1</v>
      </c>
      <c r="F18" s="15" t="n">
        <v>48000</v>
      </c>
      <c r="G18" s="13" t="inlineStr">
        <is>
          <t>REAL_MILEAGE</t>
        </is>
      </c>
      <c r="H18" s="13" t="inlineStr">
        <is>
          <t>NONE</t>
        </is>
      </c>
      <c r="I18" s="15" t="n">
        <v>0</v>
      </c>
      <c r="J18" s="13" t="inlineStr">
        <is>
          <t>2026-03-21T20:23:54+09:00</t>
        </is>
      </c>
      <c r="K18" s="14" t="inlineStr">
        <is>
          <t>個人　綺麗♪ 40アルファード エグゼクティブ　車検8年８月29 モデリスタ　早い方優先</t>
        </is>
      </c>
      <c r="L18" s="13" t="inlineStr">
        <is>
          <t>https://page.auctions.yahoo.co.jp/jp/auction/j1222327781</t>
        </is>
      </c>
    </row>
    <row r="19">
      <c r="A19" s="8" t="inlineStr">
        <is>
          <t>アルファード</t>
        </is>
      </c>
      <c r="B19" s="8" t="n">
        <v>2023</v>
      </c>
      <c r="C19" s="8" t="inlineStr">
        <is>
          <t>30系後期</t>
        </is>
      </c>
      <c r="D19" s="11" t="n">
        <v>5229000</v>
      </c>
      <c r="E19" s="8" t="n">
        <v>1</v>
      </c>
      <c r="F19" s="11" t="n">
        <v>32518</v>
      </c>
      <c r="G19" s="8" t="inlineStr">
        <is>
          <t>REAL_MILEAGE</t>
        </is>
      </c>
      <c r="H19" s="8" t="inlineStr">
        <is>
          <t>NONE</t>
        </is>
      </c>
      <c r="I19" s="11" t="n">
        <v>0</v>
      </c>
      <c r="J19" s="8" t="inlineStr">
        <is>
          <t>2026-03-08T23:36:36+09:00</t>
        </is>
      </c>
      <c r="K19" s="14" t="inlineStr">
        <is>
          <t>【諸費用コミ】:令和5年 アルファード 2.5 S Cパッケージ</t>
        </is>
      </c>
      <c r="L19" s="8" t="inlineStr">
        <is>
          <t>https://page.auctions.yahoo.co.jp/jp/auction/e1221380000</t>
        </is>
      </c>
    </row>
    <row r="20">
      <c r="A20" s="13" t="inlineStr">
        <is>
          <t>アルファード</t>
        </is>
      </c>
      <c r="B20" s="13" t="n">
        <v>2022</v>
      </c>
      <c r="C20" s="13" t="inlineStr">
        <is>
          <t>30系後期</t>
        </is>
      </c>
      <c r="D20" s="15" t="n">
        <v>4680000</v>
      </c>
      <c r="E20" s="13" t="n">
        <v>1</v>
      </c>
      <c r="F20" s="15" t="n">
        <v>21000</v>
      </c>
      <c r="G20" s="13" t="inlineStr">
        <is>
          <t>REAL_MILEAGE</t>
        </is>
      </c>
      <c r="H20" s="13" t="inlineStr">
        <is>
          <t>NONE</t>
        </is>
      </c>
      <c r="I20" s="15" t="n">
        <v>0</v>
      </c>
      <c r="J20" s="13" t="inlineStr">
        <is>
          <t>2026-03-21T02:22:12+09:00</t>
        </is>
      </c>
      <c r="K20" s="14" t="inlineStr">
        <is>
          <t>【諸費用コミ】:■自社NEWオートローン岡山■全国納車■頭金/保証人不■84回払可■ 令和4年 アルファード 2.5 S Cパッケ</t>
        </is>
      </c>
      <c r="L20" s="13" t="inlineStr">
        <is>
          <t>https://page.auctions.yahoo.co.jp/jp/auction/b1221360514</t>
        </is>
      </c>
    </row>
    <row r="21">
      <c r="A21" s="8" t="inlineStr">
        <is>
          <t>アルファード</t>
        </is>
      </c>
      <c r="B21" s="8" t="n">
        <v>2020</v>
      </c>
      <c r="C21" s="8" t="inlineStr">
        <is>
          <t>30系後期</t>
        </is>
      </c>
      <c r="D21" s="11" t="n">
        <v>2847000</v>
      </c>
      <c r="E21" s="8" t="n">
        <v>112</v>
      </c>
      <c r="F21" s="11" t="n">
        <v>94558</v>
      </c>
      <c r="G21" s="8" t="inlineStr">
        <is>
          <t>REAL_MILEAGE</t>
        </is>
      </c>
      <c r="H21" s="8" t="inlineStr">
        <is>
          <t>NONE</t>
        </is>
      </c>
      <c r="I21" s="11" t="n">
        <v>14900</v>
      </c>
      <c r="J21" s="8" t="inlineStr">
        <is>
          <t>2026-08-10T18:39:04+09:00</t>
        </is>
      </c>
      <c r="K21" s="14" t="inlineStr">
        <is>
          <t>★令和2年 トヨタアルファード 2.5 Sタイプゴールド 特別・限定 フリップダウンモニター デジタルインナーミラー車検9年8月★</t>
        </is>
      </c>
      <c r="L21" s="8" t="inlineStr">
        <is>
          <t>https://page.auctions.yahoo.co.jp/jp/auction/x1239543511</t>
        </is>
      </c>
    </row>
    <row r="22">
      <c r="A22" s="13" t="inlineStr">
        <is>
          <t>アルファード</t>
        </is>
      </c>
      <c r="B22" s="13" t="n">
        <v>2020</v>
      </c>
      <c r="C22" s="13" t="inlineStr">
        <is>
          <t>30系後期</t>
        </is>
      </c>
      <c r="D22" s="15" t="n">
        <v>2460000</v>
      </c>
      <c r="E22" s="13" t="n">
        <v>237</v>
      </c>
      <c r="F22" s="15" t="n">
        <v>49900</v>
      </c>
      <c r="G22" s="13" t="inlineStr">
        <is>
          <t>REAL_MILEAGE</t>
        </is>
      </c>
      <c r="H22" s="13" t="n"/>
      <c r="I22" s="15" t="n">
        <v>0</v>
      </c>
      <c r="J22" s="13" t="inlineStr">
        <is>
          <t>2026-06-06T21:41:23+09:00</t>
        </is>
      </c>
      <c r="K22" s="14" t="inlineStr">
        <is>
          <t xml:space="preserve">1スタトヨタ アルファード 2.5S タイプゴールド 低走行！ 30アルファード 後期 </t>
        </is>
      </c>
      <c r="L22" s="13" t="inlineStr">
        <is>
          <t>https://page.auctions.yahoo.co.jp/jp/auction/1231540953</t>
        </is>
      </c>
    </row>
    <row r="23">
      <c r="A23" s="8" t="inlineStr">
        <is>
          <t>アルファード</t>
        </is>
      </c>
      <c r="B23" s="8" t="n">
        <v>2020</v>
      </c>
      <c r="C23" s="8" t="inlineStr">
        <is>
          <t>30系後期</t>
        </is>
      </c>
      <c r="D23" s="11" t="n">
        <v>3650000</v>
      </c>
      <c r="E23" s="8" t="n">
        <v>94</v>
      </c>
      <c r="F23" s="11" t="n">
        <v>88700</v>
      </c>
      <c r="G23" s="8" t="inlineStr">
        <is>
          <t>REAL_MILEAGE</t>
        </is>
      </c>
      <c r="H23" s="8" t="inlineStr">
        <is>
          <t>NONE</t>
        </is>
      </c>
      <c r="I23" s="11" t="n">
        <v>0</v>
      </c>
      <c r="J23" s="8" t="inlineStr">
        <is>
          <t>2026-05-30T22:16:58+09:00</t>
        </is>
      </c>
      <c r="K23" s="14" t="inlineStr">
        <is>
          <t>★愛知発　★アルファード　★S C パッケージ　★令和2年登録　★8万キロ台　★車検付き　★サンルーフ★レザーシート</t>
        </is>
      </c>
      <c r="L23" s="8" t="inlineStr">
        <is>
          <t>https://page.auctions.yahoo.co.jp/jp/auction/x1231657445</t>
        </is>
      </c>
    </row>
    <row r="24">
      <c r="A24" s="13" t="inlineStr">
        <is>
          <t>アルファード</t>
        </is>
      </c>
      <c r="B24" s="13" t="n">
        <v>2020</v>
      </c>
      <c r="C24" s="13" t="inlineStr">
        <is>
          <t>30系後期</t>
        </is>
      </c>
      <c r="D24" s="15" t="n">
        <v>2448000</v>
      </c>
      <c r="E24" s="13" t="n">
        <v>3</v>
      </c>
      <c r="F24" s="15" t="n">
        <v>124950</v>
      </c>
      <c r="G24" s="13" t="inlineStr">
        <is>
          <t>REAL_MILEAGE</t>
        </is>
      </c>
      <c r="H24" s="13" t="inlineStr">
        <is>
          <t>NONE</t>
        </is>
      </c>
      <c r="I24" s="15" t="n">
        <v>0</v>
      </c>
      <c r="J24" s="13" t="inlineStr">
        <is>
          <t>2026-05-28T21:35:13+09:00</t>
        </is>
      </c>
      <c r="K24" s="14" t="inlineStr">
        <is>
          <t>美車　アルファード　30後期　タイプゴールド　 パール　モデリスタ 　車検有</t>
        </is>
      </c>
      <c r="L24" s="13" t="inlineStr">
        <is>
          <t>https://page.auctions.yahoo.co.jp/jp/auction/1226049327</t>
        </is>
      </c>
    </row>
    <row r="25">
      <c r="A25" s="8" t="inlineStr">
        <is>
          <t>アルファード</t>
        </is>
      </c>
      <c r="B25" s="8" t="n">
        <v>2020</v>
      </c>
      <c r="C25" s="8" t="inlineStr">
        <is>
          <t>30系後期</t>
        </is>
      </c>
      <c r="D25" s="11" t="n">
        <v>2206000</v>
      </c>
      <c r="E25" s="8" t="n">
        <v>162</v>
      </c>
      <c r="F25" s="11" t="n">
        <v>98500</v>
      </c>
      <c r="G25" s="8" t="inlineStr">
        <is>
          <t>REAL_MILEAGE</t>
        </is>
      </c>
      <c r="H25" s="8" t="n"/>
      <c r="I25" s="11" t="n">
        <v>0</v>
      </c>
      <c r="J25" s="8" t="inlineStr">
        <is>
          <t>2026-04-25T22:07:09+09:00</t>
        </is>
      </c>
      <c r="K25" s="14" t="inlineStr">
        <is>
          <t>早い者勝ち★極上美車★トヨタ アルファード Sタイプゴールド 4WD★特別仕様車★両側パワスラ★人気車</t>
        </is>
      </c>
      <c r="L25" s="8" t="inlineStr">
        <is>
          <t>https://page.auctions.yahoo.co.jp/jp/auction/r1227350447</t>
        </is>
      </c>
    </row>
    <row r="26">
      <c r="A26" s="13" t="inlineStr">
        <is>
          <t>アルファード</t>
        </is>
      </c>
      <c r="B26" s="13" t="n">
        <v>2020</v>
      </c>
      <c r="C26" s="13" t="inlineStr">
        <is>
          <t>30系後期</t>
        </is>
      </c>
      <c r="D26" s="15" t="n">
        <v>2509001</v>
      </c>
      <c r="E26" s="13" t="n">
        <v>187</v>
      </c>
      <c r="F26" s="15" t="n">
        <v>97400</v>
      </c>
      <c r="G26" s="13" t="inlineStr">
        <is>
          <t>REAL_MILEAGE</t>
        </is>
      </c>
      <c r="H26" s="13" t="inlineStr">
        <is>
          <t>NONE</t>
        </is>
      </c>
      <c r="I26" s="15" t="n">
        <v>0</v>
      </c>
      <c r="J26" s="13" t="inlineStr">
        <is>
          <t>2026-04-09T21:33:20+09:00</t>
        </is>
      </c>
      <c r="K26" s="14" t="inlineStr">
        <is>
          <t>★トヨタ アルファード Sタイプゴールド★2020年★4WD★低走行9.7万km★車検あり★両側パワスラ★極上美車★早い者勝ち！</t>
        </is>
      </c>
      <c r="L26" s="13" t="inlineStr">
        <is>
          <t>https://page.auctions.yahoo.co.jp/jp/auction/u1225216861</t>
        </is>
      </c>
    </row>
    <row r="27">
      <c r="A27" s="8" t="inlineStr">
        <is>
          <t>アルファード</t>
        </is>
      </c>
      <c r="B27" s="8" t="n">
        <v>2020</v>
      </c>
      <c r="C27" s="8" t="inlineStr">
        <is>
          <t>30系後期</t>
        </is>
      </c>
      <c r="D27" s="11" t="n">
        <v>2003001</v>
      </c>
      <c r="E27" s="8" t="n">
        <v>181</v>
      </c>
      <c r="F27" s="11" t="n">
        <v>98000</v>
      </c>
      <c r="G27" s="8" t="inlineStr">
        <is>
          <t>REAL_MILEAGE</t>
        </is>
      </c>
      <c r="H27" s="8" t="inlineStr">
        <is>
          <t>NONE</t>
        </is>
      </c>
      <c r="I27" s="11" t="n">
        <v>0</v>
      </c>
      <c r="J27" s="8" t="inlineStr">
        <is>
          <t>2026-03-22T21:28:19+09:00</t>
        </is>
      </c>
      <c r="K27" s="14" t="inlineStr">
        <is>
          <t>☆アルファード　後期モデル　X　8人乗り　検9年4月　ワンオーナー　即戦力☆</t>
        </is>
      </c>
      <c r="L27" s="8" t="inlineStr">
        <is>
          <t>https://page.auctions.yahoo.co.jp/jp/auction/d1222322595</t>
        </is>
      </c>
    </row>
    <row r="28">
      <c r="A28" s="13" t="inlineStr">
        <is>
          <t>アルファード</t>
        </is>
      </c>
      <c r="B28" s="13" t="n">
        <v>2019</v>
      </c>
      <c r="C28" s="13" t="inlineStr">
        <is>
          <t>30系後期</t>
        </is>
      </c>
      <c r="D28" s="15" t="n">
        <v>2851000</v>
      </c>
      <c r="E28" s="13" t="n">
        <v>2</v>
      </c>
      <c r="F28" s="15" t="n">
        <v>66000</v>
      </c>
      <c r="G28" s="13" t="inlineStr">
        <is>
          <t>REAL_MILEAGE</t>
        </is>
      </c>
      <c r="H28" s="13" t="inlineStr">
        <is>
          <t>EXISTS</t>
        </is>
      </c>
      <c r="I28" s="15" t="n">
        <v>0</v>
      </c>
      <c r="J28" s="13" t="inlineStr">
        <is>
          <t>2026-06-20T22:45:45+09:00</t>
        </is>
      </c>
      <c r="K28" s="14" t="inlineStr">
        <is>
          <t>R1年9月　トヨタ　アルファード　２．５ＳＣパッケージ！！人気色ブラック！！カワシート！！フリップダウンモニター！！</t>
        </is>
      </c>
      <c r="L28" s="13" t="inlineStr">
        <is>
          <t>https://page.auctions.yahoo.co.jp/jp/auction/o1232572315</t>
        </is>
      </c>
    </row>
    <row r="29">
      <c r="A29" s="8" t="inlineStr">
        <is>
          <t>アルファード</t>
        </is>
      </c>
      <c r="B29" s="8" t="n">
        <v>2019</v>
      </c>
      <c r="C29" s="8" t="inlineStr">
        <is>
          <t>30系後期</t>
        </is>
      </c>
      <c r="D29" s="11" t="n">
        <v>3003000</v>
      </c>
      <c r="E29" s="8" t="n">
        <v>307</v>
      </c>
      <c r="F29" s="11" t="n">
        <v>56000</v>
      </c>
      <c r="G29" s="8" t="inlineStr">
        <is>
          <t>REAL_MILEAGE</t>
        </is>
      </c>
      <c r="H29" s="8" t="inlineStr">
        <is>
          <t>NONE</t>
        </is>
      </c>
      <c r="I29" s="11" t="n">
        <v>0</v>
      </c>
      <c r="J29" s="8" t="inlineStr">
        <is>
          <t>2026-06-10T21:34:30+09:00</t>
        </is>
      </c>
      <c r="K29" s="14" t="inlineStr">
        <is>
          <t>アルファード ハイブリッド X/ 燃料：ハイブリッド（ガソリン）/排気量：2,500cc/ ETC /バックカメラ /サンルーフ /車検は2年 /</t>
        </is>
      </c>
      <c r="L29" s="8" t="inlineStr">
        <is>
          <t>https://page.auctions.yahoo.co.jp/jp/auction/v1232217117</t>
        </is>
      </c>
    </row>
    <row r="30">
      <c r="A30" s="13" t="inlineStr">
        <is>
          <t>アルファード</t>
        </is>
      </c>
      <c r="B30" s="13" t="n">
        <v>2019</v>
      </c>
      <c r="C30" s="13" t="inlineStr">
        <is>
          <t>30系後期</t>
        </is>
      </c>
      <c r="D30" s="15" t="n">
        <v>1980000</v>
      </c>
      <c r="E30" s="13" t="n">
        <v>1</v>
      </c>
      <c r="F30" s="15" t="n">
        <v>109000</v>
      </c>
      <c r="G30" s="13" t="inlineStr">
        <is>
          <t>REAL_MILEAGE</t>
        </is>
      </c>
      <c r="H30" s="13" t="inlineStr">
        <is>
          <t>EXISTS</t>
        </is>
      </c>
      <c r="I30" s="15" t="n">
        <v>0</v>
      </c>
      <c r="J30" s="13" t="inlineStr">
        <is>
          <t>2026-03-22T09:18:41+09:00</t>
        </is>
      </c>
      <c r="K30" s="14" t="inlineStr">
        <is>
          <t>アルファード 2.5 X LM仕様 LM350仕様</t>
        </is>
      </c>
      <c r="L30" s="13" t="inlineStr">
        <is>
          <t>https://page.auctions.yahoo.co.jp/jp/auction/h1221353438</t>
        </is>
      </c>
    </row>
    <row r="31">
      <c r="A31" s="8" t="inlineStr">
        <is>
          <t>アルファード</t>
        </is>
      </c>
      <c r="B31" s="8" t="n">
        <v>2019</v>
      </c>
      <c r="C31" s="8" t="inlineStr">
        <is>
          <t>30系後期</t>
        </is>
      </c>
      <c r="D31" s="11" t="n">
        <v>2821000</v>
      </c>
      <c r="E31" s="8" t="n">
        <v>15</v>
      </c>
      <c r="F31" s="11" t="n">
        <v>131000</v>
      </c>
      <c r="G31" s="8" t="inlineStr">
        <is>
          <t>REAL_MILEAGE</t>
        </is>
      </c>
      <c r="H31" s="8" t="inlineStr">
        <is>
          <t>NONE</t>
        </is>
      </c>
      <c r="I31" s="11" t="n">
        <v>0</v>
      </c>
      <c r="J31" s="8" t="inlineStr">
        <is>
          <t>2026-03-03T21:38:06+09:00</t>
        </is>
      </c>
      <c r="K31" s="14" t="inlineStr">
        <is>
          <t>美車30系アルファード後期★車検令和8年7月まで★EXラウンジ★禁煙車★</t>
        </is>
      </c>
      <c r="L31" s="8" t="inlineStr">
        <is>
          <t>https://page.auctions.yahoo.co.jp/jp/auction/j1220791923</t>
        </is>
      </c>
    </row>
    <row r="32">
      <c r="A32" s="13" t="inlineStr">
        <is>
          <t>アルファード</t>
        </is>
      </c>
      <c r="B32" s="13" t="n">
        <v>2019</v>
      </c>
      <c r="C32" s="13" t="inlineStr">
        <is>
          <t>30系後期</t>
        </is>
      </c>
      <c r="D32" s="15" t="n">
        <v>2502000</v>
      </c>
      <c r="E32" s="13" t="n">
        <v>104</v>
      </c>
      <c r="F32" s="15" t="n">
        <v>88300</v>
      </c>
      <c r="G32" s="13" t="inlineStr">
        <is>
          <t>REAL_MILEAGE</t>
        </is>
      </c>
      <c r="H32" s="13" t="inlineStr">
        <is>
          <t>NONE</t>
        </is>
      </c>
      <c r="I32" s="15" t="n">
        <v>0</v>
      </c>
      <c r="J32" s="13" t="inlineStr">
        <is>
          <t>2026-02-27T23:13:28+09:00</t>
        </is>
      </c>
      <c r="K32" s="14" t="inlineStr">
        <is>
          <t>後期 モデル / アルファード / SC / 車検ロング // 完全売切 内外装キレイ</t>
        </is>
      </c>
      <c r="L32" s="13" t="inlineStr">
        <is>
          <t>https://page.auctions.yahoo.co.jp/jp/auction/o1220925836</t>
        </is>
      </c>
    </row>
    <row r="33">
      <c r="A33" s="8" t="inlineStr">
        <is>
          <t>アルファード</t>
        </is>
      </c>
      <c r="B33" s="8" t="n">
        <v>2018</v>
      </c>
      <c r="C33" s="8" t="inlineStr">
        <is>
          <t>30系後期</t>
        </is>
      </c>
      <c r="D33" s="11" t="n">
        <v>2668000</v>
      </c>
      <c r="E33" s="8" t="n">
        <v>74</v>
      </c>
      <c r="F33" s="11" t="n">
        <v>84805</v>
      </c>
      <c r="G33" s="8" t="inlineStr">
        <is>
          <t>REAL_MILEAGE</t>
        </is>
      </c>
      <c r="H33" s="8" t="inlineStr">
        <is>
          <t>NONE</t>
        </is>
      </c>
      <c r="I33" s="11" t="n">
        <v>16550</v>
      </c>
      <c r="J33" s="8" t="inlineStr">
        <is>
          <t>2026-08-17T21:03:14+09:00</t>
        </is>
      </c>
      <c r="K33" s="14" t="inlineStr">
        <is>
          <t>平成30年 トヨタ アルファード 後期 Ｓ Ｃパッケージ フルモデリスタエアロ 両側パワースライドドア ETC JBL 前後ドラレコ シートヒーター</t>
        </is>
      </c>
      <c r="L33" s="8" t="inlineStr">
        <is>
          <t>https://page.auctions.yahoo.co.jp/jp/auction/u1240763242</t>
        </is>
      </c>
    </row>
    <row r="34">
      <c r="A34" s="13" t="inlineStr">
        <is>
          <t>アルファード</t>
        </is>
      </c>
      <c r="B34" s="13" t="n">
        <v>2018</v>
      </c>
      <c r="C34" s="13" t="inlineStr">
        <is>
          <t>30系後期</t>
        </is>
      </c>
      <c r="D34" s="15" t="n">
        <v>3251000</v>
      </c>
      <c r="E34" s="13" t="n">
        <v>139</v>
      </c>
      <c r="F34" s="15" t="n">
        <v>89789</v>
      </c>
      <c r="G34" s="13" t="inlineStr">
        <is>
          <t>REAL_MILEAGE</t>
        </is>
      </c>
      <c r="H34" s="13" t="inlineStr">
        <is>
          <t>NONE</t>
        </is>
      </c>
      <c r="I34" s="15" t="n">
        <v>0</v>
      </c>
      <c r="J34" s="13" t="inlineStr">
        <is>
          <t>2026-08-16T23:44:33+09:00</t>
        </is>
      </c>
      <c r="K34" s="14" t="inlineStr">
        <is>
          <t>★アルファード★30後期★フルモデリスタ★SRC★ハイブリッド★JBL★リアエンターテイナー★9万キロ★コーティング施行済み★</t>
        </is>
      </c>
      <c r="L34" s="13" t="inlineStr">
        <is>
          <t>https://page.auctions.yahoo.co.jp/jp/auction/l1239644074</t>
        </is>
      </c>
    </row>
    <row r="35">
      <c r="A35" s="8" t="inlineStr">
        <is>
          <t>アルファード</t>
        </is>
      </c>
      <c r="B35" s="8" t="n">
        <v>2018</v>
      </c>
      <c r="C35" s="8" t="inlineStr">
        <is>
          <t>30系後期</t>
        </is>
      </c>
      <c r="D35" s="11" t="n">
        <v>4700000</v>
      </c>
      <c r="E35" s="8" t="n">
        <v>1</v>
      </c>
      <c r="F35" s="11" t="n">
        <v>15000</v>
      </c>
      <c r="G35" s="8" t="inlineStr">
        <is>
          <t>REAL_MILEAGE</t>
        </is>
      </c>
      <c r="H35" s="8" t="inlineStr">
        <is>
          <t>NONE</t>
        </is>
      </c>
      <c r="I35" s="11" t="n">
        <v>0</v>
      </c>
      <c r="J35" s="8" t="inlineStr">
        <is>
          <t>2026-06-30T16:32:14+09:00</t>
        </is>
      </c>
      <c r="K35" s="14" t="inlineStr">
        <is>
          <t>アルファードハイブリッド　S 30年　走行15000k 車検満タン</t>
        </is>
      </c>
      <c r="L35" s="8" t="inlineStr">
        <is>
          <t>https://page.auctions.yahoo.co.jp/jp/auction/j1235422793</t>
        </is>
      </c>
    </row>
    <row r="36">
      <c r="A36" s="13" t="inlineStr">
        <is>
          <t>アルファード</t>
        </is>
      </c>
      <c r="B36" s="13" t="n">
        <v>2018</v>
      </c>
      <c r="C36" s="13" t="inlineStr">
        <is>
          <t>30系後期</t>
        </is>
      </c>
      <c r="D36" s="15" t="n">
        <v>2350000</v>
      </c>
      <c r="E36" s="13" t="n">
        <v>1</v>
      </c>
      <c r="F36" s="15" t="n">
        <v>90900</v>
      </c>
      <c r="G36" s="13" t="inlineStr">
        <is>
          <t>REAL_MILEAGE</t>
        </is>
      </c>
      <c r="H36" s="13" t="inlineStr">
        <is>
          <t>EXISTS</t>
        </is>
      </c>
      <c r="I36" s="15" t="n">
        <v>0</v>
      </c>
      <c r="J36" s="13" t="inlineStr">
        <is>
          <t>2026-06-04T09:10:36+09:00</t>
        </is>
      </c>
      <c r="K36" s="14" t="inlineStr">
        <is>
          <t>【諸費用コミ】:平成30年 トヨタ アルファード 2.5 S アルパイン ビックX リアモニター 両側パワスラ パワーバックドア</t>
        </is>
      </c>
      <c r="L36" s="13" t="inlineStr">
        <is>
          <t>https://page.auctions.yahoo.co.jp/jp/auction/d1230708142</t>
        </is>
      </c>
    </row>
    <row r="37">
      <c r="A37" s="8" t="inlineStr">
        <is>
          <t>アルファード</t>
        </is>
      </c>
      <c r="B37" s="8" t="n">
        <v>2018</v>
      </c>
      <c r="C37" s="8" t="inlineStr">
        <is>
          <t>30系後期</t>
        </is>
      </c>
      <c r="D37" s="11" t="n">
        <v>2901000</v>
      </c>
      <c r="E37" s="8" t="n">
        <v>238</v>
      </c>
      <c r="F37" s="11" t="n">
        <v>110848</v>
      </c>
      <c r="G37" s="8" t="inlineStr">
        <is>
          <t>REAL_MILEAGE</t>
        </is>
      </c>
      <c r="H37" s="8" t="inlineStr">
        <is>
          <t>NONE</t>
        </is>
      </c>
      <c r="I37" s="11" t="n">
        <v>0</v>
      </c>
      <c r="J37" s="8" t="inlineStr">
        <is>
          <t>2026-05-23T23:07:23+09:00</t>
        </is>
      </c>
      <c r="K37" s="14" t="inlineStr">
        <is>
          <t>アルファード30系 AGH30 後期 モデリスタエアロ SC パッケージ 車検付き</t>
        </is>
      </c>
      <c r="L37" s="8" t="inlineStr">
        <is>
          <t>https://page.auctions.yahoo.co.jp/jp/auction/x1229914235</t>
        </is>
      </c>
    </row>
    <row r="38">
      <c r="A38" s="13" t="inlineStr">
        <is>
          <t>アルファード</t>
        </is>
      </c>
      <c r="B38" s="13" t="n">
        <v>2018</v>
      </c>
      <c r="C38" s="13" t="inlineStr">
        <is>
          <t>30系後期</t>
        </is>
      </c>
      <c r="D38" s="15" t="n">
        <v>2830000</v>
      </c>
      <c r="E38" s="13" t="n">
        <v>1</v>
      </c>
      <c r="F38" s="15" t="n">
        <v>110848</v>
      </c>
      <c r="G38" s="13" t="inlineStr">
        <is>
          <t>REAL_MILEAGE</t>
        </is>
      </c>
      <c r="H38" s="13" t="n"/>
      <c r="I38" s="15" t="n">
        <v>0</v>
      </c>
      <c r="J38" s="13" t="inlineStr">
        <is>
          <t>2026-05-18T20:41:25+09:00</t>
        </is>
      </c>
      <c r="K38" s="14" t="inlineStr">
        <is>
          <t>アルファード30系 AGH30 後期 モデリスタエアロ SCパッケージ 大阪府内引き取りのみ</t>
        </is>
      </c>
      <c r="L38" s="13" t="inlineStr">
        <is>
          <t>https://page.auctions.yahoo.co.jp/jp/auction/g1230345804</t>
        </is>
      </c>
    </row>
    <row r="39">
      <c r="A39" s="8" t="inlineStr">
        <is>
          <t>アルファード</t>
        </is>
      </c>
      <c r="B39" s="8" t="n">
        <v>2018</v>
      </c>
      <c r="C39" s="8" t="inlineStr">
        <is>
          <t>30系後期</t>
        </is>
      </c>
      <c r="D39" s="11" t="n">
        <v>2174000</v>
      </c>
      <c r="E39" s="8" t="n">
        <v>558</v>
      </c>
      <c r="F39" s="11" t="n">
        <v>115550</v>
      </c>
      <c r="G39" s="8" t="inlineStr">
        <is>
          <t>REAL_MILEAGE</t>
        </is>
      </c>
      <c r="H39" s="8" t="n"/>
      <c r="I39" s="11" t="n">
        <v>0</v>
      </c>
      <c r="J39" s="8" t="inlineStr">
        <is>
          <t>2026-05-17T19:45:08+09:00</t>
        </is>
      </c>
      <c r="K39" s="14" t="inlineStr">
        <is>
          <t>格安売切！H30年式アルファード(2.5G)・検R9.6.30迄・フルセグ・両PS・Pバックドア・ベージュ本革シート・7人乗り・ナビ・その他装備多数</t>
        </is>
      </c>
      <c r="L39" s="8" t="inlineStr">
        <is>
          <t>https://page.auctions.yahoo.co.jp/jp/auction/x1229097571</t>
        </is>
      </c>
    </row>
    <row r="40">
      <c r="A40" s="13" t="inlineStr">
        <is>
          <t>アルファード</t>
        </is>
      </c>
      <c r="B40" s="13" t="n">
        <v>2017</v>
      </c>
      <c r="C40" s="13" t="inlineStr">
        <is>
          <t>30系前期</t>
        </is>
      </c>
      <c r="D40" s="15" t="n">
        <v>2611888</v>
      </c>
      <c r="E40" s="13" t="n">
        <v>189</v>
      </c>
      <c r="F40" s="15" t="n">
        <v>171500</v>
      </c>
      <c r="G40" s="13" t="inlineStr">
        <is>
          <t>REAL_MILEAGE</t>
        </is>
      </c>
      <c r="H40" s="13" t="n"/>
      <c r="I40" s="15" t="n">
        <v>46550</v>
      </c>
      <c r="J40" s="13" t="inlineStr">
        <is>
          <t>2026-07-12T21:20:56+09:00</t>
        </is>
      </c>
      <c r="K40" s="14" t="inlineStr">
        <is>
          <t xml:space="preserve">売切 レクサス LM300h エグゼクティブラウンジ アンビエント YouTube サンルーフ JBL Netflix 両側Pスラ アルファード FireTV 黒革 LM350 </t>
        </is>
      </c>
      <c r="L40" s="13" t="inlineStr">
        <is>
          <t>https://page.auctions.yahoo.co.jp/jp/auction/q1232097796</t>
        </is>
      </c>
    </row>
    <row r="41">
      <c r="A41" s="8" t="inlineStr">
        <is>
          <t>アルファード</t>
        </is>
      </c>
      <c r="B41" s="8" t="n">
        <v>2017</v>
      </c>
      <c r="C41" s="8" t="inlineStr">
        <is>
          <t>30系前期</t>
        </is>
      </c>
      <c r="D41" s="11" t="n">
        <v>3480000</v>
      </c>
      <c r="E41" s="8" t="n">
        <v>5</v>
      </c>
      <c r="F41" s="11" t="n">
        <v>9829</v>
      </c>
      <c r="G41" s="8" t="inlineStr">
        <is>
          <t>REAL_MILEAGE</t>
        </is>
      </c>
      <c r="H41" s="8" t="inlineStr">
        <is>
          <t>NONE</t>
        </is>
      </c>
      <c r="I41" s="11" t="n">
        <v>0</v>
      </c>
      <c r="J41" s="8" t="inlineStr">
        <is>
          <t>2026-07-05T21:41:33+09:00</t>
        </is>
      </c>
      <c r="K41" s="14" t="inlineStr">
        <is>
          <t>平成29年式30アルファードHV SR-C 4WD 寒冷地仕様　走行距離9,829Km　札幌発</t>
        </is>
      </c>
      <c r="L41" s="8" t="inlineStr">
        <is>
          <t>https://page.auctions.yahoo.co.jp/jp/auction/j1234475542</t>
        </is>
      </c>
    </row>
    <row r="42">
      <c r="A42" s="13" t="inlineStr">
        <is>
          <t>アルファード</t>
        </is>
      </c>
      <c r="B42" s="13" t="n">
        <v>2017</v>
      </c>
      <c r="C42" s="13" t="inlineStr">
        <is>
          <t>30系前期</t>
        </is>
      </c>
      <c r="D42" s="15" t="n">
        <v>2080001</v>
      </c>
      <c r="E42" s="13" t="n">
        <v>1</v>
      </c>
      <c r="F42" s="15" t="n">
        <v>113000</v>
      </c>
      <c r="G42" s="13" t="inlineStr">
        <is>
          <t>REAL_MILEAGE</t>
        </is>
      </c>
      <c r="H42" s="13" t="inlineStr">
        <is>
          <t>EXISTS</t>
        </is>
      </c>
      <c r="I42" s="15" t="n">
        <v>0</v>
      </c>
      <c r="J42" s="13" t="inlineStr">
        <is>
          <t>2026-06-18T17:33:04+09:00</t>
        </is>
      </c>
      <c r="K42" s="14" t="inlineStr">
        <is>
          <t>アルファード 2.5 S Aパッケージ タイプ ブラック LM仕様 LM350仕様 LEDヘッドライト シーケ</t>
        </is>
      </c>
      <c r="L42" s="13" t="inlineStr">
        <is>
          <t>https://page.auctions.yahoo.co.jp/jp/auction/t1231956375</t>
        </is>
      </c>
    </row>
    <row r="43">
      <c r="A43" s="8" t="inlineStr">
        <is>
          <t>アルファード</t>
        </is>
      </c>
      <c r="B43" s="8" t="n">
        <v>2017</v>
      </c>
      <c r="C43" s="8" t="inlineStr">
        <is>
          <t>30系前期</t>
        </is>
      </c>
      <c r="D43" s="11" t="n">
        <v>1330000</v>
      </c>
      <c r="E43" s="8" t="n">
        <v>1</v>
      </c>
      <c r="F43" s="11" t="n">
        <v>138000</v>
      </c>
      <c r="G43" s="8" t="inlineStr">
        <is>
          <t>REAL_MILEAGE</t>
        </is>
      </c>
      <c r="H43" s="8" t="inlineStr">
        <is>
          <t>NONE</t>
        </is>
      </c>
      <c r="I43" s="11" t="n">
        <v>0</v>
      </c>
      <c r="J43" s="8" t="inlineStr">
        <is>
          <t>2026-05-10T18:34:34+09:00</t>
        </is>
      </c>
      <c r="K43" s="14" t="inlineStr">
        <is>
          <t>アルファード 2.5 G ALPINE9インチナビ　フルセグTV</t>
        </is>
      </c>
      <c r="L43" s="8" t="inlineStr">
        <is>
          <t>https://page.auctions.yahoo.co.jp/jp/auction/p1229253295</t>
        </is>
      </c>
    </row>
    <row r="44">
      <c r="A44" s="13" t="inlineStr">
        <is>
          <t>アルファード</t>
        </is>
      </c>
      <c r="B44" s="13" t="n">
        <v>2017</v>
      </c>
      <c r="C44" s="13" t="inlineStr">
        <is>
          <t>30系前期</t>
        </is>
      </c>
      <c r="D44" s="15" t="n">
        <v>1330000</v>
      </c>
      <c r="E44" s="13" t="n">
        <v>1</v>
      </c>
      <c r="F44" s="15" t="n">
        <v>138000</v>
      </c>
      <c r="G44" s="13" t="inlineStr">
        <is>
          <t>REAL_MILEAGE</t>
        </is>
      </c>
      <c r="H44" s="13" t="inlineStr">
        <is>
          <t>NONE</t>
        </is>
      </c>
      <c r="I44" s="15" t="n">
        <v>0</v>
      </c>
      <c r="J44" s="13" t="inlineStr">
        <is>
          <t>2026-05-03T20:53:03+09:00</t>
        </is>
      </c>
      <c r="K44" s="14" t="inlineStr">
        <is>
          <t>アルファード 2.5 G ALPINE9インチナビ　フルセグTV</t>
        </is>
      </c>
      <c r="L44" s="13" t="inlineStr">
        <is>
          <t>https://page.auctions.yahoo.co.jp/jp/auction/o1227354964</t>
        </is>
      </c>
    </row>
    <row r="45">
      <c r="A45" s="8" t="inlineStr">
        <is>
          <t>アルファード</t>
        </is>
      </c>
      <c r="B45" s="8" t="n">
        <v>2017</v>
      </c>
      <c r="C45" s="8" t="inlineStr">
        <is>
          <t>30系前期</t>
        </is>
      </c>
      <c r="D45" s="11" t="n">
        <v>1500000</v>
      </c>
      <c r="E45" s="8" t="n">
        <v>1</v>
      </c>
      <c r="F45" s="11" t="n">
        <v>130000</v>
      </c>
      <c r="G45" s="8" t="inlineStr">
        <is>
          <t>REAL_MILEAGE</t>
        </is>
      </c>
      <c r="H45" s="8" t="inlineStr">
        <is>
          <t>NONE</t>
        </is>
      </c>
      <c r="I45" s="11" t="n">
        <v>0</v>
      </c>
      <c r="J45" s="8" t="inlineStr">
        <is>
          <t>2026-03-05T13:34:27+09:00</t>
        </is>
      </c>
      <c r="K45" s="14" t="inlineStr">
        <is>
          <t xml:space="preserve">トヨタ アルファード 30系前期 SCパッケージ </t>
        </is>
      </c>
      <c r="L45" s="8" t="inlineStr">
        <is>
          <t>https://page.auctions.yahoo.co.jp/jp/auction/u1221442364</t>
        </is>
      </c>
    </row>
    <row r="46">
      <c r="A46" s="13" t="inlineStr">
        <is>
          <t>アルファード</t>
        </is>
      </c>
      <c r="B46" s="13" t="n">
        <v>2016</v>
      </c>
      <c r="C46" s="13" t="inlineStr">
        <is>
          <t>30系前期</t>
        </is>
      </c>
      <c r="D46" s="15" t="n">
        <v>1395000</v>
      </c>
      <c r="E46" s="13" t="n">
        <v>7</v>
      </c>
      <c r="F46" s="15" t="n">
        <v>148000</v>
      </c>
      <c r="G46" s="13" t="inlineStr">
        <is>
          <t>REAL_MILEAGE</t>
        </is>
      </c>
      <c r="H46" s="13" t="n"/>
      <c r="I46" s="15" t="n">
        <v>0</v>
      </c>
      <c r="J46" s="13" t="inlineStr">
        <is>
          <t>2026-05-30T21:46:23+09:00</t>
        </is>
      </c>
      <c r="K46" s="14" t="inlineStr">
        <is>
          <t>今回限り売切り！好調美車！アルファード2.5S Aパケ 走行148,000 車検R9.3 ローダウン社外21inAW TVフリップダウンモニターETC下取大歓迎！</t>
        </is>
      </c>
      <c r="L46" s="13" t="inlineStr">
        <is>
          <t>https://page.auctions.yahoo.co.jp/jp/auction/w1230123248</t>
        </is>
      </c>
    </row>
    <row r="47">
      <c r="A47" s="8" t="inlineStr">
        <is>
          <t>アルファード</t>
        </is>
      </c>
      <c r="B47" s="8" t="n">
        <v>2016</v>
      </c>
      <c r="C47" s="8" t="inlineStr">
        <is>
          <t>30系前期</t>
        </is>
      </c>
      <c r="D47" s="11" t="n">
        <v>2981000</v>
      </c>
      <c r="E47" s="8" t="n">
        <v>140</v>
      </c>
      <c r="F47" s="11" t="n">
        <v>54629</v>
      </c>
      <c r="G47" s="8" t="inlineStr">
        <is>
          <t>REAL_MILEAGE</t>
        </is>
      </c>
      <c r="H47" s="8" t="inlineStr">
        <is>
          <t>NONE</t>
        </is>
      </c>
      <c r="I47" s="11" t="n">
        <v>0</v>
      </c>
      <c r="J47" s="8" t="inlineStr">
        <is>
          <t>2026-05-02T22:08:20+09:00</t>
        </is>
      </c>
      <c r="K47" s="14" t="inlineStr">
        <is>
          <t>0円スタート!! トヨタ アルファードHV G Fパッケージ 4WD 平成28年 5.4万km 車検R9/5 低走行 美車</t>
        </is>
      </c>
      <c r="L47" s="8" t="inlineStr">
        <is>
          <t>https://page.auctions.yahoo.co.jp/jp/auction/o1227278637</t>
        </is>
      </c>
    </row>
    <row r="48">
      <c r="A48" s="13" t="inlineStr">
        <is>
          <t>アルファード</t>
        </is>
      </c>
      <c r="B48" s="13" t="n">
        <v>2015</v>
      </c>
      <c r="C48" s="13" t="inlineStr">
        <is>
          <t>30系前期</t>
        </is>
      </c>
      <c r="D48" s="15" t="n">
        <v>1591000</v>
      </c>
      <c r="E48" s="13" t="n">
        <v>38</v>
      </c>
      <c r="F48" s="15" t="n">
        <v>94000</v>
      </c>
      <c r="G48" s="13" t="inlineStr">
        <is>
          <t>REAL_MILEAGE</t>
        </is>
      </c>
      <c r="H48" s="13" t="inlineStr">
        <is>
          <t>NONE</t>
        </is>
      </c>
      <c r="I48" s="15" t="n">
        <v>0</v>
      </c>
      <c r="J48" s="13" t="inlineStr">
        <is>
          <t>2026-07-15T21:58:47+09:00</t>
        </is>
      </c>
      <c r="K48" s="14" t="inlineStr">
        <is>
          <t>トヨタ アルファード 3.5 SA Cパッケージ ツインムーンルーフ JBL 7人乗り ETC 自走可能 書類付き</t>
        </is>
      </c>
      <c r="L48" s="13" t="inlineStr">
        <is>
          <t>https://page.auctions.yahoo.co.jp/jp/auction/o1236645906</t>
        </is>
      </c>
    </row>
    <row r="49">
      <c r="A49" s="8" t="inlineStr">
        <is>
          <t>アルファード</t>
        </is>
      </c>
      <c r="B49" s="8" t="n">
        <v>2015</v>
      </c>
      <c r="C49" s="8" t="inlineStr">
        <is>
          <t>30系前期</t>
        </is>
      </c>
      <c r="D49" s="11" t="n">
        <v>1648000</v>
      </c>
      <c r="E49" s="8" t="n">
        <v>1</v>
      </c>
      <c r="F49" s="11" t="n">
        <v>155000</v>
      </c>
      <c r="G49" s="8" t="inlineStr">
        <is>
          <t>REAL_MILEAGE</t>
        </is>
      </c>
      <c r="H49" s="8" t="inlineStr">
        <is>
          <t>NONE</t>
        </is>
      </c>
      <c r="I49" s="11" t="n">
        <v>60050</v>
      </c>
      <c r="J49" s="8" t="inlineStr">
        <is>
          <t>2026-06-28T14:00:52+09:00</t>
        </is>
      </c>
      <c r="K49" s="14" t="inlineStr">
        <is>
          <t xml:space="preserve">アルファード　4WD SA Cパッケージ 3500cc ツインモニター 20インチアルミ JBL　パール　車検10/5まで　無事故車　綺麗です　</t>
        </is>
      </c>
      <c r="L49" s="8" t="inlineStr">
        <is>
          <t>https://page.auctions.yahoo.co.jp/jp/auction/c1234354925</t>
        </is>
      </c>
    </row>
    <row r="50">
      <c r="A50" s="13" t="inlineStr">
        <is>
          <t>アルファード</t>
        </is>
      </c>
      <c r="B50" s="13" t="n">
        <v>2015</v>
      </c>
      <c r="C50" s="13" t="inlineStr">
        <is>
          <t>30系前期</t>
        </is>
      </c>
      <c r="D50" s="15" t="n">
        <v>1280000</v>
      </c>
      <c r="E50" s="13" t="n">
        <v>1</v>
      </c>
      <c r="F50" s="15" t="n">
        <v>138000</v>
      </c>
      <c r="G50" s="13" t="inlineStr">
        <is>
          <t>REAL_MILEAGE</t>
        </is>
      </c>
      <c r="H50" s="13" t="inlineStr">
        <is>
          <t>NONE</t>
        </is>
      </c>
      <c r="I50" s="15" t="n">
        <v>0</v>
      </c>
      <c r="J50" s="13" t="inlineStr">
        <is>
          <t>2026-06-17T11:47:05+09:00</t>
        </is>
      </c>
      <c r="K50" s="14" t="inlineStr">
        <is>
          <t>アルファード 2.5 S Aパッケージ ワンオーナー　純正9インチナビ</t>
        </is>
      </c>
      <c r="L50" s="13" t="inlineStr">
        <is>
          <t>https://page.auctions.yahoo.co.jp/jp/auction/m1232672191</t>
        </is>
      </c>
    </row>
    <row r="51">
      <c r="A51" s="8" t="inlineStr">
        <is>
          <t>アルファード</t>
        </is>
      </c>
      <c r="B51" s="8" t="n">
        <v>2015</v>
      </c>
      <c r="C51" s="8" t="inlineStr">
        <is>
          <t>30系前期</t>
        </is>
      </c>
      <c r="D51" s="11" t="n">
        <v>898000</v>
      </c>
      <c r="E51" s="8" t="n">
        <v>2</v>
      </c>
      <c r="F51" s="11" t="n">
        <v>98000</v>
      </c>
      <c r="G51" s="8" t="inlineStr">
        <is>
          <t>REAL_MILEAGE</t>
        </is>
      </c>
      <c r="H51" s="8" t="inlineStr">
        <is>
          <t>EXISTS</t>
        </is>
      </c>
      <c r="I51" s="11" t="n">
        <v>0</v>
      </c>
      <c r="J51" s="8" t="inlineStr">
        <is>
          <t>2026-05-17T13:36:04+09:00</t>
        </is>
      </c>
      <c r="K51" s="14" t="inlineStr">
        <is>
          <t>車検満タン 27年式 アルファード 後期 ナビ TV Bluetooth 後席モニター バックカメラ 両側Pスラ Pバックドア スマキー サンルーフ クルコン</t>
        </is>
      </c>
      <c r="L51" s="8" t="inlineStr">
        <is>
          <t>https://page.auctions.yahoo.co.jp/jp/auction/p1228485763</t>
        </is>
      </c>
    </row>
    <row r="52">
      <c r="A52" s="13" t="inlineStr">
        <is>
          <t>アルファード</t>
        </is>
      </c>
      <c r="B52" s="13" t="n">
        <v>2015</v>
      </c>
      <c r="C52" s="13" t="inlineStr">
        <is>
          <t>30系前期</t>
        </is>
      </c>
      <c r="D52" s="15" t="n">
        <v>1350000</v>
      </c>
      <c r="E52" s="13" t="n">
        <v>244</v>
      </c>
      <c r="F52" s="15" t="n">
        <v>203668</v>
      </c>
      <c r="G52" s="13" t="inlineStr">
        <is>
          <t>REAL_MILEAGE</t>
        </is>
      </c>
      <c r="H52" s="13" t="inlineStr">
        <is>
          <t>NONE</t>
        </is>
      </c>
      <c r="I52" s="15" t="n">
        <v>0</v>
      </c>
      <c r="J52" s="13" t="inlineStr">
        <is>
          <t>2026-04-12T23:47:22+09:00</t>
        </is>
      </c>
      <c r="K52" s="14" t="inlineStr">
        <is>
          <t>トヨタ アルファード30系 AGH30W SAパッケージ サンルーフ付き 車検付き</t>
        </is>
      </c>
      <c r="L52" s="13" t="inlineStr">
        <is>
          <t>https://page.auctions.yahoo.co.jp/jp/auction/q1225257033</t>
        </is>
      </c>
    </row>
    <row r="53">
      <c r="A53" s="8" t="inlineStr">
        <is>
          <t>アルファード</t>
        </is>
      </c>
      <c r="B53" s="8" t="n">
        <v>2014</v>
      </c>
      <c r="C53" s="8" t="inlineStr">
        <is>
          <t>20系</t>
        </is>
      </c>
      <c r="D53" s="11" t="n">
        <v>641000</v>
      </c>
      <c r="E53" s="8" t="n">
        <v>68</v>
      </c>
      <c r="F53" s="11" t="n">
        <v>190000</v>
      </c>
      <c r="G53" s="8" t="inlineStr">
        <is>
          <t>REAL_MILEAGE</t>
        </is>
      </c>
      <c r="H53" s="8" t="inlineStr">
        <is>
          <t>NONE</t>
        </is>
      </c>
      <c r="I53" s="11" t="n">
        <v>0</v>
      </c>
      <c r="J53" s="8" t="inlineStr">
        <is>
          <t>2026-05-24T20:44:48+09:00</t>
        </is>
      </c>
      <c r="K53" s="14" t="inlineStr">
        <is>
          <t>トヨタ アルファード 実走行19万km 修復歴なし 車検10年5月</t>
        </is>
      </c>
      <c r="L53" s="8" t="inlineStr">
        <is>
          <t>https://page.auctions.yahoo.co.jp/jp/auction/u1228787240</t>
        </is>
      </c>
    </row>
    <row r="54">
      <c r="A54" s="13" t="inlineStr">
        <is>
          <t>アルファード</t>
        </is>
      </c>
      <c r="B54" s="13" t="n">
        <v>2014</v>
      </c>
      <c r="C54" s="13" t="inlineStr">
        <is>
          <t>20系</t>
        </is>
      </c>
      <c r="D54" s="15" t="n">
        <v>700000</v>
      </c>
      <c r="E54" s="13" t="n">
        <v>44</v>
      </c>
      <c r="F54" s="15" t="n">
        <v>150022</v>
      </c>
      <c r="G54" s="13" t="inlineStr">
        <is>
          <t>REAL_MILEAGE</t>
        </is>
      </c>
      <c r="H54" s="13" t="inlineStr">
        <is>
          <t>NONE</t>
        </is>
      </c>
      <c r="I54" s="15" t="n">
        <v>0</v>
      </c>
      <c r="J54" s="13" t="inlineStr">
        <is>
          <t>2026-04-11T17:13:09+09:00</t>
        </is>
      </c>
      <c r="K54" s="14" t="inlineStr">
        <is>
          <t>トヨタ アルファード240S タイプゴールド2、車検あり</t>
        </is>
      </c>
      <c r="L54" s="13" t="inlineStr">
        <is>
          <t>https://page.auctions.yahoo.co.jp/jp/auction/v1224533580</t>
        </is>
      </c>
    </row>
    <row r="55">
      <c r="A55" s="8" t="inlineStr">
        <is>
          <t>アルファード</t>
        </is>
      </c>
      <c r="B55" s="8" t="n">
        <v>2013</v>
      </c>
      <c r="C55" s="8" t="inlineStr">
        <is>
          <t>20系</t>
        </is>
      </c>
      <c r="D55" s="11" t="n">
        <v>604260</v>
      </c>
      <c r="E55" s="8" t="n">
        <v>1</v>
      </c>
      <c r="F55" s="11" t="n">
        <v>116883</v>
      </c>
      <c r="G55" s="8" t="inlineStr">
        <is>
          <t>REAL_MILEAGE</t>
        </is>
      </c>
      <c r="H55" s="8" t="inlineStr">
        <is>
          <t>NONE</t>
        </is>
      </c>
      <c r="I55" s="11" t="n">
        <v>0</v>
      </c>
      <c r="J55" s="8" t="inlineStr">
        <is>
          <t>2026-07-20T15:43:43+09:00</t>
        </is>
      </c>
      <c r="K55" s="14" t="inlineStr">
        <is>
          <t>※ATJ様専用出品25年後期アルファード・240G</t>
        </is>
      </c>
      <c r="L55" s="8" t="inlineStr">
        <is>
          <t>https://page.auctions.yahoo.co.jp/jp/auction/w1237769295</t>
        </is>
      </c>
    </row>
    <row r="56">
      <c r="A56" s="13" t="inlineStr">
        <is>
          <t>アルファード</t>
        </is>
      </c>
      <c r="B56" s="13" t="n">
        <v>2013</v>
      </c>
      <c r="C56" s="13" t="inlineStr">
        <is>
          <t>20系</t>
        </is>
      </c>
      <c r="D56" s="15" t="n">
        <v>625000</v>
      </c>
      <c r="E56" s="13" t="n">
        <v>1</v>
      </c>
      <c r="F56" s="15" t="n">
        <v>182800</v>
      </c>
      <c r="G56" s="13" t="inlineStr">
        <is>
          <t>REAL_MILEAGE</t>
        </is>
      </c>
      <c r="H56" s="13" t="inlineStr">
        <is>
          <t>NONE</t>
        </is>
      </c>
      <c r="I56" s="15" t="n">
        <v>54960</v>
      </c>
      <c r="J56" s="13" t="inlineStr">
        <is>
          <t>2026-06-16T14:42:45+09:00</t>
        </is>
      </c>
      <c r="K56" s="14" t="inlineStr">
        <is>
          <t>アルファード*タイプゴールド*検10/6迄*HID*両パワスラ*Wサンルーフ*フリップダウン*PWバックドア*純正ナビ*Bカメラ*DTV*純正AW*310610</t>
        </is>
      </c>
      <c r="L56" s="13" t="inlineStr">
        <is>
          <t>https://page.auctions.yahoo.co.jp/jp/auction/w1233429720</t>
        </is>
      </c>
    </row>
    <row r="57">
      <c r="A57" s="8" t="inlineStr">
        <is>
          <t>アルファード</t>
        </is>
      </c>
      <c r="B57" s="8" t="n">
        <v>2013</v>
      </c>
      <c r="C57" s="8" t="inlineStr">
        <is>
          <t>20系</t>
        </is>
      </c>
      <c r="D57" s="11" t="n">
        <v>748000</v>
      </c>
      <c r="E57" s="8" t="n">
        <v>1</v>
      </c>
      <c r="F57" s="11" t="n">
        <v>128000</v>
      </c>
      <c r="G57" s="8" t="inlineStr">
        <is>
          <t>REAL_MILEAGE</t>
        </is>
      </c>
      <c r="H57" s="8" t="inlineStr">
        <is>
          <t>NONE</t>
        </is>
      </c>
      <c r="I57" s="11" t="n">
        <v>0</v>
      </c>
      <c r="J57" s="8" t="inlineStr">
        <is>
          <t>2026-06-07T07:59:51+09:00</t>
        </is>
      </c>
      <c r="K57" s="14" t="inlineStr">
        <is>
          <t>アルファード 2.4 240S バックカメラ・両側パワースライドドア</t>
        </is>
      </c>
      <c r="L57" s="8" t="inlineStr">
        <is>
          <t>https://page.auctions.yahoo.co.jp/jp/auction/x1217883506</t>
        </is>
      </c>
    </row>
    <row r="58">
      <c r="A58" s="13" t="inlineStr">
        <is>
          <t>アルファード</t>
        </is>
      </c>
      <c r="B58" s="13" t="n">
        <v>2013</v>
      </c>
      <c r="C58" s="13" t="inlineStr">
        <is>
          <t>20系</t>
        </is>
      </c>
      <c r="D58" s="15" t="n">
        <v>598000</v>
      </c>
      <c r="E58" s="13" t="n">
        <v>1</v>
      </c>
      <c r="F58" s="15" t="n">
        <v>175200</v>
      </c>
      <c r="G58" s="13" t="inlineStr">
        <is>
          <t>REAL_MILEAGE</t>
        </is>
      </c>
      <c r="H58" s="13" t="inlineStr">
        <is>
          <t>NONE</t>
        </is>
      </c>
      <c r="I58" s="15" t="n">
        <v>0</v>
      </c>
      <c r="J58" s="13" t="inlineStr">
        <is>
          <t>2026-05-09T14:30:17+09:00</t>
        </is>
      </c>
      <c r="K58" s="14" t="inlineStr">
        <is>
          <t>※福岡県新宮町※アルファード*240S*車検令和8年12月迄*即日お渡し可能*フリップダウンモニター*アルパインナビ*左パワスラ*210411</t>
        </is>
      </c>
      <c r="L58" s="13" t="inlineStr">
        <is>
          <t>https://page.auctions.yahoo.co.jp/jp/auction/l1228335014</t>
        </is>
      </c>
    </row>
    <row r="59">
      <c r="A59" s="8" t="inlineStr">
        <is>
          <t>アルファード</t>
        </is>
      </c>
      <c r="B59" s="8" t="n">
        <v>2013</v>
      </c>
      <c r="C59" s="8" t="inlineStr">
        <is>
          <t>20系</t>
        </is>
      </c>
      <c r="D59" s="11" t="n">
        <v>1280000</v>
      </c>
      <c r="E59" s="8" t="n">
        <v>1</v>
      </c>
      <c r="F59" s="11" t="n">
        <v>85000</v>
      </c>
      <c r="G59" s="8" t="inlineStr">
        <is>
          <t>REAL_MILEAGE</t>
        </is>
      </c>
      <c r="H59" s="8" t="inlineStr">
        <is>
          <t>EXISTS</t>
        </is>
      </c>
      <c r="I59" s="11" t="n">
        <v>0</v>
      </c>
      <c r="J59" s="8" t="inlineStr">
        <is>
          <t>2026-05-09T06:33:24+09:00</t>
        </is>
      </c>
      <c r="K59" s="14" t="inlineStr">
        <is>
          <t>【諸費用コミ】:■信用回復ローン岡山■全国納車■頭金/保証人不■84回払可■ 平成25年 アルファード 2.4 240S タイプゴ</t>
        </is>
      </c>
      <c r="L59" s="8" t="inlineStr">
        <is>
          <t>https://page.auctions.yahoo.co.jp/jp/auction/m1228485522</t>
        </is>
      </c>
    </row>
    <row r="60">
      <c r="A60" s="13" t="inlineStr">
        <is>
          <t>アルファード</t>
        </is>
      </c>
      <c r="B60" s="13" t="n">
        <v>2013</v>
      </c>
      <c r="C60" s="13" t="inlineStr">
        <is>
          <t>20系</t>
        </is>
      </c>
      <c r="D60" s="15" t="n">
        <v>802000</v>
      </c>
      <c r="E60" s="13" t="n">
        <v>4</v>
      </c>
      <c r="F60" s="15" t="n">
        <v>53000</v>
      </c>
      <c r="G60" s="13" t="inlineStr">
        <is>
          <t>REAL_MILEAGE</t>
        </is>
      </c>
      <c r="H60" s="13" t="n"/>
      <c r="I60" s="15" t="n">
        <v>0</v>
      </c>
      <c r="J60" s="13" t="inlineStr">
        <is>
          <t>2026-03-11T20:17:29+09:00</t>
        </is>
      </c>
      <c r="K60" s="14" t="inlineStr">
        <is>
          <t>トヨタ　アルファード　２４０ｓｃ　パッケージ</t>
        </is>
      </c>
      <c r="L60" s="13" t="inlineStr">
        <is>
          <t>https://page.auctions.yahoo.co.jp/jp/auction/x1220480034</t>
        </is>
      </c>
    </row>
    <row r="61">
      <c r="A61" s="8" t="inlineStr">
        <is>
          <t>アルファード</t>
        </is>
      </c>
      <c r="B61" s="8" t="n">
        <v>2012</v>
      </c>
      <c r="C61" s="8" t="inlineStr">
        <is>
          <t>20系</t>
        </is>
      </c>
      <c r="D61" s="11" t="n">
        <v>900000</v>
      </c>
      <c r="E61" s="8" t="n">
        <v>1</v>
      </c>
      <c r="F61" s="11" t="n">
        <v>145000</v>
      </c>
      <c r="G61" s="8" t="inlineStr">
        <is>
          <t>REAL_MILEAGE</t>
        </is>
      </c>
      <c r="H61" s="8" t="inlineStr">
        <is>
          <t>NONE</t>
        </is>
      </c>
      <c r="I61" s="11" t="n">
        <v>62160</v>
      </c>
      <c r="J61" s="8" t="inlineStr">
        <is>
          <t>2026-08-10T21:10:29+09:00</t>
        </is>
      </c>
      <c r="K61" s="14" t="inlineStr">
        <is>
          <t>アルファードハイブリッド SR Cパッケージ 全周囲モニター ツインサンルーフ パワーバックドア 車検2027年6/4 アルファード 20系</t>
        </is>
      </c>
      <c r="L61" s="8" t="inlineStr">
        <is>
          <t>https://page.auctions.yahoo.co.jp/jp/auction/u1236932454</t>
        </is>
      </c>
    </row>
    <row r="62">
      <c r="A62" s="13" t="inlineStr">
        <is>
          <t>アルファード</t>
        </is>
      </c>
      <c r="B62" s="13" t="n">
        <v>2012</v>
      </c>
      <c r="C62" s="13" t="inlineStr">
        <is>
          <t>20系</t>
        </is>
      </c>
      <c r="D62" s="15" t="n">
        <v>379500</v>
      </c>
      <c r="E62" s="13" t="n">
        <v>29</v>
      </c>
      <c r="F62" s="15" t="n">
        <v>225761</v>
      </c>
      <c r="G62" s="13" t="inlineStr">
        <is>
          <t>REAL_MILEAGE</t>
        </is>
      </c>
      <c r="H62" s="13" t="inlineStr">
        <is>
          <t>NONE</t>
        </is>
      </c>
      <c r="I62" s="15" t="n">
        <v>16360</v>
      </c>
      <c r="J62" s="13" t="inlineStr">
        <is>
          <t>2026-08-08T20:19:36+09:00</t>
        </is>
      </c>
      <c r="K62" s="14" t="inlineStr">
        <is>
          <t>【くるま☆市場】★検付き20アルファードツインムーンルーフTRDスポイラー社外アルミ</t>
        </is>
      </c>
      <c r="L62" s="13" t="inlineStr">
        <is>
          <t>https://page.auctions.yahoo.co.jp/jp/auction/n1239268106</t>
        </is>
      </c>
    </row>
    <row r="63">
      <c r="A63" s="8" t="inlineStr">
        <is>
          <t>アルファード</t>
        </is>
      </c>
      <c r="B63" s="8" t="n">
        <v>2012</v>
      </c>
      <c r="C63" s="8" t="inlineStr">
        <is>
          <t>20系</t>
        </is>
      </c>
      <c r="D63" s="11" t="n">
        <v>660000</v>
      </c>
      <c r="E63" s="8" t="n">
        <v>1</v>
      </c>
      <c r="F63" s="11" t="n">
        <v>110000</v>
      </c>
      <c r="G63" s="8" t="inlineStr">
        <is>
          <t>REAL_MILEAGE</t>
        </is>
      </c>
      <c r="H63" s="8" t="inlineStr">
        <is>
          <t>NONE</t>
        </is>
      </c>
      <c r="I63" s="11" t="n">
        <v>66860</v>
      </c>
      <c r="J63" s="8" t="inlineStr">
        <is>
          <t>2026-07-16T22:33:29+09:00</t>
        </is>
      </c>
      <c r="K63" s="14" t="inlineStr">
        <is>
          <t>機関快調★車検R9年10月★後期型アルファード240S Cパケ★革パワーシート/左右パワスラ/パワーBドア/アルミ/純正ナビ地デジ/走行中TV視聴OK</t>
        </is>
      </c>
      <c r="L63" s="8" t="inlineStr">
        <is>
          <t>https://page.auctions.yahoo.co.jp/jp/auction/j1237335260</t>
        </is>
      </c>
    </row>
    <row r="64">
      <c r="A64" s="13" t="inlineStr">
        <is>
          <t>アルファード</t>
        </is>
      </c>
      <c r="B64" s="13" t="n">
        <v>2012</v>
      </c>
      <c r="C64" s="13" t="inlineStr">
        <is>
          <t>20系</t>
        </is>
      </c>
      <c r="D64" s="15" t="n">
        <v>464000</v>
      </c>
      <c r="E64" s="13" t="n">
        <v>107</v>
      </c>
      <c r="F64" s="15" t="n">
        <v>85000</v>
      </c>
      <c r="G64" s="13" t="inlineStr">
        <is>
          <t>METER_REPLACEMENT</t>
        </is>
      </c>
      <c r="H64" s="13" t="inlineStr">
        <is>
          <t>NONE</t>
        </is>
      </c>
      <c r="I64" s="15" t="n">
        <v>0</v>
      </c>
      <c r="J64" s="13" t="inlineStr">
        <is>
          <t>2026-07-11T20:06:10+09:00</t>
        </is>
      </c>
      <c r="K64" s="14" t="inlineStr">
        <is>
          <t>トヨタ２０アルファード後期　モデリスタ　好調</t>
        </is>
      </c>
      <c r="L64" s="13" t="inlineStr">
        <is>
          <t>https://page.auctions.yahoo.co.jp/jp/auction/o1235992798</t>
        </is>
      </c>
    </row>
    <row r="65">
      <c r="A65" s="8" t="inlineStr">
        <is>
          <t>アルファード</t>
        </is>
      </c>
      <c r="B65" s="8" t="n">
        <v>2012</v>
      </c>
      <c r="C65" s="8" t="inlineStr">
        <is>
          <t>20系</t>
        </is>
      </c>
      <c r="D65" s="11" t="n">
        <v>501000</v>
      </c>
      <c r="E65" s="8" t="n">
        <v>66</v>
      </c>
      <c r="F65" s="11" t="n">
        <v>148100</v>
      </c>
      <c r="G65" s="8" t="inlineStr">
        <is>
          <t>REAL_MILEAGE</t>
        </is>
      </c>
      <c r="H65" s="8" t="inlineStr">
        <is>
          <t>NONE</t>
        </is>
      </c>
      <c r="I65" s="11" t="n">
        <v>0</v>
      </c>
      <c r="J65" s="8" t="inlineStr">
        <is>
          <t>2026-06-03T22:11:32+09:00</t>
        </is>
      </c>
      <c r="K65" s="14" t="inlineStr">
        <is>
          <t>程度良好★車検R9年2月★H24年式後期型アルファード240G★サンルーフ/左右パワスラ/パワーバックドア/アルパインナビ地デジ★機関快調/綺麗</t>
        </is>
      </c>
      <c r="L65" s="8" t="inlineStr">
        <is>
          <t>https://page.auctions.yahoo.co.jp/jp/auction/l1231555801</t>
        </is>
      </c>
    </row>
    <row r="66">
      <c r="A66" s="13" t="inlineStr">
        <is>
          <t>アルファード</t>
        </is>
      </c>
      <c r="B66" s="13" t="n">
        <v>2012</v>
      </c>
      <c r="C66" s="13" t="inlineStr">
        <is>
          <t>20系</t>
        </is>
      </c>
      <c r="D66" s="15" t="n">
        <v>205000</v>
      </c>
      <c r="E66" s="13" t="n">
        <v>6</v>
      </c>
      <c r="F66" s="15" t="n">
        <v>157475</v>
      </c>
      <c r="G66" s="13" t="inlineStr">
        <is>
          <t>REAL_MILEAGE</t>
        </is>
      </c>
      <c r="H66" s="13" t="inlineStr">
        <is>
          <t>NONE</t>
        </is>
      </c>
      <c r="I66" s="15" t="n">
        <v>0</v>
      </c>
      <c r="J66" s="13" t="inlineStr">
        <is>
          <t>2026-06-02T18:35:13+09:00</t>
        </is>
      </c>
      <c r="K66" s="14" t="inlineStr">
        <is>
          <t>横手発 H24 トヨタ アルファード ATH20W ハイブリッドSR 一時抹消渡し 左側面事故現状車 売切!!</t>
        </is>
      </c>
      <c r="L66" s="13" t="inlineStr">
        <is>
          <t>https://page.auctions.yahoo.co.jp/jp/auction/c1231276596</t>
        </is>
      </c>
    </row>
    <row r="67">
      <c r="A67" s="8" t="inlineStr">
        <is>
          <t>アルファード</t>
        </is>
      </c>
      <c r="B67" s="8" t="n">
        <v>2012</v>
      </c>
      <c r="C67" s="8" t="inlineStr">
        <is>
          <t>20系</t>
        </is>
      </c>
      <c r="D67" s="11" t="n">
        <v>850000</v>
      </c>
      <c r="E67" s="8" t="n">
        <v>32</v>
      </c>
      <c r="F67" s="11" t="n">
        <v>128000</v>
      </c>
      <c r="G67" s="8" t="inlineStr">
        <is>
          <t>REAL_MILEAGE</t>
        </is>
      </c>
      <c r="H67" s="8" t="n"/>
      <c r="I67" s="11" t="n">
        <v>0</v>
      </c>
      <c r="J67" s="8" t="inlineStr">
        <is>
          <t>2026-04-27T19:42:01+09:00</t>
        </is>
      </c>
      <c r="K67" s="14" t="inlineStr">
        <is>
          <t>★H24★アルファード★350S C PKG★後期★ツインサンルーフ★カスタム★両側パワスラ★上級グレード★車検令和10年2月★乗って帰れます★</t>
        </is>
      </c>
      <c r="L67" s="8" t="inlineStr">
        <is>
          <t>https://page.auctions.yahoo.co.jp/jp/auction/v1226639709</t>
        </is>
      </c>
    </row>
    <row r="68">
      <c r="A68" s="13" t="inlineStr">
        <is>
          <t>アルファード</t>
        </is>
      </c>
      <c r="B68" s="13" t="n">
        <v>2012</v>
      </c>
      <c r="C68" s="13" t="inlineStr">
        <is>
          <t>20系</t>
        </is>
      </c>
      <c r="D68" s="15" t="n">
        <v>1078000</v>
      </c>
      <c r="E68" s="13" t="n">
        <v>1</v>
      </c>
      <c r="F68" s="15" t="n">
        <v>123000</v>
      </c>
      <c r="G68" s="13" t="inlineStr">
        <is>
          <t>REAL_MILEAGE</t>
        </is>
      </c>
      <c r="H68" s="13" t="inlineStr">
        <is>
          <t>EXISTS</t>
        </is>
      </c>
      <c r="I68" s="15" t="n">
        <v>0</v>
      </c>
      <c r="J68" s="13" t="inlineStr">
        <is>
          <t>2026-04-25T07:20:31+09:00</t>
        </is>
      </c>
      <c r="K68" s="14" t="inlineStr">
        <is>
          <t>アルファードハイブリッド 2.4 G Lパッケージ 4WD ナビTVリアエンターテイメントBカメラ/両側</t>
        </is>
      </c>
      <c r="L68" s="13" t="inlineStr">
        <is>
          <t>https://page.auctions.yahoo.co.jp/jp/auction/k1227471855</t>
        </is>
      </c>
    </row>
    <row r="69">
      <c r="A69" s="8" t="inlineStr">
        <is>
          <t>アルファード</t>
        </is>
      </c>
      <c r="B69" s="8" t="n">
        <v>2012</v>
      </c>
      <c r="C69" s="8" t="inlineStr">
        <is>
          <t>20系</t>
        </is>
      </c>
      <c r="D69" s="11" t="n">
        <v>798000</v>
      </c>
      <c r="E69" s="8" t="n">
        <v>1</v>
      </c>
      <c r="F69" s="11" t="n">
        <v>41150</v>
      </c>
      <c r="G69" s="8" t="inlineStr">
        <is>
          <t>REAL_MILEAGE</t>
        </is>
      </c>
      <c r="H69" s="8" t="inlineStr">
        <is>
          <t>EXISTS</t>
        </is>
      </c>
      <c r="I69" s="11" t="n">
        <v>0</v>
      </c>
      <c r="J69" s="8" t="inlineStr">
        <is>
          <t>2026-04-22T10:16:27+09:00</t>
        </is>
      </c>
      <c r="K69" s="14" t="inlineStr">
        <is>
          <t>車検満タン アルファード 後期 ブラック 8人乗り 実走行41150km ナビ TV バックモニター 両側電動オートスライドドア スマートキー HID ETC</t>
        </is>
      </c>
      <c r="L69" s="8" t="inlineStr">
        <is>
          <t>https://page.auctions.yahoo.co.jp/jp/auction/c1227211674</t>
        </is>
      </c>
    </row>
    <row r="70">
      <c r="A70" s="13" t="inlineStr">
        <is>
          <t>アルファード</t>
        </is>
      </c>
      <c r="B70" s="13" t="n">
        <v>2012</v>
      </c>
      <c r="C70" s="13" t="inlineStr">
        <is>
          <t>20系</t>
        </is>
      </c>
      <c r="D70" s="15" t="n">
        <v>701000</v>
      </c>
      <c r="E70" s="13" t="n">
        <v>71</v>
      </c>
      <c r="F70" s="15" t="n">
        <v>157800</v>
      </c>
      <c r="G70" s="13" t="inlineStr">
        <is>
          <t>REAL_MILEAGE</t>
        </is>
      </c>
      <c r="H70" s="13" t="inlineStr">
        <is>
          <t>NONE</t>
        </is>
      </c>
      <c r="I70" s="15" t="n">
        <v>0</v>
      </c>
      <c r="J70" s="13" t="inlineStr">
        <is>
          <t>2026-04-10T23:03:32+09:00</t>
        </is>
      </c>
      <c r="K70" s="14" t="inlineStr">
        <is>
          <t>H24 アルファード 350G-L PKG 後期型 モデリスタ サンルーフ/MOPナビ/リアエンター/パノラミックビュー/18SP/両側PS/Pトランク 検R9年8月迄</t>
        </is>
      </c>
      <c r="L70" s="13" t="inlineStr">
        <is>
          <t>https://page.auctions.yahoo.co.jp/jp/auction/l1225363627</t>
        </is>
      </c>
    </row>
    <row r="71">
      <c r="A71" s="8" t="inlineStr">
        <is>
          <t>アルファード</t>
        </is>
      </c>
      <c r="B71" s="8" t="n">
        <v>2012</v>
      </c>
      <c r="C71" s="8" t="inlineStr">
        <is>
          <t>20系</t>
        </is>
      </c>
      <c r="D71" s="11" t="n">
        <v>1058000</v>
      </c>
      <c r="E71" s="8" t="n">
        <v>1</v>
      </c>
      <c r="F71" s="11" t="n">
        <v>93630</v>
      </c>
      <c r="G71" s="8" t="inlineStr">
        <is>
          <t>REAL_MILEAGE</t>
        </is>
      </c>
      <c r="H71" s="8" t="inlineStr">
        <is>
          <t>NONE</t>
        </is>
      </c>
      <c r="I71" s="11" t="n">
        <v>0</v>
      </c>
      <c r="J71" s="8" t="inlineStr">
        <is>
          <t>2026-04-09T18:23:40+09:00</t>
        </is>
      </c>
      <c r="K71" s="14" t="inlineStr">
        <is>
          <t>20アルファード 後期 350G Lパッケージ 車検2年付き サンルーフ エグゼクティブシート フリップダウン ベージュ革PS 両パワスラ</t>
        </is>
      </c>
      <c r="L71" s="8" t="inlineStr">
        <is>
          <t>https://page.auctions.yahoo.co.jp/jp/auction/f1209396210</t>
        </is>
      </c>
    </row>
    <row r="72">
      <c r="A72" s="13" t="inlineStr">
        <is>
          <t>アルファード</t>
        </is>
      </c>
      <c r="B72" s="13" t="n">
        <v>2012</v>
      </c>
      <c r="C72" s="13" t="inlineStr">
        <is>
          <t>20系</t>
        </is>
      </c>
      <c r="D72" s="15" t="n">
        <v>1118000</v>
      </c>
      <c r="E72" s="13" t="n">
        <v>1</v>
      </c>
      <c r="F72" s="15" t="n">
        <v>155000</v>
      </c>
      <c r="G72" s="13" t="inlineStr">
        <is>
          <t>REAL_MILEAGE</t>
        </is>
      </c>
      <c r="H72" s="13" t="inlineStr">
        <is>
          <t>NONE</t>
        </is>
      </c>
      <c r="I72" s="15" t="n">
        <v>0</v>
      </c>
      <c r="J72" s="13" t="inlineStr">
        <is>
          <t>2026-03-18T22:30:27+09:00</t>
        </is>
      </c>
      <c r="K72" s="14" t="inlineStr">
        <is>
          <t>ロイヤルラウンジ　最上級グレード　アルファード　希少　ALPHARD 20 後期　4人乗り　サンルーフ　ヴェルファイア　20系　車検9年3月</t>
        </is>
      </c>
      <c r="L72" s="13" t="inlineStr">
        <is>
          <t>https://page.auctions.yahoo.co.jp/jp/auction/w1220020447</t>
        </is>
      </c>
    </row>
    <row r="73">
      <c r="A73" s="8" t="inlineStr">
        <is>
          <t>アルファード</t>
        </is>
      </c>
      <c r="B73" s="8" t="n">
        <v>2012</v>
      </c>
      <c r="C73" s="8" t="inlineStr">
        <is>
          <t>20系</t>
        </is>
      </c>
      <c r="D73" s="11" t="n">
        <v>600000</v>
      </c>
      <c r="E73" s="8" t="n">
        <v>3</v>
      </c>
      <c r="F73" s="11" t="n">
        <v>207000</v>
      </c>
      <c r="G73" s="8" t="inlineStr">
        <is>
          <t>REAL_MILEAGE</t>
        </is>
      </c>
      <c r="H73" s="8" t="n"/>
      <c r="I73" s="11" t="n">
        <v>0</v>
      </c>
      <c r="J73" s="8" t="inlineStr">
        <is>
          <t>2026-02-27T22:59:09+09:00</t>
        </is>
      </c>
      <c r="K73" s="14" t="inlineStr">
        <is>
          <t>平成24年アルファードハイブリッドG 4WD 検査９年4月　諸費用込み</t>
        </is>
      </c>
      <c r="L73" s="8" t="inlineStr">
        <is>
          <t>https://page.auctions.yahoo.co.jp/jp/auction/t1219680799</t>
        </is>
      </c>
    </row>
    <row r="74">
      <c r="A74" s="13" t="inlineStr">
        <is>
          <t>アルファード</t>
        </is>
      </c>
      <c r="B74" s="13" t="n">
        <v>2012</v>
      </c>
      <c r="C74" s="13" t="inlineStr">
        <is>
          <t>20系</t>
        </is>
      </c>
      <c r="D74" s="15" t="n">
        <v>801000</v>
      </c>
      <c r="E74" s="13" t="n">
        <v>39</v>
      </c>
      <c r="F74" s="15" t="n">
        <v>119000</v>
      </c>
      <c r="G74" s="13" t="inlineStr">
        <is>
          <t>REAL_MILEAGE</t>
        </is>
      </c>
      <c r="H74" s="13" t="inlineStr">
        <is>
          <t>NONE</t>
        </is>
      </c>
      <c r="I74" s="15" t="n">
        <v>0</v>
      </c>
      <c r="J74" s="13" t="inlineStr">
        <is>
          <t>2026-02-25T21:49:24+09:00</t>
        </is>
      </c>
      <c r="K74" s="14" t="inlineStr">
        <is>
          <t>■240S　タイプゴールド　アルファード　車検たっぷり　20インチアルミ　新品車高調■ALPINE　ナビ　サンルーフ　ヴェルファイア■</t>
        </is>
      </c>
      <c r="L74" s="13" t="inlineStr">
        <is>
          <t>https://page.auctions.yahoo.co.jp/jp/auction/f1219948952</t>
        </is>
      </c>
    </row>
    <row r="75">
      <c r="A75" s="8" t="inlineStr">
        <is>
          <t>アルファード</t>
        </is>
      </c>
      <c r="B75" s="8" t="n">
        <v>2011</v>
      </c>
      <c r="C75" s="8" t="inlineStr">
        <is>
          <t>20系</t>
        </is>
      </c>
      <c r="D75" s="11" t="n">
        <v>380000</v>
      </c>
      <c r="E75" s="8" t="n">
        <v>149</v>
      </c>
      <c r="F75" s="11" t="n">
        <v>163421</v>
      </c>
      <c r="G75" s="8" t="inlineStr">
        <is>
          <t>REAL_MILEAGE</t>
        </is>
      </c>
      <c r="H75" s="8" t="inlineStr">
        <is>
          <t>EXISTS</t>
        </is>
      </c>
      <c r="I75" s="11" t="n">
        <v>49360</v>
      </c>
      <c r="J75" s="8" t="inlineStr">
        <is>
          <t>2026-08-09T21:32:55+09:00</t>
        </is>
      </c>
      <c r="K75" s="14" t="inlineStr">
        <is>
          <t>0024【一万円売り切り】アルファード240ｓプライムセレクションⅡタイプゴールドⅡ　DBA-ANH20W 車検R8年10月</t>
        </is>
      </c>
      <c r="L75" s="8" t="inlineStr">
        <is>
          <t>https://page.auctions.yahoo.co.jp/jp/auction/c1238761132</t>
        </is>
      </c>
    </row>
    <row r="76">
      <c r="A76" s="13" t="inlineStr">
        <is>
          <t>アルファード</t>
        </is>
      </c>
      <c r="B76" s="13" t="n">
        <v>2011</v>
      </c>
      <c r="C76" s="13" t="inlineStr">
        <is>
          <t>20系</t>
        </is>
      </c>
      <c r="D76" s="15" t="n">
        <v>535000</v>
      </c>
      <c r="E76" s="13" t="n">
        <v>1</v>
      </c>
      <c r="F76" s="15" t="n">
        <v>162000</v>
      </c>
      <c r="G76" s="13" t="inlineStr">
        <is>
          <t>REAL_MILEAGE</t>
        </is>
      </c>
      <c r="H76" s="13" t="inlineStr">
        <is>
          <t>NONE</t>
        </is>
      </c>
      <c r="I76" s="15" t="n">
        <v>0</v>
      </c>
      <c r="J76" s="13" t="inlineStr">
        <is>
          <t>2026-05-13T21:48:33+09:00</t>
        </is>
      </c>
      <c r="K76" s="14" t="inlineStr">
        <is>
          <t>アルファード*タイプゴールドⅡ*検10/4迄*4WD*TRD Fスポイラー*HID*両パワスラ*フリップダウン*8インチナビ*Bカメラ*純正AW*310325</t>
        </is>
      </c>
      <c r="L76" s="13" t="inlineStr">
        <is>
          <t>https://page.auctions.yahoo.co.jp/jp/auction/d1224936167</t>
        </is>
      </c>
    </row>
    <row r="77">
      <c r="A77" s="8" t="inlineStr">
        <is>
          <t>アルファード</t>
        </is>
      </c>
      <c r="B77" s="8" t="n">
        <v>2011</v>
      </c>
      <c r="C77" s="8" t="inlineStr">
        <is>
          <t>20系</t>
        </is>
      </c>
      <c r="D77" s="11" t="n">
        <v>700000</v>
      </c>
      <c r="E77" s="8" t="n">
        <v>2</v>
      </c>
      <c r="F77" s="11" t="n">
        <v>88950</v>
      </c>
      <c r="G77" s="8" t="inlineStr">
        <is>
          <t>REAL_MILEAGE</t>
        </is>
      </c>
      <c r="H77" s="8" t="inlineStr">
        <is>
          <t>NONE</t>
        </is>
      </c>
      <c r="I77" s="11" t="n">
        <v>0</v>
      </c>
      <c r="J77" s="8" t="inlineStr">
        <is>
          <t>2026-03-31T15:06:07+09:00</t>
        </is>
      </c>
      <c r="K77" s="14" t="inlineStr">
        <is>
          <t>返金保証付:【愛知県弥富市】厳選中古車 平成23年 トヨタ アルファード 2.4 240S プライムセレクションII</t>
        </is>
      </c>
      <c r="L77" s="8" t="inlineStr">
        <is>
          <t>https://page.auctions.yahoo.co.jp/jp/auction/r1224165428</t>
        </is>
      </c>
    </row>
    <row r="78">
      <c r="A78" s="13" t="inlineStr">
        <is>
          <t>アルファード</t>
        </is>
      </c>
      <c r="B78" s="13" t="n">
        <v>2011</v>
      </c>
      <c r="C78" s="13" t="inlineStr">
        <is>
          <t>20系</t>
        </is>
      </c>
      <c r="D78" s="15" t="n">
        <v>650000</v>
      </c>
      <c r="E78" s="13" t="n">
        <v>2</v>
      </c>
      <c r="F78" s="15" t="n">
        <v>12865</v>
      </c>
      <c r="G78" s="13" t="inlineStr">
        <is>
          <t>REAL_MILEAGE</t>
        </is>
      </c>
      <c r="H78" s="13" t="inlineStr">
        <is>
          <t>NONE</t>
        </is>
      </c>
      <c r="I78" s="15" t="n">
        <v>0</v>
      </c>
      <c r="J78" s="13" t="inlineStr">
        <is>
          <t>2026-03-23T23:00:59+09:00</t>
        </is>
      </c>
      <c r="K78" s="14" t="inlineStr">
        <is>
          <t>希少！アルファード GGH25 4WD 350S プライムセレクション2 タイプゴールド グレーメタリック　限定生産車</t>
        </is>
      </c>
      <c r="L78" s="13" t="inlineStr">
        <is>
          <t>https://page.auctions.yahoo.co.jp/jp/auction/l1223814824</t>
        </is>
      </c>
    </row>
    <row r="79">
      <c r="A79" s="8" t="inlineStr">
        <is>
          <t>アルファード</t>
        </is>
      </c>
      <c r="B79" s="8" t="n">
        <v>2010</v>
      </c>
      <c r="C79" s="8" t="inlineStr">
        <is>
          <t>20系</t>
        </is>
      </c>
      <c r="D79" s="11" t="n">
        <v>350000</v>
      </c>
      <c r="E79" s="8" t="n">
        <v>1</v>
      </c>
      <c r="F79" s="11" t="n">
        <v>163569</v>
      </c>
      <c r="G79" s="8" t="inlineStr">
        <is>
          <t>REAL_MILEAGE</t>
        </is>
      </c>
      <c r="H79" s="8" t="inlineStr">
        <is>
          <t>NONE</t>
        </is>
      </c>
      <c r="I79" s="11" t="n">
        <v>18290</v>
      </c>
      <c r="J79" s="8" t="inlineStr">
        <is>
          <t>2026-08-21T23:42:12+09:00</t>
        </is>
      </c>
      <c r="K79" s="14" t="inlineStr">
        <is>
          <t>アルファード　車検9年5月25日　HDDナビ　TV　走行中TVOK　サンルーフ　両側パワースライドドア　パワーバックドア　格安陸送致します</t>
        </is>
      </c>
      <c r="L79" s="8" t="inlineStr">
        <is>
          <t>https://page.auctions.yahoo.co.jp/jp/auction/r1234797111</t>
        </is>
      </c>
    </row>
    <row r="80">
      <c r="A80" s="13" t="inlineStr">
        <is>
          <t>アルファード</t>
        </is>
      </c>
      <c r="B80" s="13" t="n">
        <v>2010</v>
      </c>
      <c r="C80" s="13" t="inlineStr">
        <is>
          <t>20系</t>
        </is>
      </c>
      <c r="D80" s="15" t="n">
        <v>467900</v>
      </c>
      <c r="E80" s="13" t="n">
        <v>1</v>
      </c>
      <c r="F80" s="15" t="n">
        <v>156000</v>
      </c>
      <c r="G80" s="13" t="inlineStr">
        <is>
          <t>REAL_MILEAGE</t>
        </is>
      </c>
      <c r="H80" s="13" t="inlineStr">
        <is>
          <t>NONE</t>
        </is>
      </c>
      <c r="I80" s="15" t="n">
        <v>65890</v>
      </c>
      <c r="J80" s="13" t="inlineStr">
        <is>
          <t>2026-08-18T05:17:01+09:00</t>
        </is>
      </c>
      <c r="K80" s="14" t="inlineStr">
        <is>
          <t>※福岡県新宮町※アルファード*2WD*車検令和10年8月迄*サンルーフ*パワーバックドア*両パワスラ*Bluetoothオーディオ*バックカメラ*210404</t>
        </is>
      </c>
      <c r="L80" s="13" t="inlineStr">
        <is>
          <t>https://page.auctions.yahoo.co.jp/jp/auction/h1225811702</t>
        </is>
      </c>
    </row>
    <row r="81">
      <c r="A81" s="8" t="inlineStr">
        <is>
          <t>アルファード</t>
        </is>
      </c>
      <c r="B81" s="8" t="n">
        <v>2010</v>
      </c>
      <c r="C81" s="8" t="inlineStr">
        <is>
          <t>20系</t>
        </is>
      </c>
      <c r="D81" s="11" t="n">
        <v>339000</v>
      </c>
      <c r="E81" s="8" t="n">
        <v>173</v>
      </c>
      <c r="F81" s="11" t="n">
        <v>0</v>
      </c>
      <c r="G81" s="8" t="inlineStr">
        <is>
          <t>UNKNOWN_MILEAGE</t>
        </is>
      </c>
      <c r="H81" s="8" t="n"/>
      <c r="I81" s="11" t="n">
        <v>0</v>
      </c>
      <c r="J81" s="8" t="inlineStr">
        <is>
          <t>2026-08-16T04:24:29+09:00</t>
        </is>
      </c>
      <c r="K81" s="14" t="inlineStr">
        <is>
          <t>トヨタ　アルファード　平成22年9月　DBA-ANH25W　6万㎞台</t>
        </is>
      </c>
      <c r="L81" s="8" t="inlineStr">
        <is>
          <t>https://page.auctions.yahoo.co.jp/jp/auction/l1240221249</t>
        </is>
      </c>
    </row>
    <row r="82">
      <c r="A82" s="13" t="inlineStr">
        <is>
          <t>アルファード</t>
        </is>
      </c>
      <c r="B82" s="13" t="n">
        <v>2010</v>
      </c>
      <c r="C82" s="13" t="inlineStr">
        <is>
          <t>20系</t>
        </is>
      </c>
      <c r="D82" s="15" t="n">
        <v>450000</v>
      </c>
      <c r="E82" s="13" t="n">
        <v>1</v>
      </c>
      <c r="F82" s="15" t="n">
        <v>152153</v>
      </c>
      <c r="G82" s="13" t="inlineStr">
        <is>
          <t>REAL_MILEAGE</t>
        </is>
      </c>
      <c r="H82" s="13" t="n"/>
      <c r="I82" s="15" t="n">
        <v>18290</v>
      </c>
      <c r="J82" s="13" t="inlineStr">
        <is>
          <t>2026-08-06T20:35:28+09:00</t>
        </is>
      </c>
      <c r="K82" s="14" t="inlineStr">
        <is>
          <t>トヨタ　20アルファード　平成22年7月 152,153km　車検令和9年7月まで付き ２４０Ｓ　プライムセレクションⅡ</t>
        </is>
      </c>
      <c r="L82" s="13" t="inlineStr">
        <is>
          <t>https://page.auctions.yahoo.co.jp/jp/auction/o1232230565</t>
        </is>
      </c>
    </row>
    <row r="83">
      <c r="A83" s="8" t="inlineStr">
        <is>
          <t>アルファード</t>
        </is>
      </c>
      <c r="B83" s="8" t="n">
        <v>2010</v>
      </c>
      <c r="C83" s="8" t="inlineStr">
        <is>
          <t>20系</t>
        </is>
      </c>
      <c r="D83" s="11" t="n">
        <v>232000</v>
      </c>
      <c r="E83" s="8" t="n">
        <v>8</v>
      </c>
      <c r="F83" s="11" t="n">
        <v>161081</v>
      </c>
      <c r="G83" s="8" t="inlineStr">
        <is>
          <t>REAL_MILEAGE</t>
        </is>
      </c>
      <c r="H83" s="8" t="inlineStr">
        <is>
          <t>NONE</t>
        </is>
      </c>
      <c r="I83" s="11" t="n">
        <v>98290</v>
      </c>
      <c r="J83" s="8" t="inlineStr">
        <is>
          <t>2026-08-02T20:12:50+09:00</t>
        </is>
      </c>
      <c r="K83" s="14" t="inlineStr">
        <is>
          <t>福岡県発アルファード　車検年付　カロッツェリアナビ　両側パワースライドドア　パワーバックドア　バックカメラ　陸送可</t>
        </is>
      </c>
      <c r="L83" s="8" t="inlineStr">
        <is>
          <t>https://page.auctions.yahoo.co.jp/jp/auction/e1236817874</t>
        </is>
      </c>
    </row>
    <row r="84">
      <c r="A84" s="13" t="inlineStr">
        <is>
          <t>アルファード</t>
        </is>
      </c>
      <c r="B84" s="13" t="n">
        <v>2010</v>
      </c>
      <c r="C84" s="13" t="inlineStr">
        <is>
          <t>20系</t>
        </is>
      </c>
      <c r="D84" s="15" t="n">
        <v>365000</v>
      </c>
      <c r="E84" s="13" t="n">
        <v>47</v>
      </c>
      <c r="F84" s="15" t="n">
        <v>124900</v>
      </c>
      <c r="G84" s="13" t="inlineStr">
        <is>
          <t>REAL_MILEAGE</t>
        </is>
      </c>
      <c r="H84" s="13" t="n"/>
      <c r="I84" s="15" t="n">
        <v>18290</v>
      </c>
      <c r="J84" s="13" t="inlineStr">
        <is>
          <t>2026-07-27T21:23:29+09:00</t>
        </is>
      </c>
      <c r="K84" s="14" t="inlineStr">
        <is>
          <t>アルファード 350S 4WD 検査9年5月 アルパイン8インチナビ 地デジ フリップダウンモニター 両側パワースライドドア スマートキー ETC</t>
        </is>
      </c>
      <c r="L84" s="13" t="inlineStr">
        <is>
          <t>https://page.auctions.yahoo.co.jp/jp/auction/b1237447249</t>
        </is>
      </c>
    </row>
    <row r="85">
      <c r="A85" s="8" t="inlineStr">
        <is>
          <t>アルファード</t>
        </is>
      </c>
      <c r="B85" s="8" t="n">
        <v>2010</v>
      </c>
      <c r="C85" s="8" t="inlineStr">
        <is>
          <t>20系</t>
        </is>
      </c>
      <c r="D85" s="11" t="n">
        <v>201000</v>
      </c>
      <c r="E85" s="8" t="n">
        <v>37</v>
      </c>
      <c r="F85" s="11" t="n">
        <v>199070</v>
      </c>
      <c r="G85" s="8" t="inlineStr">
        <is>
          <t>REAL_MILEAGE</t>
        </is>
      </c>
      <c r="H85" s="8" t="n"/>
      <c r="I85" s="11" t="n">
        <v>96890</v>
      </c>
      <c r="J85" s="8" t="inlineStr">
        <is>
          <t>2026-07-26T20:30:47+09:00</t>
        </is>
      </c>
      <c r="K85" s="14" t="inlineStr">
        <is>
          <t>【売切】積雪地方必須の４WDモデル！アルファード 240S 車検有（R9/3月迄）</t>
        </is>
      </c>
      <c r="L85" s="8" t="inlineStr">
        <is>
          <t>https://page.auctions.yahoo.co.jp/jp/auction/e1237799467</t>
        </is>
      </c>
    </row>
    <row r="86">
      <c r="A86" s="13" t="inlineStr">
        <is>
          <t>アルファード</t>
        </is>
      </c>
      <c r="B86" s="13" t="n">
        <v>2010</v>
      </c>
      <c r="C86" s="13" t="inlineStr">
        <is>
          <t>20系</t>
        </is>
      </c>
      <c r="D86" s="15" t="n">
        <v>300000</v>
      </c>
      <c r="E86" s="13" t="n">
        <v>1</v>
      </c>
      <c r="F86" s="15" t="n">
        <v>190200</v>
      </c>
      <c r="G86" s="13" t="inlineStr">
        <is>
          <t>REAL_MILEAGE</t>
        </is>
      </c>
      <c r="H86" s="13" t="n"/>
      <c r="I86" s="15" t="n">
        <v>0</v>
      </c>
      <c r="J86" s="13" t="inlineStr">
        <is>
          <t>2026-06-23T09:30:20+09:00</t>
        </is>
      </c>
      <c r="K86" s="14" t="inlineStr">
        <is>
          <t>アルファード　ANH20W 税金・リサイクル券込々価格</t>
        </is>
      </c>
      <c r="L86" s="13" t="inlineStr">
        <is>
          <t>https://page.auctions.yahoo.co.jp/jp/auction/m1234077344</t>
        </is>
      </c>
    </row>
    <row r="87">
      <c r="A87" s="8" t="inlineStr">
        <is>
          <t>アルファード</t>
        </is>
      </c>
      <c r="B87" s="8" t="n">
        <v>2010</v>
      </c>
      <c r="C87" s="8" t="inlineStr">
        <is>
          <t>20系</t>
        </is>
      </c>
      <c r="D87" s="11" t="n">
        <v>361000</v>
      </c>
      <c r="E87" s="8" t="n">
        <v>33</v>
      </c>
      <c r="F87" s="11" t="n">
        <v>163900</v>
      </c>
      <c r="G87" s="8" t="inlineStr">
        <is>
          <t>REAL_MILEAGE</t>
        </is>
      </c>
      <c r="H87" s="8" t="inlineStr">
        <is>
          <t>NONE</t>
        </is>
      </c>
      <c r="I87" s="11" t="n">
        <v>0</v>
      </c>
      <c r="J87" s="8" t="inlineStr">
        <is>
          <t>2026-06-07T20:02:58+09:00</t>
        </is>
      </c>
      <c r="K87" s="14" t="inlineStr">
        <is>
          <t xml:space="preserve">埼玉県発 22年式 トヨタ 20系アルファード 240S 車検付 </t>
        </is>
      </c>
      <c r="L87" s="8" t="inlineStr">
        <is>
          <t>https://page.auctions.yahoo.co.jp/jp/auction/e1231705157</t>
        </is>
      </c>
    </row>
    <row r="88">
      <c r="A88" s="13" t="inlineStr">
        <is>
          <t>アルファード</t>
        </is>
      </c>
      <c r="B88" s="13" t="n">
        <v>2010</v>
      </c>
      <c r="C88" s="13" t="inlineStr">
        <is>
          <t>20系</t>
        </is>
      </c>
      <c r="D88" s="15" t="n">
        <v>245000</v>
      </c>
      <c r="E88" s="13" t="n">
        <v>96</v>
      </c>
      <c r="F88" s="15" t="n">
        <v>219882</v>
      </c>
      <c r="G88" s="13" t="inlineStr">
        <is>
          <t>REAL_MILEAGE</t>
        </is>
      </c>
      <c r="H88" s="13" t="n"/>
      <c r="I88" s="15" t="n">
        <v>0</v>
      </c>
      <c r="J88" s="13" t="inlineStr">
        <is>
          <t>2026-05-10T20:32:45+09:00</t>
        </is>
      </c>
      <c r="K88" s="14" t="inlineStr">
        <is>
          <t xml:space="preserve">アルファード☆20☆トヨタ　プライムセレクションⅡ　7人 両側パワスラドア　キャプテンシート　ナビ　Rカメラ ドラレコ ヴェルファイア　 </t>
        </is>
      </c>
      <c r="L88" s="13" t="inlineStr">
        <is>
          <t>https://page.auctions.yahoo.co.jp/jp/auction/1228553983</t>
        </is>
      </c>
    </row>
    <row r="89">
      <c r="A89" s="8" t="inlineStr">
        <is>
          <t>アルファード</t>
        </is>
      </c>
      <c r="B89" s="8" t="n">
        <v>2010</v>
      </c>
      <c r="C89" s="8" t="inlineStr">
        <is>
          <t>20系</t>
        </is>
      </c>
      <c r="D89" s="11" t="n">
        <v>398000</v>
      </c>
      <c r="E89" s="8" t="n">
        <v>1</v>
      </c>
      <c r="F89" s="11" t="n">
        <v>171200</v>
      </c>
      <c r="G89" s="8" t="inlineStr">
        <is>
          <t>REAL_MILEAGE</t>
        </is>
      </c>
      <c r="H89" s="8" t="inlineStr">
        <is>
          <t>NONE</t>
        </is>
      </c>
      <c r="I89" s="11" t="n">
        <v>0</v>
      </c>
      <c r="J89" s="8" t="inlineStr">
        <is>
          <t>2026-04-26T08:55:49+09:00</t>
        </is>
      </c>
      <c r="K89" s="14" t="inlineStr">
        <is>
          <t>２２年式 アルファード 240S リミテッド車検９年２月まで！調子良好！</t>
        </is>
      </c>
      <c r="L89" s="8" t="inlineStr">
        <is>
          <t>https://page.auctions.yahoo.co.jp/jp/auction/w1227388355</t>
        </is>
      </c>
    </row>
    <row r="90">
      <c r="A90" s="13" t="inlineStr">
        <is>
          <t>アルファード</t>
        </is>
      </c>
      <c r="B90" s="13" t="n">
        <v>2010</v>
      </c>
      <c r="C90" s="13" t="inlineStr">
        <is>
          <t>20系</t>
        </is>
      </c>
      <c r="D90" s="15" t="n">
        <v>455000</v>
      </c>
      <c r="E90" s="13" t="n">
        <v>3</v>
      </c>
      <c r="F90" s="15" t="n">
        <v>81000</v>
      </c>
      <c r="G90" s="13" t="inlineStr">
        <is>
          <t>REAL_MILEAGE</t>
        </is>
      </c>
      <c r="H90" s="13" t="n"/>
      <c r="I90" s="15" t="n">
        <v>0</v>
      </c>
      <c r="J90" s="13" t="inlineStr">
        <is>
          <t>2026-04-12T16:36:36+09:00</t>
        </is>
      </c>
      <c r="K90" s="14" t="inlineStr">
        <is>
          <t>平成22年アルファード8万キロ車検9/11</t>
        </is>
      </c>
      <c r="L90" s="13" t="inlineStr">
        <is>
          <t>https://page.auctions.yahoo.co.jp/jp/auction/g1224984012</t>
        </is>
      </c>
    </row>
    <row r="91">
      <c r="A91" s="8" t="inlineStr">
        <is>
          <t>アルファード</t>
        </is>
      </c>
      <c r="B91" s="8" t="n">
        <v>2010</v>
      </c>
      <c r="C91" s="8" t="inlineStr">
        <is>
          <t>20系</t>
        </is>
      </c>
      <c r="D91" s="11" t="n">
        <v>431610</v>
      </c>
      <c r="E91" s="8" t="n">
        <v>69</v>
      </c>
      <c r="F91" s="11" t="n">
        <v>91980</v>
      </c>
      <c r="G91" s="8" t="inlineStr">
        <is>
          <t>REAL_MILEAGE</t>
        </is>
      </c>
      <c r="H91" s="8" t="inlineStr">
        <is>
          <t>NONE</t>
        </is>
      </c>
      <c r="I91" s="11" t="n">
        <v>0</v>
      </c>
      <c r="J91" s="8" t="inlineStr">
        <is>
          <t>2026-04-05T20:44:39+09:00</t>
        </is>
      </c>
      <c r="K91" s="14" t="inlineStr">
        <is>
          <t>☆アルファード☆240S☆☆ 低走9万㌔ ★ パールワイト ★ 両側Pスラ</t>
        </is>
      </c>
      <c r="L91" s="8" t="inlineStr">
        <is>
          <t>https://page.auctions.yahoo.co.jp/jp/auction/c1224487384</t>
        </is>
      </c>
    </row>
    <row r="92">
      <c r="A92" s="13" t="inlineStr">
        <is>
          <t>アルファード</t>
        </is>
      </c>
      <c r="B92" s="13" t="n">
        <v>2009</v>
      </c>
      <c r="C92" s="13" t="inlineStr">
        <is>
          <t>20系</t>
        </is>
      </c>
      <c r="D92" s="15" t="n">
        <v>410000</v>
      </c>
      <c r="E92" s="13" t="n">
        <v>138</v>
      </c>
      <c r="F92" s="15" t="n">
        <v>107000</v>
      </c>
      <c r="G92" s="13" t="inlineStr">
        <is>
          <t>REAL_MILEAGE</t>
        </is>
      </c>
      <c r="H92" s="13" t="inlineStr">
        <is>
          <t>NONE</t>
        </is>
      </c>
      <c r="I92" s="15" t="n">
        <v>98290</v>
      </c>
      <c r="J92" s="13" t="inlineStr">
        <is>
          <t>2026-07-26T20:35:19+09:00</t>
        </is>
      </c>
      <c r="K92" s="14" t="inlineStr">
        <is>
          <t>☆車検R１０年6月 アルファード　両側パワースライド　フルセグ　ナビ　前両側パワーシート　クルコン　コーナーセンサー他車検整備済み</t>
        </is>
      </c>
      <c r="L92" s="13" t="inlineStr">
        <is>
          <t>https://page.auctions.yahoo.co.jp/jp/auction/t1236270954</t>
        </is>
      </c>
    </row>
    <row r="93">
      <c r="A93" s="8" t="inlineStr">
        <is>
          <t>アルファード</t>
        </is>
      </c>
      <c r="B93" s="8" t="n">
        <v>2009</v>
      </c>
      <c r="C93" s="8" t="inlineStr">
        <is>
          <t>20系</t>
        </is>
      </c>
      <c r="D93" s="11" t="n">
        <v>298000</v>
      </c>
      <c r="E93" s="8" t="n">
        <v>1</v>
      </c>
      <c r="F93" s="11" t="n">
        <v>150500</v>
      </c>
      <c r="G93" s="8" t="inlineStr">
        <is>
          <t>REAL_MILEAGE</t>
        </is>
      </c>
      <c r="H93" s="8" t="inlineStr">
        <is>
          <t>EXISTS</t>
        </is>
      </c>
      <c r="I93" s="11" t="n">
        <v>33090</v>
      </c>
      <c r="J93" s="8" t="inlineStr">
        <is>
          <t>2026-07-12T17:04:57+09:00</t>
        </is>
      </c>
      <c r="K93" s="14" t="inlineStr">
        <is>
          <t>２１年式 アルファード ２４０Ｓリミテッド予備検査取得可能！</t>
        </is>
      </c>
      <c r="L93" s="8" t="inlineStr">
        <is>
          <t>https://page.auctions.yahoo.co.jp/jp/auction/x1232837632</t>
        </is>
      </c>
    </row>
    <row r="94">
      <c r="A94" s="13" t="inlineStr">
        <is>
          <t>アルファード</t>
        </is>
      </c>
      <c r="B94" s="13" t="n">
        <v>2009</v>
      </c>
      <c r="C94" s="13" t="inlineStr">
        <is>
          <t>20系</t>
        </is>
      </c>
      <c r="D94" s="15" t="n">
        <v>365000</v>
      </c>
      <c r="E94" s="13" t="n">
        <v>44</v>
      </c>
      <c r="F94" s="15" t="n">
        <v>159000</v>
      </c>
      <c r="G94" s="13" t="inlineStr">
        <is>
          <t>REAL_MILEAGE</t>
        </is>
      </c>
      <c r="H94" s="13" t="inlineStr">
        <is>
          <t>NONE</t>
        </is>
      </c>
      <c r="I94" s="15" t="n">
        <v>57065</v>
      </c>
      <c r="J94" s="13" t="inlineStr">
        <is>
          <t>2026-06-28T21:16:45+09:00</t>
        </is>
      </c>
      <c r="K94" s="14" t="inlineStr">
        <is>
          <t>カールソン19AW TEIN車高調 20アルファード 車検9年2月</t>
        </is>
      </c>
      <c r="L94" s="13" t="inlineStr">
        <is>
          <t>https://page.auctions.yahoo.co.jp/jp/auction/c1232259948</t>
        </is>
      </c>
    </row>
    <row r="95">
      <c r="A95" s="8" t="inlineStr">
        <is>
          <t>アルファード</t>
        </is>
      </c>
      <c r="B95" s="8" t="n">
        <v>2009</v>
      </c>
      <c r="C95" s="8" t="inlineStr">
        <is>
          <t>20系</t>
        </is>
      </c>
      <c r="D95" s="11" t="n">
        <v>252000</v>
      </c>
      <c r="E95" s="8" t="n">
        <v>28</v>
      </c>
      <c r="F95" s="11" t="n">
        <v>171693</v>
      </c>
      <c r="G95" s="8" t="inlineStr">
        <is>
          <t>REAL_MILEAGE</t>
        </is>
      </c>
      <c r="H95" s="8" t="inlineStr">
        <is>
          <t>NONE</t>
        </is>
      </c>
      <c r="I95" s="11" t="n">
        <v>0</v>
      </c>
      <c r="J95" s="8" t="inlineStr">
        <is>
          <t>2026-06-27T22:12:13+09:00</t>
        </is>
      </c>
      <c r="K95" s="14" t="inlineStr">
        <is>
          <t>平成21年式　20系アルファード</t>
        </is>
      </c>
      <c r="L95" s="8" t="inlineStr">
        <is>
          <t>https://page.auctions.yahoo.co.jp/jp/auction/p1233444370</t>
        </is>
      </c>
    </row>
    <row r="96">
      <c r="A96" s="13" t="inlineStr">
        <is>
          <t>アルファード</t>
        </is>
      </c>
      <c r="B96" s="13" t="n">
        <v>2009</v>
      </c>
      <c r="C96" s="13" t="inlineStr">
        <is>
          <t>20系</t>
        </is>
      </c>
      <c r="D96" s="15" t="n">
        <v>502600</v>
      </c>
      <c r="E96" s="13" t="n">
        <v>19</v>
      </c>
      <c r="F96" s="15" t="n">
        <v>76800</v>
      </c>
      <c r="G96" s="13" t="inlineStr">
        <is>
          <t>REAL_MILEAGE</t>
        </is>
      </c>
      <c r="H96" s="13" t="inlineStr">
        <is>
          <t>NONE</t>
        </is>
      </c>
      <c r="I96" s="15" t="n">
        <v>57215</v>
      </c>
      <c r="J96" s="13" t="inlineStr">
        <is>
          <t>2026-06-25T21:09:04+09:00</t>
        </is>
      </c>
      <c r="K96" s="14" t="inlineStr">
        <is>
          <t>美車！程度良！！アルファード　240G 　低走行7万キロ台 純正OP多数　サンルーフ　18スピーカー　リアモニター　電動シート　電動スライド</t>
        </is>
      </c>
      <c r="L96" s="13" t="inlineStr">
        <is>
          <t>https://page.auctions.yahoo.co.jp/jp/auction/g1233175681</t>
        </is>
      </c>
    </row>
    <row r="97">
      <c r="A97" s="8" t="inlineStr">
        <is>
          <t>アルファード</t>
        </is>
      </c>
      <c r="B97" s="8" t="n">
        <v>2009</v>
      </c>
      <c r="C97" s="8" t="inlineStr">
        <is>
          <t>20系</t>
        </is>
      </c>
      <c r="D97" s="11" t="n">
        <v>550000</v>
      </c>
      <c r="E97" s="8" t="n">
        <v>1</v>
      </c>
      <c r="F97" s="11" t="n">
        <v>133778</v>
      </c>
      <c r="G97" s="8" t="inlineStr">
        <is>
          <t>REAL_MILEAGE</t>
        </is>
      </c>
      <c r="H97" s="8" t="inlineStr">
        <is>
          <t>NONE</t>
        </is>
      </c>
      <c r="I97" s="11" t="n">
        <v>0</v>
      </c>
      <c r="J97" s="8" t="inlineStr">
        <is>
          <t>2026-06-02T23:30:07+09:00</t>
        </is>
      </c>
      <c r="K97" s="14" t="inlineStr">
        <is>
          <t>返金保証付:【愛知県弥富市】厳選中古車 平成21年 トヨタ アルファード 2.4 240S 4WD TVナビ/ETC/Bカメラ</t>
        </is>
      </c>
      <c r="L97" s="8" t="inlineStr">
        <is>
          <t>https://page.auctions.yahoo.co.jp/jp/auction/p1228866359</t>
        </is>
      </c>
    </row>
    <row r="98">
      <c r="A98" s="13" t="inlineStr">
        <is>
          <t>アルファード</t>
        </is>
      </c>
      <c r="B98" s="13" t="n">
        <v>2009</v>
      </c>
      <c r="C98" s="13" t="inlineStr">
        <is>
          <t>20系</t>
        </is>
      </c>
      <c r="D98" s="15" t="n">
        <v>290000</v>
      </c>
      <c r="E98" s="13" t="n">
        <v>74</v>
      </c>
      <c r="F98" s="15" t="n">
        <v>145000</v>
      </c>
      <c r="G98" s="13" t="inlineStr">
        <is>
          <t>REAL_MILEAGE</t>
        </is>
      </c>
      <c r="H98" s="13" t="inlineStr">
        <is>
          <t>NONE</t>
        </is>
      </c>
      <c r="I98" s="15" t="n">
        <v>0</v>
      </c>
      <c r="J98" s="13" t="inlineStr">
        <is>
          <t>2026-05-28T22:04:14+09:00</t>
        </is>
      </c>
      <c r="K98" s="14" t="inlineStr">
        <is>
          <t>TOYOTA 20アルファード 検9年4月 240S 両側Pスラ 黒 セキュリティ 外装極上 シートカバー Bluetooth ナビ Bカメラ 即納 ETC トヨタ 大阪発</t>
        </is>
      </c>
      <c r="L98" s="13" t="inlineStr">
        <is>
          <t>https://page.auctions.yahoo.co.jp/jp/auction/u1230781857</t>
        </is>
      </c>
    </row>
    <row r="99">
      <c r="A99" s="8" t="inlineStr">
        <is>
          <t>アルファード</t>
        </is>
      </c>
      <c r="B99" s="8" t="n">
        <v>2009</v>
      </c>
      <c r="C99" s="8" t="inlineStr">
        <is>
          <t>20系</t>
        </is>
      </c>
      <c r="D99" s="11" t="n">
        <v>549000</v>
      </c>
      <c r="E99" s="8" t="n">
        <v>1</v>
      </c>
      <c r="F99" s="11" t="n">
        <v>114900</v>
      </c>
      <c r="G99" s="8" t="inlineStr">
        <is>
          <t>REAL_MILEAGE</t>
        </is>
      </c>
      <c r="H99" s="8" t="inlineStr">
        <is>
          <t>NONE</t>
        </is>
      </c>
      <c r="I99" s="11" t="n">
        <v>0</v>
      </c>
      <c r="J99" s="8" t="inlineStr">
        <is>
          <t>2026-05-20T17:10:13+09:00</t>
        </is>
      </c>
      <c r="K99" s="14" t="inlineStr">
        <is>
          <t>アルファード*検10/5迄*HID*両パワスラ*フリップダウン*純正ナビ*Bカメラ*DTV*BTオーディオ*DVD*CD*ETC*クルコン*社外AW*110427</t>
        </is>
      </c>
      <c r="L99" s="8" t="inlineStr">
        <is>
          <t>https://page.auctions.yahoo.co.jp/jp/auction/n1229291914</t>
        </is>
      </c>
    </row>
    <row r="100">
      <c r="A100" s="13" t="inlineStr">
        <is>
          <t>アルファード</t>
        </is>
      </c>
      <c r="B100" s="13" t="n">
        <v>2009</v>
      </c>
      <c r="C100" s="13" t="inlineStr">
        <is>
          <t>20系</t>
        </is>
      </c>
      <c r="D100" s="15" t="n">
        <v>303000</v>
      </c>
      <c r="E100" s="13" t="n">
        <v>162</v>
      </c>
      <c r="F100" s="15" t="n">
        <v>145000</v>
      </c>
      <c r="G100" s="13" t="inlineStr">
        <is>
          <t>REAL_MILEAGE</t>
        </is>
      </c>
      <c r="H100" s="13" t="inlineStr">
        <is>
          <t>NONE</t>
        </is>
      </c>
      <c r="I100" s="15" t="n">
        <v>0</v>
      </c>
      <c r="J100" s="13" t="inlineStr">
        <is>
          <t>2026-04-30T21:26:26+09:00</t>
        </is>
      </c>
      <c r="K100" s="14" t="inlineStr">
        <is>
          <t>TOYOTA 20アルファード 検9年4月 240S 両側Pスラ 黒 セキュリティ 外装極上 シートカバー Bluetooth ナビ Bカメラ 即納 ETC トヨタ 大阪発</t>
        </is>
      </c>
      <c r="L100" s="13" t="inlineStr">
        <is>
          <t>https://page.auctions.yahoo.co.jp/jp/auction/1227463203</t>
        </is>
      </c>
    </row>
    <row r="101">
      <c r="A101" s="8" t="inlineStr">
        <is>
          <t>アルファード</t>
        </is>
      </c>
      <c r="B101" s="8" t="n">
        <v>2009</v>
      </c>
      <c r="C101" s="8" t="inlineStr">
        <is>
          <t>20系</t>
        </is>
      </c>
      <c r="D101" s="11" t="n">
        <v>242000</v>
      </c>
      <c r="E101" s="8" t="n">
        <v>205</v>
      </c>
      <c r="F101" s="11" t="n">
        <v>141000</v>
      </c>
      <c r="G101" s="8" t="inlineStr">
        <is>
          <t>REAL_MILEAGE</t>
        </is>
      </c>
      <c r="H101" s="8" t="inlineStr">
        <is>
          <t>NONE</t>
        </is>
      </c>
      <c r="I101" s="11" t="n">
        <v>0</v>
      </c>
      <c r="J101" s="8" t="inlineStr">
        <is>
          <t>2026-04-16T23:30:51+09:00</t>
        </is>
      </c>
      <c r="K101" s="14" t="inlineStr">
        <is>
          <t>トヨタ アルファード 21年式 検9年4月迄 革調シートカバー 両側パワスラ Bカメラ Bluetooth 内外装仕上済 内装LED 大阪発</t>
        </is>
      </c>
      <c r="L101" s="8" t="inlineStr">
        <is>
          <t>https://page.auctions.yahoo.co.jp/jp/auction/d1226276627</t>
        </is>
      </c>
    </row>
    <row r="102">
      <c r="A102" s="13" t="inlineStr">
        <is>
          <t>アルファード</t>
        </is>
      </c>
      <c r="B102" s="13" t="n">
        <v>2009</v>
      </c>
      <c r="C102" s="13" t="inlineStr">
        <is>
          <t>20系</t>
        </is>
      </c>
      <c r="D102" s="15" t="n">
        <v>252000</v>
      </c>
      <c r="E102" s="13" t="n">
        <v>98</v>
      </c>
      <c r="F102" s="15" t="n">
        <v>141000</v>
      </c>
      <c r="G102" s="13" t="inlineStr">
        <is>
          <t>REAL_MILEAGE</t>
        </is>
      </c>
      <c r="H102" s="13" t="inlineStr">
        <is>
          <t>NONE</t>
        </is>
      </c>
      <c r="I102" s="15" t="n">
        <v>0</v>
      </c>
      <c r="J102" s="13" t="inlineStr">
        <is>
          <t>2026-04-09T23:01:11+09:00</t>
        </is>
      </c>
      <c r="K102" s="14" t="inlineStr">
        <is>
          <t>トヨタ アルファード 21年式 検9年4月迄 革調シートカバー 両側パワスラ Bカメラ Bluetooth 内外装仕上済 内装LED 大阪発</t>
        </is>
      </c>
      <c r="L102" s="13" t="inlineStr">
        <is>
          <t>https://page.auctions.yahoo.co.jp/jp/auction/f1225340364</t>
        </is>
      </c>
    </row>
    <row r="103">
      <c r="A103" s="8" t="inlineStr">
        <is>
          <t>アルファード</t>
        </is>
      </c>
      <c r="B103" s="8" t="n">
        <v>2009</v>
      </c>
      <c r="C103" s="8" t="inlineStr">
        <is>
          <t>20系</t>
        </is>
      </c>
      <c r="D103" s="11" t="n">
        <v>264000</v>
      </c>
      <c r="E103" s="8" t="n">
        <v>61</v>
      </c>
      <c r="F103" s="11" t="n">
        <v>213005</v>
      </c>
      <c r="G103" s="8" t="inlineStr">
        <is>
          <t>REAL_MILEAGE</t>
        </is>
      </c>
      <c r="H103" s="8" t="inlineStr">
        <is>
          <t>NONE</t>
        </is>
      </c>
      <c r="I103" s="11" t="n">
        <v>0</v>
      </c>
      <c r="J103" s="8" t="inlineStr">
        <is>
          <t>2026-04-03T22:44:48+09:00</t>
        </is>
      </c>
      <c r="K103" s="14" t="inlineStr">
        <is>
          <t>アルファード 240X 平成21年 4WD 走行距離21万km(12万km時点エンジンオーバーホール) 現行車トヨタ 北海道 ALPHARD TOYOTA</t>
        </is>
      </c>
      <c r="L103" s="8" t="inlineStr">
        <is>
          <t>https://page.auctions.yahoo.co.jp/jp/auction/p1223638465</t>
        </is>
      </c>
    </row>
    <row r="104">
      <c r="A104" s="13" t="inlineStr">
        <is>
          <t>アルファード</t>
        </is>
      </c>
      <c r="B104" s="13" t="n">
        <v>2009</v>
      </c>
      <c r="C104" s="13" t="inlineStr">
        <is>
          <t>20系</t>
        </is>
      </c>
      <c r="D104" s="15" t="n">
        <v>398000</v>
      </c>
      <c r="E104" s="13" t="n">
        <v>1</v>
      </c>
      <c r="F104" s="15" t="n">
        <v>126300</v>
      </c>
      <c r="G104" s="13" t="inlineStr">
        <is>
          <t>REAL_MILEAGE</t>
        </is>
      </c>
      <c r="H104" s="13" t="inlineStr">
        <is>
          <t>NONE</t>
        </is>
      </c>
      <c r="I104" s="15" t="n">
        <v>0</v>
      </c>
      <c r="J104" s="13" t="inlineStr">
        <is>
          <t>2026-03-31T08:36:01+09:00</t>
        </is>
      </c>
      <c r="K104" s="14" t="inlineStr">
        <is>
          <t>アルファード240S　カスタム　売り切り！　車高調　19インチ</t>
        </is>
      </c>
      <c r="L104" s="13" t="inlineStr">
        <is>
          <t>https://page.auctions.yahoo.co.jp/jp/auction/n1221699696</t>
        </is>
      </c>
    </row>
    <row r="105">
      <c r="A105" s="8" t="inlineStr">
        <is>
          <t>アルファード</t>
        </is>
      </c>
      <c r="B105" s="8" t="n">
        <v>2009</v>
      </c>
      <c r="C105" s="8" t="inlineStr">
        <is>
          <t>20系</t>
        </is>
      </c>
      <c r="D105" s="11" t="n">
        <v>301000</v>
      </c>
      <c r="E105" s="8" t="n">
        <v>122</v>
      </c>
      <c r="F105" s="11" t="n">
        <v>181100</v>
      </c>
      <c r="G105" s="8" t="inlineStr">
        <is>
          <t>REAL_MILEAGE</t>
        </is>
      </c>
      <c r="H105" s="8" t="n"/>
      <c r="I105" s="11" t="n">
        <v>0</v>
      </c>
      <c r="J105" s="8" t="inlineStr">
        <is>
          <t>2026-03-29T19:26:00+09:00</t>
        </is>
      </c>
      <c r="K105" s="14" t="inlineStr">
        <is>
          <t>【1万円スタート売り切り】トヨタアルファード240Sガソリン4WD</t>
        </is>
      </c>
      <c r="L105" s="8" t="inlineStr">
        <is>
          <t>https://page.auctions.yahoo.co.jp/jp/auction/f1223648267</t>
        </is>
      </c>
    </row>
    <row r="106">
      <c r="A106" s="13" t="inlineStr">
        <is>
          <t>アルファード</t>
        </is>
      </c>
      <c r="B106" s="13" t="n">
        <v>2009</v>
      </c>
      <c r="C106" s="13" t="inlineStr">
        <is>
          <t>20系</t>
        </is>
      </c>
      <c r="D106" s="15" t="n">
        <v>450000</v>
      </c>
      <c r="E106" s="13" t="n">
        <v>1</v>
      </c>
      <c r="F106" s="15" t="n">
        <v>133000</v>
      </c>
      <c r="G106" s="13" t="inlineStr">
        <is>
          <t>REAL_MILEAGE</t>
        </is>
      </c>
      <c r="H106" s="13" t="inlineStr">
        <is>
          <t>NONE</t>
        </is>
      </c>
      <c r="I106" s="15" t="n">
        <v>0</v>
      </c>
      <c r="J106" s="13" t="inlineStr">
        <is>
          <t>2026-03-22T22:25:42+09:00</t>
        </is>
      </c>
      <c r="K106" s="14" t="inlineStr">
        <is>
          <t>H21 アルファード 240S サンルーフ 13万km 車検R9年12月 純正ナビ フリップダウン 黒</t>
        </is>
      </c>
      <c r="L106" s="13" t="inlineStr">
        <is>
          <t>https://page.auctions.yahoo.co.jp/jp/auction/l1222193208</t>
        </is>
      </c>
    </row>
    <row r="107">
      <c r="A107" s="8" t="inlineStr">
        <is>
          <t>アルファード</t>
        </is>
      </c>
      <c r="B107" s="8" t="n">
        <v>2009</v>
      </c>
      <c r="C107" s="8" t="inlineStr">
        <is>
          <t>20系</t>
        </is>
      </c>
      <c r="D107" s="11" t="n">
        <v>378500</v>
      </c>
      <c r="E107" s="8" t="n">
        <v>120</v>
      </c>
      <c r="F107" s="11" t="n">
        <v>173250</v>
      </c>
      <c r="G107" s="8" t="inlineStr">
        <is>
          <t>REAL_MILEAGE</t>
        </is>
      </c>
      <c r="H107" s="8" t="inlineStr">
        <is>
          <t>NONE</t>
        </is>
      </c>
      <c r="I107" s="11" t="n">
        <v>0</v>
      </c>
      <c r="J107" s="8" t="inlineStr">
        <is>
          <t>2026-03-11T22:01:37+09:00</t>
        </is>
      </c>
      <c r="K107" s="14" t="inlineStr">
        <is>
          <t>アルファード3.5G後期仕様アルパイン専用ナビ2列目オットマンシートカバー付きパワフルなエンジン</t>
        </is>
      </c>
      <c r="L107" s="8" t="inlineStr">
        <is>
          <t>https://page.auctions.yahoo.co.jp/jp/auction/n1221899206</t>
        </is>
      </c>
    </row>
    <row r="108">
      <c r="A108" s="13" t="inlineStr">
        <is>
          <t>アルファード</t>
        </is>
      </c>
      <c r="B108" s="13" t="n">
        <v>2008</v>
      </c>
      <c r="C108" s="13" t="inlineStr">
        <is>
          <t>20系</t>
        </is>
      </c>
      <c r="D108" s="15" t="n">
        <v>900000</v>
      </c>
      <c r="E108" s="13" t="n">
        <v>1</v>
      </c>
      <c r="F108" s="15" t="n">
        <v>89000</v>
      </c>
      <c r="G108" s="13" t="inlineStr">
        <is>
          <t>REAL_MILEAGE</t>
        </is>
      </c>
      <c r="H108" s="13" t="inlineStr">
        <is>
          <t>NONE</t>
        </is>
      </c>
      <c r="I108" s="15" t="n">
        <v>30000</v>
      </c>
      <c r="J108" s="13" t="inlineStr">
        <is>
          <t>2026-08-13T00:31:42+09:00</t>
        </is>
      </c>
      <c r="K108" s="14" t="inlineStr">
        <is>
          <t>海道 釧路発！アルファード 3.5L 4WD Lパッケージ エグゼクティブシート オットマン 20インチ付き 車検令和9年11月 程度良し 即納車OK！</t>
        </is>
      </c>
      <c r="L108" s="13" t="inlineStr">
        <is>
          <t>https://page.auctions.yahoo.co.jp/jp/auction/r1240108339</t>
        </is>
      </c>
    </row>
    <row r="109">
      <c r="A109" s="8" t="inlineStr">
        <is>
          <t>アルファード</t>
        </is>
      </c>
      <c r="B109" s="8" t="n">
        <v>2008</v>
      </c>
      <c r="C109" s="8" t="inlineStr"/>
      <c r="D109" s="11" t="n">
        <v>450000</v>
      </c>
      <c r="E109" s="8" t="n">
        <v>1</v>
      </c>
      <c r="F109" s="11" t="n">
        <v>56500</v>
      </c>
      <c r="G109" s="8" t="inlineStr">
        <is>
          <t>REAL_MILEAGE</t>
        </is>
      </c>
      <c r="H109" s="8" t="inlineStr">
        <is>
          <t>NONE</t>
        </is>
      </c>
      <c r="I109" s="11" t="n">
        <v>0</v>
      </c>
      <c r="J109" s="8" t="inlineStr">
        <is>
          <t>2026-08-12T18:02:46+09:00</t>
        </is>
      </c>
      <c r="K109" s="14" t="inlineStr">
        <is>
          <t>アルファード　3.0MSプライムセレクションⅡ　ムーンルーフ　実走行　車検付き</t>
        </is>
      </c>
      <c r="L109" s="8" t="inlineStr">
        <is>
          <t>https://page.auctions.yahoo.co.jp/jp/auction/k1240093174</t>
        </is>
      </c>
    </row>
    <row r="110">
      <c r="A110" s="13" t="inlineStr">
        <is>
          <t>アルファード</t>
        </is>
      </c>
      <c r="B110" s="13" t="n">
        <v>2008</v>
      </c>
      <c r="C110" s="13" t="inlineStr">
        <is>
          <t>20系</t>
        </is>
      </c>
      <c r="D110" s="15" t="n">
        <v>211000</v>
      </c>
      <c r="E110" s="13" t="n">
        <v>49</v>
      </c>
      <c r="F110" s="15" t="n">
        <v>110786</v>
      </c>
      <c r="G110" s="13" t="inlineStr">
        <is>
          <t>REAL_MILEAGE</t>
        </is>
      </c>
      <c r="H110" s="13" t="inlineStr">
        <is>
          <t>NONE</t>
        </is>
      </c>
      <c r="I110" s="15" t="n">
        <v>18290</v>
      </c>
      <c r="J110" s="13" t="inlineStr">
        <is>
          <t>2026-07-24T21:47:29+09:00</t>
        </is>
      </c>
      <c r="K110" s="14" t="inlineStr">
        <is>
          <t>トヨタ、アルファードＶ、年式：平成20年５月、走行距離：110786KM、BLUETOOTH、TV、ナビ、車検付き、自走可能、右左スライドドア</t>
        </is>
      </c>
      <c r="L110" s="13" t="inlineStr">
        <is>
          <t>https://page.auctions.yahoo.co.jp/jp/auction/r1237793626</t>
        </is>
      </c>
    </row>
    <row r="111">
      <c r="A111" s="8" t="inlineStr">
        <is>
          <t>アルファード</t>
        </is>
      </c>
      <c r="B111" s="8" t="n">
        <v>2008</v>
      </c>
      <c r="C111" s="8" t="inlineStr">
        <is>
          <t>20系</t>
        </is>
      </c>
      <c r="D111" s="11" t="n">
        <v>248000</v>
      </c>
      <c r="E111" s="8" t="n">
        <v>1</v>
      </c>
      <c r="F111" s="11" t="n">
        <v>254000</v>
      </c>
      <c r="G111" s="8" t="inlineStr">
        <is>
          <t>REAL_MILEAGE</t>
        </is>
      </c>
      <c r="H111" s="8" t="inlineStr">
        <is>
          <t>NONE</t>
        </is>
      </c>
      <c r="I111" s="11" t="n">
        <v>52690</v>
      </c>
      <c r="J111" s="8" t="inlineStr">
        <is>
          <t>2026-07-13T23:02:23+09:00</t>
        </is>
      </c>
      <c r="K111" s="14" t="inlineStr">
        <is>
          <t>動画説明!新潟市!4WD!多走行ですが快調!20年アルファード240G 装備多数有!車検9年9月 外装内装綺麗め!この夏みんなでお出かけ用に!</t>
        </is>
      </c>
      <c r="L111" s="8" t="inlineStr">
        <is>
          <t>https://page.auctions.yahoo.co.jp/jp/auction/j1236139235</t>
        </is>
      </c>
    </row>
    <row r="112">
      <c r="A112" s="13" t="inlineStr">
        <is>
          <t>アルファード</t>
        </is>
      </c>
      <c r="B112" s="13" t="n">
        <v>2008</v>
      </c>
      <c r="C112" s="13" t="inlineStr">
        <is>
          <t>20系</t>
        </is>
      </c>
      <c r="D112" s="15" t="n">
        <v>698000</v>
      </c>
      <c r="E112" s="13" t="n">
        <v>1</v>
      </c>
      <c r="F112" s="15" t="n">
        <v>96000</v>
      </c>
      <c r="G112" s="13" t="inlineStr">
        <is>
          <t>REAL_MILEAGE</t>
        </is>
      </c>
      <c r="H112" s="13" t="inlineStr">
        <is>
          <t>EXISTS</t>
        </is>
      </c>
      <c r="I112" s="15" t="n">
        <v>0</v>
      </c>
      <c r="J112" s="13" t="inlineStr">
        <is>
          <t>2026-07-05T21:58:57+09:00</t>
        </is>
      </c>
      <c r="K112" s="14" t="inlineStr">
        <is>
          <t>【諸費用コミ】返金保証付:平成20年 トヨタ アルファード 3.5 350S Cパッケージ ナビ+TV、両側パワースライドドア</t>
        </is>
      </c>
      <c r="L112" s="13" t="inlineStr">
        <is>
          <t>https://page.auctions.yahoo.co.jp/jp/auction/h1235572756</t>
        </is>
      </c>
    </row>
    <row r="113">
      <c r="A113" s="8" t="inlineStr">
        <is>
          <t>アルファード</t>
        </is>
      </c>
      <c r="B113" s="8" t="n">
        <v>2008</v>
      </c>
      <c r="C113" s="8" t="inlineStr">
        <is>
          <t>20系</t>
        </is>
      </c>
      <c r="D113" s="11" t="n">
        <v>352000</v>
      </c>
      <c r="E113" s="8" t="n">
        <v>84</v>
      </c>
      <c r="F113" s="11" t="n">
        <v>143700</v>
      </c>
      <c r="G113" s="8" t="inlineStr">
        <is>
          <t>REAL_MILEAGE</t>
        </is>
      </c>
      <c r="H113" s="8" t="inlineStr">
        <is>
          <t>NONE</t>
        </is>
      </c>
      <c r="I113" s="11" t="n">
        <v>0</v>
      </c>
      <c r="J113" s="8" t="inlineStr">
        <is>
          <t>2026-06-29T19:01:09+09:00</t>
        </is>
      </c>
      <c r="K113" s="14" t="inlineStr">
        <is>
          <t>埼玉県発 20年式 トヨタ 20アルファード 240X 車検1年付き</t>
        </is>
      </c>
      <c r="L113" s="8" t="inlineStr">
        <is>
          <t>https://page.auctions.yahoo.co.jp/jp/auction/k1234391566</t>
        </is>
      </c>
    </row>
    <row r="114">
      <c r="A114" s="13" t="inlineStr">
        <is>
          <t>アルファード</t>
        </is>
      </c>
      <c r="B114" s="13" t="n">
        <v>2008</v>
      </c>
      <c r="C114" s="13" t="inlineStr">
        <is>
          <t>20系</t>
        </is>
      </c>
      <c r="D114" s="15" t="n">
        <v>535000</v>
      </c>
      <c r="E114" s="13" t="n">
        <v>1</v>
      </c>
      <c r="F114" s="15" t="n">
        <v>116300</v>
      </c>
      <c r="G114" s="13" t="inlineStr">
        <is>
          <t>REAL_MILEAGE</t>
        </is>
      </c>
      <c r="H114" s="13" t="inlineStr">
        <is>
          <t>EXISTS</t>
        </is>
      </c>
      <c r="I114" s="15" t="n">
        <v>67290</v>
      </c>
      <c r="J114" s="13" t="inlineStr">
        <is>
          <t>2026-06-19T13:10:45+09:00</t>
        </is>
      </c>
      <c r="K114" s="14" t="inlineStr">
        <is>
          <t>アルファード*検長*Wサンルーフ*HID*左パワスラ*エクリプス9インチナビ*Bカメラ*BTオーディオ*DTV*DVD*CD*ETC*アルミ*社外足*110119S2</t>
        </is>
      </c>
      <c r="L114" s="13" t="inlineStr">
        <is>
          <t>https://page.auctions.yahoo.co.jp/jp/auction/e1225736943</t>
        </is>
      </c>
    </row>
    <row r="115">
      <c r="A115" s="8" t="inlineStr">
        <is>
          <t>アルファード</t>
        </is>
      </c>
      <c r="B115" s="8" t="n">
        <v>2008</v>
      </c>
      <c r="C115" s="8" t="inlineStr">
        <is>
          <t>20系</t>
        </is>
      </c>
      <c r="D115" s="11" t="n">
        <v>640000</v>
      </c>
      <c r="E115" s="8" t="n">
        <v>1</v>
      </c>
      <c r="F115" s="11" t="n">
        <v>119987</v>
      </c>
      <c r="G115" s="8" t="inlineStr">
        <is>
          <t>REAL_MILEAGE</t>
        </is>
      </c>
      <c r="H115" s="8" t="n"/>
      <c r="I115" s="11" t="n">
        <v>0</v>
      </c>
      <c r="J115" s="8" t="inlineStr">
        <is>
          <t>2026-06-01T21:44:19+09:00</t>
        </is>
      </c>
      <c r="K115" s="14" t="inlineStr">
        <is>
          <t>【超美車】H20年 4WD アルファード 240S ANH25W 検査9年10月25日 ナビ, TV, バックカメラ, Bluetooth</t>
        </is>
      </c>
      <c r="L115" s="8" t="inlineStr">
        <is>
          <t>https://page.auctions.yahoo.co.jp/jp/auction/w1226299602</t>
        </is>
      </c>
    </row>
    <row r="116">
      <c r="A116" s="13" t="inlineStr">
        <is>
          <t>アルファード</t>
        </is>
      </c>
      <c r="B116" s="13" t="n">
        <v>2008</v>
      </c>
      <c r="C116" s="13" t="inlineStr">
        <is>
          <t>20系</t>
        </is>
      </c>
      <c r="D116" s="15" t="n">
        <v>401000</v>
      </c>
      <c r="E116" s="13" t="n">
        <v>92</v>
      </c>
      <c r="F116" s="15" t="n">
        <v>144180</v>
      </c>
      <c r="G116" s="13" t="inlineStr">
        <is>
          <t>REAL_MILEAGE</t>
        </is>
      </c>
      <c r="H116" s="13" t="inlineStr">
        <is>
          <t>NONE</t>
        </is>
      </c>
      <c r="I116" s="15" t="n">
        <v>0</v>
      </c>
      <c r="J116" s="13" t="inlineStr">
        <is>
          <t>2026-05-17T20:54:06+09:00</t>
        </is>
      </c>
      <c r="K116" s="14" t="inlineStr">
        <is>
          <t>TOYOTA★トヨタ★アルファード★車検R9年7月まであり★ローダウン</t>
        </is>
      </c>
      <c r="L116" s="13" t="inlineStr">
        <is>
          <t>https://page.auctions.yahoo.co.jp/jp/auction/b1229682468</t>
        </is>
      </c>
    </row>
    <row r="117">
      <c r="A117" s="8" t="inlineStr">
        <is>
          <t>アルファード</t>
        </is>
      </c>
      <c r="B117" s="8" t="n">
        <v>2008</v>
      </c>
      <c r="C117" s="8" t="inlineStr">
        <is>
          <t>20系</t>
        </is>
      </c>
      <c r="D117" s="11" t="n">
        <v>628001</v>
      </c>
      <c r="E117" s="8" t="n">
        <v>1</v>
      </c>
      <c r="F117" s="11" t="n">
        <v>81000</v>
      </c>
      <c r="G117" s="8" t="inlineStr">
        <is>
          <t>REAL_MILEAGE</t>
        </is>
      </c>
      <c r="H117" s="8" t="inlineStr">
        <is>
          <t>NONE</t>
        </is>
      </c>
      <c r="I117" s="11" t="n">
        <v>0</v>
      </c>
      <c r="J117" s="8" t="inlineStr">
        <is>
          <t>2026-04-29T23:22:36+09:00</t>
        </is>
      </c>
      <c r="K117" s="14" t="inlineStr">
        <is>
          <t>アルファード 3.5 350G Lパッケージ ETC　ナビ　ワンセグTV　AAC　エアバック</t>
        </is>
      </c>
      <c r="L117" s="8" t="inlineStr">
        <is>
          <t>https://page.auctions.yahoo.co.jp/jp/auction/r1226694553</t>
        </is>
      </c>
    </row>
    <row r="118">
      <c r="A118" s="13" t="inlineStr">
        <is>
          <t>アルファード</t>
        </is>
      </c>
      <c r="B118" s="13" t="n">
        <v>2008</v>
      </c>
      <c r="C118" s="13" t="inlineStr">
        <is>
          <t>20系</t>
        </is>
      </c>
      <c r="D118" s="15" t="n">
        <v>578000</v>
      </c>
      <c r="E118" s="13" t="n">
        <v>1</v>
      </c>
      <c r="F118" s="15" t="n">
        <v>85000</v>
      </c>
      <c r="G118" s="13" t="inlineStr">
        <is>
          <t>REAL_MILEAGE</t>
        </is>
      </c>
      <c r="H118" s="13" t="inlineStr">
        <is>
          <t>NONE</t>
        </is>
      </c>
      <c r="I118" s="15" t="n">
        <v>0</v>
      </c>
      <c r="J118" s="13" t="inlineStr">
        <is>
          <t>2026-04-23T13:44:23+09:00</t>
        </is>
      </c>
      <c r="K118" s="14" t="inlineStr">
        <is>
          <t>アルファード 2.4 240X 検10.4 ナビTVスマキーBカメDレコETC</t>
        </is>
      </c>
      <c r="L118" s="13" t="inlineStr">
        <is>
          <t>https://page.auctions.yahoo.co.jp/jp/auction/h1227120082</t>
        </is>
      </c>
    </row>
    <row r="119">
      <c r="A119" s="8" t="inlineStr">
        <is>
          <t>アルファード</t>
        </is>
      </c>
      <c r="B119" s="8" t="n">
        <v>2008</v>
      </c>
      <c r="C119" s="8" t="inlineStr">
        <is>
          <t>20系</t>
        </is>
      </c>
      <c r="D119" s="11" t="n">
        <v>461000</v>
      </c>
      <c r="E119" s="8" t="n">
        <v>8</v>
      </c>
      <c r="F119" s="11" t="n">
        <v>125861</v>
      </c>
      <c r="G119" s="8" t="inlineStr">
        <is>
          <t>REAL_MILEAGE</t>
        </is>
      </c>
      <c r="H119" s="8" t="inlineStr">
        <is>
          <t>NONE</t>
        </is>
      </c>
      <c r="I119" s="11" t="n">
        <v>0</v>
      </c>
      <c r="J119" s="8" t="inlineStr">
        <is>
          <t>2026-04-16T20:00:38+09:00</t>
        </is>
      </c>
      <c r="K119" s="14" t="inlineStr">
        <is>
          <t>大人カスタム　アルファード　車検付き　美車　込み込み</t>
        </is>
      </c>
      <c r="L119" s="8" t="inlineStr">
        <is>
          <t>https://page.auctions.yahoo.co.jp/jp/auction/n1225223066</t>
        </is>
      </c>
    </row>
    <row r="120">
      <c r="A120" s="13" t="inlineStr">
        <is>
          <t>アルファード</t>
        </is>
      </c>
      <c r="B120" s="13" t="n">
        <v>2008</v>
      </c>
      <c r="C120" s="13" t="inlineStr">
        <is>
          <t>20系</t>
        </is>
      </c>
      <c r="D120" s="15" t="n">
        <v>401000</v>
      </c>
      <c r="E120" s="13" t="n">
        <v>83</v>
      </c>
      <c r="F120" s="15" t="n">
        <v>305683</v>
      </c>
      <c r="G120" s="13" t="inlineStr">
        <is>
          <t>REAL_MILEAGE</t>
        </is>
      </c>
      <c r="H120" s="13" t="inlineStr">
        <is>
          <t>NONE</t>
        </is>
      </c>
      <c r="I120" s="15" t="n">
        <v>0</v>
      </c>
      <c r="J120" s="13" t="inlineStr">
        <is>
          <t>2026-04-01T20:45:22+09:00</t>
        </is>
      </c>
      <c r="K120" s="14" t="inlineStr">
        <is>
          <t>トヨタ アルファード V6 3500 350G 4WD 車いす移動車 8ナンバー 車検たっぷり！100円スタート！</t>
        </is>
      </c>
      <c r="L120" s="13" t="inlineStr">
        <is>
          <t>https://page.auctions.yahoo.co.jp/jp/auction/v1204504456</t>
        </is>
      </c>
    </row>
    <row r="121">
      <c r="A121" s="8" t="inlineStr">
        <is>
          <t>アルファード</t>
        </is>
      </c>
      <c r="B121" s="8" t="n">
        <v>2008</v>
      </c>
      <c r="C121" s="8" t="inlineStr"/>
      <c r="D121" s="11" t="n">
        <v>289000</v>
      </c>
      <c r="E121" s="8" t="n">
        <v>29</v>
      </c>
      <c r="F121" s="11" t="n">
        <v>127000</v>
      </c>
      <c r="G121" s="8" t="inlineStr">
        <is>
          <t>REAL_MILEAGE</t>
        </is>
      </c>
      <c r="H121" s="8" t="inlineStr">
        <is>
          <t>NONE</t>
        </is>
      </c>
      <c r="I121" s="11" t="n">
        <v>0</v>
      </c>
      <c r="J121" s="8" t="inlineStr">
        <is>
          <t>2026-02-28T21:51:55+09:00</t>
        </is>
      </c>
      <c r="K121" s="14" t="inlineStr">
        <is>
          <t xml:space="preserve">岐阜 即乗 検9年3月 H20年3月 12万㌔ 上級 アルファード 2.4AS 特別仕様車 プラチナセレクションⅡ 両側電動スライドドア </t>
        </is>
      </c>
      <c r="L121" s="8" t="inlineStr">
        <is>
          <t>https://page.auctions.yahoo.co.jp/jp/auction/d1219586932</t>
        </is>
      </c>
    </row>
    <row r="122">
      <c r="A122" s="13" t="inlineStr">
        <is>
          <t>アルファード</t>
        </is>
      </c>
      <c r="B122" s="13" t="n">
        <v>2007</v>
      </c>
      <c r="C122" s="13" t="inlineStr"/>
      <c r="D122" s="15" t="n">
        <v>302000</v>
      </c>
      <c r="E122" s="13" t="n">
        <v>86</v>
      </c>
      <c r="F122" s="15" t="n">
        <v>299000</v>
      </c>
      <c r="G122" s="13" t="inlineStr">
        <is>
          <t>REAL_MILEAGE</t>
        </is>
      </c>
      <c r="H122" s="13" t="inlineStr">
        <is>
          <t>NONE</t>
        </is>
      </c>
      <c r="I122" s="15" t="n">
        <v>35400</v>
      </c>
      <c r="J122" s="13" t="inlineStr">
        <is>
          <t>2026-08-09T21:31:36+09:00</t>
        </is>
      </c>
      <c r="K122" s="14" t="inlineStr">
        <is>
          <t>10アルファードハイブリッド ロイヤルラウンジ</t>
        </is>
      </c>
      <c r="L122" s="13" t="inlineStr">
        <is>
          <t>https://page.auctions.yahoo.co.jp/jp/auction/b1239848837</t>
        </is>
      </c>
    </row>
    <row r="123">
      <c r="A123" s="8" t="inlineStr">
        <is>
          <t>アルファード</t>
        </is>
      </c>
      <c r="B123" s="8" t="n">
        <v>2007</v>
      </c>
      <c r="C123" s="8" t="inlineStr"/>
      <c r="D123" s="11" t="n">
        <v>730000</v>
      </c>
      <c r="E123" s="8" t="n">
        <v>1</v>
      </c>
      <c r="F123" s="11" t="n">
        <v>135000</v>
      </c>
      <c r="G123" s="8" t="inlineStr">
        <is>
          <t>REAL_MILEAGE</t>
        </is>
      </c>
      <c r="H123" s="8" t="inlineStr">
        <is>
          <t>NONE</t>
        </is>
      </c>
      <c r="I123" s="11" t="n">
        <v>0</v>
      </c>
      <c r="J123" s="8" t="inlineStr">
        <is>
          <t>2026-06-03T23:14:29+09:00</t>
        </is>
      </c>
      <c r="K123" s="14" t="inlineStr">
        <is>
          <t>アルファード　白</t>
        </is>
      </c>
      <c r="L123" s="8" t="inlineStr">
        <is>
          <t>https://page.auctions.yahoo.co.jp/jp/auction/l1232152498</t>
        </is>
      </c>
    </row>
    <row r="124">
      <c r="A124" s="13" t="inlineStr">
        <is>
          <t>アルファード</t>
        </is>
      </c>
      <c r="B124" s="13" t="n">
        <v>2007</v>
      </c>
      <c r="C124" s="13" t="inlineStr"/>
      <c r="D124" s="15" t="n">
        <v>800000</v>
      </c>
      <c r="E124" s="13" t="n">
        <v>1</v>
      </c>
      <c r="F124" s="15" t="n">
        <v>88383</v>
      </c>
      <c r="G124" s="13" t="inlineStr">
        <is>
          <t>REAL_MILEAGE</t>
        </is>
      </c>
      <c r="H124" s="13" t="inlineStr">
        <is>
          <t>NONE</t>
        </is>
      </c>
      <c r="I124" s="15" t="n">
        <v>0</v>
      </c>
      <c r="J124" s="13" t="inlineStr">
        <is>
          <t>2026-06-03T23:14:09+09:00</t>
        </is>
      </c>
      <c r="K124" s="14" t="inlineStr">
        <is>
          <t>アルファードV　白</t>
        </is>
      </c>
      <c r="L124" s="13" t="inlineStr">
        <is>
          <t>https://page.auctions.yahoo.co.jp/jp/auction/n1232153325</t>
        </is>
      </c>
    </row>
    <row r="125">
      <c r="A125" s="8" t="inlineStr">
        <is>
          <t>アルファード</t>
        </is>
      </c>
      <c r="B125" s="8" t="n">
        <v>2007</v>
      </c>
      <c r="C125" s="8" t="inlineStr"/>
      <c r="D125" s="11" t="n">
        <v>820000</v>
      </c>
      <c r="E125" s="8" t="n">
        <v>1</v>
      </c>
      <c r="F125" s="11" t="n">
        <v>26298</v>
      </c>
      <c r="G125" s="8" t="inlineStr">
        <is>
          <t>REAL_MILEAGE</t>
        </is>
      </c>
      <c r="H125" s="8" t="inlineStr">
        <is>
          <t>NONE</t>
        </is>
      </c>
      <c r="I125" s="11" t="n">
        <v>0</v>
      </c>
      <c r="J125" s="8" t="inlineStr">
        <is>
          <t>2026-06-03T23:13:51+09:00</t>
        </is>
      </c>
      <c r="K125" s="14" t="inlineStr">
        <is>
          <t>トヨタ　アルファード　黒</t>
        </is>
      </c>
      <c r="L125" s="8" t="inlineStr">
        <is>
          <t>https://page.auctions.yahoo.co.jp/jp/auction/c1232155971</t>
        </is>
      </c>
    </row>
    <row r="126">
      <c r="A126" s="13" t="inlineStr">
        <is>
          <t>アルファード</t>
        </is>
      </c>
      <c r="B126" s="13" t="n">
        <v>2007</v>
      </c>
      <c r="C126" s="13" t="inlineStr"/>
      <c r="D126" s="15" t="n">
        <v>810000</v>
      </c>
      <c r="E126" s="13" t="n">
        <v>1</v>
      </c>
      <c r="F126" s="15" t="n">
        <v>128658</v>
      </c>
      <c r="G126" s="13" t="inlineStr">
        <is>
          <t>REAL_MILEAGE</t>
        </is>
      </c>
      <c r="H126" s="13" t="inlineStr">
        <is>
          <t>NONE</t>
        </is>
      </c>
      <c r="I126" s="15" t="n">
        <v>0</v>
      </c>
      <c r="J126" s="13" t="inlineStr">
        <is>
          <t>2026-06-03T23:12:27+09:00</t>
        </is>
      </c>
      <c r="K126" s="14" t="inlineStr">
        <is>
          <t>アルファード　黒</t>
        </is>
      </c>
      <c r="L126" s="13" t="inlineStr">
        <is>
          <t>https://page.auctions.yahoo.co.jp/jp/auction/q1232148661</t>
        </is>
      </c>
    </row>
    <row r="127">
      <c r="A127" s="8" t="inlineStr">
        <is>
          <t>アルファード</t>
        </is>
      </c>
      <c r="B127" s="8" t="n">
        <v>2007</v>
      </c>
      <c r="C127" s="8" t="inlineStr"/>
      <c r="D127" s="11" t="n">
        <v>248000</v>
      </c>
      <c r="E127" s="8" t="n">
        <v>1</v>
      </c>
      <c r="F127" s="11" t="n">
        <v>145000</v>
      </c>
      <c r="G127" s="8" t="inlineStr">
        <is>
          <t>REAL_MILEAGE</t>
        </is>
      </c>
      <c r="H127" s="8" t="inlineStr">
        <is>
          <t>NONE</t>
        </is>
      </c>
      <c r="I127" s="11" t="n">
        <v>0</v>
      </c>
      <c r="J127" s="8" t="inlineStr">
        <is>
          <t>2026-03-13T21:27:45+09:00</t>
        </is>
      </c>
      <c r="K127" s="14" t="inlineStr">
        <is>
          <t>アルファード 2.4 V AS プラチナセレクションII</t>
        </is>
      </c>
      <c r="L127" s="8" t="inlineStr">
        <is>
          <t>https://page.auctions.yahoo.co.jp/jp/auction/x1218908635</t>
        </is>
      </c>
    </row>
    <row r="128">
      <c r="A128" s="13" t="inlineStr">
        <is>
          <t>アルファード</t>
        </is>
      </c>
      <c r="B128" s="13" t="n">
        <v>2006</v>
      </c>
      <c r="C128" s="13" t="inlineStr"/>
      <c r="D128" s="15" t="n">
        <v>290000</v>
      </c>
      <c r="E128" s="13" t="n">
        <v>1</v>
      </c>
      <c r="F128" s="15" t="n">
        <v>75000</v>
      </c>
      <c r="G128" s="13" t="inlineStr">
        <is>
          <t>REAL_MILEAGE</t>
        </is>
      </c>
      <c r="H128" s="13" t="n"/>
      <c r="I128" s="15" t="n">
        <v>0</v>
      </c>
      <c r="J128" s="13" t="inlineStr">
        <is>
          <t>2026-07-19T19:42:49+09:00</t>
        </is>
      </c>
      <c r="K128" s="14" t="inlineStr">
        <is>
          <t>トヨタ アルファード ハイブリッド ath10W 広島</t>
        </is>
      </c>
      <c r="L128" s="13" t="inlineStr">
        <is>
          <t>https://page.auctions.yahoo.co.jp/jp/auction/v1236011521</t>
        </is>
      </c>
    </row>
    <row r="129">
      <c r="A129" s="8" t="inlineStr">
        <is>
          <t>アルファード</t>
        </is>
      </c>
      <c r="B129" s="8" t="n">
        <v>2006</v>
      </c>
      <c r="C129" s="8" t="inlineStr"/>
      <c r="D129" s="11" t="n">
        <v>311000</v>
      </c>
      <c r="E129" s="8" t="n">
        <v>9</v>
      </c>
      <c r="F129" s="11" t="n">
        <v>116800</v>
      </c>
      <c r="G129" s="8" t="inlineStr">
        <is>
          <t>REAL_MILEAGE</t>
        </is>
      </c>
      <c r="H129" s="8" t="inlineStr">
        <is>
          <t>NONE</t>
        </is>
      </c>
      <c r="I129" s="11" t="n">
        <v>0</v>
      </c>
      <c r="J129" s="8" t="inlineStr">
        <is>
          <t>2026-04-20T21:33:49+09:00</t>
        </is>
      </c>
      <c r="K129" s="14" t="inlineStr">
        <is>
          <t>★平成18年 後期 アルファード 3.0 MZ Gエディション★整備バッチリ★車検長い★アルパイン カーナビ★フリップダウンモニター★ドラレコ★</t>
        </is>
      </c>
      <c r="L129" s="8" t="inlineStr">
        <is>
          <t>https://page.auctions.yahoo.co.jp/jp/auction/1225546514</t>
        </is>
      </c>
    </row>
    <row r="130">
      <c r="A130" s="13" t="inlineStr">
        <is>
          <t>アルファード</t>
        </is>
      </c>
      <c r="B130" s="13" t="n">
        <v>2006</v>
      </c>
      <c r="C130" s="13" t="inlineStr"/>
      <c r="D130" s="15" t="n">
        <v>163000</v>
      </c>
      <c r="E130" s="13" t="n">
        <v>22</v>
      </c>
      <c r="F130" s="15" t="n">
        <v>216331</v>
      </c>
      <c r="G130" s="13" t="inlineStr">
        <is>
          <t>REAL_MILEAGE</t>
        </is>
      </c>
      <c r="H130" s="13" t="inlineStr">
        <is>
          <t>NONE</t>
        </is>
      </c>
      <c r="I130" s="15" t="n">
        <v>0</v>
      </c>
      <c r="J130" s="13" t="inlineStr">
        <is>
          <t>2026-03-06T21:35:56+09:00</t>
        </is>
      </c>
      <c r="K130" s="14" t="inlineStr">
        <is>
          <t>アルファードハイブリッドＨ18年216331km個人出品兵庫から</t>
        </is>
      </c>
      <c r="L130" s="13" t="inlineStr">
        <is>
          <t>https://page.auctions.yahoo.co.jp/jp/auction/u1220757315</t>
        </is>
      </c>
    </row>
    <row r="131">
      <c r="A131" s="8" t="inlineStr">
        <is>
          <t>アルファード</t>
        </is>
      </c>
      <c r="B131" s="8" t="n">
        <v>2005</v>
      </c>
      <c r="C131" s="8" t="inlineStr"/>
      <c r="D131" s="11" t="n">
        <v>550000</v>
      </c>
      <c r="E131" s="8" t="n">
        <v>78</v>
      </c>
      <c r="F131" s="11" t="n">
        <v>55135</v>
      </c>
      <c r="G131" s="8" t="inlineStr">
        <is>
          <t>REAL_MILEAGE</t>
        </is>
      </c>
      <c r="H131" s="8" t="inlineStr">
        <is>
          <t>NONE</t>
        </is>
      </c>
      <c r="I131" s="11" t="n">
        <v>0</v>
      </c>
      <c r="J131" s="8" t="inlineStr">
        <is>
          <t>2026-07-10T15:12:14+09:00</t>
        </is>
      </c>
      <c r="K131" s="14" t="inlineStr">
        <is>
          <t xml:space="preserve">アルファード10型　走行5万6千キロ 車検令和10年4月　タイヤ新品　エンジン、エアコン等絶好調　平成17年3月登録　リモートスタート付　</t>
        </is>
      </c>
      <c r="L131" s="8" t="inlineStr">
        <is>
          <t>https://page.auctions.yahoo.co.jp/jp/auction/m1235579443</t>
        </is>
      </c>
    </row>
    <row r="132">
      <c r="A132" s="13" t="inlineStr">
        <is>
          <t>アルファード</t>
        </is>
      </c>
      <c r="B132" s="13" t="n">
        <v>2004</v>
      </c>
      <c r="C132" s="13" t="inlineStr"/>
      <c r="D132" s="15" t="n">
        <v>330000</v>
      </c>
      <c r="E132" s="13" t="n">
        <v>22</v>
      </c>
      <c r="F132" s="15" t="n">
        <v>249000</v>
      </c>
      <c r="G132" s="13" t="inlineStr">
        <is>
          <t>REAL_MILEAGE</t>
        </is>
      </c>
      <c r="H132" s="13" t="inlineStr">
        <is>
          <t>NONE</t>
        </is>
      </c>
      <c r="I132" s="15" t="n">
        <v>15400</v>
      </c>
      <c r="J132" s="13" t="inlineStr">
        <is>
          <t>2026-08-07T11:00:19+09:00</t>
        </is>
      </c>
      <c r="K132" s="14" t="inlineStr">
        <is>
          <t>◎アルファード・4WD・ハイブリッド◎ウェルキャブ◎車検付き即乗り◎両側パワスラ◎ナビ＋バックカメラ◎低燃費◎禁煙車◎車検付即乗り◎</t>
        </is>
      </c>
      <c r="L132" s="13" t="inlineStr">
        <is>
          <t>https://page.auctions.yahoo.co.jp/jp/auction/g1233334725</t>
        </is>
      </c>
    </row>
    <row r="133">
      <c r="A133" s="8" t="inlineStr">
        <is>
          <t>アルファード</t>
        </is>
      </c>
      <c r="B133" s="8" t="n">
        <v>2004</v>
      </c>
      <c r="C133" s="8" t="inlineStr"/>
      <c r="D133" s="11" t="n">
        <v>245000</v>
      </c>
      <c r="E133" s="8" t="n">
        <v>38</v>
      </c>
      <c r="F133" s="11" t="n">
        <v>139165</v>
      </c>
      <c r="G133" s="8" t="inlineStr">
        <is>
          <t>REAL_MILEAGE</t>
        </is>
      </c>
      <c r="H133" s="8" t="inlineStr">
        <is>
          <t>NONE</t>
        </is>
      </c>
      <c r="I133" s="11" t="n">
        <v>14480</v>
      </c>
      <c r="J133" s="8" t="inlineStr">
        <is>
          <t>2026-07-28T20:50:54+09:00</t>
        </is>
      </c>
      <c r="K133" s="14" t="inlineStr">
        <is>
          <t>アルファード★ASプレミアム アルカンターラ★車検1年あり★両側パワースライドドア★ツインムーンルーフ★ナビ★ETC★バックカメラ</t>
        </is>
      </c>
      <c r="L133" s="8" t="inlineStr">
        <is>
          <t>https://page.auctions.yahoo.co.jp/jp/auction/q1238062117</t>
        </is>
      </c>
    </row>
    <row r="134">
      <c r="A134" s="13" t="inlineStr">
        <is>
          <t>アルファード</t>
        </is>
      </c>
      <c r="B134" s="13" t="n">
        <v>2004</v>
      </c>
      <c r="C134" s="13" t="inlineStr"/>
      <c r="D134" s="15" t="n">
        <v>256000</v>
      </c>
      <c r="E134" s="13" t="n">
        <v>14</v>
      </c>
      <c r="F134" s="15" t="n">
        <v>189400</v>
      </c>
      <c r="G134" s="13" t="inlineStr">
        <is>
          <t>REAL_MILEAGE</t>
        </is>
      </c>
      <c r="H134" s="13" t="inlineStr">
        <is>
          <t>NONE</t>
        </is>
      </c>
      <c r="I134" s="15" t="n">
        <v>44480</v>
      </c>
      <c r="J134" s="13" t="inlineStr">
        <is>
          <t>2026-07-12T20:34:20+09:00</t>
        </is>
      </c>
      <c r="K134" s="14" t="inlineStr">
        <is>
          <t>アルファードV6　3000　19インチアルミ　車検付き</t>
        </is>
      </c>
      <c r="L134" s="13" t="inlineStr">
        <is>
          <t>https://page.auctions.yahoo.co.jp/jp/auction/x1235270087</t>
        </is>
      </c>
    </row>
    <row r="135">
      <c r="A135" s="8" t="inlineStr">
        <is>
          <t>アルファード</t>
        </is>
      </c>
      <c r="B135" s="8" t="n">
        <v>2004</v>
      </c>
      <c r="C135" s="8" t="inlineStr"/>
      <c r="D135" s="11" t="n">
        <v>184015</v>
      </c>
      <c r="E135" s="8" t="n">
        <v>86</v>
      </c>
      <c r="F135" s="11" t="n">
        <v>163700</v>
      </c>
      <c r="G135" s="8" t="inlineStr">
        <is>
          <t>REAL_MILEAGE</t>
        </is>
      </c>
      <c r="H135" s="8" t="inlineStr">
        <is>
          <t>NONE</t>
        </is>
      </c>
      <c r="I135" s="11" t="n">
        <v>0</v>
      </c>
      <c r="J135" s="8" t="inlineStr">
        <is>
          <t>2026-06-12T22:49:43+09:00</t>
        </is>
      </c>
      <c r="K135" s="14" t="inlineStr">
        <is>
          <t>訳あり 売切 車検 9年2月 アルファードハイブリッド 最上級 Gエディション 4WD : ワンオーナー : メーカーオプション 総額679,000円</t>
        </is>
      </c>
      <c r="L135" s="8" t="inlineStr">
        <is>
          <t>https://page.auctions.yahoo.co.jp/jp/auction/h1232343707</t>
        </is>
      </c>
    </row>
    <row r="136">
      <c r="A136" s="13" t="inlineStr">
        <is>
          <t>アルファード</t>
        </is>
      </c>
      <c r="B136" s="13" t="n">
        <v>2004</v>
      </c>
      <c r="C136" s="13" t="inlineStr"/>
      <c r="D136" s="15" t="n">
        <v>200000</v>
      </c>
      <c r="E136" s="13" t="n">
        <v>1</v>
      </c>
      <c r="F136" s="15" t="n">
        <v>215045</v>
      </c>
      <c r="G136" s="13" t="inlineStr">
        <is>
          <t>REAL_MILEAGE</t>
        </is>
      </c>
      <c r="H136" s="13" t="inlineStr">
        <is>
          <t>EXISTS</t>
        </is>
      </c>
      <c r="I136" s="15" t="n">
        <v>0</v>
      </c>
      <c r="J136" s="13" t="inlineStr">
        <is>
          <t>2026-06-01T08:51:23+09:00</t>
        </is>
      </c>
      <c r="K136" s="14" t="inlineStr">
        <is>
          <t>平成16年式　初代アルファード　2.4AS　2WD　車検令和９年２月まで　個人出品です</t>
        </is>
      </c>
      <c r="L136" s="13" t="inlineStr">
        <is>
          <t>https://page.auctions.yahoo.co.jp/jp/auction/d1230223661</t>
        </is>
      </c>
    </row>
    <row r="137">
      <c r="A137" s="8" t="inlineStr">
        <is>
          <t>アルファード</t>
        </is>
      </c>
      <c r="B137" s="8" t="n">
        <v>2004</v>
      </c>
      <c r="C137" s="8" t="inlineStr"/>
      <c r="D137" s="11" t="n">
        <v>200000</v>
      </c>
      <c r="E137" s="8" t="n">
        <v>1</v>
      </c>
      <c r="F137" s="11" t="n">
        <v>152192</v>
      </c>
      <c r="G137" s="8" t="inlineStr">
        <is>
          <t>REAL_MILEAGE</t>
        </is>
      </c>
      <c r="H137" s="8" t="n"/>
      <c r="I137" s="11" t="n">
        <v>0</v>
      </c>
      <c r="J137" s="8" t="inlineStr">
        <is>
          <t>2026-03-02T07:21:06+09:00</t>
        </is>
      </c>
      <c r="K137" s="14" t="inlineStr">
        <is>
          <t>10アルファード</t>
        </is>
      </c>
      <c r="L137" s="8" t="inlineStr">
        <is>
          <t>https://page.auctions.yahoo.co.jp/jp/auction/j1221398143</t>
        </is>
      </c>
    </row>
    <row r="138">
      <c r="A138" s="13" t="inlineStr">
        <is>
          <t>アルファード</t>
        </is>
      </c>
      <c r="B138" s="13" t="n">
        <v>2002</v>
      </c>
      <c r="C138" s="13" t="inlineStr"/>
      <c r="D138" s="15" t="n">
        <v>300000</v>
      </c>
      <c r="E138" s="13" t="n">
        <v>1</v>
      </c>
      <c r="F138" s="15" t="n">
        <v>168050</v>
      </c>
      <c r="G138" s="13" t="inlineStr">
        <is>
          <t>REAL_MILEAGE</t>
        </is>
      </c>
      <c r="H138" s="13" t="inlineStr">
        <is>
          <t>NONE</t>
        </is>
      </c>
      <c r="I138" s="15" t="n">
        <v>0</v>
      </c>
      <c r="J138" s="13" t="inlineStr">
        <is>
          <t>2026-07-29T19:17:10+09:00</t>
        </is>
      </c>
      <c r="K138" s="14" t="inlineStr">
        <is>
          <t>最終値下げ　すべてコミコミ　個人　平成14年アルファード10 8人乗り　G 3.0 MS 車検長いR09/09 機関良好　車検長い</t>
        </is>
      </c>
      <c r="L138" s="13" t="inlineStr">
        <is>
          <t>https://page.auctions.yahoo.co.jp/jp/auction/o1235095851</t>
        </is>
      </c>
    </row>
    <row r="139">
      <c r="A139" s="8" t="inlineStr">
        <is>
          <t>アルファード</t>
        </is>
      </c>
      <c r="B139" s="8" t="n">
        <v>2002</v>
      </c>
      <c r="C139" s="8" t="inlineStr"/>
      <c r="D139" s="11" t="n">
        <v>251000</v>
      </c>
      <c r="E139" s="8" t="n">
        <v>2</v>
      </c>
      <c r="F139" s="11" t="n">
        <v>168050</v>
      </c>
      <c r="G139" s="8" t="inlineStr">
        <is>
          <t>REAL_MILEAGE</t>
        </is>
      </c>
      <c r="H139" s="8" t="inlineStr">
        <is>
          <t>NONE</t>
        </is>
      </c>
      <c r="I139" s="11" t="n">
        <v>64380</v>
      </c>
      <c r="J139" s="8" t="inlineStr">
        <is>
          <t>2026-06-26T11:37:23+09:00</t>
        </is>
      </c>
      <c r="K139" s="14" t="inlineStr">
        <is>
          <t>個人　平成14年アルファード10 8人乗り　G 3.0 MS 車検長いR09/09 機関良好</t>
        </is>
      </c>
      <c r="L139" s="8" t="inlineStr">
        <is>
          <t>https://page.auctions.yahoo.co.jp/jp/auction/n1232368841</t>
        </is>
      </c>
    </row>
    <row r="140">
      <c r="A140" s="13" t="inlineStr">
        <is>
          <t>アルファード</t>
        </is>
      </c>
      <c r="B140" s="13" t="n">
        <v>2002</v>
      </c>
      <c r="C140" s="13" t="inlineStr"/>
      <c r="D140" s="15" t="n">
        <v>200000</v>
      </c>
      <c r="E140" s="13" t="n">
        <v>1</v>
      </c>
      <c r="F140" s="15" t="n">
        <v>211745</v>
      </c>
      <c r="G140" s="13" t="inlineStr">
        <is>
          <t>REAL_MILEAGE</t>
        </is>
      </c>
      <c r="H140" s="13" t="n"/>
      <c r="I140" s="15" t="n">
        <v>0</v>
      </c>
      <c r="J140" s="13" t="inlineStr">
        <is>
          <t>2026-04-01T16:00:57+09:00</t>
        </is>
      </c>
      <c r="K140" s="14" t="inlineStr">
        <is>
          <t>トヨタ　アルファード10系　貨物登録　2人乗り　1ナンバー</t>
        </is>
      </c>
      <c r="L140" s="13" t="inlineStr">
        <is>
          <t>https://page.auctions.yahoo.co.jp/jp/auction/1224983755</t>
        </is>
      </c>
    </row>
    <row r="141">
      <c r="A141" s="8" t="inlineStr">
        <is>
          <t>アルファード</t>
        </is>
      </c>
      <c r="B141" s="8" t="n">
        <v>2002</v>
      </c>
      <c r="C141" s="8" t="inlineStr"/>
      <c r="D141" s="11" t="n">
        <v>211001</v>
      </c>
      <c r="E141" s="8" t="n">
        <v>62</v>
      </c>
      <c r="F141" s="11" t="n">
        <v>95000</v>
      </c>
      <c r="G141" s="8" t="inlineStr">
        <is>
          <t>REAL_MILEAGE</t>
        </is>
      </c>
      <c r="H141" s="8" t="n"/>
      <c r="I141" s="11" t="n">
        <v>0</v>
      </c>
      <c r="J141" s="8" t="inlineStr">
        <is>
          <t>2026-03-15T13:28:35+09:00</t>
        </is>
      </c>
      <c r="K141" s="14" t="inlineStr">
        <is>
          <t>アルファード 2.4 4WD 1円スタート 抹消済み</t>
        </is>
      </c>
      <c r="L141" s="8" t="inlineStr">
        <is>
          <t>https://page.auctions.yahoo.co.jp/jp/auction/u1222479827</t>
        </is>
      </c>
    </row>
    <row r="142">
      <c r="A142" s="13" t="inlineStr">
        <is>
          <t>アルファード</t>
        </is>
      </c>
      <c r="B142" s="13" t="n"/>
      <c r="C142" s="13" t="inlineStr"/>
      <c r="D142" s="15" t="n">
        <v>553001</v>
      </c>
      <c r="E142" s="13" t="n">
        <v>31</v>
      </c>
      <c r="F142" s="15" t="n"/>
      <c r="G142" s="13" t="n"/>
      <c r="H142" s="13" t="n"/>
      <c r="I142" s="15" t="n"/>
      <c r="J142" s="13" t="inlineStr">
        <is>
          <t>2026-08-03T19:58:03+09:00</t>
        </is>
      </c>
      <c r="K142" s="14" t="inlineStr">
        <is>
          <t>【車検 長い！】アルファード ハイブリッド キャンピングカー 平成20年式 検2028.3 車中泊OK! 電子レンジ・冷蔵庫・シンク・FFヒーター</t>
        </is>
      </c>
      <c r="L142" s="13" t="inlineStr">
        <is>
          <t>https://page.auctions.yahoo.co.jp/jp/auction/f1238407528</t>
        </is>
      </c>
    </row>
    <row r="143">
      <c r="A143" s="8" t="inlineStr">
        <is>
          <t>アルファード</t>
        </is>
      </c>
      <c r="B143" s="8" t="n"/>
      <c r="C143" s="8" t="inlineStr"/>
      <c r="D143" s="11" t="n">
        <v>379000</v>
      </c>
      <c r="E143" s="8" t="n">
        <v>20</v>
      </c>
      <c r="F143" s="11" t="n"/>
      <c r="G143" s="8" t="n"/>
      <c r="H143" s="8" t="n"/>
      <c r="I143" s="11" t="n"/>
      <c r="J143" s="8" t="inlineStr">
        <is>
          <t>2026-08-02T21:50:36+09:00</t>
        </is>
      </c>
      <c r="K143" s="14" t="inlineStr">
        <is>
          <t>実走行 130,000km 車検8年11月 修理歴ない、</t>
        </is>
      </c>
      <c r="L143" s="8" t="inlineStr">
        <is>
          <t>https://page.auctions.yahoo.co.jp/jp/auction/1236936298</t>
        </is>
      </c>
    </row>
    <row r="144">
      <c r="A144" s="13" t="inlineStr">
        <is>
          <t>アルファード</t>
        </is>
      </c>
      <c r="B144" s="13" t="n"/>
      <c r="C144" s="13" t="inlineStr"/>
      <c r="D144" s="15" t="n">
        <v>1599000</v>
      </c>
      <c r="E144" s="13" t="n">
        <v>3</v>
      </c>
      <c r="F144" s="15" t="n"/>
      <c r="G144" s="13" t="n"/>
      <c r="H144" s="13" t="n"/>
      <c r="I144" s="15" t="n"/>
      <c r="J144" s="13" t="inlineStr">
        <is>
          <t>2026-07-17T21:57:57+09:00</t>
        </is>
      </c>
      <c r="K144" s="14" t="inlineStr">
        <is>
          <t>AGH30W『陸送30%OFF』特別.限定★本検R10/6満タン2.5SAパッケ-ジタイプブラック/フリップダウン★両側パワスラ【ナビ/TV&amp;DVD/】LED</t>
        </is>
      </c>
      <c r="L144" s="13" t="inlineStr">
        <is>
          <t>https://page.auctions.yahoo.co.jp/jp/auction/h1234576108</t>
        </is>
      </c>
    </row>
    <row r="145">
      <c r="A145" s="8" t="inlineStr">
        <is>
          <t>アルファード</t>
        </is>
      </c>
      <c r="B145" s="8" t="n"/>
      <c r="C145" s="8" t="inlineStr"/>
      <c r="D145" s="11" t="n">
        <v>535000</v>
      </c>
      <c r="E145" s="8" t="n">
        <v>1</v>
      </c>
      <c r="F145" s="11" t="n"/>
      <c r="G145" s="8" t="n"/>
      <c r="H145" s="8" t="n"/>
      <c r="I145" s="11" t="n"/>
      <c r="J145" s="8" t="inlineStr">
        <is>
          <t>2026-07-06T15:07:28+09:00</t>
        </is>
      </c>
      <c r="K145" s="14" t="inlineStr">
        <is>
          <t>H23年式*検10/6迄*4WD*HID*両パワスラ*PWバックドア*フリップダウン*純正ナビ*Bカメラ*DTV*BTオーディオ*DVD*CD*ETC*社外AW*340617</t>
        </is>
      </c>
      <c r="L145" s="8" t="inlineStr">
        <is>
          <t>https://page.auctions.yahoo.co.jp/jp/auction/f1234257023</t>
        </is>
      </c>
    </row>
    <row r="146">
      <c r="A146" s="13" t="inlineStr">
        <is>
          <t>アルファード</t>
        </is>
      </c>
      <c r="B146" s="13" t="n"/>
      <c r="C146" s="13" t="inlineStr"/>
      <c r="D146" s="15" t="n">
        <v>351000</v>
      </c>
      <c r="E146" s="13" t="n">
        <v>100</v>
      </c>
      <c r="F146" s="15" t="n"/>
      <c r="G146" s="13" t="n"/>
      <c r="H146" s="13" t="n"/>
      <c r="I146" s="15" t="n"/>
      <c r="J146" s="13" t="inlineStr">
        <is>
          <t>2026-07-03T23:16:20+09:00</t>
        </is>
      </c>
      <c r="K146" s="14" t="inlineStr">
        <is>
          <t>個人販売★売切り★ アルファド10 MNH10W★ 実走行15万km★ 車検R8年11月★ ナビ/Bカメラ/ETC★ すぐ乗れます</t>
        </is>
      </c>
      <c r="L146" s="13" t="inlineStr">
        <is>
          <t>https://page.auctions.yahoo.co.jp/jp/auction/c1235139372</t>
        </is>
      </c>
    </row>
    <row r="147">
      <c r="A147" s="8" t="inlineStr">
        <is>
          <t>アルファード</t>
        </is>
      </c>
      <c r="B147" s="8" t="n"/>
      <c r="C147" s="8" t="inlineStr"/>
      <c r="D147" s="11" t="n">
        <v>271000</v>
      </c>
      <c r="E147" s="8" t="n">
        <v>64</v>
      </c>
      <c r="F147" s="11" t="n"/>
      <c r="G147" s="8" t="n"/>
      <c r="H147" s="8" t="n"/>
      <c r="I147" s="11" t="n"/>
      <c r="J147" s="8" t="inlineStr">
        <is>
          <t>2026-06-24T22:17:15+09:00</t>
        </is>
      </c>
      <c r="K147" s="14" t="inlineStr">
        <is>
          <t>25年式 20ヴェルファイア 後期 SR 7人乗 ナビBモニターBluetooth 2.4Z 新品ナビ新品フリップダウン 新品部品リビルト多数検8年9月末 大阪発</t>
        </is>
      </c>
      <c r="L147" s="8" t="inlineStr">
        <is>
          <t>https://page.auctions.yahoo.co.jp/jp/auction/w1234174630</t>
        </is>
      </c>
    </row>
    <row r="148">
      <c r="A148" s="13" t="inlineStr">
        <is>
          <t>アルファード</t>
        </is>
      </c>
      <c r="B148" s="13" t="n"/>
      <c r="C148" s="13" t="inlineStr"/>
      <c r="D148" s="15" t="n">
        <v>201000</v>
      </c>
      <c r="E148" s="13" t="n">
        <v>22</v>
      </c>
      <c r="F148" s="15" t="n"/>
      <c r="G148" s="13" t="n"/>
      <c r="H148" s="13" t="n"/>
      <c r="I148" s="15" t="n"/>
      <c r="J148" s="13" t="inlineStr">
        <is>
          <t>2026-06-07T08:00:16+09:00</t>
        </is>
      </c>
      <c r="K148" s="14" t="inlineStr">
        <is>
          <t>実走行 110,000km 車検8年11月 修理歴ない、</t>
        </is>
      </c>
      <c r="L148" s="13" t="inlineStr">
        <is>
          <t>https://page.auctions.yahoo.co.jp/jp/auction/n1231037575</t>
        </is>
      </c>
    </row>
    <row r="149">
      <c r="A149" s="8" t="inlineStr">
        <is>
          <t>アルファード</t>
        </is>
      </c>
      <c r="B149" s="8" t="n"/>
      <c r="C149" s="8" t="inlineStr"/>
      <c r="D149" s="11" t="n">
        <v>199000</v>
      </c>
      <c r="E149" s="8" t="n">
        <v>2</v>
      </c>
      <c r="F149" s="11" t="n"/>
      <c r="G149" s="8" t="n"/>
      <c r="H149" s="8" t="n"/>
      <c r="I149" s="11" t="n"/>
      <c r="J149" s="8" t="inlineStr">
        <is>
          <t>2026-06-01T20:10:10+09:00</t>
        </is>
      </c>
      <c r="K149" s="14" t="inlineStr">
        <is>
          <t>売り切り　ＡＮＨ２０Ｗ　両側パワースライド　スマートキー　ＥＴＣ　フルセグテレビ ナビ　７人乗り　フロントパワーシート</t>
        </is>
      </c>
      <c r="L149" s="8" t="inlineStr">
        <is>
          <t>https://page.auctions.yahoo.co.jp/jp/auction/n1231303617</t>
        </is>
      </c>
    </row>
    <row r="150">
      <c r="A150" s="13" t="inlineStr">
        <is>
          <t>アルファード</t>
        </is>
      </c>
      <c r="B150" s="13" t="n"/>
      <c r="C150" s="13" t="inlineStr"/>
      <c r="D150" s="15" t="n">
        <v>272000</v>
      </c>
      <c r="E150" s="13" t="n">
        <v>20</v>
      </c>
      <c r="F150" s="15" t="n"/>
      <c r="G150" s="13" t="n"/>
      <c r="H150" s="13" t="n"/>
      <c r="I150" s="15" t="n"/>
      <c r="J150" s="13" t="inlineStr">
        <is>
          <t>2026-05-23T23:34:17+09:00</t>
        </is>
      </c>
      <c r="K150" s="14" t="inlineStr">
        <is>
          <t>H21年　240S　車検9月まで</t>
        </is>
      </c>
      <c r="L150" s="13" t="inlineStr">
        <is>
          <t>https://page.auctions.yahoo.co.jp/jp/auction/l1230019412</t>
        </is>
      </c>
    </row>
    <row r="151">
      <c r="A151" s="8" t="inlineStr">
        <is>
          <t>アルファード</t>
        </is>
      </c>
      <c r="B151" s="8" t="n"/>
      <c r="C151" s="8" t="inlineStr"/>
      <c r="D151" s="11" t="n">
        <v>380000</v>
      </c>
      <c r="E151" s="8" t="n">
        <v>1</v>
      </c>
      <c r="F151" s="11" t="n"/>
      <c r="G151" s="8" t="n"/>
      <c r="H151" s="8" t="n"/>
      <c r="I151" s="11" t="n"/>
      <c r="J151" s="8" t="inlineStr">
        <is>
          <t>2026-05-12T11:41:46+09:00</t>
        </is>
      </c>
      <c r="K151" s="14" t="inlineStr">
        <is>
          <t>２２年式 アルファー２４０Ｘ予備検査取得可能！！</t>
        </is>
      </c>
      <c r="L151" s="8" t="inlineStr">
        <is>
          <t>https://page.auctions.yahoo.co.jp/jp/auction/r1228071721</t>
        </is>
      </c>
    </row>
    <row r="152">
      <c r="A152" s="13" t="inlineStr">
        <is>
          <t>アルファード</t>
        </is>
      </c>
      <c r="B152" s="13" t="n"/>
      <c r="C152" s="13" t="inlineStr"/>
      <c r="D152" s="15" t="n">
        <v>10500</v>
      </c>
      <c r="E152" s="13" t="n">
        <v>2</v>
      </c>
      <c r="F152" s="15" t="n"/>
      <c r="G152" s="13" t="n"/>
      <c r="H152" s="13" t="n"/>
      <c r="I152" s="15" t="n"/>
      <c r="J152" s="13" t="inlineStr">
        <is>
          <t>2026-04-20T19:47:12+09:00</t>
        </is>
      </c>
      <c r="K152" s="14" t="inlineStr">
        <is>
          <t>極上美車★人気特別仕様車★トヨタ アルファード Sタイプゴールド 4WD★車検長い★両側Pスラ★即乗りOK</t>
        </is>
      </c>
      <c r="L152" s="13" t="inlineStr">
        <is>
          <t>https://page.auctions.yahoo.co.jp/jp/auction/j1227227416</t>
        </is>
      </c>
    </row>
    <row r="153">
      <c r="A153" s="8" t="inlineStr">
        <is>
          <t>アルファード</t>
        </is>
      </c>
      <c r="B153" s="8" t="n"/>
      <c r="C153" s="8" t="inlineStr"/>
      <c r="D153" s="11" t="n">
        <v>2845260</v>
      </c>
      <c r="E153" s="8" t="n">
        <v>319</v>
      </c>
      <c r="F153" s="11" t="n"/>
      <c r="G153" s="8" t="n"/>
      <c r="H153" s="8" t="n"/>
      <c r="I153" s="11" t="n"/>
      <c r="J153" s="8" t="inlineStr">
        <is>
          <t>2026-04-18T23:06:34+09:00</t>
        </is>
      </c>
      <c r="K153" s="14" t="inlineStr">
        <is>
          <t>トヨタ シエンタ ハイブリッド 自社ローン 審査通過率100% 頭金0円〜 保証人不要 即日審査 全国陸送OK</t>
        </is>
      </c>
      <c r="L153" s="8" t="inlineStr">
        <is>
          <t>https://page.auctions.yahoo.co.jp/jp/auction/h1225310905</t>
        </is>
      </c>
    </row>
    <row r="154">
      <c r="A154" s="13" t="inlineStr">
        <is>
          <t>アルファード</t>
        </is>
      </c>
      <c r="B154" s="13" t="n"/>
      <c r="C154" s="13" t="inlineStr"/>
      <c r="D154" s="15" t="n">
        <v>4201000</v>
      </c>
      <c r="E154" s="13" t="n">
        <v>96</v>
      </c>
      <c r="F154" s="15" t="n"/>
      <c r="G154" s="13" t="n"/>
      <c r="H154" s="13" t="n"/>
      <c r="I154" s="15" t="n"/>
      <c r="J154" s="13" t="inlineStr">
        <is>
          <t>2026-04-18T22:46:08+09:00</t>
        </is>
      </c>
      <c r="K154" s="14" t="inlineStr">
        <is>
          <t>トヨタ ハイエースバン 自社ローン 審査通過率100% 頭金0円〜 保証人不要 即日審査 全国陸送OK</t>
        </is>
      </c>
      <c r="L154" s="13" t="inlineStr">
        <is>
          <t>https://page.auctions.yahoo.co.jp/jp/auction/t1225308727</t>
        </is>
      </c>
    </row>
    <row r="155">
      <c r="A155" s="8" t="inlineStr">
        <is>
          <t>アルファード</t>
        </is>
      </c>
      <c r="B155" s="8" t="n"/>
      <c r="C155" s="8" t="inlineStr"/>
      <c r="D155" s="11" t="n">
        <v>3861000</v>
      </c>
      <c r="E155" s="8" t="n">
        <v>227</v>
      </c>
      <c r="F155" s="11" t="n"/>
      <c r="G155" s="8" t="n"/>
      <c r="H155" s="8" t="n"/>
      <c r="I155" s="11" t="n"/>
      <c r="J155" s="8" t="inlineStr">
        <is>
          <t>2026-04-18T22:37:52+09:00</t>
        </is>
      </c>
      <c r="K155" s="14" t="inlineStr">
        <is>
          <t>トヨタ ノア ハイブリッド 自社ローン 審査通過率100% 頭金0円〜 保証人不要 即日審査 全国陸送OK</t>
        </is>
      </c>
      <c r="L155" s="8" t="inlineStr">
        <is>
          <t>https://page.auctions.yahoo.co.jp/jp/auction/d1225312272</t>
        </is>
      </c>
    </row>
    <row r="156">
      <c r="A156" s="13" t="inlineStr">
        <is>
          <t>アルファード</t>
        </is>
      </c>
      <c r="B156" s="13" t="n"/>
      <c r="C156" s="13" t="inlineStr"/>
      <c r="D156" s="15" t="n">
        <v>7780777</v>
      </c>
      <c r="E156" s="13" t="n">
        <v>107</v>
      </c>
      <c r="F156" s="15" t="n"/>
      <c r="G156" s="13" t="n"/>
      <c r="H156" s="13" t="n"/>
      <c r="I156" s="15" t="n"/>
      <c r="J156" s="13" t="inlineStr">
        <is>
          <t>2026-04-18T22:36:47+09:00</t>
        </is>
      </c>
      <c r="K156" s="14" t="inlineStr">
        <is>
          <t>トヨタ スープラ 自社ローン 審査通過率100% 頭金0円〜 保証人不要 即日審査 全国陸送OK</t>
        </is>
      </c>
      <c r="L156" s="13" t="inlineStr">
        <is>
          <t>https://page.auctions.yahoo.co.jp/jp/auction/s1225312160</t>
        </is>
      </c>
    </row>
    <row r="157">
      <c r="A157" s="8" t="inlineStr">
        <is>
          <t>アルファード</t>
        </is>
      </c>
      <c r="B157" s="8" t="n"/>
      <c r="C157" s="8" t="inlineStr"/>
      <c r="D157" s="11" t="n">
        <v>1616000</v>
      </c>
      <c r="E157" s="8" t="n">
        <v>73</v>
      </c>
      <c r="F157" s="11" t="n"/>
      <c r="G157" s="8" t="n"/>
      <c r="H157" s="8" t="n"/>
      <c r="I157" s="11" t="n"/>
      <c r="J157" s="8" t="inlineStr">
        <is>
          <t>2026-04-18T22:02:18+09:00</t>
        </is>
      </c>
      <c r="K157" s="14" t="inlineStr">
        <is>
          <t>トヨタ クラウンハイブリッド 自社ローン 審査通過率100% 頭金0円〜 保証人不要 即日審査 全国陸送OK</t>
        </is>
      </c>
      <c r="L157" s="8" t="inlineStr">
        <is>
          <t>https://page.auctions.yahoo.co.jp/jp/auction/v1225304845</t>
        </is>
      </c>
    </row>
    <row r="158">
      <c r="A158" s="13" t="inlineStr">
        <is>
          <t>ウィッシュ</t>
        </is>
      </c>
      <c r="B158" s="13" t="n">
        <v>2011</v>
      </c>
      <c r="C158" s="13" t="inlineStr">
        <is>
          <t>20系</t>
        </is>
      </c>
      <c r="D158" s="15" t="n">
        <v>365000</v>
      </c>
      <c r="E158" s="13" t="n">
        <v>78</v>
      </c>
      <c r="F158" s="15" t="n">
        <v>50488</v>
      </c>
      <c r="G158" s="13" t="inlineStr">
        <is>
          <t>REAL_MILEAGE</t>
        </is>
      </c>
      <c r="H158" s="13" t="inlineStr">
        <is>
          <t>NONE</t>
        </is>
      </c>
      <c r="I158" s="15" t="n">
        <v>0</v>
      </c>
      <c r="J158" s="13" t="inlineStr">
        <is>
          <t>2026-08-08T22:57:44+09:00</t>
        </is>
      </c>
      <c r="K158" s="14" t="inlineStr">
        <is>
          <t>【埼玉県深谷市】【個人出品】低走行車　ウイッシュ 5万km 家族間 ワンオーナー　車検8年9月28日迄 2ZR DBA-ZGE20G WISH ウィッシュ</t>
        </is>
      </c>
      <c r="L158" s="13" t="inlineStr">
        <is>
          <t>https://page.auctions.yahoo.co.jp/jp/auction/t1238415566</t>
        </is>
      </c>
    </row>
    <row r="159">
      <c r="A159" s="8" t="inlineStr">
        <is>
          <t>ウィッシュ</t>
        </is>
      </c>
      <c r="B159" s="8" t="n">
        <v>2011</v>
      </c>
      <c r="C159" s="8" t="inlineStr">
        <is>
          <t>20系</t>
        </is>
      </c>
      <c r="D159" s="11" t="n">
        <v>1660000</v>
      </c>
      <c r="E159" s="8" t="n">
        <v>1</v>
      </c>
      <c r="F159" s="11" t="n">
        <v>36274</v>
      </c>
      <c r="G159" s="8" t="inlineStr">
        <is>
          <t>REAL_MILEAGE</t>
        </is>
      </c>
      <c r="H159" s="8" t="inlineStr">
        <is>
          <t>NONE</t>
        </is>
      </c>
      <c r="I159" s="11" t="n">
        <v>0</v>
      </c>
      <c r="J159" s="8" t="inlineStr">
        <is>
          <t>2026-05-22T01:42:14+09:00</t>
        </is>
      </c>
      <c r="K159" s="14" t="inlineStr">
        <is>
          <t>ウィッシュ　1.8Sモノトーン</t>
        </is>
      </c>
      <c r="L159" s="8" t="inlineStr">
        <is>
          <t>https://page.auctions.yahoo.co.jp/jp/auction/g1230736026</t>
        </is>
      </c>
    </row>
    <row r="160">
      <c r="A160" s="13" t="inlineStr">
        <is>
          <t>ウィッシュ</t>
        </is>
      </c>
      <c r="B160" s="13" t="n">
        <v>2011</v>
      </c>
      <c r="C160" s="13" t="inlineStr">
        <is>
          <t>20系</t>
        </is>
      </c>
      <c r="D160" s="15" t="n">
        <v>252000</v>
      </c>
      <c r="E160" s="13" t="n">
        <v>35</v>
      </c>
      <c r="F160" s="15" t="n">
        <v>137850</v>
      </c>
      <c r="G160" s="13" t="inlineStr">
        <is>
          <t>REAL_MILEAGE</t>
        </is>
      </c>
      <c r="H160" s="13" t="n"/>
      <c r="I160" s="15" t="n">
        <v>0</v>
      </c>
      <c r="J160" s="13" t="inlineStr">
        <is>
          <t>2026-04-20T21:15:28+09:00</t>
        </is>
      </c>
      <c r="K160" s="14" t="inlineStr">
        <is>
          <t xml:space="preserve">＊トヨタ　＊ウィッシュ　１.8S モノトーン＊車検満タン　7人　137850KM　ETC　ナビゲーション　乗って帰ります　エンジンオイル交換無料　</t>
        </is>
      </c>
      <c r="L160" s="13" t="inlineStr">
        <is>
          <t>https://page.auctions.yahoo.co.jp/jp/auction/d1226358000</t>
        </is>
      </c>
    </row>
    <row r="161">
      <c r="A161" s="8" t="inlineStr">
        <is>
          <t>ウィッシュ</t>
        </is>
      </c>
      <c r="B161" s="8" t="n">
        <v>2009</v>
      </c>
      <c r="C161" s="8" t="inlineStr">
        <is>
          <t>20系</t>
        </is>
      </c>
      <c r="D161" s="11" t="n">
        <v>224000</v>
      </c>
      <c r="E161" s="8" t="n">
        <v>1</v>
      </c>
      <c r="F161" s="11" t="n">
        <v>123900</v>
      </c>
      <c r="G161" s="8" t="inlineStr">
        <is>
          <t>REAL_MILEAGE</t>
        </is>
      </c>
      <c r="H161" s="8" t="inlineStr">
        <is>
          <t>NONE</t>
        </is>
      </c>
      <c r="I161" s="11" t="n">
        <v>0</v>
      </c>
      <c r="J161" s="8" t="inlineStr">
        <is>
          <t>2026-06-07T23:12:10+09:00</t>
        </is>
      </c>
      <c r="K161" s="14" t="inlineStr">
        <is>
          <t>【値下げ！】トヨタ　ウィッシュ1.8S　ワンオーナー　エンジン良好</t>
        </is>
      </c>
      <c r="L161" s="8" t="inlineStr">
        <is>
          <t>https://page.auctions.yahoo.co.jp/jp/auction/f1224525449</t>
        </is>
      </c>
    </row>
    <row r="162">
      <c r="A162" s="13" t="inlineStr">
        <is>
          <t>ウィッシュ</t>
        </is>
      </c>
      <c r="B162" s="13" t="n">
        <v>2009</v>
      </c>
      <c r="C162" s="13" t="inlineStr"/>
      <c r="D162" s="15" t="n">
        <v>164000</v>
      </c>
      <c r="E162" s="13" t="n">
        <v>20</v>
      </c>
      <c r="F162" s="15" t="n">
        <v>141000</v>
      </c>
      <c r="G162" s="13" t="inlineStr">
        <is>
          <t>REAL_MILEAGE</t>
        </is>
      </c>
      <c r="H162" s="13" t="inlineStr">
        <is>
          <t>EXISTS</t>
        </is>
      </c>
      <c r="I162" s="15" t="n">
        <v>0</v>
      </c>
      <c r="J162" s="13" t="inlineStr">
        <is>
          <t>2026-06-01T22:59:26+09:00</t>
        </is>
      </c>
      <c r="K162" s="14" t="inlineStr">
        <is>
          <t>トヨタ　Wish 　ZGE21 2000　年式　21年　きれい</t>
        </is>
      </c>
      <c r="L162" s="13" t="inlineStr">
        <is>
          <t>https://page.auctions.yahoo.co.jp/jp/auction/v1230563918</t>
        </is>
      </c>
    </row>
    <row r="163">
      <c r="A163" s="8" t="inlineStr">
        <is>
          <t>ウィッシュ</t>
        </is>
      </c>
      <c r="B163" s="8" t="n">
        <v>2009</v>
      </c>
      <c r="C163" s="8" t="inlineStr">
        <is>
          <t>20系</t>
        </is>
      </c>
      <c r="D163" s="11" t="n">
        <v>319000</v>
      </c>
      <c r="E163" s="8" t="n">
        <v>92</v>
      </c>
      <c r="F163" s="11" t="n">
        <v>131792</v>
      </c>
      <c r="G163" s="8" t="inlineStr">
        <is>
          <t>REAL_MILEAGE</t>
        </is>
      </c>
      <c r="H163" s="8" t="inlineStr">
        <is>
          <t>NONE</t>
        </is>
      </c>
      <c r="I163" s="11" t="n">
        <v>0</v>
      </c>
      <c r="J163" s="8" t="inlineStr">
        <is>
          <t>2026-05-16T20:20:52+09:00</t>
        </is>
      </c>
      <c r="K163" s="14" t="inlineStr">
        <is>
          <t>【個人出品】20 ウイッシュ 前期　1.8S 4WD 13万km 家族間ツーオーナー　車検9年1月迄　TRDフロントスポイラー　BBS18インチ</t>
        </is>
      </c>
      <c r="L163" s="8" t="inlineStr">
        <is>
          <t>https://page.auctions.yahoo.co.jp/jp/auction/u1228874591</t>
        </is>
      </c>
    </row>
    <row r="164">
      <c r="A164" s="13" t="inlineStr">
        <is>
          <t>ウィッシュ</t>
        </is>
      </c>
      <c r="B164" s="13" t="n">
        <v>2009</v>
      </c>
      <c r="C164" s="13" t="inlineStr">
        <is>
          <t>20系</t>
        </is>
      </c>
      <c r="D164" s="15" t="n">
        <v>600000</v>
      </c>
      <c r="E164" s="13" t="n">
        <v>1</v>
      </c>
      <c r="F164" s="15" t="n">
        <v>90000</v>
      </c>
      <c r="G164" s="13" t="inlineStr">
        <is>
          <t>REAL_MILEAGE</t>
        </is>
      </c>
      <c r="H164" s="13" t="inlineStr">
        <is>
          <t>NONE</t>
        </is>
      </c>
      <c r="I164" s="15" t="n">
        <v>0</v>
      </c>
      <c r="J164" s="13" t="inlineStr">
        <is>
          <t>2026-03-10T18:25:03+09:00</t>
        </is>
      </c>
      <c r="K164" s="14" t="inlineStr">
        <is>
          <t>ウィッシュ</t>
        </is>
      </c>
      <c r="L164" s="13" t="inlineStr">
        <is>
          <t>https://page.auctions.yahoo.co.jp/jp/auction/o1222425068</t>
        </is>
      </c>
    </row>
    <row r="165">
      <c r="A165" s="8" t="inlineStr">
        <is>
          <t>ウィッシュ</t>
        </is>
      </c>
      <c r="B165" s="8" t="n">
        <v>2005</v>
      </c>
      <c r="C165" s="8" t="inlineStr"/>
      <c r="D165" s="11" t="n">
        <v>292000</v>
      </c>
      <c r="E165" s="8" t="n">
        <v>110</v>
      </c>
      <c r="F165" s="11" t="n">
        <v>135300</v>
      </c>
      <c r="G165" s="8" t="inlineStr">
        <is>
          <t>REAL_MILEAGE</t>
        </is>
      </c>
      <c r="H165" s="8" t="inlineStr">
        <is>
          <t>NONE</t>
        </is>
      </c>
      <c r="I165" s="11" t="n">
        <v>0</v>
      </c>
      <c r="J165" s="8" t="inlineStr">
        <is>
          <t>2026-05-31T23:41:15+09:00</t>
        </is>
      </c>
      <c r="K165" s="14" t="inlineStr">
        <is>
          <t>ウイッシュ WISH Xエアロスポーツパッケージ H17年 ナビ TV バックカメラ HID</t>
        </is>
      </c>
      <c r="L165" s="8" t="inlineStr">
        <is>
          <t>https://page.auctions.yahoo.co.jp/jp/auction/q1230842465</t>
        </is>
      </c>
    </row>
    <row r="166">
      <c r="A166" s="13" t="inlineStr">
        <is>
          <t>エスクァイア</t>
        </is>
      </c>
      <c r="B166" s="13" t="n">
        <v>2017</v>
      </c>
      <c r="C166" s="13" t="inlineStr">
        <is>
          <t>80系</t>
        </is>
      </c>
      <c r="D166" s="15" t="n">
        <v>582100</v>
      </c>
      <c r="E166" s="13" t="n">
        <v>84</v>
      </c>
      <c r="F166" s="15" t="n">
        <v>284630</v>
      </c>
      <c r="G166" s="13" t="inlineStr">
        <is>
          <t>REAL_MILEAGE</t>
        </is>
      </c>
      <c r="H166" s="13" t="inlineStr">
        <is>
          <t>NONE</t>
        </is>
      </c>
      <c r="I166" s="15" t="n">
        <v>0</v>
      </c>
      <c r="J166" s="13" t="inlineStr">
        <is>
          <t>2026-03-22T23:24:54+09:00</t>
        </is>
      </c>
      <c r="K166" s="14" t="inlineStr">
        <is>
          <t>【検R8.9/29迄】エスクァイア後期（8人乗 ）【人気のブラック】</t>
        </is>
      </c>
      <c r="L166" s="13" t="inlineStr">
        <is>
          <t>https://page.auctions.yahoo.co.jp/jp/auction/j1223416648</t>
        </is>
      </c>
    </row>
    <row r="167">
      <c r="A167" s="8" t="inlineStr">
        <is>
          <t>エスクァイア</t>
        </is>
      </c>
      <c r="B167" s="8" t="n">
        <v>2016</v>
      </c>
      <c r="C167" s="8" t="inlineStr">
        <is>
          <t>80系</t>
        </is>
      </c>
      <c r="D167" s="11" t="n">
        <v>614000</v>
      </c>
      <c r="E167" s="8" t="n">
        <v>24</v>
      </c>
      <c r="F167" s="11" t="n">
        <v>140184</v>
      </c>
      <c r="G167" s="8" t="inlineStr">
        <is>
          <t>REAL_MILEAGE</t>
        </is>
      </c>
      <c r="H167" s="8" t="inlineStr">
        <is>
          <t>NONE</t>
        </is>
      </c>
      <c r="I167" s="11" t="n">
        <v>42100</v>
      </c>
      <c r="J167" s="8" t="inlineStr">
        <is>
          <t>2026-07-06T22:54:33+09:00</t>
        </is>
      </c>
      <c r="K167" s="14" t="inlineStr">
        <is>
          <t>福岡より　トヨタ　エスクワイア　新車ワンオーナー　禁煙車　各所整備済　8人乗り</t>
        </is>
      </c>
      <c r="L167" s="8" t="inlineStr">
        <is>
          <t>https://page.auctions.yahoo.co.jp/jp/auction/j1234444719</t>
        </is>
      </c>
    </row>
    <row r="168">
      <c r="A168" s="13" t="inlineStr">
        <is>
          <t>エスクァイア</t>
        </is>
      </c>
      <c r="B168" s="13" t="n">
        <v>2016</v>
      </c>
      <c r="C168" s="13" t="inlineStr">
        <is>
          <t>80系</t>
        </is>
      </c>
      <c r="D168" s="15" t="n">
        <v>1500000</v>
      </c>
      <c r="E168" s="13" t="n">
        <v>129</v>
      </c>
      <c r="F168" s="15" t="n">
        <v>114446</v>
      </c>
      <c r="G168" s="13" t="inlineStr">
        <is>
          <t>REAL_MILEAGE</t>
        </is>
      </c>
      <c r="H168" s="13" t="inlineStr">
        <is>
          <t>NONE</t>
        </is>
      </c>
      <c r="I168" s="15" t="n">
        <v>0</v>
      </c>
      <c r="J168" s="13" t="inlineStr">
        <is>
          <t>2026-06-01T22:12:56+09:00</t>
        </is>
      </c>
      <c r="K168" s="14" t="inlineStr">
        <is>
          <t>エスクァイアハイブリッド　Gi ブラックテラード　You Tube 見れます　フィリップダウン　オールシ－ズンタイヤ　両側パワースライド</t>
        </is>
      </c>
      <c r="L168" s="13" t="inlineStr">
        <is>
          <t>https://page.auctions.yahoo.co.jp/jp/auction/x1230375148</t>
        </is>
      </c>
    </row>
    <row r="169">
      <c r="A169" s="8" t="inlineStr">
        <is>
          <t>エスクァイア</t>
        </is>
      </c>
      <c r="B169" s="8" t="n">
        <v>2015</v>
      </c>
      <c r="C169" s="8" t="inlineStr">
        <is>
          <t>80系</t>
        </is>
      </c>
      <c r="D169" s="11" t="n">
        <v>630000</v>
      </c>
      <c r="E169" s="8" t="n">
        <v>1</v>
      </c>
      <c r="F169" s="11" t="n">
        <v>153000</v>
      </c>
      <c r="G169" s="8" t="inlineStr">
        <is>
          <t>REAL_MILEAGE</t>
        </is>
      </c>
      <c r="H169" s="8" t="inlineStr">
        <is>
          <t>NONE</t>
        </is>
      </c>
      <c r="I169" s="11" t="n">
        <v>0</v>
      </c>
      <c r="J169" s="8" t="inlineStr">
        <is>
          <t>2026-08-15T07:01:57+09:00</t>
        </is>
      </c>
      <c r="K169" s="14" t="inlineStr">
        <is>
          <t>エスクァイア 1.8 ハイブリッド Gi 両側パワースライドドア/革シート/シートヒ</t>
        </is>
      </c>
      <c r="L169" s="8" t="inlineStr">
        <is>
          <t>https://page.auctions.yahoo.co.jp/jp/auction/h1239254002</t>
        </is>
      </c>
    </row>
    <row r="170">
      <c r="A170" s="13" t="inlineStr">
        <is>
          <t>エスクァイア</t>
        </is>
      </c>
      <c r="B170" s="13" t="n">
        <v>2015</v>
      </c>
      <c r="C170" s="13" t="inlineStr">
        <is>
          <t>80系</t>
        </is>
      </c>
      <c r="D170" s="15" t="n">
        <v>988000</v>
      </c>
      <c r="E170" s="13" t="n">
        <v>33</v>
      </c>
      <c r="F170" s="15" t="n">
        <v>81598</v>
      </c>
      <c r="G170" s="13" t="inlineStr">
        <is>
          <t>REAL_MILEAGE</t>
        </is>
      </c>
      <c r="H170" s="13" t="inlineStr">
        <is>
          <t>NONE</t>
        </is>
      </c>
      <c r="I170" s="15" t="n">
        <v>62110</v>
      </c>
      <c r="J170" s="13" t="inlineStr">
        <is>
          <t>2026-08-02T20:35:15+09:00</t>
        </is>
      </c>
      <c r="K170" s="14" t="inlineStr">
        <is>
          <t>法人出品★『陸送30%OFF』本車検R10年7月満タン☆エスクァイアXi☆実走行8万km♪両側パワ-スライド【ナビ/TV/DVD/ETC】LED/純正アルミ</t>
        </is>
      </c>
      <c r="L170" s="13" t="inlineStr">
        <is>
          <t>https://page.auctions.yahoo.co.jp/jp/auction/u1238014566</t>
        </is>
      </c>
    </row>
    <row r="171">
      <c r="A171" s="8" t="inlineStr">
        <is>
          <t>エスクァイア</t>
        </is>
      </c>
      <c r="B171" s="8" t="n">
        <v>2015</v>
      </c>
      <c r="C171" s="8" t="inlineStr">
        <is>
          <t>80系</t>
        </is>
      </c>
      <c r="D171" s="11" t="n">
        <v>657000</v>
      </c>
      <c r="E171" s="8" t="n">
        <v>1</v>
      </c>
      <c r="F171" s="11" t="n">
        <v>159500</v>
      </c>
      <c r="G171" s="8" t="inlineStr">
        <is>
          <t>REAL_MILEAGE</t>
        </is>
      </c>
      <c r="H171" s="8" t="inlineStr">
        <is>
          <t>EXISTS</t>
        </is>
      </c>
      <c r="I171" s="11" t="n">
        <v>43800</v>
      </c>
      <c r="J171" s="8" t="inlineStr">
        <is>
          <t>2026-08-01T12:42:31+09:00</t>
        </is>
      </c>
      <c r="K171" s="14" t="inlineStr">
        <is>
          <t>H27年式*エスクァイア*検長*4WD*HID*スマートキー*両パワスラ*純正ナビ*Bカメラ*BTオーディオ*DTV*DVD*CD*ETC*純正AW*310715</t>
        </is>
      </c>
      <c r="L171" s="8" t="inlineStr">
        <is>
          <t>https://page.auctions.yahoo.co.jp/jp/auction/x1238945493</t>
        </is>
      </c>
    </row>
    <row r="172">
      <c r="A172" s="13" t="inlineStr">
        <is>
          <t>エスクァイア</t>
        </is>
      </c>
      <c r="B172" s="13" t="n">
        <v>2015</v>
      </c>
      <c r="C172" s="13" t="inlineStr">
        <is>
          <t>80系</t>
        </is>
      </c>
      <c r="D172" s="15" t="n">
        <v>507100</v>
      </c>
      <c r="E172" s="13" t="n">
        <v>47</v>
      </c>
      <c r="F172" s="15" t="n">
        <v>151921</v>
      </c>
      <c r="G172" s="13" t="inlineStr">
        <is>
          <t>REAL_MILEAGE</t>
        </is>
      </c>
      <c r="H172" s="13" t="inlineStr">
        <is>
          <t>NONE</t>
        </is>
      </c>
      <c r="I172" s="15" t="n">
        <v>12500</v>
      </c>
      <c r="J172" s="13" t="inlineStr">
        <is>
          <t>2026-07-16T22:27:29+09:00</t>
        </is>
      </c>
      <c r="K172" s="14" t="inlineStr">
        <is>
          <t>【100円～売り切り】H27年★エスクァイア 2.0 Xi ★純正ナビ/Dテレビ/バックカメラ/ETC★1PSD★車検可能★(DBA-ZRR80G)</t>
        </is>
      </c>
      <c r="L172" s="13" t="inlineStr">
        <is>
          <t>https://page.auctions.yahoo.co.jp/jp/auction/v1236081307</t>
        </is>
      </c>
    </row>
    <row r="173">
      <c r="A173" s="8" t="inlineStr">
        <is>
          <t>エスクァイア</t>
        </is>
      </c>
      <c r="B173" s="8" t="n">
        <v>2015</v>
      </c>
      <c r="C173" s="8" t="inlineStr">
        <is>
          <t>80系</t>
        </is>
      </c>
      <c r="D173" s="11" t="n">
        <v>589000</v>
      </c>
      <c r="E173" s="8" t="n">
        <v>1</v>
      </c>
      <c r="F173" s="11" t="n">
        <v>187633</v>
      </c>
      <c r="G173" s="8" t="inlineStr">
        <is>
          <t>REAL_MILEAGE</t>
        </is>
      </c>
      <c r="H173" s="8" t="inlineStr">
        <is>
          <t>NONE</t>
        </is>
      </c>
      <c r="I173" s="11" t="n">
        <v>0</v>
      </c>
      <c r="J173" s="8" t="inlineStr">
        <is>
          <t>2026-07-04T21:08:48+09:00</t>
        </is>
      </c>
      <c r="K173" s="14" t="inlineStr">
        <is>
          <t>★広島発★広島市★中古車★車検2年付き★ エスクァイアハイブリッド 1.8 Gi</t>
        </is>
      </c>
      <c r="L173" s="8" t="inlineStr">
        <is>
          <t>https://page.auctions.yahoo.co.jp/jp/auction/g1235067919</t>
        </is>
      </c>
    </row>
    <row r="174">
      <c r="A174" s="13" t="inlineStr">
        <is>
          <t>エスクァイア</t>
        </is>
      </c>
      <c r="B174" s="13" t="n">
        <v>2015</v>
      </c>
      <c r="C174" s="13" t="inlineStr">
        <is>
          <t>80系</t>
        </is>
      </c>
      <c r="D174" s="15" t="n">
        <v>900000</v>
      </c>
      <c r="E174" s="13" t="n">
        <v>1</v>
      </c>
      <c r="F174" s="15" t="n">
        <v>169000</v>
      </c>
      <c r="G174" s="13" t="inlineStr">
        <is>
          <t>REAL_MILEAGE</t>
        </is>
      </c>
      <c r="H174" s="13" t="inlineStr">
        <is>
          <t>NONE</t>
        </is>
      </c>
      <c r="I174" s="15" t="n">
        <v>12500</v>
      </c>
      <c r="J174" s="13" t="inlineStr">
        <is>
          <t>2026-06-17T00:27:48+09:00</t>
        </is>
      </c>
      <c r="K174" s="14" t="inlineStr">
        <is>
          <t>【諸費用コミ】返金保証付:この価格で乗れます!エスクァイアハイブリッド 1.8 Gi スタイリングパッケージ モデリスタAW</t>
        </is>
      </c>
      <c r="L174" s="13" t="inlineStr">
        <is>
          <t>https://page.auctions.yahoo.co.jp/jp/auction/j1233787103</t>
        </is>
      </c>
    </row>
    <row r="175">
      <c r="A175" s="8" t="inlineStr">
        <is>
          <t>エスクァイア</t>
        </is>
      </c>
      <c r="B175" s="8" t="n">
        <v>2015</v>
      </c>
      <c r="C175" s="8" t="inlineStr">
        <is>
          <t>80系</t>
        </is>
      </c>
      <c r="D175" s="11" t="n">
        <v>1100000</v>
      </c>
      <c r="E175" s="8" t="n">
        <v>1</v>
      </c>
      <c r="F175" s="11" t="n">
        <v>129000</v>
      </c>
      <c r="G175" s="8" t="inlineStr">
        <is>
          <t>REAL_MILEAGE</t>
        </is>
      </c>
      <c r="H175" s="8" t="inlineStr">
        <is>
          <t>NONE</t>
        </is>
      </c>
      <c r="I175" s="11" t="n">
        <v>0</v>
      </c>
      <c r="J175" s="8" t="inlineStr">
        <is>
          <t>2026-06-02T10:23:13+09:00</t>
        </is>
      </c>
      <c r="K175" s="14" t="inlineStr">
        <is>
          <t>エスクァイア 1.8 ハイブリッド Gi 両側電動スライドドア　ETC　Bカメラ　ナビ</t>
        </is>
      </c>
      <c r="L175" s="8" t="inlineStr">
        <is>
          <t>https://page.auctions.yahoo.co.jp/jp/auction/j1228336626</t>
        </is>
      </c>
    </row>
    <row r="176">
      <c r="A176" s="13" t="inlineStr">
        <is>
          <t>エスクァイア</t>
        </is>
      </c>
      <c r="B176" s="13" t="n">
        <v>2015</v>
      </c>
      <c r="C176" s="13" t="inlineStr">
        <is>
          <t>80系</t>
        </is>
      </c>
      <c r="D176" s="15" t="n">
        <v>645000</v>
      </c>
      <c r="E176" s="13" t="n">
        <v>173</v>
      </c>
      <c r="F176" s="15" t="n">
        <v>154500</v>
      </c>
      <c r="G176" s="13" t="inlineStr">
        <is>
          <t>REAL_MILEAGE</t>
        </is>
      </c>
      <c r="H176" s="13" t="n"/>
      <c r="I176" s="15" t="n">
        <v>0</v>
      </c>
      <c r="J176" s="13" t="inlineStr">
        <is>
          <t>2026-05-31T21:13:50+09:00</t>
        </is>
      </c>
      <c r="K176" s="14" t="inlineStr">
        <is>
          <t>エスクワイア80 ハイブリッド　平成27 ETC 車検R8/11 シートヒーター</t>
        </is>
      </c>
      <c r="L176" s="13" t="inlineStr">
        <is>
          <t>https://page.auctions.yahoo.co.jp/jp/auction/d1230765878</t>
        </is>
      </c>
    </row>
    <row r="177">
      <c r="A177" s="8" t="inlineStr">
        <is>
          <t>エスクァイア</t>
        </is>
      </c>
      <c r="B177" s="8" t="n">
        <v>2015</v>
      </c>
      <c r="C177" s="8" t="inlineStr">
        <is>
          <t>80系</t>
        </is>
      </c>
      <c r="D177" s="11" t="n">
        <v>498300</v>
      </c>
      <c r="E177" s="8" t="n">
        <v>64</v>
      </c>
      <c r="F177" s="11" t="n">
        <v>187633</v>
      </c>
      <c r="G177" s="8" t="inlineStr">
        <is>
          <t>REAL_MILEAGE</t>
        </is>
      </c>
      <c r="H177" s="8" t="inlineStr">
        <is>
          <t>NONE</t>
        </is>
      </c>
      <c r="I177" s="11" t="n">
        <v>0</v>
      </c>
      <c r="J177" s="8" t="inlineStr">
        <is>
          <t>2026-05-05T21:20:18+09:00</t>
        </is>
      </c>
      <c r="K177" s="14" t="inlineStr">
        <is>
          <t>★広島発★広島市★中古車★ エスクァイアハイブリッド 1.8 Gi</t>
        </is>
      </c>
      <c r="L177" s="8" t="inlineStr">
        <is>
          <t>https://page.auctions.yahoo.co.jp/jp/auction/o1228143618</t>
        </is>
      </c>
    </row>
    <row r="178">
      <c r="A178" s="13" t="inlineStr">
        <is>
          <t>エスクァイア</t>
        </is>
      </c>
      <c r="B178" s="13" t="n">
        <v>2015</v>
      </c>
      <c r="C178" s="13" t="inlineStr">
        <is>
          <t>80系</t>
        </is>
      </c>
      <c r="D178" s="15" t="n">
        <v>830000</v>
      </c>
      <c r="E178" s="13" t="n">
        <v>2</v>
      </c>
      <c r="F178" s="15" t="n">
        <v>162000</v>
      </c>
      <c r="G178" s="13" t="inlineStr">
        <is>
          <t>REAL_MILEAGE</t>
        </is>
      </c>
      <c r="H178" s="13" t="inlineStr">
        <is>
          <t>NONE</t>
        </is>
      </c>
      <c r="I178" s="15" t="n">
        <v>0</v>
      </c>
      <c r="J178" s="13" t="inlineStr">
        <is>
          <t>2026-03-18T15:23:39+09:00</t>
        </is>
      </c>
      <c r="K178" s="14" t="inlineStr">
        <is>
          <t>H27 エスクァイア ハイブリット Xi 地デジナビ/純正AW/シートヒーター/両側パワースライドドア/ETC/シートカバー/7人乗り</t>
        </is>
      </c>
      <c r="L178" s="13" t="inlineStr">
        <is>
          <t>https://page.auctions.yahoo.co.jp/jp/auction/w1216602323</t>
        </is>
      </c>
    </row>
    <row r="179">
      <c r="A179" s="8" t="inlineStr">
        <is>
          <t>エスクァイア</t>
        </is>
      </c>
      <c r="B179" s="8" t="n">
        <v>2015</v>
      </c>
      <c r="C179" s="8" t="inlineStr">
        <is>
          <t>80系</t>
        </is>
      </c>
      <c r="D179" s="11" t="n">
        <v>979000</v>
      </c>
      <c r="E179" s="8" t="n">
        <v>1</v>
      </c>
      <c r="F179" s="11" t="n">
        <v>104708</v>
      </c>
      <c r="G179" s="8" t="inlineStr">
        <is>
          <t>REAL_MILEAGE</t>
        </is>
      </c>
      <c r="H179" s="8" t="inlineStr">
        <is>
          <t>EXISTS</t>
        </is>
      </c>
      <c r="I179" s="11" t="n">
        <v>0</v>
      </c>
      <c r="J179" s="8" t="inlineStr">
        <is>
          <t>2026-03-16T23:38:59+09:00</t>
        </is>
      </c>
      <c r="K179" s="14" t="inlineStr">
        <is>
          <t>陸送50%OFF●カーズ大阪●車検2年付●27年エスクァイア黒ハイブリッドGi●プッシュスタート●パワスラ●4B0140</t>
        </is>
      </c>
      <c r="L179" s="8" t="inlineStr">
        <is>
          <t>https://page.auctions.yahoo.co.jp/jp/auction/o1222678984</t>
        </is>
      </c>
    </row>
    <row r="180">
      <c r="A180" s="13" t="inlineStr">
        <is>
          <t>エスクァイア</t>
        </is>
      </c>
      <c r="B180" s="13" t="n">
        <v>2015</v>
      </c>
      <c r="C180" s="13" t="inlineStr">
        <is>
          <t>80系</t>
        </is>
      </c>
      <c r="D180" s="15" t="n">
        <v>900000</v>
      </c>
      <c r="E180" s="13" t="n">
        <v>124</v>
      </c>
      <c r="F180" s="15" t="n">
        <v>116400</v>
      </c>
      <c r="G180" s="13" t="inlineStr">
        <is>
          <t>REAL_MILEAGE</t>
        </is>
      </c>
      <c r="H180" s="13" t="inlineStr">
        <is>
          <t>EXISTS</t>
        </is>
      </c>
      <c r="I180" s="15" t="n">
        <v>0</v>
      </c>
      <c r="J180" s="13" t="inlineStr">
        <is>
          <t>2026-03-06T23:02:16+09:00</t>
        </is>
      </c>
      <c r="K180" s="14" t="inlineStr">
        <is>
          <t>エスクァイアHV Gｉ ナビ TV Bluetooth フリップモニター バックカメラ 両側パワスラ スマキー 黒本革シート シートヒーター クルコン ETC</t>
        </is>
      </c>
      <c r="L180" s="13" t="inlineStr">
        <is>
          <t>https://page.auctions.yahoo.co.jp/jp/auction/q1221212497</t>
        </is>
      </c>
    </row>
    <row r="181">
      <c r="A181" s="8" t="inlineStr">
        <is>
          <t>エスクァイア</t>
        </is>
      </c>
      <c r="B181" s="8" t="n">
        <v>2014</v>
      </c>
      <c r="C181" s="8" t="inlineStr">
        <is>
          <t>80系</t>
        </is>
      </c>
      <c r="D181" s="11" t="n">
        <v>1530000</v>
      </c>
      <c r="E181" s="8" t="n">
        <v>1</v>
      </c>
      <c r="F181" s="11" t="n">
        <v>125435</v>
      </c>
      <c r="G181" s="8" t="inlineStr">
        <is>
          <t>REAL_MILEAGE</t>
        </is>
      </c>
      <c r="H181" s="8" t="inlineStr">
        <is>
          <t>NONE</t>
        </is>
      </c>
      <c r="I181" s="11" t="n">
        <v>0</v>
      </c>
      <c r="J181" s="8" t="inlineStr">
        <is>
          <t>2026-08-12T23:40:30+09:00</t>
        </is>
      </c>
      <c r="K181" s="14" t="inlineStr">
        <is>
          <t>エスクァイア 　HVGI</t>
        </is>
      </c>
      <c r="L181" s="8" t="inlineStr">
        <is>
          <t>https://page.auctions.yahoo.co.jp/jp/auction/r1240564614</t>
        </is>
      </c>
    </row>
    <row r="182">
      <c r="A182" s="13" t="inlineStr">
        <is>
          <t>エスクァイア</t>
        </is>
      </c>
      <c r="B182" s="13" t="n">
        <v>2014</v>
      </c>
      <c r="C182" s="13" t="inlineStr">
        <is>
          <t>80系</t>
        </is>
      </c>
      <c r="D182" s="15" t="n">
        <v>1050000</v>
      </c>
      <c r="E182" s="13" t="n">
        <v>1</v>
      </c>
      <c r="F182" s="15" t="n">
        <v>176900</v>
      </c>
      <c r="G182" s="13" t="inlineStr">
        <is>
          <t>REAL_MILEAGE</t>
        </is>
      </c>
      <c r="H182" s="13" t="inlineStr">
        <is>
          <t>NONE</t>
        </is>
      </c>
      <c r="I182" s="15" t="n">
        <v>0</v>
      </c>
      <c r="J182" s="13" t="inlineStr">
        <is>
          <t>2026-08-12T23:39:58+09:00</t>
        </is>
      </c>
      <c r="K182" s="14" t="inlineStr">
        <is>
          <t>エスクァイア</t>
        </is>
      </c>
      <c r="L182" s="13" t="inlineStr">
        <is>
          <t>https://page.auctions.yahoo.co.jp/jp/auction/e1240558766</t>
        </is>
      </c>
    </row>
    <row r="183">
      <c r="A183" s="8" t="inlineStr">
        <is>
          <t>エスクァイア</t>
        </is>
      </c>
      <c r="B183" s="8" t="n">
        <v>2014</v>
      </c>
      <c r="C183" s="8" t="inlineStr">
        <is>
          <t>80系</t>
        </is>
      </c>
      <c r="D183" s="11" t="n">
        <v>543000</v>
      </c>
      <c r="E183" s="8" t="n">
        <v>80</v>
      </c>
      <c r="F183" s="11" t="n">
        <v>95914</v>
      </c>
      <c r="G183" s="8" t="inlineStr">
        <is>
          <t>REAL_MILEAGE</t>
        </is>
      </c>
      <c r="H183" s="8" t="inlineStr">
        <is>
          <t>NONE</t>
        </is>
      </c>
      <c r="I183" s="11" t="n">
        <v>0</v>
      </c>
      <c r="J183" s="8" t="inlineStr">
        <is>
          <t>2026-08-08T20:46:31+09:00</t>
        </is>
      </c>
      <c r="K183" s="14" t="inlineStr">
        <is>
          <t xml:space="preserve">【個人出品】H26 トヨタ エスクァイア 2.0　ガソリン車　96,000km フリップダウン 車検令和9年11月17日まで </t>
        </is>
      </c>
      <c r="L183" s="8" t="inlineStr">
        <is>
          <t>https://page.auctions.yahoo.co.jp/jp/auction/c1238406982</t>
        </is>
      </c>
    </row>
    <row r="184">
      <c r="A184" s="13" t="inlineStr">
        <is>
          <t>エスクァイア</t>
        </is>
      </c>
      <c r="B184" s="13" t="n">
        <v>2014</v>
      </c>
      <c r="C184" s="13" t="inlineStr">
        <is>
          <t>80系</t>
        </is>
      </c>
      <c r="D184" s="15" t="n">
        <v>798000</v>
      </c>
      <c r="E184" s="13" t="n">
        <v>1</v>
      </c>
      <c r="F184" s="15" t="n">
        <v>90000</v>
      </c>
      <c r="G184" s="13" t="inlineStr">
        <is>
          <t>REAL_MILEAGE</t>
        </is>
      </c>
      <c r="H184" s="13" t="inlineStr">
        <is>
          <t>EXISTS</t>
        </is>
      </c>
      <c r="I184" s="15" t="n">
        <v>0</v>
      </c>
      <c r="J184" s="13" t="inlineStr">
        <is>
          <t>2026-06-27T01:16:26+09:00</t>
        </is>
      </c>
      <c r="K184" s="14" t="inlineStr">
        <is>
          <t>エスクァイア 2.0 Xi TRDエアロ/ナビTVビデオBluetooth接続Bカメ</t>
        </is>
      </c>
      <c r="L184" s="13" t="inlineStr">
        <is>
          <t>https://page.auctions.yahoo.co.jp/jp/auction/c1233816119</t>
        </is>
      </c>
    </row>
    <row r="185">
      <c r="A185" s="8" t="inlineStr">
        <is>
          <t>エスクァイア</t>
        </is>
      </c>
      <c r="B185" s="8" t="n">
        <v>2014</v>
      </c>
      <c r="C185" s="8" t="inlineStr">
        <is>
          <t>80系</t>
        </is>
      </c>
      <c r="D185" s="11" t="n">
        <v>898000</v>
      </c>
      <c r="E185" s="8" t="n">
        <v>1</v>
      </c>
      <c r="F185" s="11" t="n">
        <v>106750</v>
      </c>
      <c r="G185" s="8" t="inlineStr">
        <is>
          <t>REAL_MILEAGE</t>
        </is>
      </c>
      <c r="H185" s="8" t="inlineStr">
        <is>
          <t>EXISTS</t>
        </is>
      </c>
      <c r="I185" s="11" t="n">
        <v>0</v>
      </c>
      <c r="J185" s="8" t="inlineStr">
        <is>
          <t>2026-06-05T22:30:33+09:00</t>
        </is>
      </c>
      <c r="K185" s="14" t="inlineStr">
        <is>
          <t>検10年5月 エスクァイア ハイブリッド 両側パワスラ ナビ TV 後席フリップダウンモニター Bモニター ドラレコ ETC シートヒーター スマキー</t>
        </is>
      </c>
      <c r="L185" s="8" t="inlineStr">
        <is>
          <t>https://page.auctions.yahoo.co.jp/jp/auction/h1229206534</t>
        </is>
      </c>
    </row>
    <row r="186">
      <c r="A186" s="13" t="inlineStr">
        <is>
          <t>エスクァイア</t>
        </is>
      </c>
      <c r="B186" s="13" t="n"/>
      <c r="C186" s="13" t="inlineStr"/>
      <c r="D186" s="15" t="n">
        <v>822000</v>
      </c>
      <c r="E186" s="13" t="n">
        <v>102</v>
      </c>
      <c r="F186" s="15" t="n"/>
      <c r="G186" s="13" t="n"/>
      <c r="H186" s="13" t="n"/>
      <c r="I186" s="15" t="n"/>
      <c r="J186" s="13" t="inlineStr">
        <is>
          <t>2026-05-14T22:28:26+09:00</t>
        </is>
      </c>
      <c r="K186" s="14" t="inlineStr">
        <is>
          <t>27年8万キロートヨタ　エスクァイア　4WD 純正ナビフルセグ地デジ　車検付き8年11月　USS鑑定書付き</t>
        </is>
      </c>
      <c r="L186" s="13" t="inlineStr">
        <is>
          <t>https://page.auctions.yahoo.co.jp/jp/auction/u1229333471</t>
        </is>
      </c>
    </row>
    <row r="187">
      <c r="A187" s="8" t="inlineStr">
        <is>
          <t>エスクァイア</t>
        </is>
      </c>
      <c r="B187" s="8" t="n"/>
      <c r="C187" s="8" t="inlineStr"/>
      <c r="D187" s="11" t="n">
        <v>1250000</v>
      </c>
      <c r="E187" s="8" t="n">
        <v>36</v>
      </c>
      <c r="F187" s="11" t="n"/>
      <c r="G187" s="8" t="n"/>
      <c r="H187" s="8" t="n"/>
      <c r="I187" s="11" t="n"/>
      <c r="J187" s="8" t="inlineStr">
        <is>
          <t>2026-05-08T12:30:13+09:00</t>
        </is>
      </c>
      <c r="K187" s="14" t="inlineStr">
        <is>
          <t>外装！内装綺麗！不具合なし！現車確認歓迎！</t>
        </is>
      </c>
      <c r="L187" s="8" t="inlineStr">
        <is>
          <t>https://page.auctions.yahoo.co.jp/jp/auction/q1228855387</t>
        </is>
      </c>
    </row>
    <row r="188">
      <c r="A188" s="13" t="inlineStr">
        <is>
          <t>エスクァイア</t>
        </is>
      </c>
      <c r="B188" s="13" t="n"/>
      <c r="C188" s="13" t="inlineStr"/>
      <c r="D188" s="15" t="n">
        <v>1248000</v>
      </c>
      <c r="E188" s="13" t="n">
        <v>36</v>
      </c>
      <c r="F188" s="15" t="n"/>
      <c r="G188" s="13" t="n"/>
      <c r="H188" s="13" t="n"/>
      <c r="I188" s="15" t="n"/>
      <c r="J188" s="13" t="inlineStr">
        <is>
          <t>2026-08-18T12:42:22+09:00</t>
        </is>
      </c>
      <c r="K188" s="14" t="inlineStr">
        <is>
          <t>モデリスタフルエアロ　後期仕様　アルパイン１１インチナビ　フリップダウンモニター　両側パワスラ　クルコン　装備多数　車検１０年８月</t>
        </is>
      </c>
      <c r="L188" s="13" t="inlineStr">
        <is>
          <t>https://page.auctions.yahoo.co.jp/jp/auction/n1240303412</t>
        </is>
      </c>
    </row>
    <row r="189">
      <c r="A189" s="8" t="inlineStr">
        <is>
          <t>エスクァイア</t>
        </is>
      </c>
      <c r="B189" s="8" t="n"/>
      <c r="C189" s="8" t="inlineStr"/>
      <c r="D189" s="11" t="n">
        <v>595000</v>
      </c>
      <c r="E189" s="8" t="n">
        <v>48</v>
      </c>
      <c r="F189" s="11" t="n"/>
      <c r="G189" s="8" t="n"/>
      <c r="H189" s="8" t="n"/>
      <c r="I189" s="11" t="n"/>
      <c r="J189" s="8" t="inlineStr">
        <is>
          <t>2026-06-29T21:05:00+09:00</t>
        </is>
      </c>
      <c r="K189" s="14" t="inlineStr">
        <is>
          <t>車検１０年７月　ハイブリッドＧⅰ　フリップダウンモニター　両側パワスラ　大画面ナビ　Ｂカメラ　Ｗエアコン　シートヒーター　クルコン</t>
        </is>
      </c>
      <c r="L189" s="8" t="inlineStr">
        <is>
          <t>https://page.auctions.yahoo.co.jp/jp/auction/d1234323414</t>
        </is>
      </c>
    </row>
    <row r="190">
      <c r="A190" s="13" t="inlineStr">
        <is>
          <t>エスクァイア</t>
        </is>
      </c>
      <c r="B190" s="13" t="n"/>
      <c r="C190" s="13" t="inlineStr"/>
      <c r="D190" s="15" t="n">
        <v>912000</v>
      </c>
      <c r="E190" s="13" t="n">
        <v>160</v>
      </c>
      <c r="F190" s="15" t="n"/>
      <c r="G190" s="13" t="n"/>
      <c r="H190" s="13" t="n"/>
      <c r="I190" s="15" t="n"/>
      <c r="J190" s="13" t="inlineStr">
        <is>
          <t>2026-06-16T20:55:19+09:00</t>
        </is>
      </c>
      <c r="K190" s="14" t="inlineStr">
        <is>
          <t>最上級ハイブリッドGi黒 本車検満タン渡し!(費用込)フルレザーシートヒーター 踏み間違え防止 両側パワスラ フルセグ アラウンドビューLED</t>
        </is>
      </c>
      <c r="L190" s="13" t="inlineStr">
        <is>
          <t>https://page.auctions.yahoo.co.jp/jp/auction/d1232152446</t>
        </is>
      </c>
    </row>
    <row r="191">
      <c r="A191" s="8" t="inlineStr">
        <is>
          <t>エスクァイア</t>
        </is>
      </c>
      <c r="B191" s="8" t="n"/>
      <c r="C191" s="8" t="inlineStr"/>
      <c r="D191" s="11" t="n">
        <v>656000</v>
      </c>
      <c r="E191" s="8" t="n">
        <v>96</v>
      </c>
      <c r="F191" s="11" t="n"/>
      <c r="G191" s="8" t="n"/>
      <c r="H191" s="8" t="n"/>
      <c r="I191" s="11" t="n"/>
      <c r="J191" s="8" t="inlineStr">
        <is>
          <t>2026-05-10T21:30:17+09:00</t>
        </is>
      </c>
      <c r="K191" s="14" t="inlineStr">
        <is>
          <t>トヨタ エスティマハイブリッド 2.4 G 4WD 実走行103,000km、車検10年5月、修復歴 なし</t>
        </is>
      </c>
      <c r="L191" s="8" t="inlineStr">
        <is>
          <t>https://page.auctions.yahoo.co.jp/jp/auction/r1225519791</t>
        </is>
      </c>
    </row>
    <row r="192">
      <c r="A192" s="13" t="inlineStr">
        <is>
          <t>エスクァイア</t>
        </is>
      </c>
      <c r="B192" s="13" t="n"/>
      <c r="C192" s="13" t="inlineStr"/>
      <c r="D192" s="15" t="n">
        <v>749000</v>
      </c>
      <c r="E192" s="13" t="n">
        <v>26</v>
      </c>
      <c r="F192" s="15" t="n"/>
      <c r="G192" s="13" t="n"/>
      <c r="H192" s="13" t="n"/>
      <c r="I192" s="15" t="n"/>
      <c r="J192" s="13" t="inlineStr">
        <is>
          <t>2026-03-19T21:14:19+09:00</t>
        </is>
      </c>
      <c r="K192" s="14" t="inlineStr">
        <is>
          <t xml:space="preserve">ハイブリッド　車検１０年３月　アルパイン１０インチナビ　デジタルミラー　Ｂカメラ　ＥＴＣ　シートヒーター　パワースライドドア　</t>
        </is>
      </c>
      <c r="L192" s="13" t="inlineStr">
        <is>
          <t>https://page.auctions.yahoo.co.jp/jp/auction/h1222118867</t>
        </is>
      </c>
    </row>
    <row r="193">
      <c r="A193" s="8" t="inlineStr">
        <is>
          <t>エスティマ</t>
        </is>
      </c>
      <c r="B193" s="8" t="n">
        <v>2017</v>
      </c>
      <c r="C193" s="8" t="inlineStr">
        <is>
          <t>50系</t>
        </is>
      </c>
      <c r="D193" s="11" t="n">
        <v>964000</v>
      </c>
      <c r="E193" s="8" t="n">
        <v>88</v>
      </c>
      <c r="F193" s="11" t="n">
        <v>218500</v>
      </c>
      <c r="G193" s="8" t="inlineStr">
        <is>
          <t>REAL_MILEAGE</t>
        </is>
      </c>
      <c r="H193" s="8" t="inlineStr">
        <is>
          <t>NONE</t>
        </is>
      </c>
      <c r="I193" s="11" t="n">
        <v>43670</v>
      </c>
      <c r="J193" s="8" t="inlineStr">
        <is>
          <t>2026-08-16T21:49:20+09:00</t>
        </is>
      </c>
      <c r="K193" s="14" t="inlineStr">
        <is>
          <t>トヨタ　エスティマ　ハイブリッド　AHR20W 後期　車検長い　4WD　　アエラスプレミアム　売り切り出品　今回のみ</t>
        </is>
      </c>
      <c r="L193" s="8" t="inlineStr">
        <is>
          <t>https://page.auctions.yahoo.co.jp/jp/auction/s1240371346</t>
        </is>
      </c>
    </row>
    <row r="194">
      <c r="A194" s="13" t="inlineStr">
        <is>
          <t>エスティマ</t>
        </is>
      </c>
      <c r="B194" s="13" t="n">
        <v>2017</v>
      </c>
      <c r="C194" s="13" t="inlineStr">
        <is>
          <t>50系</t>
        </is>
      </c>
      <c r="D194" s="15" t="n">
        <v>956000</v>
      </c>
      <c r="E194" s="13" t="n">
        <v>104</v>
      </c>
      <c r="F194" s="15" t="n">
        <v>218200</v>
      </c>
      <c r="G194" s="13" t="inlineStr">
        <is>
          <t>REAL_MILEAGE</t>
        </is>
      </c>
      <c r="H194" s="13" t="inlineStr">
        <is>
          <t>NONE</t>
        </is>
      </c>
      <c r="I194" s="15" t="n">
        <v>43670</v>
      </c>
      <c r="J194" s="13" t="inlineStr">
        <is>
          <t>2026-08-02T21:58:31+09:00</t>
        </is>
      </c>
      <c r="K194" s="14" t="inlineStr">
        <is>
          <t>トヨタ　エスティマ　ハイブリッド　AHR20W 後期　車検長い　4WD　　アエラスプレミアム</t>
        </is>
      </c>
      <c r="L194" s="13" t="inlineStr">
        <is>
          <t>https://page.auctions.yahoo.co.jp/jp/auction/d1238917368</t>
        </is>
      </c>
    </row>
    <row r="195">
      <c r="A195" s="8" t="inlineStr">
        <is>
          <t>エスティマ</t>
        </is>
      </c>
      <c r="B195" s="8" t="n">
        <v>2016</v>
      </c>
      <c r="C195" s="8" t="inlineStr">
        <is>
          <t>50系</t>
        </is>
      </c>
      <c r="D195" s="11" t="n">
        <v>1088000</v>
      </c>
      <c r="E195" s="8" t="n">
        <v>2</v>
      </c>
      <c r="F195" s="11" t="n">
        <v>112960</v>
      </c>
      <c r="G195" s="8" t="inlineStr">
        <is>
          <t>REAL_MILEAGE</t>
        </is>
      </c>
      <c r="H195" s="8" t="inlineStr">
        <is>
          <t>NONE</t>
        </is>
      </c>
      <c r="I195" s="11" t="n">
        <v>68300</v>
      </c>
      <c r="J195" s="8" t="inlineStr">
        <is>
          <t>2026-06-24T00:12:33+09:00</t>
        </is>
      </c>
      <c r="K195" s="14" t="inlineStr">
        <is>
          <t>検10年6月 後期型 エスティマ アエラス スマート セーフティセンスC PCS LDA 両側パワスラ クルコン ナビ TV Bモニター ETC 快適温熱シート</t>
        </is>
      </c>
      <c r="L195" s="8" t="inlineStr">
        <is>
          <t>https://page.auctions.yahoo.co.jp/jp/auction/d1233760829</t>
        </is>
      </c>
    </row>
    <row r="196">
      <c r="A196" s="13" t="inlineStr">
        <is>
          <t>エスティマ</t>
        </is>
      </c>
      <c r="B196" s="13" t="n">
        <v>2015</v>
      </c>
      <c r="C196" s="13" t="inlineStr">
        <is>
          <t>50系</t>
        </is>
      </c>
      <c r="D196" s="15" t="n">
        <v>850000</v>
      </c>
      <c r="E196" s="13" t="n">
        <v>12</v>
      </c>
      <c r="F196" s="15" t="n">
        <v>180265</v>
      </c>
      <c r="G196" s="13" t="inlineStr">
        <is>
          <t>REAL_MILEAGE</t>
        </is>
      </c>
      <c r="H196" s="13" t="inlineStr">
        <is>
          <t>NONE</t>
        </is>
      </c>
      <c r="I196" s="15" t="n">
        <v>47270</v>
      </c>
      <c r="J196" s="13" t="inlineStr">
        <is>
          <t>2026-06-14T11:42:32+09:00</t>
        </is>
      </c>
      <c r="K196" s="14" t="inlineStr">
        <is>
          <t>即決特典込々85万円 H27年トヨタ エスティマHV アエラス ベリーエディション【車検R9年1月】純正ナビ/TV/Bカメラ/4WD/ETC/好調美車/無事故</t>
        </is>
      </c>
      <c r="L196" s="13" t="inlineStr">
        <is>
          <t>https://page.auctions.yahoo.co.jp/jp/auction/g1233413225</t>
        </is>
      </c>
    </row>
    <row r="197">
      <c r="A197" s="8" t="inlineStr">
        <is>
          <t>エスティマ</t>
        </is>
      </c>
      <c r="B197" s="8" t="n">
        <v>2015</v>
      </c>
      <c r="C197" s="8" t="inlineStr">
        <is>
          <t>50系</t>
        </is>
      </c>
      <c r="D197" s="11" t="n">
        <v>1179000</v>
      </c>
      <c r="E197" s="8" t="n">
        <v>1</v>
      </c>
      <c r="F197" s="11" t="n">
        <v>119000</v>
      </c>
      <c r="G197" s="8" t="inlineStr">
        <is>
          <t>REAL_MILEAGE</t>
        </is>
      </c>
      <c r="H197" s="8" t="inlineStr">
        <is>
          <t>EXISTS</t>
        </is>
      </c>
      <c r="I197" s="11" t="n">
        <v>0</v>
      </c>
      <c r="J197" s="8" t="inlineStr">
        <is>
          <t>2026-03-23T12:49:27+09:00</t>
        </is>
      </c>
      <c r="K197" s="14" t="inlineStr">
        <is>
          <t>エスティマハイブリッド 2.4 アエラス 4WD 1オーナー 記録簿 ナビTV BT Bモニター ETC</t>
        </is>
      </c>
      <c r="L197" s="8" t="inlineStr">
        <is>
          <t>https://page.auctions.yahoo.co.jp/jp/auction/b1223300589</t>
        </is>
      </c>
    </row>
    <row r="198">
      <c r="A198" s="13" t="inlineStr">
        <is>
          <t>エスティマ</t>
        </is>
      </c>
      <c r="B198" s="13" t="n">
        <v>2014</v>
      </c>
      <c r="C198" s="13" t="inlineStr">
        <is>
          <t>50系</t>
        </is>
      </c>
      <c r="D198" s="15" t="n">
        <v>398000</v>
      </c>
      <c r="E198" s="13" t="n">
        <v>1</v>
      </c>
      <c r="F198" s="15" t="n">
        <v>175000</v>
      </c>
      <c r="G198" s="13" t="inlineStr">
        <is>
          <t>REAL_MILEAGE</t>
        </is>
      </c>
      <c r="H198" s="13" t="inlineStr">
        <is>
          <t>NONE</t>
        </is>
      </c>
      <c r="I198" s="15" t="n">
        <v>64340</v>
      </c>
      <c r="J198" s="13" t="inlineStr">
        <is>
          <t>2026-07-29T15:01:43+09:00</t>
        </is>
      </c>
      <c r="K198" s="14" t="inlineStr">
        <is>
          <t>26年式*エスティマ*アエラスプレミアムED*4WD*HID*両パワスラ*純正ナビ*Bカメラ*BTオーディオ*DTV*DVD*CD*ETC*クルコン*310422S1</t>
        </is>
      </c>
      <c r="L198" s="13" t="inlineStr">
        <is>
          <t>https://page.auctions.yahoo.co.jp/jp/auction/x1228231251</t>
        </is>
      </c>
    </row>
    <row r="199">
      <c r="A199" s="8" t="inlineStr">
        <is>
          <t>エスティマ</t>
        </is>
      </c>
      <c r="B199" s="8" t="n">
        <v>2014</v>
      </c>
      <c r="C199" s="8" t="inlineStr">
        <is>
          <t>50系</t>
        </is>
      </c>
      <c r="D199" s="11" t="n">
        <v>335000</v>
      </c>
      <c r="E199" s="8" t="n">
        <v>105</v>
      </c>
      <c r="F199" s="11" t="n">
        <v>296957</v>
      </c>
      <c r="G199" s="8" t="inlineStr">
        <is>
          <t>REAL_MILEAGE</t>
        </is>
      </c>
      <c r="H199" s="8" t="n"/>
      <c r="I199" s="11" t="n">
        <v>63570</v>
      </c>
      <c r="J199" s="8" t="inlineStr">
        <is>
          <t>2026-07-28T21:50:34+09:00</t>
        </is>
      </c>
      <c r="K199" s="14" t="inlineStr">
        <is>
          <t>仙台発 売切 H26 エスティマHV アエラス 4WD 車検R9.12 即乗りOK ワンオーナー 両側パワスラ ナビTV 後席モニター バックカメラ 寒冷地 ETC</t>
        </is>
      </c>
      <c r="L199" s="8" t="inlineStr">
        <is>
          <t>https://page.auctions.yahoo.co.jp/jp/auction/t1238043864</t>
        </is>
      </c>
    </row>
    <row r="200">
      <c r="A200" s="13" t="inlineStr">
        <is>
          <t>エスティマ</t>
        </is>
      </c>
      <c r="B200" s="13" t="n">
        <v>2014</v>
      </c>
      <c r="C200" s="13" t="inlineStr">
        <is>
          <t>50系</t>
        </is>
      </c>
      <c r="D200" s="15" t="n">
        <v>539000</v>
      </c>
      <c r="E200" s="13" t="n">
        <v>10</v>
      </c>
      <c r="F200" s="15" t="n">
        <v>269500</v>
      </c>
      <c r="G200" s="13" t="inlineStr">
        <is>
          <t>REAL_MILEAGE</t>
        </is>
      </c>
      <c r="H200" s="13" t="inlineStr">
        <is>
          <t>NONE</t>
        </is>
      </c>
      <c r="I200" s="15" t="n">
        <v>20790</v>
      </c>
      <c r="J200" s="13" t="inlineStr">
        <is>
          <t>2026-07-26T22:49:02+09:00</t>
        </is>
      </c>
      <c r="K200" s="14" t="inlineStr">
        <is>
          <t xml:space="preserve">予備検可 26年 後期Ⅲ型 最上級 エスティマHV G (レザー) プリクラシュセーフティS ACC スーパーライブS 4WD パノラミックビューモニター </t>
        </is>
      </c>
      <c r="L200" s="13" t="inlineStr">
        <is>
          <t>https://page.auctions.yahoo.co.jp/jp/auction/n1237679782</t>
        </is>
      </c>
    </row>
    <row r="201">
      <c r="A201" s="8" t="inlineStr">
        <is>
          <t>エスティマ</t>
        </is>
      </c>
      <c r="B201" s="8" t="n">
        <v>2014</v>
      </c>
      <c r="C201" s="8" t="inlineStr">
        <is>
          <t>50系</t>
        </is>
      </c>
      <c r="D201" s="11" t="n">
        <v>601000</v>
      </c>
      <c r="E201" s="8" t="n">
        <v>49</v>
      </c>
      <c r="F201" s="11" t="n">
        <v>157010</v>
      </c>
      <c r="G201" s="8" t="inlineStr">
        <is>
          <t>REAL_MILEAGE</t>
        </is>
      </c>
      <c r="H201" s="8" t="inlineStr">
        <is>
          <t>NONE</t>
        </is>
      </c>
      <c r="I201" s="11" t="n">
        <v>0</v>
      </c>
      <c r="J201" s="8" t="inlineStr">
        <is>
          <t>2026-05-22T22:05:54+09:00</t>
        </is>
      </c>
      <c r="K201" s="14" t="inlineStr">
        <is>
          <t>特別仕様車 4WD【エスティマ ハイブリッド アエラス プレミアムED】両側パワスラ/走行中TV・Bカメラ/後席モニター/ドラレコ/クルコン/ETC</t>
        </is>
      </c>
      <c r="L201" s="8" t="inlineStr">
        <is>
          <t>https://page.auctions.yahoo.co.jp/jp/auction/m1229800753</t>
        </is>
      </c>
    </row>
    <row r="202">
      <c r="A202" s="13" t="inlineStr">
        <is>
          <t>エスティマ</t>
        </is>
      </c>
      <c r="B202" s="13" t="n">
        <v>2014</v>
      </c>
      <c r="C202" s="13" t="inlineStr">
        <is>
          <t>50系</t>
        </is>
      </c>
      <c r="D202" s="15" t="n">
        <v>570500</v>
      </c>
      <c r="E202" s="13" t="n">
        <v>68</v>
      </c>
      <c r="F202" s="15" t="n">
        <v>120890</v>
      </c>
      <c r="G202" s="13" t="inlineStr">
        <is>
          <t>REAL_MILEAGE</t>
        </is>
      </c>
      <c r="H202" s="13" t="inlineStr">
        <is>
          <t>EXISTS</t>
        </is>
      </c>
      <c r="I202" s="15" t="n">
        <v>0</v>
      </c>
      <c r="J202" s="13" t="inlineStr">
        <is>
          <t>2026-02-23T22:12:02+09:00</t>
        </is>
      </c>
      <c r="K202" s="14" t="inlineStr">
        <is>
          <t>希少3500㏄ H26年 トヨタ エスティマ（ESTIMA）アエラス【検R9年3月】純正ナビ/地デジTV/Bカメラ/パワスラ/クルコン/ETC/BOSE/好調美車</t>
        </is>
      </c>
      <c r="L202" s="13" t="inlineStr">
        <is>
          <t>https://page.auctions.yahoo.co.jp/jp/auction/x1219579299</t>
        </is>
      </c>
    </row>
    <row r="203">
      <c r="A203" s="8" t="inlineStr">
        <is>
          <t>エスティマ</t>
        </is>
      </c>
      <c r="B203" s="8" t="n">
        <v>2013</v>
      </c>
      <c r="C203" s="8" t="inlineStr">
        <is>
          <t>50系</t>
        </is>
      </c>
      <c r="D203" s="11" t="n">
        <v>508000</v>
      </c>
      <c r="E203" s="8" t="n">
        <v>1</v>
      </c>
      <c r="F203" s="11" t="n">
        <v>122280</v>
      </c>
      <c r="G203" s="8" t="inlineStr">
        <is>
          <t>REAL_MILEAGE</t>
        </is>
      </c>
      <c r="H203" s="8" t="inlineStr">
        <is>
          <t>NONE</t>
        </is>
      </c>
      <c r="I203" s="11" t="n">
        <v>47340</v>
      </c>
      <c r="J203" s="8" t="inlineStr">
        <is>
          <t>2026-07-19T16:37:46+09:00</t>
        </is>
      </c>
      <c r="K203" s="14" t="inlineStr">
        <is>
          <t>エスティマ アエラス プレミアムED 車検2年付き 両パワスラ フリップ パワーシート 純SDナビ Bカメラ ETC クルコン ショートブロック対策品</t>
        </is>
      </c>
      <c r="L203" s="8" t="inlineStr">
        <is>
          <t>https://page.auctions.yahoo.co.jp/jp/auction/l1230597149</t>
        </is>
      </c>
    </row>
    <row r="204">
      <c r="A204" s="13" t="inlineStr">
        <is>
          <t>エスティマ</t>
        </is>
      </c>
      <c r="B204" s="13" t="n">
        <v>2013</v>
      </c>
      <c r="C204" s="13" t="inlineStr">
        <is>
          <t>50系</t>
        </is>
      </c>
      <c r="D204" s="15" t="n">
        <v>571000</v>
      </c>
      <c r="E204" s="13" t="n">
        <v>102</v>
      </c>
      <c r="F204" s="15" t="n">
        <v>69500</v>
      </c>
      <c r="G204" s="13" t="inlineStr">
        <is>
          <t>REAL_MILEAGE</t>
        </is>
      </c>
      <c r="H204" s="13" t="inlineStr">
        <is>
          <t>EXISTS</t>
        </is>
      </c>
      <c r="I204" s="15" t="n">
        <v>0</v>
      </c>
      <c r="J204" s="13" t="inlineStr">
        <is>
          <t>2026-06-13T22:40:18+09:00</t>
        </is>
      </c>
      <c r="K204" s="14" t="inlineStr">
        <is>
          <t>平成25年 エスティマ 2.4アエラス ブラック 外装綺麗 両パワスラ スマートキー ETC アルミ 車検R10.2</t>
        </is>
      </c>
      <c r="L204" s="13" t="inlineStr">
        <is>
          <t>https://page.auctions.yahoo.co.jp/jp/auction/k1231842879</t>
        </is>
      </c>
    </row>
    <row r="205">
      <c r="A205" s="8" t="inlineStr">
        <is>
          <t>エスティマ</t>
        </is>
      </c>
      <c r="B205" s="8" t="n">
        <v>2013</v>
      </c>
      <c r="C205" s="8" t="inlineStr">
        <is>
          <t>50系</t>
        </is>
      </c>
      <c r="D205" s="11" t="n">
        <v>380000</v>
      </c>
      <c r="E205" s="8" t="n">
        <v>56</v>
      </c>
      <c r="F205" s="11" t="n">
        <v>189000</v>
      </c>
      <c r="G205" s="8" t="inlineStr">
        <is>
          <t>REAL_MILEAGE</t>
        </is>
      </c>
      <c r="H205" s="8" t="inlineStr">
        <is>
          <t>NONE</t>
        </is>
      </c>
      <c r="I205" s="11" t="n">
        <v>0</v>
      </c>
      <c r="J205" s="8" t="inlineStr">
        <is>
          <t>2026-06-11T17:35:25+09:00</t>
        </is>
      </c>
      <c r="K205" s="14" t="inlineStr">
        <is>
          <t>１円売切り!後期 エスティマ 両側パワースライドドア ７人乗 フルセグTV Bluetooth 対策済エンジン 禁煙車 修復歴なし スマートキー2本 ETC</t>
        </is>
      </c>
      <c r="L205" s="8" t="inlineStr">
        <is>
          <t>https://page.auctions.yahoo.co.jp/jp/auction/n1231986815</t>
        </is>
      </c>
    </row>
    <row r="206">
      <c r="A206" s="13" t="inlineStr">
        <is>
          <t>エスティマ</t>
        </is>
      </c>
      <c r="B206" s="13" t="n">
        <v>2013</v>
      </c>
      <c r="C206" s="13" t="inlineStr">
        <is>
          <t>50系</t>
        </is>
      </c>
      <c r="D206" s="15" t="n">
        <v>848000</v>
      </c>
      <c r="E206" s="13" t="n">
        <v>1</v>
      </c>
      <c r="F206" s="15" t="n">
        <v>127850</v>
      </c>
      <c r="G206" s="13" t="inlineStr">
        <is>
          <t>REAL_MILEAGE</t>
        </is>
      </c>
      <c r="H206" s="13" t="inlineStr">
        <is>
          <t>EXISTS</t>
        </is>
      </c>
      <c r="I206" s="15" t="n">
        <v>0</v>
      </c>
      <c r="J206" s="13" t="inlineStr">
        <is>
          <t>2026-05-29T22:33:36+09:00</t>
        </is>
      </c>
      <c r="K206" s="14" t="inlineStr">
        <is>
          <t>車検満タン エスティマHV 後期 ナビ TV Bluetooth フリップモニター バックモニター 両側Pスラ Pバックドア スマートキー クルコン HID ETC</t>
        </is>
      </c>
      <c r="L206" s="13" t="inlineStr">
        <is>
          <t>https://page.auctions.yahoo.co.jp/jp/auction/s1230081660</t>
        </is>
      </c>
    </row>
    <row r="207">
      <c r="A207" s="8" t="inlineStr">
        <is>
          <t>エスティマ</t>
        </is>
      </c>
      <c r="B207" s="8" t="n">
        <v>2013</v>
      </c>
      <c r="C207" s="8" t="inlineStr">
        <is>
          <t>50系</t>
        </is>
      </c>
      <c r="D207" s="11" t="n">
        <v>330000</v>
      </c>
      <c r="E207" s="8" t="n">
        <v>1</v>
      </c>
      <c r="F207" s="11" t="n">
        <v>180000</v>
      </c>
      <c r="G207" s="8" t="inlineStr">
        <is>
          <t>REAL_MILEAGE</t>
        </is>
      </c>
      <c r="H207" s="8" t="inlineStr">
        <is>
          <t>NONE</t>
        </is>
      </c>
      <c r="I207" s="11" t="n">
        <v>0</v>
      </c>
      <c r="J207" s="8" t="inlineStr">
        <is>
          <t>2026-05-23T19:08:18+09:00</t>
        </is>
      </c>
      <c r="K207" s="14" t="inlineStr">
        <is>
          <t>エスティマ　トヨタ</t>
        </is>
      </c>
      <c r="L207" s="8" t="inlineStr">
        <is>
          <t>https://page.auctions.yahoo.co.jp/jp/auction/1230932478</t>
        </is>
      </c>
    </row>
    <row r="208">
      <c r="A208" s="13" t="inlineStr">
        <is>
          <t>エスティマ</t>
        </is>
      </c>
      <c r="B208" s="13" t="n">
        <v>2013</v>
      </c>
      <c r="C208" s="13" t="inlineStr">
        <is>
          <t>50系</t>
        </is>
      </c>
      <c r="D208" s="15" t="n">
        <v>399900</v>
      </c>
      <c r="E208" s="13" t="n">
        <v>1</v>
      </c>
      <c r="F208" s="15" t="n">
        <v>195000</v>
      </c>
      <c r="G208" s="13" t="inlineStr">
        <is>
          <t>REAL_MILEAGE</t>
        </is>
      </c>
      <c r="H208" s="13" t="inlineStr">
        <is>
          <t>NONE</t>
        </is>
      </c>
      <c r="I208" s="15" t="n">
        <v>0</v>
      </c>
      <c r="J208" s="13" t="inlineStr">
        <is>
          <t>2026-04-16T14:32:42+09:00</t>
        </is>
      </c>
      <c r="K208" s="14" t="inlineStr">
        <is>
          <t>★H25年エスティマハイブリッド アエラス★ワンオーナー★両側パワスラ★モデリスタ19インチAW★純正ナビ・TVキャンセラー★車検R10年4月★</t>
        </is>
      </c>
      <c r="L208" s="13" t="inlineStr">
        <is>
          <t>https://page.auctions.yahoo.co.jp/jp/auction/j1220568082</t>
        </is>
      </c>
    </row>
    <row r="209">
      <c r="A209" s="8" t="inlineStr">
        <is>
          <t>エスティマ</t>
        </is>
      </c>
      <c r="B209" s="8" t="n">
        <v>2013</v>
      </c>
      <c r="C209" s="8" t="inlineStr">
        <is>
          <t>50系</t>
        </is>
      </c>
      <c r="D209" s="11" t="n">
        <v>471000</v>
      </c>
      <c r="E209" s="8" t="n">
        <v>125</v>
      </c>
      <c r="F209" s="11" t="n">
        <v>128000</v>
      </c>
      <c r="G209" s="8" t="inlineStr">
        <is>
          <t>REAL_MILEAGE</t>
        </is>
      </c>
      <c r="H209" s="8" t="inlineStr">
        <is>
          <t>NONE</t>
        </is>
      </c>
      <c r="I209" s="11" t="n">
        <v>0</v>
      </c>
      <c r="J209" s="8" t="inlineStr">
        <is>
          <t>2026-04-12T22:15:25+09:00</t>
        </is>
      </c>
      <c r="K209" s="14" t="inlineStr">
        <is>
          <t>H25 中後期エスティマ【 2.4アエラス（3型）】車検10. 4 純正ナビ/DTV/後席モニター/Bカメラ/クルコン/両側パワスラ/美車/128.000km</t>
        </is>
      </c>
      <c r="L209" s="8" t="inlineStr">
        <is>
          <t>https://page.auctions.yahoo.co.jp/jp/auction/w1225238631</t>
        </is>
      </c>
    </row>
    <row r="210">
      <c r="A210" s="13" t="inlineStr">
        <is>
          <t>エスティマ</t>
        </is>
      </c>
      <c r="B210" s="13" t="n">
        <v>2013</v>
      </c>
      <c r="C210" s="13" t="inlineStr">
        <is>
          <t>50系</t>
        </is>
      </c>
      <c r="D210" s="15" t="n">
        <v>470000</v>
      </c>
      <c r="E210" s="13" t="n">
        <v>1</v>
      </c>
      <c r="F210" s="15" t="n">
        <v>185200</v>
      </c>
      <c r="G210" s="13" t="inlineStr">
        <is>
          <t>REAL_MILEAGE</t>
        </is>
      </c>
      <c r="H210" s="13" t="inlineStr">
        <is>
          <t>NONE</t>
        </is>
      </c>
      <c r="I210" s="15" t="n">
        <v>0</v>
      </c>
      <c r="J210" s="13" t="inlineStr">
        <is>
          <t>2026-03-29T21:29:21+09:00</t>
        </is>
      </c>
      <c r="K210" s="14" t="inlineStr">
        <is>
          <t>トヨタ　エスティマ　4WD ハイブリッド　7人乗り　パールホワイト　車検あり</t>
        </is>
      </c>
      <c r="L210" s="13" t="inlineStr">
        <is>
          <t>https://page.auctions.yahoo.co.jp/jp/auction/m1223741416</t>
        </is>
      </c>
    </row>
    <row r="211">
      <c r="A211" s="8" t="inlineStr">
        <is>
          <t>エスティマ</t>
        </is>
      </c>
      <c r="B211" s="8" t="n">
        <v>2013</v>
      </c>
      <c r="C211" s="8" t="inlineStr">
        <is>
          <t>50系</t>
        </is>
      </c>
      <c r="D211" s="11" t="n">
        <v>668000</v>
      </c>
      <c r="E211" s="8" t="n">
        <v>1</v>
      </c>
      <c r="F211" s="11" t="n">
        <v>136000</v>
      </c>
      <c r="G211" s="8" t="inlineStr">
        <is>
          <t>REAL_MILEAGE</t>
        </is>
      </c>
      <c r="H211" s="8" t="inlineStr">
        <is>
          <t>NONE</t>
        </is>
      </c>
      <c r="I211" s="11" t="n">
        <v>0</v>
      </c>
      <c r="J211" s="8" t="inlineStr">
        <is>
          <t>2026-03-15T08:05:09+09:00</t>
        </is>
      </c>
      <c r="K211" s="14" t="inlineStr">
        <is>
          <t>エスティマ 2.4 アエラス 4WD 純正8型SDナビTV BT Bカメラ後席モニター</t>
        </is>
      </c>
      <c r="L211" s="8" t="inlineStr">
        <is>
          <t>https://page.auctions.yahoo.co.jp/jp/auction/k1221350092</t>
        </is>
      </c>
    </row>
    <row r="212">
      <c r="A212" s="13" t="inlineStr">
        <is>
          <t>エスティマ</t>
        </is>
      </c>
      <c r="B212" s="13" t="n">
        <v>2013</v>
      </c>
      <c r="C212" s="13" t="inlineStr">
        <is>
          <t>50系</t>
        </is>
      </c>
      <c r="D212" s="15" t="n">
        <v>401000</v>
      </c>
      <c r="E212" s="13" t="n">
        <v>54</v>
      </c>
      <c r="F212" s="15" t="n">
        <v>86645</v>
      </c>
      <c r="G212" s="13" t="inlineStr">
        <is>
          <t>REAL_MILEAGE</t>
        </is>
      </c>
      <c r="H212" s="13" t="inlineStr">
        <is>
          <t>NONE</t>
        </is>
      </c>
      <c r="I212" s="15" t="n">
        <v>0</v>
      </c>
      <c r="J212" s="13" t="inlineStr">
        <is>
          <t>2026-03-08T21:41:29+09:00</t>
        </is>
      </c>
      <c r="K212" s="14" t="inlineStr">
        <is>
          <t>トヨタ　エスティマ　アエラス　走行8万キロ　/ H25 /Bluetooth ナビ/ETC/ 純正AW/両方自動スライドドア/プッシュスタート</t>
        </is>
      </c>
      <c r="L212" s="13" t="inlineStr">
        <is>
          <t>https://page.auctions.yahoo.co.jp/jp/auction/x1221843832</t>
        </is>
      </c>
    </row>
    <row r="213">
      <c r="A213" s="8" t="inlineStr">
        <is>
          <t>エスティマ</t>
        </is>
      </c>
      <c r="B213" s="8" t="n">
        <v>2013</v>
      </c>
      <c r="C213" s="8" t="inlineStr">
        <is>
          <t>50系</t>
        </is>
      </c>
      <c r="D213" s="11" t="n">
        <v>349900</v>
      </c>
      <c r="E213" s="8" t="n">
        <v>1</v>
      </c>
      <c r="F213" s="11" t="n">
        <v>109800</v>
      </c>
      <c r="G213" s="8" t="inlineStr">
        <is>
          <t>REAL_MILEAGE</t>
        </is>
      </c>
      <c r="H213" s="8" t="inlineStr">
        <is>
          <t>EXISTS</t>
        </is>
      </c>
      <c r="I213" s="11" t="n">
        <v>0</v>
      </c>
      <c r="J213" s="8" t="inlineStr">
        <is>
          <t>2026-03-07T00:55:27+09:00</t>
        </is>
      </c>
      <c r="K213" s="14" t="inlineStr">
        <is>
          <t>★H25年エスティマ アエラス レザーパッケージ★ワンオーナー★両側パワスラ★ナビ・地デジ・Bluetooth★オイル消費対策済み★車検R10年3月</t>
        </is>
      </c>
      <c r="L213" s="8" t="inlineStr">
        <is>
          <t>https://page.auctions.yahoo.co.jp/jp/auction/v1220741518</t>
        </is>
      </c>
    </row>
    <row r="214">
      <c r="A214" s="13" t="inlineStr">
        <is>
          <t>エスティマ</t>
        </is>
      </c>
      <c r="B214" s="13" t="n">
        <v>2013</v>
      </c>
      <c r="C214" s="13" t="inlineStr">
        <is>
          <t>50系</t>
        </is>
      </c>
      <c r="D214" s="15" t="n">
        <v>562000</v>
      </c>
      <c r="E214" s="13" t="n">
        <v>94</v>
      </c>
      <c r="F214" s="15" t="n">
        <v>117000</v>
      </c>
      <c r="G214" s="13" t="inlineStr">
        <is>
          <t>REAL_MILEAGE</t>
        </is>
      </c>
      <c r="H214" s="13" t="inlineStr">
        <is>
          <t>NONE</t>
        </is>
      </c>
      <c r="I214" s="15" t="n">
        <v>0</v>
      </c>
      <c r="J214" s="13" t="inlineStr">
        <is>
          <t>2026-03-01T22:15:11+09:00</t>
        </is>
      </c>
      <c r="K214" s="14" t="inlineStr">
        <is>
          <t>H25 中後期エスティマ【 2.4アエラス（3型）】車検10. 3 純正ナビ/DTV/後席モニター/Bカメラ/クルコン/両側パワスラ/美車/117.000km</t>
        </is>
      </c>
      <c r="L214" s="13" t="inlineStr">
        <is>
          <t>https://page.auctions.yahoo.co.jp/jp/auction/g1220552824</t>
        </is>
      </c>
    </row>
    <row r="215">
      <c r="A215" s="8" t="inlineStr">
        <is>
          <t>エスティマ</t>
        </is>
      </c>
      <c r="B215" s="8" t="n">
        <v>2013</v>
      </c>
      <c r="C215" s="8" t="inlineStr">
        <is>
          <t>50系</t>
        </is>
      </c>
      <c r="D215" s="11" t="n">
        <v>328000</v>
      </c>
      <c r="E215" s="8" t="n">
        <v>72</v>
      </c>
      <c r="F215" s="11" t="n">
        <v>148827</v>
      </c>
      <c r="G215" s="8" t="inlineStr">
        <is>
          <t>REAL_MILEAGE</t>
        </is>
      </c>
      <c r="H215" s="8" t="inlineStr">
        <is>
          <t>NONE</t>
        </is>
      </c>
      <c r="I215" s="11" t="n">
        <v>0</v>
      </c>
      <c r="J215" s="8" t="inlineStr">
        <is>
          <t>2026-02-28T21:06:48+09:00</t>
        </is>
      </c>
      <c r="K215" s="14" t="inlineStr">
        <is>
          <t xml:space="preserve"> H25年 トヨタ エスティマ（ESTIMA）アエラス 純正ナビ/地デジTV/Bカメラ/パワスラ/クルコン/ETC/フィリップダウンモニター/好調/無事故</t>
        </is>
      </c>
      <c r="L215" s="8" t="inlineStr">
        <is>
          <t>https://page.auctions.yahoo.co.jp/jp/auction/w1219688960</t>
        </is>
      </c>
    </row>
    <row r="216">
      <c r="A216" s="13" t="inlineStr">
        <is>
          <t>エスティマ</t>
        </is>
      </c>
      <c r="B216" s="13" t="n">
        <v>2013</v>
      </c>
      <c r="C216" s="13" t="inlineStr">
        <is>
          <t>50系</t>
        </is>
      </c>
      <c r="D216" s="15" t="n">
        <v>668000</v>
      </c>
      <c r="E216" s="13" t="n">
        <v>2</v>
      </c>
      <c r="F216" s="15" t="n">
        <v>88620</v>
      </c>
      <c r="G216" s="13" t="inlineStr">
        <is>
          <t>REAL_MILEAGE</t>
        </is>
      </c>
      <c r="H216" s="13" t="inlineStr">
        <is>
          <t>EXISTS</t>
        </is>
      </c>
      <c r="I216" s="15" t="n">
        <v>0</v>
      </c>
      <c r="J216" s="13" t="inlineStr">
        <is>
          <t>2026-02-25T22:06:15+09:00</t>
        </is>
      </c>
      <c r="K216" s="14" t="inlineStr">
        <is>
          <t>エスティマ☆アエラス☆後期型☆実走行8万キロ台☆車検令和10年2月☆純正SDナビ☆地デジ☆BT☆ETC☆バックカメラ☆両側パワースライドドア</t>
        </is>
      </c>
      <c r="L216" s="13" t="inlineStr">
        <is>
          <t>https://page.auctions.yahoo.co.jp/jp/auction/k1211414120</t>
        </is>
      </c>
    </row>
    <row r="217">
      <c r="A217" s="8" t="inlineStr">
        <is>
          <t>エスティマ</t>
        </is>
      </c>
      <c r="B217" s="8" t="n">
        <v>2012</v>
      </c>
      <c r="C217" s="8" t="inlineStr">
        <is>
          <t>50系</t>
        </is>
      </c>
      <c r="D217" s="11" t="n">
        <v>390000</v>
      </c>
      <c r="E217" s="8" t="n">
        <v>1</v>
      </c>
      <c r="F217" s="11" t="n">
        <v>119350</v>
      </c>
      <c r="G217" s="8" t="inlineStr">
        <is>
          <t>REAL_MILEAGE</t>
        </is>
      </c>
      <c r="H217" s="8" t="inlineStr">
        <is>
          <t>NONE</t>
        </is>
      </c>
      <c r="I217" s="11" t="n">
        <v>14340</v>
      </c>
      <c r="J217" s="8" t="inlineStr">
        <is>
          <t>2026-08-09T09:24:58+09:00</t>
        </is>
      </c>
      <c r="K217" s="14" t="inlineStr">
        <is>
          <t>予備検査付き☆24年7月登録☆エスティマ アエラス☆両側パワスラ.HDDナビ.地デジフルセグ.リアモニター.Bカメラ.ETC.修復歴無し.点検整備済</t>
        </is>
      </c>
      <c r="L217" s="8" t="inlineStr">
        <is>
          <t>https://page.auctions.yahoo.co.jp/jp/auction/t1239748763</t>
        </is>
      </c>
    </row>
    <row r="218">
      <c r="A218" s="13" t="inlineStr">
        <is>
          <t>エスティマ</t>
        </is>
      </c>
      <c r="B218" s="13" t="n">
        <v>2012</v>
      </c>
      <c r="C218" s="13" t="inlineStr">
        <is>
          <t>50系</t>
        </is>
      </c>
      <c r="D218" s="15" t="n">
        <v>1198000</v>
      </c>
      <c r="E218" s="13" t="n">
        <v>2</v>
      </c>
      <c r="F218" s="15" t="n">
        <v>55470</v>
      </c>
      <c r="G218" s="13" t="inlineStr">
        <is>
          <t>REAL_MILEAGE</t>
        </is>
      </c>
      <c r="H218" s="13" t="inlineStr">
        <is>
          <t>EXISTS</t>
        </is>
      </c>
      <c r="I218" s="15" t="n">
        <v>51860</v>
      </c>
      <c r="J218" s="13" t="inlineStr">
        <is>
          <t>2026-07-25T10:33:40+09:00</t>
        </is>
      </c>
      <c r="K218" s="14" t="inlineStr">
        <is>
          <t>エスティマHV 後期 アエラス HDDナビ TV Bluetooth フリップモニター アラウンドビュー 両側Pスラ スマキー サンルーフ クルコン HID ETC</t>
        </is>
      </c>
      <c r="L218" s="13" t="inlineStr">
        <is>
          <t>https://page.auctions.yahoo.co.jp/jp/auction/c1237518661</t>
        </is>
      </c>
    </row>
    <row r="219">
      <c r="A219" s="8" t="inlineStr">
        <is>
          <t>エスティマ</t>
        </is>
      </c>
      <c r="B219" s="8" t="n">
        <v>2012</v>
      </c>
      <c r="C219" s="8" t="inlineStr">
        <is>
          <t>50系</t>
        </is>
      </c>
      <c r="D219" s="11" t="n">
        <v>527000</v>
      </c>
      <c r="E219" s="8" t="n">
        <v>223</v>
      </c>
      <c r="F219" s="11" t="n">
        <v>193200</v>
      </c>
      <c r="G219" s="8" t="inlineStr">
        <is>
          <t>REAL_MILEAGE</t>
        </is>
      </c>
      <c r="H219" s="8" t="inlineStr">
        <is>
          <t>NONE</t>
        </is>
      </c>
      <c r="I219" s="11" t="n">
        <v>0</v>
      </c>
      <c r="J219" s="8" t="inlineStr">
        <is>
          <t>2026-06-10T21:16:10+09:00</t>
        </is>
      </c>
      <c r="K219" s="14" t="inlineStr">
        <is>
          <t>H24 エスティマHV アエラス 3型 4WD モデリスタ/サンルーフ/純正ナビ/後席モニター/両側PS/前後オートAC/ワイパーデアイサ 車検R9年12月迄</t>
        </is>
      </c>
      <c r="L219" s="8" t="inlineStr">
        <is>
          <t>https://page.auctions.yahoo.co.jp/jp/auction/s1232316803</t>
        </is>
      </c>
    </row>
    <row r="220">
      <c r="A220" s="13" t="inlineStr">
        <is>
          <t>エスティマ</t>
        </is>
      </c>
      <c r="B220" s="13" t="n">
        <v>2012</v>
      </c>
      <c r="C220" s="13" t="inlineStr">
        <is>
          <t>50系</t>
        </is>
      </c>
      <c r="D220" s="15" t="n">
        <v>380000</v>
      </c>
      <c r="E220" s="13" t="n">
        <v>1</v>
      </c>
      <c r="F220" s="15" t="n">
        <v>152000</v>
      </c>
      <c r="G220" s="13" t="inlineStr">
        <is>
          <t>REAL_MILEAGE</t>
        </is>
      </c>
      <c r="H220" s="13" t="inlineStr">
        <is>
          <t>NONE</t>
        </is>
      </c>
      <c r="I220" s="15" t="n">
        <v>0</v>
      </c>
      <c r="J220" s="13" t="inlineStr">
        <is>
          <t>2026-05-20T19:57:29+09:00</t>
        </is>
      </c>
      <c r="K220" s="14" t="inlineStr">
        <is>
          <t>エスティマ アエラス★8ナンバー★8インチナビ★両側電動スライド★検9/3★フリップダウン★Bluetooth★バックカメラ★ETC★車いす移動車</t>
        </is>
      </c>
      <c r="L220" s="13" t="inlineStr">
        <is>
          <t>https://page.auctions.yahoo.co.jp/jp/auction/f1229985552</t>
        </is>
      </c>
    </row>
    <row r="221">
      <c r="A221" s="8" t="inlineStr">
        <is>
          <t>エスティマ</t>
        </is>
      </c>
      <c r="B221" s="8" t="n">
        <v>2012</v>
      </c>
      <c r="C221" s="8" t="inlineStr">
        <is>
          <t>50系</t>
        </is>
      </c>
      <c r="D221" s="11" t="n">
        <v>566000</v>
      </c>
      <c r="E221" s="8" t="n">
        <v>125</v>
      </c>
      <c r="F221" s="11" t="n">
        <v>191000</v>
      </c>
      <c r="G221" s="8" t="inlineStr">
        <is>
          <t>REAL_MILEAGE</t>
        </is>
      </c>
      <c r="H221" s="8" t="inlineStr">
        <is>
          <t>NONE</t>
        </is>
      </c>
      <c r="I221" s="11" t="n">
        <v>0</v>
      </c>
      <c r="J221" s="8" t="inlineStr">
        <is>
          <t>2026-04-03T21:15:06+09:00</t>
        </is>
      </c>
      <c r="K221" s="14" t="inlineStr">
        <is>
          <t>H24 エスティマHV アエラス 3型 4WD サンルーフ/純正ナビ/後席モニター/両側PS/リアフォグ/前後オートAC/ワイパーデアイサー 車検満タン付</t>
        </is>
      </c>
      <c r="L221" s="8" t="inlineStr">
        <is>
          <t>https://page.auctions.yahoo.co.jp/jp/auction/l1224512992</t>
        </is>
      </c>
    </row>
    <row r="222">
      <c r="A222" s="13" t="inlineStr">
        <is>
          <t>エスティマ</t>
        </is>
      </c>
      <c r="B222" s="13" t="n">
        <v>2012</v>
      </c>
      <c r="C222" s="13" t="inlineStr">
        <is>
          <t>50系</t>
        </is>
      </c>
      <c r="D222" s="15" t="n">
        <v>569000</v>
      </c>
      <c r="E222" s="13" t="n">
        <v>5</v>
      </c>
      <c r="F222" s="15" t="n">
        <v>173200</v>
      </c>
      <c r="G222" s="13" t="inlineStr">
        <is>
          <t>REAL_MILEAGE</t>
        </is>
      </c>
      <c r="H222" s="13" t="inlineStr">
        <is>
          <t>NONE</t>
        </is>
      </c>
      <c r="I222" s="15" t="n">
        <v>0</v>
      </c>
      <c r="J222" s="13" t="inlineStr">
        <is>
          <t>2026-03-27T15:10:12+09:00</t>
        </is>
      </c>
      <c r="K222" s="14" t="inlineStr">
        <is>
          <t xml:space="preserve">売切 24年 マイナー後 後期Ⅲ型 最上級 エスティマHV G (レザーパッケージ) プリクラシュセーフティS ACC スーパーライブサウンド 4WD </t>
        </is>
      </c>
      <c r="L222" s="13" t="inlineStr">
        <is>
          <t>https://page.auctions.yahoo.co.jp/jp/auction/e1223642639</t>
        </is>
      </c>
    </row>
    <row r="223">
      <c r="A223" s="8" t="inlineStr">
        <is>
          <t>エスティマ</t>
        </is>
      </c>
      <c r="B223" s="8" t="n">
        <v>2012</v>
      </c>
      <c r="C223" s="8" t="inlineStr">
        <is>
          <t>50系</t>
        </is>
      </c>
      <c r="D223" s="11" t="n">
        <v>498000</v>
      </c>
      <c r="E223" s="8" t="n">
        <v>1</v>
      </c>
      <c r="F223" s="11" t="n">
        <v>183700</v>
      </c>
      <c r="G223" s="8" t="inlineStr">
        <is>
          <t>REAL_MILEAGE</t>
        </is>
      </c>
      <c r="H223" s="8" t="inlineStr">
        <is>
          <t>NONE</t>
        </is>
      </c>
      <c r="I223" s="11" t="n">
        <v>0</v>
      </c>
      <c r="J223" s="8" t="inlineStr">
        <is>
          <t>2026-03-10T23:04:03+09:00</t>
        </is>
      </c>
      <c r="K223" s="14" t="inlineStr">
        <is>
          <t>【諸費用コミ】:平成24年 エスティマハイブリッド 2.4 アエラス 4WD アルパインナビ フリップダウン★浜松市★中古車</t>
        </is>
      </c>
      <c r="L223" s="8" t="inlineStr">
        <is>
          <t>https://page.auctions.yahoo.co.jp/jp/auction/m1219139070</t>
        </is>
      </c>
    </row>
    <row r="224">
      <c r="A224" s="13" t="inlineStr">
        <is>
          <t>エスティマ</t>
        </is>
      </c>
      <c r="B224" s="13" t="n">
        <v>2012</v>
      </c>
      <c r="C224" s="13" t="inlineStr">
        <is>
          <t>50系</t>
        </is>
      </c>
      <c r="D224" s="15" t="n">
        <v>335000</v>
      </c>
      <c r="E224" s="13" t="n">
        <v>19</v>
      </c>
      <c r="F224" s="15" t="n">
        <v>115000</v>
      </c>
      <c r="G224" s="13" t="inlineStr">
        <is>
          <t>REAL_MILEAGE</t>
        </is>
      </c>
      <c r="H224" s="13" t="n"/>
      <c r="I224" s="15" t="n">
        <v>0</v>
      </c>
      <c r="J224" s="13" t="inlineStr">
        <is>
          <t>2026-03-02T15:57:21+09:00</t>
        </is>
      </c>
      <c r="K224" s="14" t="inlineStr">
        <is>
          <t xml:space="preserve">50エスティマ　車検長　　</t>
        </is>
      </c>
      <c r="L224" s="13" t="inlineStr">
        <is>
          <t>https://page.auctions.yahoo.co.jp/jp/auction/f1221152798</t>
        </is>
      </c>
    </row>
    <row r="225">
      <c r="A225" s="8" t="inlineStr">
        <is>
          <t>エスティマ</t>
        </is>
      </c>
      <c r="B225" s="8" t="n">
        <v>2012</v>
      </c>
      <c r="C225" s="8" t="inlineStr">
        <is>
          <t>50系</t>
        </is>
      </c>
      <c r="D225" s="11" t="n">
        <v>598000</v>
      </c>
      <c r="E225" s="8" t="n">
        <v>1</v>
      </c>
      <c r="F225" s="11" t="n">
        <v>138100</v>
      </c>
      <c r="G225" s="8" t="inlineStr">
        <is>
          <t>REAL_MILEAGE</t>
        </is>
      </c>
      <c r="H225" s="8" t="inlineStr">
        <is>
          <t>NONE</t>
        </is>
      </c>
      <c r="I225" s="11" t="n">
        <v>0</v>
      </c>
      <c r="J225" s="8" t="inlineStr">
        <is>
          <t>2026-02-28T20:35:19+09:00</t>
        </is>
      </c>
      <c r="K225" s="14" t="inlineStr">
        <is>
          <t>エスティマ アエラス レザーパッケージ 車検2年付き 1オーナー 両パワスラ 純フリップ Pセンサー Bカメラ ショートブロックASSY交換済み</t>
        </is>
      </c>
      <c r="L225" s="8" t="inlineStr">
        <is>
          <t>https://page.auctions.yahoo.co.jp/jp/auction/j1217587566</t>
        </is>
      </c>
    </row>
    <row r="226">
      <c r="A226" s="13" t="inlineStr">
        <is>
          <t>エスティマ</t>
        </is>
      </c>
      <c r="B226" s="13" t="n">
        <v>2012</v>
      </c>
      <c r="C226" s="13" t="inlineStr">
        <is>
          <t>50系</t>
        </is>
      </c>
      <c r="D226" s="15" t="n">
        <v>298000</v>
      </c>
      <c r="E226" s="13" t="n">
        <v>1</v>
      </c>
      <c r="F226" s="15" t="n">
        <v>117200</v>
      </c>
      <c r="G226" s="13" t="inlineStr">
        <is>
          <t>REAL_MILEAGE</t>
        </is>
      </c>
      <c r="H226" s="13" t="inlineStr">
        <is>
          <t>NONE</t>
        </is>
      </c>
      <c r="I226" s="15" t="n">
        <v>0</v>
      </c>
      <c r="J226" s="13" t="inlineStr">
        <is>
          <t>2026-02-25T03:43:40+09:00</t>
        </is>
      </c>
      <c r="K226" s="14" t="inlineStr">
        <is>
          <t>修復歴無し!車検9年9月！CVTオイル/フィルター交換済み!H24年エスティマアエラスGエディション両側パワスラ/外品フルセグナビ/バックカメラ</t>
        </is>
      </c>
      <c r="L226" s="13" t="inlineStr">
        <is>
          <t>https://page.auctions.yahoo.co.jp/jp/auction/m1219395156</t>
        </is>
      </c>
    </row>
    <row r="227">
      <c r="A227" s="8" t="inlineStr">
        <is>
          <t>エスティマ</t>
        </is>
      </c>
      <c r="B227" s="8" t="n">
        <v>2011</v>
      </c>
      <c r="C227" s="8" t="inlineStr">
        <is>
          <t>50系</t>
        </is>
      </c>
      <c r="D227" s="11" t="n">
        <v>380000</v>
      </c>
      <c r="E227" s="8" t="n">
        <v>2</v>
      </c>
      <c r="F227" s="11" t="n">
        <v>155200</v>
      </c>
      <c r="G227" s="8" t="inlineStr">
        <is>
          <t>REAL_MILEAGE</t>
        </is>
      </c>
      <c r="H227" s="8" t="inlineStr">
        <is>
          <t>NONE</t>
        </is>
      </c>
      <c r="I227" s="11" t="n">
        <v>125950</v>
      </c>
      <c r="J227" s="8" t="inlineStr">
        <is>
          <t>2026-08-20T10:36:29+09:00</t>
        </is>
      </c>
      <c r="K227" s="14" t="inlineStr">
        <is>
          <t>★売切！格安スタート！(^_-)-☆トヨタ　エスティマ　HYBRID　４WD★左右パワースライドドア装備(^_-)-☆満タン車検付きすぐ乗りOK(^_-)-☆</t>
        </is>
      </c>
      <c r="L227" s="8" t="inlineStr">
        <is>
          <t>https://page.auctions.yahoo.co.jp/jp/auction/r1240709745</t>
        </is>
      </c>
    </row>
    <row r="228">
      <c r="A228" s="13" t="inlineStr">
        <is>
          <t>エスティマ</t>
        </is>
      </c>
      <c r="B228" s="13" t="n">
        <v>2011</v>
      </c>
      <c r="C228" s="13" t="inlineStr">
        <is>
          <t>50系</t>
        </is>
      </c>
      <c r="D228" s="15" t="n">
        <v>1448000</v>
      </c>
      <c r="E228" s="13" t="n">
        <v>247</v>
      </c>
      <c r="F228" s="15" t="n">
        <v>99200</v>
      </c>
      <c r="G228" s="13" t="inlineStr">
        <is>
          <t>REAL_MILEAGE</t>
        </is>
      </c>
      <c r="H228" s="13" t="inlineStr">
        <is>
          <t>NONE</t>
        </is>
      </c>
      <c r="I228" s="15" t="n">
        <v>41090</v>
      </c>
      <c r="J228" s="13" t="inlineStr">
        <is>
          <t>2026-08-16T00:02:35+09:00</t>
        </is>
      </c>
      <c r="K228" s="14" t="inlineStr">
        <is>
          <t>H23 エスティマHV G レザーPKG 4WD 2型 実走行10万km未満 サンルーフ/本革シート/MOPナビ/リアエンタ/PCS/LKA/両側PS/Pトランク 車検満タン</t>
        </is>
      </c>
      <c r="L228" s="13" t="inlineStr">
        <is>
          <t>https://page.auctions.yahoo.co.jp/jp/auction/t1240093342</t>
        </is>
      </c>
    </row>
    <row r="229">
      <c r="A229" s="8" t="inlineStr">
        <is>
          <t>エスティマ</t>
        </is>
      </c>
      <c r="B229" s="8" t="n">
        <v>2011</v>
      </c>
      <c r="C229" s="8" t="inlineStr">
        <is>
          <t>50系</t>
        </is>
      </c>
      <c r="D229" s="11" t="n">
        <v>500000</v>
      </c>
      <c r="E229" s="8" t="n">
        <v>1</v>
      </c>
      <c r="F229" s="11" t="n">
        <v>120000</v>
      </c>
      <c r="G229" s="8" t="inlineStr">
        <is>
          <t>REAL_MILEAGE</t>
        </is>
      </c>
      <c r="H229" s="8" t="n"/>
      <c r="I229" s="11" t="n">
        <v>60000</v>
      </c>
      <c r="J229" s="8" t="inlineStr">
        <is>
          <t>2026-08-05T10:16:45+09:00</t>
        </is>
      </c>
      <c r="K229" s="14" t="inlineStr">
        <is>
          <t>トヨタ　エスティマハイブリッド　7人乗り　中期　12万キロ　車検令10.1　訳あり</t>
        </is>
      </c>
      <c r="L229" s="8" t="inlineStr">
        <is>
          <t>https://page.auctions.yahoo.co.jp/jp/auction/p1237150281</t>
        </is>
      </c>
    </row>
    <row r="230">
      <c r="A230" s="13" t="inlineStr">
        <is>
          <t>エスティマ</t>
        </is>
      </c>
      <c r="B230" s="13" t="n">
        <v>2011</v>
      </c>
      <c r="C230" s="13" t="inlineStr">
        <is>
          <t>50系</t>
        </is>
      </c>
      <c r="D230" s="15" t="n">
        <v>283000</v>
      </c>
      <c r="E230" s="13" t="n">
        <v>78</v>
      </c>
      <c r="F230" s="15" t="n">
        <v>174059</v>
      </c>
      <c r="G230" s="13" t="inlineStr">
        <is>
          <t>REAL_MILEAGE</t>
        </is>
      </c>
      <c r="H230" s="13" t="inlineStr">
        <is>
          <t>NONE</t>
        </is>
      </c>
      <c r="I230" s="15" t="n">
        <v>29890</v>
      </c>
      <c r="J230" s="13" t="inlineStr">
        <is>
          <t>2026-08-04T21:48:57+09:00</t>
        </is>
      </c>
      <c r="K230" s="14" t="inlineStr">
        <is>
          <t>仙台発 売切 H23 エスティマハイブリッド X E-Four 車検R8.10 4WD 両側パワスラ ナビTV Bカメラ 即乗りOK 7人乗り 人気の黒 ! スマキー2個</t>
        </is>
      </c>
      <c r="L230" s="13" t="inlineStr">
        <is>
          <t>https://page.auctions.yahoo.co.jp/jp/auction/k1238993406</t>
        </is>
      </c>
    </row>
    <row r="231">
      <c r="A231" s="8" t="inlineStr">
        <is>
          <t>エスティマ</t>
        </is>
      </c>
      <c r="B231" s="8" t="n">
        <v>2011</v>
      </c>
      <c r="C231" s="8" t="inlineStr">
        <is>
          <t>50系</t>
        </is>
      </c>
      <c r="D231" s="11" t="n">
        <v>338000</v>
      </c>
      <c r="E231" s="8" t="n">
        <v>1</v>
      </c>
      <c r="F231" s="11" t="n">
        <v>97378</v>
      </c>
      <c r="G231" s="8" t="inlineStr">
        <is>
          <t>REAL_MILEAGE</t>
        </is>
      </c>
      <c r="H231" s="8" t="inlineStr">
        <is>
          <t>EXISTS</t>
        </is>
      </c>
      <c r="I231" s="11" t="n">
        <v>15220</v>
      </c>
      <c r="J231" s="8" t="inlineStr">
        <is>
          <t>2026-07-28T13:53:15+09:00</t>
        </is>
      </c>
      <c r="K231" s="14" t="inlineStr">
        <is>
          <t>◇23年中期エスティマ・アエラスG-ED・乗り出し総額45.4万円◇実走行９.７万キロ/フリップダウン/フルセグTV/両側電動ドア/ナビ/後カメラ</t>
        </is>
      </c>
      <c r="L231" s="8" t="inlineStr">
        <is>
          <t>https://page.auctions.yahoo.co.jp/jp/auction/1235726619</t>
        </is>
      </c>
    </row>
    <row r="232">
      <c r="A232" s="13" t="inlineStr">
        <is>
          <t>エスティマ</t>
        </is>
      </c>
      <c r="B232" s="13" t="n">
        <v>2011</v>
      </c>
      <c r="C232" s="13" t="inlineStr">
        <is>
          <t>50系</t>
        </is>
      </c>
      <c r="D232" s="15" t="n">
        <v>279000</v>
      </c>
      <c r="E232" s="13" t="n">
        <v>18</v>
      </c>
      <c r="F232" s="15" t="n">
        <v>171000</v>
      </c>
      <c r="G232" s="13" t="inlineStr">
        <is>
          <t>REAL_MILEAGE</t>
        </is>
      </c>
      <c r="H232" s="13" t="n"/>
      <c r="I232" s="15" t="n">
        <v>14890</v>
      </c>
      <c r="J232" s="13" t="inlineStr">
        <is>
          <t>2026-07-25T10:59:52+09:00</t>
        </is>
      </c>
      <c r="K232" s="14" t="inlineStr">
        <is>
          <t>エスティマハイブリッド　G　平成２３年　１７１，０００㎞</t>
        </is>
      </c>
      <c r="L232" s="13" t="inlineStr">
        <is>
          <t>https://page.auctions.yahoo.co.jp/jp/auction/j1237985508</t>
        </is>
      </c>
    </row>
    <row r="233">
      <c r="A233" s="8" t="inlineStr">
        <is>
          <t>エスティマ</t>
        </is>
      </c>
      <c r="B233" s="8" t="n">
        <v>2011</v>
      </c>
      <c r="C233" s="8" t="inlineStr">
        <is>
          <t>50系</t>
        </is>
      </c>
      <c r="D233" s="11" t="n">
        <v>302000</v>
      </c>
      <c r="E233" s="8" t="n">
        <v>23</v>
      </c>
      <c r="F233" s="11" t="n">
        <v>180106</v>
      </c>
      <c r="G233" s="8" t="inlineStr">
        <is>
          <t>REAL_MILEAGE</t>
        </is>
      </c>
      <c r="H233" s="8" t="n"/>
      <c r="I233" s="11" t="n">
        <v>45700</v>
      </c>
      <c r="J233" s="8" t="inlineStr">
        <is>
          <t>2026-07-04T19:53:12+09:00</t>
        </is>
      </c>
      <c r="K233" s="14" t="inlineStr">
        <is>
          <t>【ムーンル－フ】　エスティマ　ハイブリッド　【4WD】バックモニタ/両側パワスラ/アルパインナビ/Bluetooth/フルセグ/17インチアルミ</t>
        </is>
      </c>
      <c r="L233" s="8" t="inlineStr">
        <is>
          <t>https://page.auctions.yahoo.co.jp/jp/auction/l1222568013</t>
        </is>
      </c>
    </row>
    <row r="234">
      <c r="A234" s="13" t="inlineStr">
        <is>
          <t>エスティマ</t>
        </is>
      </c>
      <c r="B234" s="13" t="n">
        <v>2011</v>
      </c>
      <c r="C234" s="13" t="inlineStr">
        <is>
          <t>50系</t>
        </is>
      </c>
      <c r="D234" s="15" t="n">
        <v>357000</v>
      </c>
      <c r="E234" s="13" t="n">
        <v>112</v>
      </c>
      <c r="F234" s="15" t="n">
        <v>63250</v>
      </c>
      <c r="G234" s="13" t="inlineStr">
        <is>
          <t>REAL_MILEAGE</t>
        </is>
      </c>
      <c r="H234" s="13" t="inlineStr">
        <is>
          <t>NONE</t>
        </is>
      </c>
      <c r="I234" s="15" t="n">
        <v>48840</v>
      </c>
      <c r="J234" s="13" t="inlineStr">
        <is>
          <t>2026-06-29T22:19:06+09:00</t>
        </is>
      </c>
      <c r="K234" s="14" t="inlineStr">
        <is>
          <t>●ワンオーナー●車検R8年10月●エスティマ●G●H23年式●ACR50●禁煙車●ETC●シートヒーター●両側パワスラ●ディーラー記録簿多数●</t>
        </is>
      </c>
      <c r="L234" s="13" t="inlineStr">
        <is>
          <t>https://page.auctions.yahoo.co.jp/jp/auction/c1234390772</t>
        </is>
      </c>
    </row>
    <row r="235">
      <c r="A235" s="8" t="inlineStr">
        <is>
          <t>エスティマ</t>
        </is>
      </c>
      <c r="B235" s="8" t="n">
        <v>2011</v>
      </c>
      <c r="C235" s="8" t="inlineStr">
        <is>
          <t>50系</t>
        </is>
      </c>
      <c r="D235" s="11" t="n">
        <v>328000</v>
      </c>
      <c r="E235" s="8" t="n">
        <v>1</v>
      </c>
      <c r="F235" s="11" t="n">
        <v>82988</v>
      </c>
      <c r="G235" s="8" t="inlineStr">
        <is>
          <t>REAL_MILEAGE</t>
        </is>
      </c>
      <c r="H235" s="8" t="inlineStr">
        <is>
          <t>NONE</t>
        </is>
      </c>
      <c r="I235" s="11" t="n">
        <v>0</v>
      </c>
      <c r="J235" s="8" t="inlineStr">
        <is>
          <t>2026-06-04T15:45:16+09:00</t>
        </is>
      </c>
      <c r="K235" s="14" t="inlineStr">
        <is>
          <t>◇23年中期エスティマ・アエラスG-ED・乗り出し総額44.8万円◇実走行8万キロ/両側電動ドア/ナビ/TV/Bluetooth/バックカメラ/ETC/修復歴無し</t>
        </is>
      </c>
      <c r="L235" s="8" t="inlineStr">
        <is>
          <t>https://page.auctions.yahoo.co.jp/jp/auction/t1231917635</t>
        </is>
      </c>
    </row>
    <row r="236">
      <c r="A236" s="13" t="inlineStr">
        <is>
          <t>エスティマ</t>
        </is>
      </c>
      <c r="B236" s="13" t="n">
        <v>2011</v>
      </c>
      <c r="C236" s="13" t="inlineStr">
        <is>
          <t>50系</t>
        </is>
      </c>
      <c r="D236" s="15" t="n">
        <v>195500</v>
      </c>
      <c r="E236" s="13" t="n">
        <v>69</v>
      </c>
      <c r="F236" s="15" t="n">
        <v>141440</v>
      </c>
      <c r="G236" s="13" t="inlineStr">
        <is>
          <t>REAL_MILEAGE</t>
        </is>
      </c>
      <c r="H236" s="13" t="n"/>
      <c r="I236" s="15" t="n">
        <v>0</v>
      </c>
      <c r="J236" s="13" t="inlineStr">
        <is>
          <t>2026-03-30T20:06:51+09:00</t>
        </is>
      </c>
      <c r="K236" s="14" t="inlineStr">
        <is>
          <t>H23年式トヨタ エスティマ G 走行距離 141440km</t>
        </is>
      </c>
      <c r="L236" s="13" t="inlineStr">
        <is>
          <t>https://page.auctions.yahoo.co.jp/jp/auction/m1224026168</t>
        </is>
      </c>
    </row>
    <row r="237">
      <c r="A237" s="8" t="inlineStr">
        <is>
          <t>エスティマ</t>
        </is>
      </c>
      <c r="B237" s="8" t="n">
        <v>2011</v>
      </c>
      <c r="C237" s="8" t="inlineStr">
        <is>
          <t>50系</t>
        </is>
      </c>
      <c r="D237" s="11" t="n">
        <v>196000</v>
      </c>
      <c r="E237" s="8" t="n">
        <v>71</v>
      </c>
      <c r="F237" s="11" t="n">
        <v>115174</v>
      </c>
      <c r="G237" s="8" t="inlineStr">
        <is>
          <t>REAL_MILEAGE</t>
        </is>
      </c>
      <c r="H237" s="8" t="n"/>
      <c r="I237" s="11" t="n">
        <v>0</v>
      </c>
      <c r="J237" s="8" t="inlineStr">
        <is>
          <t>2026-03-13T23:10:13+09:00</t>
        </is>
      </c>
      <c r="K237" s="14" t="inlineStr">
        <is>
          <t>トヨタ　（エスティマ）入荷しました。</t>
        </is>
      </c>
      <c r="L237" s="8" t="inlineStr">
        <is>
          <t>https://page.auctions.yahoo.co.jp/jp/auction/j1221184033</t>
        </is>
      </c>
    </row>
    <row r="238">
      <c r="A238" s="13" t="inlineStr">
        <is>
          <t>エスティマ</t>
        </is>
      </c>
      <c r="B238" s="13" t="n">
        <v>2011</v>
      </c>
      <c r="C238" s="13" t="inlineStr">
        <is>
          <t>50系</t>
        </is>
      </c>
      <c r="D238" s="15" t="n">
        <v>385000</v>
      </c>
      <c r="E238" s="13" t="n">
        <v>34</v>
      </c>
      <c r="F238" s="15" t="n">
        <v>146300</v>
      </c>
      <c r="G238" s="13" t="inlineStr">
        <is>
          <t>REAL_MILEAGE</t>
        </is>
      </c>
      <c r="H238" s="13" t="inlineStr">
        <is>
          <t>NONE</t>
        </is>
      </c>
      <c r="I238" s="15" t="n">
        <v>0</v>
      </c>
      <c r="J238" s="13" t="inlineStr">
        <is>
          <t>2026-02-26T22:37:09+09:00</t>
        </is>
      </c>
      <c r="K238" s="14" t="inlineStr">
        <is>
          <t>程度良好★車検R8年12月★エスティマ2.4アエラスG-ED★純正ナビ地デジ/リアモニター/Bカメラ/左右パワスラ/Pソナー/クルコン★快調/綺麗</t>
        </is>
      </c>
      <c r="L238" s="13" t="inlineStr">
        <is>
          <t>https://page.auctions.yahoo.co.jp/jp/auction/m1219491447</t>
        </is>
      </c>
    </row>
    <row r="239">
      <c r="A239" s="8" t="inlineStr">
        <is>
          <t>エスティマ</t>
        </is>
      </c>
      <c r="B239" s="8" t="n">
        <v>2010</v>
      </c>
      <c r="C239" s="8" t="inlineStr">
        <is>
          <t>50系</t>
        </is>
      </c>
      <c r="D239" s="11" t="n">
        <v>352000</v>
      </c>
      <c r="E239" s="8" t="n">
        <v>152</v>
      </c>
      <c r="F239" s="11" t="n">
        <v>133500</v>
      </c>
      <c r="G239" s="8" t="inlineStr">
        <is>
          <t>REAL_MILEAGE</t>
        </is>
      </c>
      <c r="H239" s="8" t="inlineStr">
        <is>
          <t>NONE</t>
        </is>
      </c>
      <c r="I239" s="11" t="n">
        <v>43000</v>
      </c>
      <c r="J239" s="8" t="inlineStr">
        <is>
          <t>2026-08-10T21:56:48+09:00</t>
        </is>
      </c>
      <c r="K239" s="14" t="inlineStr">
        <is>
          <t>エスティマ　ハイブリッド　G 4WD 車検9年3月　左右スライドドア　電動ゲート　シートヒーター　夏休みお盆　大活躍</t>
        </is>
      </c>
      <c r="L239" s="8" t="inlineStr">
        <is>
          <t>https://page.auctions.yahoo.co.jp/jp/auction/h1238761576</t>
        </is>
      </c>
    </row>
    <row r="240">
      <c r="A240" s="13" t="inlineStr">
        <is>
          <t>エスティマ</t>
        </is>
      </c>
      <c r="B240" s="13" t="n">
        <v>2010</v>
      </c>
      <c r="C240" s="13" t="inlineStr">
        <is>
          <t>50系</t>
        </is>
      </c>
      <c r="D240" s="15" t="n">
        <v>450000</v>
      </c>
      <c r="E240" s="13" t="n">
        <v>1</v>
      </c>
      <c r="F240" s="15" t="n">
        <v>81000</v>
      </c>
      <c r="G240" s="13" t="inlineStr">
        <is>
          <t>REAL_MILEAGE</t>
        </is>
      </c>
      <c r="H240" s="13" t="inlineStr">
        <is>
          <t>NONE</t>
        </is>
      </c>
      <c r="I240" s="15" t="n">
        <v>15220</v>
      </c>
      <c r="J240" s="13" t="inlineStr">
        <is>
          <t>2026-07-17T08:09:19+09:00</t>
        </is>
      </c>
      <c r="K240" s="14" t="inlineStr">
        <is>
          <t>☆エスティマ(7人乗り)☆アエラスサイドリフトアップ付き☆22年式ワンオーナー☆車検9年4月29日☆ドラレコ装備☆18インチアルミ☆</t>
        </is>
      </c>
      <c r="L240" s="13" t="inlineStr">
        <is>
          <t>https://page.auctions.yahoo.co.jp/jp/auction/x1236828317</t>
        </is>
      </c>
    </row>
    <row r="241">
      <c r="A241" s="8" t="inlineStr">
        <is>
          <t>エスティマ</t>
        </is>
      </c>
      <c r="B241" s="8" t="n">
        <v>2010</v>
      </c>
      <c r="C241" s="8" t="inlineStr">
        <is>
          <t>50系</t>
        </is>
      </c>
      <c r="D241" s="11" t="n">
        <v>338000</v>
      </c>
      <c r="E241" s="8" t="n">
        <v>1</v>
      </c>
      <c r="F241" s="11" t="n">
        <v>131850</v>
      </c>
      <c r="G241" s="8" t="inlineStr">
        <is>
          <t>REAL_MILEAGE</t>
        </is>
      </c>
      <c r="H241" s="8" t="inlineStr">
        <is>
          <t>NONE</t>
        </is>
      </c>
      <c r="I241" s="11" t="n">
        <v>60000</v>
      </c>
      <c r="J241" s="8" t="inlineStr">
        <is>
          <t>2026-06-16T12:40:31+09:00</t>
        </is>
      </c>
      <c r="K241" s="14" t="inlineStr">
        <is>
          <t>エスティマアエラスGエディション４WD 無事故禁煙車　ワンオーナー　即決！</t>
        </is>
      </c>
      <c r="L241" s="8" t="inlineStr">
        <is>
          <t>https://page.auctions.yahoo.co.jp/jp/auction/w1233339828</t>
        </is>
      </c>
    </row>
    <row r="242">
      <c r="A242" s="13" t="inlineStr">
        <is>
          <t>エスティマ</t>
        </is>
      </c>
      <c r="B242" s="13" t="n">
        <v>2010</v>
      </c>
      <c r="C242" s="13" t="inlineStr">
        <is>
          <t>50系</t>
        </is>
      </c>
      <c r="D242" s="15" t="n">
        <v>250000</v>
      </c>
      <c r="E242" s="13" t="n">
        <v>63</v>
      </c>
      <c r="F242" s="15" t="n">
        <v>152350</v>
      </c>
      <c r="G242" s="13" t="inlineStr">
        <is>
          <t>REAL_MILEAGE</t>
        </is>
      </c>
      <c r="H242" s="13" t="inlineStr">
        <is>
          <t>NONE</t>
        </is>
      </c>
      <c r="I242" s="15" t="n">
        <v>0</v>
      </c>
      <c r="J242" s="13" t="inlineStr">
        <is>
          <t>2026-05-04T21:39:46+09:00</t>
        </is>
      </c>
      <c r="K242" s="14" t="inlineStr">
        <is>
          <t>【1円スタート】広々ミニバン｜トヨタエスティマG｜両側パワスラドア｜リアモニター｜売り切り｜落札料のみ｜即決優先早期取引可！車検付き</t>
        </is>
      </c>
      <c r="L242" s="13" t="inlineStr">
        <is>
          <t>https://page.auctions.yahoo.co.jp/jp/auction/r1228145296</t>
        </is>
      </c>
    </row>
    <row r="243">
      <c r="A243" s="8" t="inlineStr">
        <is>
          <t>エスティマ</t>
        </is>
      </c>
      <c r="B243" s="8" t="n">
        <v>2010</v>
      </c>
      <c r="C243" s="8" t="inlineStr">
        <is>
          <t>50系</t>
        </is>
      </c>
      <c r="D243" s="11" t="n">
        <v>270000</v>
      </c>
      <c r="E243" s="8" t="n">
        <v>1</v>
      </c>
      <c r="F243" s="11" t="n">
        <v>137000</v>
      </c>
      <c r="G243" s="8" t="inlineStr">
        <is>
          <t>REAL_MILEAGE</t>
        </is>
      </c>
      <c r="H243" s="8" t="inlineStr">
        <is>
          <t>NONE</t>
        </is>
      </c>
      <c r="I243" s="11" t="n">
        <v>0</v>
      </c>
      <c r="J243" s="8" t="inlineStr">
        <is>
          <t>2026-04-26T21:02:50+09:00</t>
        </is>
      </c>
      <c r="K243" s="14" t="inlineStr">
        <is>
          <t>事故修復歴なし 程度好調■車検R9年9月■H22年中期エスティマ13万キロ■個人出品■ナビ地デジ走行中TV視聴可■正規メンテナンス■保証書有</t>
        </is>
      </c>
      <c r="L243" s="8" t="inlineStr">
        <is>
          <t>https://page.auctions.yahoo.co.jp/jp/auction/h1226184994</t>
        </is>
      </c>
    </row>
    <row r="244">
      <c r="A244" s="13" t="inlineStr">
        <is>
          <t>エスティマ</t>
        </is>
      </c>
      <c r="B244" s="13" t="n">
        <v>2010</v>
      </c>
      <c r="C244" s="13" t="inlineStr">
        <is>
          <t>50系</t>
        </is>
      </c>
      <c r="D244" s="15" t="n">
        <v>289000</v>
      </c>
      <c r="E244" s="13" t="n">
        <v>1</v>
      </c>
      <c r="F244" s="15" t="n">
        <v>117800</v>
      </c>
      <c r="G244" s="13" t="inlineStr">
        <is>
          <t>REAL_MILEAGE</t>
        </is>
      </c>
      <c r="H244" s="13" t="inlineStr">
        <is>
          <t>NONE</t>
        </is>
      </c>
      <c r="I244" s="15" t="n">
        <v>0</v>
      </c>
      <c r="J244" s="13" t="inlineStr">
        <is>
          <t>2026-03-30T22:13:12+09:00</t>
        </is>
      </c>
      <c r="K244" s="14" t="inlineStr">
        <is>
          <t>程度良好★車検R9年1月★H22年中期エスティマ2.4アエラスG-ED★ストラーダナビ地デジ（走行中TV視聴OK）/左右パワスラ/クルコン★快調/綺麗</t>
        </is>
      </c>
      <c r="L244" s="13" t="inlineStr">
        <is>
          <t>https://page.auctions.yahoo.co.jp/jp/auction/e1222563108</t>
        </is>
      </c>
    </row>
    <row r="245">
      <c r="A245" s="8" t="inlineStr">
        <is>
          <t>エスティマ</t>
        </is>
      </c>
      <c r="B245" s="8" t="n">
        <v>2009</v>
      </c>
      <c r="C245" s="8" t="inlineStr">
        <is>
          <t>50系</t>
        </is>
      </c>
      <c r="D245" s="11" t="n">
        <v>391000</v>
      </c>
      <c r="E245" s="8" t="n">
        <v>110</v>
      </c>
      <c r="F245" s="11" t="n">
        <v>71000</v>
      </c>
      <c r="G245" s="8" t="inlineStr">
        <is>
          <t>REAL_MILEAGE</t>
        </is>
      </c>
      <c r="H245" s="8" t="n"/>
      <c r="I245" s="11" t="n">
        <v>41420</v>
      </c>
      <c r="J245" s="8" t="inlineStr">
        <is>
          <t>2026-08-19T22:15:05+09:00</t>
        </is>
      </c>
      <c r="K245" s="14" t="inlineStr">
        <is>
          <t>100円売切り　平成21年　エスティマ　アエラス　走行71000キロ　車検令和10年8月まで　両側パワースライドドア　コーナーセンサー ７人乗り</t>
        </is>
      </c>
      <c r="L245" s="8" t="inlineStr">
        <is>
          <t>https://page.auctions.yahoo.co.jp/jp/auction/c1240546706</t>
        </is>
      </c>
    </row>
    <row r="246">
      <c r="A246" s="13" t="inlineStr">
        <is>
          <t>エスティマ</t>
        </is>
      </c>
      <c r="B246" s="13" t="n">
        <v>2009</v>
      </c>
      <c r="C246" s="13" t="inlineStr">
        <is>
          <t>50系</t>
        </is>
      </c>
      <c r="D246" s="15" t="n">
        <v>212000</v>
      </c>
      <c r="E246" s="13" t="n">
        <v>31</v>
      </c>
      <c r="F246" s="15" t="n">
        <v>142000</v>
      </c>
      <c r="G246" s="13" t="inlineStr">
        <is>
          <t>REAL_MILEAGE</t>
        </is>
      </c>
      <c r="H246" s="13" t="inlineStr">
        <is>
          <t>NONE</t>
        </is>
      </c>
      <c r="I246" s="15" t="n">
        <v>16750</v>
      </c>
      <c r="J246" s="13" t="inlineStr">
        <is>
          <t>2026-08-09T21:39:07+09:00</t>
        </is>
      </c>
      <c r="K246" s="14" t="inlineStr">
        <is>
          <t>トヨタエスティマハイブリッド 実走行142000 km 車檢なし 修復歴なし</t>
        </is>
      </c>
      <c r="L246" s="13" t="inlineStr">
        <is>
          <t>https://page.auctions.yahoo.co.jp/jp/auction/1238949241</t>
        </is>
      </c>
    </row>
    <row r="247">
      <c r="A247" s="8" t="inlineStr">
        <is>
          <t>エスティマ</t>
        </is>
      </c>
      <c r="B247" s="8" t="n">
        <v>2009</v>
      </c>
      <c r="C247" s="8" t="inlineStr">
        <is>
          <t>50系</t>
        </is>
      </c>
      <c r="D247" s="11" t="n">
        <v>400000</v>
      </c>
      <c r="E247" s="8" t="n">
        <v>1</v>
      </c>
      <c r="F247" s="11" t="n">
        <v>75000</v>
      </c>
      <c r="G247" s="8" t="inlineStr">
        <is>
          <t>REAL_MILEAGE</t>
        </is>
      </c>
      <c r="H247" s="8" t="inlineStr">
        <is>
          <t>NONE</t>
        </is>
      </c>
      <c r="I247" s="11" t="n">
        <v>50000</v>
      </c>
      <c r="J247" s="8" t="inlineStr">
        <is>
          <t>2026-07-30T17:36:30+09:00</t>
        </is>
      </c>
      <c r="K247" s="14" t="inlineStr">
        <is>
          <t>【実用性抜群！】2009y エスティマ2.4アエラスG-ED・7人！評価4点/無事故/実走行7.5万km/車検R9/5！両側電スラ！D車検整備！後席モニター！</t>
        </is>
      </c>
      <c r="L247" s="8" t="inlineStr">
        <is>
          <t>https://page.auctions.yahoo.co.jp/jp/auction/f1233052476</t>
        </is>
      </c>
    </row>
    <row r="248">
      <c r="A248" s="13" t="inlineStr">
        <is>
          <t>エスティマ</t>
        </is>
      </c>
      <c r="B248" s="13" t="n">
        <v>2009</v>
      </c>
      <c r="C248" s="13" t="inlineStr">
        <is>
          <t>50系</t>
        </is>
      </c>
      <c r="D248" s="15" t="n">
        <v>197000</v>
      </c>
      <c r="E248" s="13" t="n">
        <v>68</v>
      </c>
      <c r="F248" s="15" t="n">
        <v>142000</v>
      </c>
      <c r="G248" s="13" t="inlineStr">
        <is>
          <t>REAL_MILEAGE</t>
        </is>
      </c>
      <c r="H248" s="13" t="inlineStr">
        <is>
          <t>NONE</t>
        </is>
      </c>
      <c r="I248" s="15" t="n">
        <v>16750</v>
      </c>
      <c r="J248" s="13" t="inlineStr">
        <is>
          <t>2026-07-19T21:22:50+09:00</t>
        </is>
      </c>
      <c r="K248" s="14" t="inlineStr">
        <is>
          <t>トヨタエスティマハイブリッド 実走行142000 km 車檢なし 修復歴なし</t>
        </is>
      </c>
      <c r="L248" s="13" t="inlineStr">
        <is>
          <t>https://page.auctions.yahoo.co.jp/jp/auction/o1237141337</t>
        </is>
      </c>
    </row>
    <row r="249">
      <c r="A249" s="8" t="inlineStr">
        <is>
          <t>エスティマ</t>
        </is>
      </c>
      <c r="B249" s="8" t="n">
        <v>2009</v>
      </c>
      <c r="C249" s="8" t="inlineStr">
        <is>
          <t>50系</t>
        </is>
      </c>
      <c r="D249" s="11" t="n">
        <v>247000</v>
      </c>
      <c r="E249" s="8" t="n">
        <v>1</v>
      </c>
      <c r="F249" s="11" t="n">
        <v>102196</v>
      </c>
      <c r="G249" s="8" t="inlineStr">
        <is>
          <t>REAL_MILEAGE</t>
        </is>
      </c>
      <c r="H249" s="8" t="inlineStr">
        <is>
          <t>NONE</t>
        </is>
      </c>
      <c r="I249" s="11" t="n">
        <v>15220</v>
      </c>
      <c r="J249" s="8" t="inlineStr">
        <is>
          <t>2026-07-15T15:29:47+09:00</t>
        </is>
      </c>
      <c r="K249" s="14" t="inlineStr">
        <is>
          <t>◆カーズ大阪●車検2年付●21年エスティマ 2.4 アエラス ●プッシュスタート●3D8599</t>
        </is>
      </c>
      <c r="L249" s="8" t="inlineStr">
        <is>
          <t>https://page.auctions.yahoo.co.jp/jp/auction/f1234593187</t>
        </is>
      </c>
    </row>
    <row r="250">
      <c r="A250" s="13" t="inlineStr">
        <is>
          <t>エスティマ</t>
        </is>
      </c>
      <c r="B250" s="13" t="n">
        <v>2009</v>
      </c>
      <c r="C250" s="13" t="inlineStr">
        <is>
          <t>50系</t>
        </is>
      </c>
      <c r="D250" s="15" t="n">
        <v>495000</v>
      </c>
      <c r="E250" s="13" t="n">
        <v>1</v>
      </c>
      <c r="F250" s="15" t="n">
        <v>30000</v>
      </c>
      <c r="G250" s="13" t="inlineStr">
        <is>
          <t>REAL_MILEAGE</t>
        </is>
      </c>
      <c r="H250" s="13" t="inlineStr">
        <is>
          <t>NONE</t>
        </is>
      </c>
      <c r="I250" s="15" t="n">
        <v>15220</v>
      </c>
      <c r="J250" s="13" t="inlineStr">
        <is>
          <t>2026-07-01T21:34:45+09:00</t>
        </is>
      </c>
      <c r="K250" s="14" t="inlineStr">
        <is>
          <t>低走行3万キロ☆エスティマG☆ACR50W★寝台車☆寝台車☆両側パワスラ☆ナビ＋地デジTV☆豪華装備☆禁煙車☆格安販売☆予備車検☆陸送無料※</t>
        </is>
      </c>
      <c r="L250" s="13" t="inlineStr">
        <is>
          <t>https://page.auctions.yahoo.co.jp/jp/auction/p1233940185</t>
        </is>
      </c>
    </row>
    <row r="251">
      <c r="A251" s="8" t="inlineStr">
        <is>
          <t>エスティマ</t>
        </is>
      </c>
      <c r="B251" s="8" t="n">
        <v>2009</v>
      </c>
      <c r="C251" s="8" t="inlineStr">
        <is>
          <t>50系</t>
        </is>
      </c>
      <c r="D251" s="11" t="n">
        <v>351000</v>
      </c>
      <c r="E251" s="8" t="n">
        <v>6</v>
      </c>
      <c r="F251" s="11" t="n">
        <v>157000</v>
      </c>
      <c r="G251" s="8" t="inlineStr">
        <is>
          <t>REAL_MILEAGE</t>
        </is>
      </c>
      <c r="H251" s="8" t="inlineStr">
        <is>
          <t>NONE</t>
        </is>
      </c>
      <c r="I251" s="11" t="n">
        <v>15700</v>
      </c>
      <c r="J251" s="8" t="inlineStr">
        <is>
          <t>2026-06-29T21:03:14+09:00</t>
        </is>
      </c>
      <c r="K251" s="14" t="inlineStr">
        <is>
          <t>エスティマハイブリッド　車検令和10年1月　ダブルサンルーフ　両側後電動ドア　モデリスタエアロ　電動3rdシート格納　シートヒーター　TV</t>
        </is>
      </c>
      <c r="L251" s="8" t="inlineStr">
        <is>
          <t>https://page.auctions.yahoo.co.jp/jp/auction/1233672102</t>
        </is>
      </c>
    </row>
    <row r="252">
      <c r="A252" s="13" t="inlineStr">
        <is>
          <t>エスティマ</t>
        </is>
      </c>
      <c r="B252" s="13" t="n">
        <v>2009</v>
      </c>
      <c r="C252" s="13" t="inlineStr">
        <is>
          <t>50系</t>
        </is>
      </c>
      <c r="D252" s="15" t="n">
        <v>288000</v>
      </c>
      <c r="E252" s="13" t="n">
        <v>40</v>
      </c>
      <c r="F252" s="15" t="n">
        <v>129000</v>
      </c>
      <c r="G252" s="13" t="inlineStr">
        <is>
          <t>REAL_MILEAGE</t>
        </is>
      </c>
      <c r="H252" s="13" t="inlineStr">
        <is>
          <t>NONE</t>
        </is>
      </c>
      <c r="I252" s="15" t="n">
        <v>0</v>
      </c>
      <c r="J252" s="13" t="inlineStr">
        <is>
          <t>2026-06-14T19:41:44+09:00</t>
        </is>
      </c>
      <c r="K252" s="14" t="inlineStr">
        <is>
          <t>H21 中期エスティマ【 2.4アエラス レザーパッケージ 】車検10. 1 純正ナビ/DTV/Bカメラ/クルコン/両側パワスラ/ドラレコ/美車/129.000km</t>
        </is>
      </c>
      <c r="L252" s="13" t="inlineStr">
        <is>
          <t>https://page.auctions.yahoo.co.jp/jp/auction/b1232205865</t>
        </is>
      </c>
    </row>
    <row r="253">
      <c r="A253" s="8" t="inlineStr">
        <is>
          <t>エスティマ</t>
        </is>
      </c>
      <c r="B253" s="8" t="n">
        <v>2009</v>
      </c>
      <c r="C253" s="8" t="inlineStr">
        <is>
          <t>50系</t>
        </is>
      </c>
      <c r="D253" s="11" t="n">
        <v>320000</v>
      </c>
      <c r="E253" s="8" t="n">
        <v>1</v>
      </c>
      <c r="F253" s="11" t="n">
        <v>111000</v>
      </c>
      <c r="G253" s="8" t="inlineStr">
        <is>
          <t>REAL_MILEAGE</t>
        </is>
      </c>
      <c r="H253" s="8" t="inlineStr">
        <is>
          <t>NONE</t>
        </is>
      </c>
      <c r="I253" s="11" t="n">
        <v>0</v>
      </c>
      <c r="J253" s="8" t="inlineStr">
        <is>
          <t>2026-06-12T19:58:37+09:00</t>
        </is>
      </c>
      <c r="K253" s="14" t="inlineStr">
        <is>
          <t xml:space="preserve">エスティマ　2.4アエラスGエディション　 H21　中期モデル　検8/11　111,000km HDDナビ＆TV　Bカメラ　両側パワースライド　７人乗　</t>
        </is>
      </c>
      <c r="L253" s="8" t="inlineStr">
        <is>
          <t>https://page.auctions.yahoo.co.jp/jp/auction/d1232470276</t>
        </is>
      </c>
    </row>
    <row r="254">
      <c r="A254" s="13" t="inlineStr">
        <is>
          <t>エスティマ</t>
        </is>
      </c>
      <c r="B254" s="13" t="n">
        <v>2009</v>
      </c>
      <c r="C254" s="13" t="inlineStr">
        <is>
          <t>50系</t>
        </is>
      </c>
      <c r="D254" s="15" t="n">
        <v>198000</v>
      </c>
      <c r="E254" s="13" t="n">
        <v>2</v>
      </c>
      <c r="F254" s="15" t="n">
        <v>165000</v>
      </c>
      <c r="G254" s="13" t="inlineStr">
        <is>
          <t>REAL_MILEAGE</t>
        </is>
      </c>
      <c r="H254" s="13" t="inlineStr">
        <is>
          <t>NONE</t>
        </is>
      </c>
      <c r="I254" s="15" t="n">
        <v>0</v>
      </c>
      <c r="J254" s="13" t="inlineStr">
        <is>
          <t>2026-06-05T20:51:09+09:00</t>
        </is>
      </c>
      <c r="K254" s="14" t="inlineStr">
        <is>
          <t>H21エスティマ 2.4アエラス ACR55W/ 4WD /アルパイン8インチナビ/リアモニター/ウッドステアリング/左右PS/7人乗/車検R8年6月迄/売り切り</t>
        </is>
      </c>
      <c r="L254" s="13" t="inlineStr">
        <is>
          <t>https://page.auctions.yahoo.co.jp/jp/auction/x1226182627</t>
        </is>
      </c>
    </row>
    <row r="255">
      <c r="A255" s="8" t="inlineStr">
        <is>
          <t>エスティマ</t>
        </is>
      </c>
      <c r="B255" s="8" t="n">
        <v>2009</v>
      </c>
      <c r="C255" s="8" t="inlineStr">
        <is>
          <t>50系</t>
        </is>
      </c>
      <c r="D255" s="11" t="n">
        <v>306000</v>
      </c>
      <c r="E255" s="8" t="n">
        <v>78</v>
      </c>
      <c r="F255" s="11" t="n">
        <v>214639</v>
      </c>
      <c r="G255" s="8" t="inlineStr">
        <is>
          <t>REAL_MILEAGE</t>
        </is>
      </c>
      <c r="H255" s="8" t="inlineStr">
        <is>
          <t>NONE</t>
        </is>
      </c>
      <c r="I255" s="11" t="n">
        <v>0</v>
      </c>
      <c r="J255" s="8" t="inlineStr">
        <is>
          <t>2026-05-28T19:57:09+09:00</t>
        </is>
      </c>
      <c r="K255" s="14" t="inlineStr">
        <is>
          <t>3年間乗りました！！エスティマ ハイブリッド モデリスタ H21 G レザーパッケージ 革シート 4WD 両側パワースライド 三重県から出品</t>
        </is>
      </c>
      <c r="L255" s="8" t="inlineStr">
        <is>
          <t>https://page.auctions.yahoo.co.jp/jp/auction/f1231043404</t>
        </is>
      </c>
    </row>
    <row r="256">
      <c r="A256" s="13" t="inlineStr">
        <is>
          <t>エスティマ</t>
        </is>
      </c>
      <c r="B256" s="13" t="n">
        <v>2009</v>
      </c>
      <c r="C256" s="13" t="inlineStr">
        <is>
          <t>50系</t>
        </is>
      </c>
      <c r="D256" s="15" t="n">
        <v>439000</v>
      </c>
      <c r="E256" s="13" t="n">
        <v>1</v>
      </c>
      <c r="F256" s="15" t="n">
        <v>188400</v>
      </c>
      <c r="G256" s="13" t="inlineStr">
        <is>
          <t>REAL_MILEAGE</t>
        </is>
      </c>
      <c r="H256" s="13" t="inlineStr">
        <is>
          <t>NONE</t>
        </is>
      </c>
      <c r="I256" s="15" t="n">
        <v>0</v>
      </c>
      <c r="J256" s="13" t="inlineStr">
        <is>
          <t>2026-05-18T22:41:51+09:00</t>
        </is>
      </c>
      <c r="K256" s="14" t="inlineStr">
        <is>
          <t>売切 21年 最上級 エスティマHV G レザーパッケージ サンルーフ プリクラシュセーフティS ACC モデリスタエアロ＆TRD サス スーパーライブS</t>
        </is>
      </c>
      <c r="L256" s="13" t="inlineStr">
        <is>
          <t>https://page.auctions.yahoo.co.jp/jp/auction/k1228768586</t>
        </is>
      </c>
    </row>
    <row r="257">
      <c r="A257" s="8" t="inlineStr">
        <is>
          <t>エスティマ</t>
        </is>
      </c>
      <c r="B257" s="8" t="n">
        <v>2009</v>
      </c>
      <c r="C257" s="8" t="inlineStr">
        <is>
          <t>50系</t>
        </is>
      </c>
      <c r="D257" s="11" t="n">
        <v>680000</v>
      </c>
      <c r="E257" s="8" t="n">
        <v>118</v>
      </c>
      <c r="F257" s="11" t="n">
        <v>176300</v>
      </c>
      <c r="G257" s="8" t="inlineStr">
        <is>
          <t>REAL_MILEAGE</t>
        </is>
      </c>
      <c r="H257" s="8" t="inlineStr">
        <is>
          <t>NONE</t>
        </is>
      </c>
      <c r="I257" s="11" t="n">
        <v>0</v>
      </c>
      <c r="J257" s="8" t="inlineStr">
        <is>
          <t>2026-05-10T22:19:42+09:00</t>
        </is>
      </c>
      <c r="K257" s="14" t="inlineStr">
        <is>
          <t>H21 エスティマHV G レザーPKG 4WD 2型 サンルーフ/本革シート/MOPナビ/リアエンタ/PCS/LKA/両側PS/パワートランク/Bカメラ/ETC 車検満タン</t>
        </is>
      </c>
      <c r="L257" s="8" t="inlineStr">
        <is>
          <t>https://page.auctions.yahoo.co.jp/jp/auction/c1228668615</t>
        </is>
      </c>
    </row>
    <row r="258">
      <c r="A258" s="13" t="inlineStr">
        <is>
          <t>エスティマ</t>
        </is>
      </c>
      <c r="B258" s="13" t="n">
        <v>2009</v>
      </c>
      <c r="C258" s="13" t="inlineStr">
        <is>
          <t>50系</t>
        </is>
      </c>
      <c r="D258" s="15" t="n">
        <v>345000</v>
      </c>
      <c r="E258" s="13" t="n">
        <v>1</v>
      </c>
      <c r="F258" s="15" t="n">
        <v>122300</v>
      </c>
      <c r="G258" s="13" t="inlineStr">
        <is>
          <t>REAL_MILEAGE</t>
        </is>
      </c>
      <c r="H258" s="13" t="inlineStr">
        <is>
          <t>NONE</t>
        </is>
      </c>
      <c r="I258" s="15" t="n">
        <v>0</v>
      </c>
      <c r="J258" s="13" t="inlineStr">
        <is>
          <t>2026-05-08T21:12:26+09:00</t>
        </is>
      </c>
      <c r="K258" s="14" t="inlineStr">
        <is>
          <t>エスティマ*アエラスレザーPKG*Wサンルーフ*フリップダウン*HID*両パワスラ*純正ナビ*B/S/Fカメラ*BTオーディオ*DTV*純正AW*210219☆</t>
        </is>
      </c>
      <c r="L258" s="13" t="inlineStr">
        <is>
          <t>https://page.auctions.yahoo.co.jp/jp/auction/b1224587163</t>
        </is>
      </c>
    </row>
    <row r="259">
      <c r="A259" s="8" t="inlineStr">
        <is>
          <t>エスティマ</t>
        </is>
      </c>
      <c r="B259" s="8" t="n">
        <v>2009</v>
      </c>
      <c r="C259" s="8" t="inlineStr">
        <is>
          <t>50系</t>
        </is>
      </c>
      <c r="D259" s="11" t="n">
        <v>350000</v>
      </c>
      <c r="E259" s="8" t="n">
        <v>1</v>
      </c>
      <c r="F259" s="11" t="n">
        <v>186000</v>
      </c>
      <c r="G259" s="8" t="inlineStr">
        <is>
          <t>REAL_MILEAGE</t>
        </is>
      </c>
      <c r="H259" s="8" t="inlineStr">
        <is>
          <t>EXISTS</t>
        </is>
      </c>
      <c r="I259" s="11" t="n">
        <v>0</v>
      </c>
      <c r="J259" s="8" t="inlineStr">
        <is>
          <t>2026-04-19T08:54:20+09:00</t>
        </is>
      </c>
      <c r="K259" s="14" t="inlineStr">
        <is>
          <t>予備検査付き エスティマハイブリッドG　4WD 中期　フリップダウンモニター　電動リアゲート　電動シート格納　Bluetooth　100V電源</t>
        </is>
      </c>
      <c r="L259" s="8" t="inlineStr">
        <is>
          <t>https://page.auctions.yahoo.co.jp/jp/auction/o1226297966</t>
        </is>
      </c>
    </row>
    <row r="260">
      <c r="A260" s="13" t="inlineStr">
        <is>
          <t>エスティマ</t>
        </is>
      </c>
      <c r="B260" s="13" t="n">
        <v>2009</v>
      </c>
      <c r="C260" s="13" t="inlineStr">
        <is>
          <t>50系</t>
        </is>
      </c>
      <c r="D260" s="15" t="n">
        <v>394000</v>
      </c>
      <c r="E260" s="13" t="n">
        <v>40</v>
      </c>
      <c r="F260" s="15" t="n">
        <v>88500</v>
      </c>
      <c r="G260" s="13" t="inlineStr">
        <is>
          <t>REAL_MILEAGE</t>
        </is>
      </c>
      <c r="H260" s="13" t="inlineStr">
        <is>
          <t>EXISTS</t>
        </is>
      </c>
      <c r="I260" s="15" t="n">
        <v>0</v>
      </c>
      <c r="J260" s="13" t="inlineStr">
        <is>
          <t>2026-04-07T21:02:07+09:00</t>
        </is>
      </c>
      <c r="K260" s="14" t="inlineStr">
        <is>
          <t>H21 エスティマ 2.4アエラス G-ED 実走行8万km台 ツインムーンルーフ/MOPナビ/リアエンター/両側PS/TRDフロントスポイラー 車検R8年9月迄</t>
        </is>
      </c>
      <c r="L260" s="13" t="inlineStr">
        <is>
          <t>https://page.auctions.yahoo.co.jp/jp/auction/n1224726269</t>
        </is>
      </c>
    </row>
    <row r="261">
      <c r="A261" s="8" t="inlineStr">
        <is>
          <t>エスティマ</t>
        </is>
      </c>
      <c r="B261" s="8" t="n">
        <v>2009</v>
      </c>
      <c r="C261" s="8" t="inlineStr">
        <is>
          <t>50系</t>
        </is>
      </c>
      <c r="D261" s="11" t="n">
        <v>371000</v>
      </c>
      <c r="E261" s="8" t="n">
        <v>98</v>
      </c>
      <c r="F261" s="11" t="n">
        <v>226600</v>
      </c>
      <c r="G261" s="8" t="inlineStr">
        <is>
          <t>REAL_MILEAGE</t>
        </is>
      </c>
      <c r="H261" s="8" t="inlineStr">
        <is>
          <t>NONE</t>
        </is>
      </c>
      <c r="I261" s="11" t="n">
        <v>0</v>
      </c>
      <c r="J261" s="8" t="inlineStr">
        <is>
          <t>2026-03-30T21:31:43+09:00</t>
        </is>
      </c>
      <c r="K261" s="14" t="inlineStr">
        <is>
          <t>21年 エスティマ　ハイブリッド G 4WD 車検 令和8年11月 　AHR20W</t>
        </is>
      </c>
      <c r="L261" s="8" t="inlineStr">
        <is>
          <t>https://page.auctions.yahoo.co.jp/jp/auction/s1223808112</t>
        </is>
      </c>
    </row>
    <row r="262">
      <c r="A262" s="13" t="inlineStr">
        <is>
          <t>エスティマ</t>
        </is>
      </c>
      <c r="B262" s="13" t="n">
        <v>2009</v>
      </c>
      <c r="C262" s="13" t="inlineStr">
        <is>
          <t>50系</t>
        </is>
      </c>
      <c r="D262" s="15" t="n">
        <v>736555</v>
      </c>
      <c r="E262" s="13" t="n">
        <v>145</v>
      </c>
      <c r="F262" s="15" t="n">
        <v>143500</v>
      </c>
      <c r="G262" s="13" t="inlineStr">
        <is>
          <t>REAL_MILEAGE</t>
        </is>
      </c>
      <c r="H262" s="13" t="inlineStr">
        <is>
          <t>NONE</t>
        </is>
      </c>
      <c r="I262" s="15" t="n">
        <v>0</v>
      </c>
      <c r="J262" s="13" t="inlineStr">
        <is>
          <t>2026-03-26T22:01:23+09:00</t>
        </is>
      </c>
      <c r="K262" s="14" t="inlineStr">
        <is>
          <t>H21 エスティマHV G レザーPKG 4WD 2型 サンルーフ/本革シート/MOPナビ/リアエンタ/PCS/LKA/両側PS/パワートランク/Bカメラ/ETC 車検満タン</t>
        </is>
      </c>
      <c r="L262" s="13" t="inlineStr">
        <is>
          <t>https://page.auctions.yahoo.co.jp/jp/auction/e1223410043</t>
        </is>
      </c>
    </row>
    <row r="263">
      <c r="A263" s="8" t="inlineStr">
        <is>
          <t>エスティマ</t>
        </is>
      </c>
      <c r="B263" s="8" t="n">
        <v>2008</v>
      </c>
      <c r="C263" s="8" t="inlineStr">
        <is>
          <t>50系</t>
        </is>
      </c>
      <c r="D263" s="11" t="n">
        <v>191000</v>
      </c>
      <c r="E263" s="8" t="n">
        <v>55</v>
      </c>
      <c r="F263" s="11" t="n">
        <v>208570</v>
      </c>
      <c r="G263" s="8" t="inlineStr">
        <is>
          <t>REAL_MILEAGE</t>
        </is>
      </c>
      <c r="H263" s="8" t="inlineStr">
        <is>
          <t>NONE</t>
        </is>
      </c>
      <c r="I263" s="11" t="n">
        <v>50800</v>
      </c>
      <c r="J263" s="8" t="inlineStr">
        <is>
          <t>2026-08-16T22:16:33+09:00</t>
        </is>
      </c>
      <c r="K263" s="14" t="inlineStr">
        <is>
          <t>「個人出品」トヨタ エスティマハイブリッド 2.4G E-Four ワンオーナー 車検令和9年6月29日 現状渡し</t>
        </is>
      </c>
      <c r="L263" s="8" t="inlineStr">
        <is>
          <t>https://page.auctions.yahoo.co.jp/jp/auction/b1239604765</t>
        </is>
      </c>
    </row>
    <row r="264">
      <c r="A264" s="13" t="inlineStr">
        <is>
          <t>エスティマ</t>
        </is>
      </c>
      <c r="B264" s="13" t="n">
        <v>2008</v>
      </c>
      <c r="C264" s="13" t="inlineStr">
        <is>
          <t>50系</t>
        </is>
      </c>
      <c r="D264" s="15" t="n">
        <v>252000</v>
      </c>
      <c r="E264" s="13" t="n">
        <v>3</v>
      </c>
      <c r="F264" s="15" t="n">
        <v>205200</v>
      </c>
      <c r="G264" s="13" t="inlineStr">
        <is>
          <t>REAL_MILEAGE</t>
        </is>
      </c>
      <c r="H264" s="13" t="inlineStr">
        <is>
          <t>NONE</t>
        </is>
      </c>
      <c r="I264" s="15" t="n">
        <v>0</v>
      </c>
      <c r="J264" s="13" t="inlineStr">
        <is>
          <t>2026-06-21T06:18:09+09:00</t>
        </is>
      </c>
      <c r="K264" s="14" t="inlineStr">
        <is>
          <t>釧路　7人乗り　エスティマＨＶ　G 4WD 車検残あり</t>
        </is>
      </c>
      <c r="L264" s="13" t="inlineStr">
        <is>
          <t>https://page.auctions.yahoo.co.jp/jp/auction/s1231125233</t>
        </is>
      </c>
    </row>
    <row r="265">
      <c r="A265" s="8" t="inlineStr">
        <is>
          <t>エスティマ</t>
        </is>
      </c>
      <c r="B265" s="8" t="n">
        <v>2008</v>
      </c>
      <c r="C265" s="8" t="inlineStr">
        <is>
          <t>50系</t>
        </is>
      </c>
      <c r="D265" s="11" t="n">
        <v>334000</v>
      </c>
      <c r="E265" s="8" t="n">
        <v>5</v>
      </c>
      <c r="F265" s="11" t="n">
        <v>136300</v>
      </c>
      <c r="G265" s="8" t="inlineStr">
        <is>
          <t>REAL_MILEAGE</t>
        </is>
      </c>
      <c r="H265" s="8" t="inlineStr">
        <is>
          <t>NONE</t>
        </is>
      </c>
      <c r="I265" s="11" t="n">
        <v>0</v>
      </c>
      <c r="J265" s="8" t="inlineStr">
        <is>
          <t>2026-05-18T22:09:53+09:00</t>
        </is>
      </c>
      <c r="K265" s="14" t="inlineStr">
        <is>
          <t>車検 9年4月 エスティマハイブリッド 最上級 G 4WD 大型ムーンルーフ エンジンオイル消費対策済みエンジン 24年後期用 テールレンズ</t>
        </is>
      </c>
      <c r="L265" s="8" t="inlineStr">
        <is>
          <t>https://page.auctions.yahoo.co.jp/jp/auction/u1228619591</t>
        </is>
      </c>
    </row>
    <row r="266">
      <c r="A266" s="13" t="inlineStr">
        <is>
          <t>エスティマ</t>
        </is>
      </c>
      <c r="B266" s="13" t="n">
        <v>2008</v>
      </c>
      <c r="C266" s="13" t="inlineStr">
        <is>
          <t>50系</t>
        </is>
      </c>
      <c r="D266" s="15" t="n">
        <v>149000</v>
      </c>
      <c r="E266" s="13" t="n">
        <v>77</v>
      </c>
      <c r="F266" s="15" t="n">
        <v>270000</v>
      </c>
      <c r="G266" s="13" t="inlineStr">
        <is>
          <t>REAL_MILEAGE</t>
        </is>
      </c>
      <c r="H266" s="13" t="inlineStr">
        <is>
          <t>NONE</t>
        </is>
      </c>
      <c r="I266" s="15" t="n">
        <v>0</v>
      </c>
      <c r="J266" s="13" t="inlineStr">
        <is>
          <t>2026-05-12T20:58:26+09:00</t>
        </is>
      </c>
      <c r="K266" s="14" t="inlineStr">
        <is>
          <t>エスティマ・アエラス・Sパッケージ 4WD*HID*スマートキー*両パワスラ*純正ナビ*B/S/Fカメラ*ETC*純正18AW*</t>
        </is>
      </c>
      <c r="L266" s="13" t="inlineStr">
        <is>
          <t>https://page.auctions.yahoo.co.jp/jp/auction/c1228366227</t>
        </is>
      </c>
    </row>
    <row r="267">
      <c r="A267" s="8" t="inlineStr">
        <is>
          <t>エスティマ</t>
        </is>
      </c>
      <c r="B267" s="8" t="n">
        <v>2008</v>
      </c>
      <c r="C267" s="8" t="inlineStr">
        <is>
          <t>50系</t>
        </is>
      </c>
      <c r="D267" s="11" t="n">
        <v>339000</v>
      </c>
      <c r="E267" s="8" t="n">
        <v>1</v>
      </c>
      <c r="F267" s="11" t="n">
        <v>93333</v>
      </c>
      <c r="G267" s="8" t="inlineStr">
        <is>
          <t>REAL_MILEAGE</t>
        </is>
      </c>
      <c r="H267" s="8" t="inlineStr">
        <is>
          <t>NONE</t>
        </is>
      </c>
      <c r="I267" s="11" t="n">
        <v>0</v>
      </c>
      <c r="J267" s="8" t="inlineStr">
        <is>
          <t>2026-03-24T21:00:05+09:00</t>
        </is>
      </c>
      <c r="K267" s="14" t="inlineStr">
        <is>
          <t>★エスティマアエラスGエディション 4WD★車検10年3月10日★両側パワースライド★プッシュスタート★ナビ★TV★Bカメラ★ETC★アルミ★</t>
        </is>
      </c>
      <c r="L267" s="8" t="inlineStr">
        <is>
          <t>https://page.auctions.yahoo.co.jp/jp/auction/u1223397875</t>
        </is>
      </c>
    </row>
    <row r="268">
      <c r="A268" s="13" t="inlineStr">
        <is>
          <t>エスティマ</t>
        </is>
      </c>
      <c r="B268" s="13" t="n">
        <v>2008</v>
      </c>
      <c r="C268" s="13" t="inlineStr">
        <is>
          <t>50系</t>
        </is>
      </c>
      <c r="D268" s="15" t="n">
        <v>436000</v>
      </c>
      <c r="E268" s="13" t="n">
        <v>80</v>
      </c>
      <c r="F268" s="15" t="n">
        <v>131650</v>
      </c>
      <c r="G268" s="13" t="inlineStr">
        <is>
          <t>REAL_MILEAGE</t>
        </is>
      </c>
      <c r="H268" s="13" t="inlineStr">
        <is>
          <t>NONE</t>
        </is>
      </c>
      <c r="I268" s="15" t="n">
        <v>0</v>
      </c>
      <c r="J268" s="13" t="inlineStr">
        <is>
          <t>2026-03-21T22:55:22+09:00</t>
        </is>
      </c>
      <c r="K268" s="14" t="inlineStr">
        <is>
          <t>★50エスティマ★上級グレードG★サンルーフ・ヒッチメンバー・両側電動パワスラ★車検R9年3月★TARAGO仕様・USDM★オマケ付</t>
        </is>
      </c>
      <c r="L268" s="13" t="inlineStr">
        <is>
          <t>https://page.auctions.yahoo.co.jp/jp/auction/l1222111683</t>
        </is>
      </c>
    </row>
    <row r="269">
      <c r="A269" s="8" t="inlineStr">
        <is>
          <t>エスティマ</t>
        </is>
      </c>
      <c r="B269" s="8" t="n">
        <v>2007</v>
      </c>
      <c r="C269" s="8" t="inlineStr">
        <is>
          <t>50系</t>
        </is>
      </c>
      <c r="D269" s="11" t="n">
        <v>305000</v>
      </c>
      <c r="E269" s="8" t="n">
        <v>6</v>
      </c>
      <c r="F269" s="11" t="n">
        <v>143548</v>
      </c>
      <c r="G269" s="8" t="inlineStr">
        <is>
          <t>REAL_MILEAGE</t>
        </is>
      </c>
      <c r="H269" s="8" t="inlineStr">
        <is>
          <t>NONE</t>
        </is>
      </c>
      <c r="I269" s="11" t="n">
        <v>46750</v>
      </c>
      <c r="J269" s="8" t="inlineStr">
        <is>
          <t>2026-08-12T21:48:56+09:00</t>
        </is>
      </c>
      <c r="K269" s="14" t="inlineStr">
        <is>
          <t>エスティマ ハイブリッド 2.4G 4WD ナビ　TV 後席モニター　パワーバックドア　レーダークルーズ　LKA　サンルーフ　ETC 埼玉</t>
        </is>
      </c>
      <c r="L269" s="8" t="inlineStr">
        <is>
          <t>https://page.auctions.yahoo.co.jp/jp/auction/k1239494860</t>
        </is>
      </c>
    </row>
    <row r="270">
      <c r="A270" s="13" t="inlineStr">
        <is>
          <t>エスティマ</t>
        </is>
      </c>
      <c r="B270" s="13" t="n">
        <v>2007</v>
      </c>
      <c r="C270" s="13" t="inlineStr">
        <is>
          <t>50系</t>
        </is>
      </c>
      <c r="D270" s="15" t="n">
        <v>361000</v>
      </c>
      <c r="E270" s="13" t="n">
        <v>13</v>
      </c>
      <c r="F270" s="15" t="n">
        <v>115661</v>
      </c>
      <c r="G270" s="13" t="inlineStr">
        <is>
          <t>REAL_MILEAGE</t>
        </is>
      </c>
      <c r="H270" s="13" t="n"/>
      <c r="I270" s="15" t="n">
        <v>0</v>
      </c>
      <c r="J270" s="13" t="inlineStr">
        <is>
          <t>2026-06-07T23:56:00+09:00</t>
        </is>
      </c>
      <c r="K270" s="14" t="inlineStr">
        <is>
          <t>エスティマ　3.5 アエラス　4WD ヒッチメンバー　ヒッチサイクルキャリア付き</t>
        </is>
      </c>
      <c r="L270" s="13" t="inlineStr">
        <is>
          <t>https://page.auctions.yahoo.co.jp/jp/auction/e1231771029</t>
        </is>
      </c>
    </row>
    <row r="271">
      <c r="A271" s="8" t="inlineStr">
        <is>
          <t>エスティマ</t>
        </is>
      </c>
      <c r="B271" s="8" t="n">
        <v>2007</v>
      </c>
      <c r="C271" s="8" t="inlineStr">
        <is>
          <t>50系</t>
        </is>
      </c>
      <c r="D271" s="11" t="n">
        <v>498000</v>
      </c>
      <c r="E271" s="8" t="n">
        <v>3</v>
      </c>
      <c r="F271" s="11" t="n">
        <v>134300</v>
      </c>
      <c r="G271" s="8" t="inlineStr">
        <is>
          <t>REAL_MILEAGE</t>
        </is>
      </c>
      <c r="H271" s="8" t="n"/>
      <c r="I271" s="11" t="n">
        <v>0</v>
      </c>
      <c r="J271" s="8" t="inlineStr">
        <is>
          <t>2026-05-29T14:34:01+09:00</t>
        </is>
      </c>
      <c r="K271" s="14" t="inlineStr">
        <is>
          <t>☆免税8ナンバー公認☆2年車検付☆エスティマハイブリッドGグレード☆7名乗車公認☆距離13.4万☆期間良好☆エアコン好調☆格安陸送☆神奈川</t>
        </is>
      </c>
      <c r="L271" s="8" t="inlineStr">
        <is>
          <t>https://page.auctions.yahoo.co.jp/jp/auction/m1230865265</t>
        </is>
      </c>
    </row>
    <row r="272">
      <c r="A272" s="13" t="inlineStr">
        <is>
          <t>エスティマ</t>
        </is>
      </c>
      <c r="B272" s="13" t="n">
        <v>2007</v>
      </c>
      <c r="C272" s="13" t="inlineStr">
        <is>
          <t>50系</t>
        </is>
      </c>
      <c r="D272" s="15" t="n">
        <v>362000</v>
      </c>
      <c r="E272" s="13" t="n">
        <v>42</v>
      </c>
      <c r="F272" s="15" t="n">
        <v>82000</v>
      </c>
      <c r="G272" s="13" t="inlineStr">
        <is>
          <t>REAL_MILEAGE</t>
        </is>
      </c>
      <c r="H272" s="13" t="n"/>
      <c r="I272" s="15" t="n">
        <v>0</v>
      </c>
      <c r="J272" s="13" t="inlineStr">
        <is>
          <t>2026-05-25T20:40:54+09:00</t>
        </is>
      </c>
      <c r="K272" s="14" t="inlineStr">
        <is>
          <t>（平成19年）[2007 エスティマ（ハイブリッド車）レード名: X ] 走行距離: 82000, 検査は2028年1月まで有効で、</t>
        </is>
      </c>
      <c r="L272" s="13" t="inlineStr">
        <is>
          <t>https://page.auctions.yahoo.co.jp/jp/auction/w1230653492</t>
        </is>
      </c>
    </row>
    <row r="273">
      <c r="A273" s="8" t="inlineStr">
        <is>
          <t>エスティマ</t>
        </is>
      </c>
      <c r="B273" s="8" t="n">
        <v>2007</v>
      </c>
      <c r="C273" s="8" t="inlineStr">
        <is>
          <t>50系</t>
        </is>
      </c>
      <c r="D273" s="11" t="n">
        <v>199000</v>
      </c>
      <c r="E273" s="8" t="n">
        <v>45</v>
      </c>
      <c r="F273" s="11" t="n">
        <v>209520</v>
      </c>
      <c r="G273" s="8" t="inlineStr">
        <is>
          <t>REAL_MILEAGE</t>
        </is>
      </c>
      <c r="H273" s="8" t="inlineStr">
        <is>
          <t>NONE</t>
        </is>
      </c>
      <c r="I273" s="11" t="n">
        <v>0</v>
      </c>
      <c r="J273" s="8" t="inlineStr">
        <is>
          <t>2026-05-25T20:27:58+09:00</t>
        </is>
      </c>
      <c r="K273" s="14" t="inlineStr">
        <is>
          <t>車検付 50 エスティマ 平成19年式(2007) ホワイト 8人乗り 売り切り</t>
        </is>
      </c>
      <c r="L273" s="8" t="inlineStr">
        <is>
          <t>https://page.auctions.yahoo.co.jp/jp/auction/d1230289180</t>
        </is>
      </c>
    </row>
    <row r="274">
      <c r="A274" s="13" t="inlineStr">
        <is>
          <t>エスティマ</t>
        </is>
      </c>
      <c r="B274" s="13" t="n">
        <v>2007</v>
      </c>
      <c r="C274" s="13" t="inlineStr">
        <is>
          <t>50系</t>
        </is>
      </c>
      <c r="D274" s="15" t="n">
        <v>439000</v>
      </c>
      <c r="E274" s="13" t="n">
        <v>2</v>
      </c>
      <c r="F274" s="15" t="n">
        <v>126800</v>
      </c>
      <c r="G274" s="13" t="inlineStr">
        <is>
          <t>REAL_MILEAGE</t>
        </is>
      </c>
      <c r="H274" s="13" t="inlineStr">
        <is>
          <t>NONE</t>
        </is>
      </c>
      <c r="I274" s="15" t="n">
        <v>0</v>
      </c>
      <c r="J274" s="13" t="inlineStr">
        <is>
          <t>2026-05-23T15:48:28+09:00</t>
        </is>
      </c>
      <c r="K274" s="14" t="inlineStr">
        <is>
          <t>車検 9年5月 エスティマハイブリッド 最上級 G 4WD 大型ムーンルーフ フルエアロ フローティング大画面ナビ パノラミックスーパーライブS</t>
        </is>
      </c>
      <c r="L274" s="13" t="inlineStr">
        <is>
          <t>https://page.auctions.yahoo.co.jp/jp/auction/l1230733947</t>
        </is>
      </c>
    </row>
    <row r="275">
      <c r="A275" s="8" t="inlineStr">
        <is>
          <t>エスティマ</t>
        </is>
      </c>
      <c r="B275" s="8" t="n">
        <v>2007</v>
      </c>
      <c r="C275" s="8" t="inlineStr">
        <is>
          <t>50系</t>
        </is>
      </c>
      <c r="D275" s="11" t="n">
        <v>169000</v>
      </c>
      <c r="E275" s="8" t="n">
        <v>52</v>
      </c>
      <c r="F275" s="11" t="n">
        <v>222230</v>
      </c>
      <c r="G275" s="8" t="inlineStr">
        <is>
          <t>REAL_MILEAGE</t>
        </is>
      </c>
      <c r="H275" s="8" t="inlineStr">
        <is>
          <t>NONE</t>
        </is>
      </c>
      <c r="I275" s="11" t="n">
        <v>0</v>
      </c>
      <c r="J275" s="8" t="inlineStr">
        <is>
          <t>2026-05-06T21:05:00+09:00</t>
        </is>
      </c>
      <c r="K275" s="14" t="inlineStr">
        <is>
          <t xml:space="preserve">40mmリフトアップ　エスティマハイブリッド　HVバッテリー交換済み　トレーラーヒッチ付属　車検1年以上残　稀少8人乗り　格安売り切り </t>
        </is>
      </c>
      <c r="L275" s="8" t="inlineStr">
        <is>
          <t>https://page.auctions.yahoo.co.jp/jp/auction/o1228598996</t>
        </is>
      </c>
    </row>
    <row r="276">
      <c r="A276" s="13" t="inlineStr">
        <is>
          <t>エスティマ</t>
        </is>
      </c>
      <c r="B276" s="13" t="n">
        <v>2007</v>
      </c>
      <c r="C276" s="13" t="inlineStr">
        <is>
          <t>50系</t>
        </is>
      </c>
      <c r="D276" s="15" t="n">
        <v>158000</v>
      </c>
      <c r="E276" s="13" t="n">
        <v>33</v>
      </c>
      <c r="F276" s="15" t="n">
        <v>205235</v>
      </c>
      <c r="G276" s="13" t="inlineStr">
        <is>
          <t>REAL_MILEAGE</t>
        </is>
      </c>
      <c r="H276" s="13" t="inlineStr">
        <is>
          <t>NONE</t>
        </is>
      </c>
      <c r="I276" s="15" t="n">
        <v>0</v>
      </c>
      <c r="J276" s="13" t="inlineStr">
        <is>
          <t>2026-05-06T20:45:43+09:00</t>
        </is>
      </c>
      <c r="K276" s="14" t="inlineStr">
        <is>
          <t>トヨタ　エスティマ</t>
        </is>
      </c>
      <c r="L276" s="13" t="inlineStr">
        <is>
          <t>https://page.auctions.yahoo.co.jp/jp/auction/w1228134396</t>
        </is>
      </c>
    </row>
    <row r="277">
      <c r="A277" s="8" t="inlineStr">
        <is>
          <t>エスティマ</t>
        </is>
      </c>
      <c r="B277" s="8" t="n">
        <v>2007</v>
      </c>
      <c r="C277" s="8" t="inlineStr">
        <is>
          <t>50系</t>
        </is>
      </c>
      <c r="D277" s="11" t="n">
        <v>225000</v>
      </c>
      <c r="E277" s="8" t="n">
        <v>47</v>
      </c>
      <c r="F277" s="11" t="n">
        <v>142545</v>
      </c>
      <c r="G277" s="8" t="inlineStr">
        <is>
          <t>REAL_MILEAGE</t>
        </is>
      </c>
      <c r="H277" s="8" t="inlineStr">
        <is>
          <t>NONE</t>
        </is>
      </c>
      <c r="I277" s="11" t="n">
        <v>0</v>
      </c>
      <c r="J277" s="8" t="inlineStr">
        <is>
          <t>2026-04-25T21:58:09+09:00</t>
        </is>
      </c>
      <c r="K277" s="14" t="inlineStr">
        <is>
          <t>エスティマ　アエラス　車検付　全国陸送</t>
        </is>
      </c>
      <c r="L277" s="8" t="inlineStr">
        <is>
          <t>https://page.auctions.yahoo.co.jp/jp/auction/f1226986360</t>
        </is>
      </c>
    </row>
    <row r="278">
      <c r="A278" s="13" t="inlineStr">
        <is>
          <t>エスティマ</t>
        </is>
      </c>
      <c r="B278" s="13" t="n">
        <v>2007</v>
      </c>
      <c r="C278" s="13" t="inlineStr">
        <is>
          <t>50系</t>
        </is>
      </c>
      <c r="D278" s="15" t="n">
        <v>450000</v>
      </c>
      <c r="E278" s="13" t="n">
        <v>121</v>
      </c>
      <c r="F278" s="15" t="n">
        <v>134000</v>
      </c>
      <c r="G278" s="13" t="inlineStr">
        <is>
          <t>REAL_MILEAGE</t>
        </is>
      </c>
      <c r="H278" s="13" t="inlineStr">
        <is>
          <t>EXISTS</t>
        </is>
      </c>
      <c r="I278" s="15" t="n">
        <v>0</v>
      </c>
      <c r="J278" s="13" t="inlineStr">
        <is>
          <t>2026-04-19T21:52:10+09:00</t>
        </is>
      </c>
      <c r="K278" s="14" t="inlineStr">
        <is>
          <t>H19 エスティマHV G 4WD OP多数 サンルーフ/MOPナビ/リアエンター/PCS/LKA/両側PS/Bカメラ/Pトランク/前後オートエアコン 車検R10年4月迄</t>
        </is>
      </c>
      <c r="L278" s="13" t="inlineStr">
        <is>
          <t>https://page.auctions.yahoo.co.jp/jp/auction/t1226393711</t>
        </is>
      </c>
    </row>
    <row r="279">
      <c r="A279" s="8" t="inlineStr">
        <is>
          <t>エスティマ</t>
        </is>
      </c>
      <c r="B279" s="8" t="n">
        <v>2007</v>
      </c>
      <c r="C279" s="8" t="inlineStr">
        <is>
          <t>50系</t>
        </is>
      </c>
      <c r="D279" s="11" t="n">
        <v>390000</v>
      </c>
      <c r="E279" s="8" t="n">
        <v>1</v>
      </c>
      <c r="F279" s="11" t="n">
        <v>114894</v>
      </c>
      <c r="G279" s="8" t="inlineStr">
        <is>
          <t>REAL_MILEAGE</t>
        </is>
      </c>
      <c r="H279" s="8" t="inlineStr">
        <is>
          <t>NONE</t>
        </is>
      </c>
      <c r="I279" s="11" t="n">
        <v>0</v>
      </c>
      <c r="J279" s="8" t="inlineStr">
        <is>
          <t>2026-03-09T21:24:00+09:00</t>
        </is>
      </c>
      <c r="K279" s="14" t="inlineStr">
        <is>
          <t>エスティマ 3.5L ミニバン最高クラスの加速性能 外品部品多数 一文字テールランプなど 車検満タン</t>
        </is>
      </c>
      <c r="L279" s="8" t="inlineStr">
        <is>
          <t>https://page.auctions.yahoo.co.jp/jp/auction/j1221618420</t>
        </is>
      </c>
    </row>
    <row r="280">
      <c r="A280" s="13" t="inlineStr">
        <is>
          <t>エスティマ</t>
        </is>
      </c>
      <c r="B280" s="13" t="n">
        <v>2007</v>
      </c>
      <c r="C280" s="13" t="inlineStr">
        <is>
          <t>50系</t>
        </is>
      </c>
      <c r="D280" s="15" t="n">
        <v>274000</v>
      </c>
      <c r="E280" s="13" t="n">
        <v>139</v>
      </c>
      <c r="F280" s="15" t="n">
        <v>144440</v>
      </c>
      <c r="G280" s="13" t="inlineStr">
        <is>
          <t>REAL_MILEAGE</t>
        </is>
      </c>
      <c r="H280" s="13" t="n"/>
      <c r="I280" s="15" t="n">
        <v>0</v>
      </c>
      <c r="J280" s="13" t="inlineStr">
        <is>
          <t>2026-03-06T21:02:12+09:00</t>
        </is>
      </c>
      <c r="K280" s="14" t="inlineStr">
        <is>
          <t>H19 エスティマ　ハイブリッド　前期型　ガソリン満タン　地デジ　ナビ　クルーズコントロール付き</t>
        </is>
      </c>
      <c r="L280" s="13" t="inlineStr">
        <is>
          <t>https://page.auctions.yahoo.co.jp/jp/auction/t1220698769</t>
        </is>
      </c>
    </row>
    <row r="281">
      <c r="A281" s="8" t="inlineStr">
        <is>
          <t>エスティマ</t>
        </is>
      </c>
      <c r="B281" s="8" t="n">
        <v>2007</v>
      </c>
      <c r="C281" s="8" t="inlineStr">
        <is>
          <t>50系</t>
        </is>
      </c>
      <c r="D281" s="11" t="n">
        <v>216500</v>
      </c>
      <c r="E281" s="8" t="n">
        <v>34</v>
      </c>
      <c r="F281" s="11" t="n">
        <v>88200</v>
      </c>
      <c r="G281" s="8" t="inlineStr">
        <is>
          <t>REAL_MILEAGE</t>
        </is>
      </c>
      <c r="H281" s="8" t="n"/>
      <c r="I281" s="11" t="n">
        <v>0</v>
      </c>
      <c r="J281" s="8" t="inlineStr">
        <is>
          <t>2026-02-27T11:24:02+09:00</t>
        </is>
      </c>
      <c r="K281" s="14" t="inlineStr">
        <is>
          <t>【訳アリ】【売切】【千葉発】H19　エスティマアエラス　走8.8万km　７人乗り　ヒッチメンバー　両側パワスラ</t>
        </is>
      </c>
      <c r="L281" s="8" t="inlineStr">
        <is>
          <t>https://page.auctions.yahoo.co.jp/jp/auction/k1220029897</t>
        </is>
      </c>
    </row>
    <row r="282">
      <c r="A282" s="13" t="inlineStr">
        <is>
          <t>エスティマ</t>
        </is>
      </c>
      <c r="B282" s="13" t="n">
        <v>2006</v>
      </c>
      <c r="C282" s="13" t="inlineStr">
        <is>
          <t>50系</t>
        </is>
      </c>
      <c r="D282" s="15" t="n">
        <v>289000</v>
      </c>
      <c r="E282" s="13" t="n">
        <v>111</v>
      </c>
      <c r="F282" s="15" t="n">
        <v>138000</v>
      </c>
      <c r="G282" s="13" t="inlineStr">
        <is>
          <t>REAL_MILEAGE</t>
        </is>
      </c>
      <c r="H282" s="13" t="inlineStr">
        <is>
          <t>NONE</t>
        </is>
      </c>
      <c r="I282" s="15" t="n">
        <v>49930</v>
      </c>
      <c r="J282" s="13" t="inlineStr">
        <is>
          <t>2026-08-16T21:52:53+09:00</t>
        </is>
      </c>
      <c r="K282" s="14" t="inlineStr">
        <is>
          <t xml:space="preserve">0029【１万円売り切り！】トヨタエスティマ　アエラス　サンルーフ　車検R9年7月　型式DBA-ACR50W　</t>
        </is>
      </c>
      <c r="L282" s="13" t="inlineStr">
        <is>
          <t>https://page.auctions.yahoo.co.jp/jp/auction/t1240165778</t>
        </is>
      </c>
    </row>
    <row r="283">
      <c r="A283" s="8" t="inlineStr">
        <is>
          <t>エスティマ</t>
        </is>
      </c>
      <c r="B283" s="8" t="n">
        <v>2006</v>
      </c>
      <c r="C283" s="8" t="inlineStr">
        <is>
          <t>50系</t>
        </is>
      </c>
      <c r="D283" s="11" t="n">
        <v>185000</v>
      </c>
      <c r="E283" s="8" t="n">
        <v>41</v>
      </c>
      <c r="F283" s="11" t="n">
        <v>178000</v>
      </c>
      <c r="G283" s="8" t="inlineStr">
        <is>
          <t>REAL_MILEAGE</t>
        </is>
      </c>
      <c r="H283" s="8" t="n"/>
      <c r="I283" s="11" t="n">
        <v>53780</v>
      </c>
      <c r="J283" s="8" t="inlineStr">
        <is>
          <t>2026-08-02T22:14:57+09:00</t>
        </is>
      </c>
      <c r="K283" s="14" t="inlineStr">
        <is>
          <t xml:space="preserve">エスティマ　4WD　法人役員車両　車検Ｒ9/5迄　</t>
        </is>
      </c>
      <c r="L283" s="8" t="inlineStr">
        <is>
          <t>https://page.auctions.yahoo.co.jp/jp/auction/r1237823838</t>
        </is>
      </c>
    </row>
    <row r="284">
      <c r="A284" s="13" t="inlineStr">
        <is>
          <t>エスティマ</t>
        </is>
      </c>
      <c r="B284" s="13" t="n">
        <v>2006</v>
      </c>
      <c r="C284" s="13" t="inlineStr">
        <is>
          <t>50系</t>
        </is>
      </c>
      <c r="D284" s="15" t="n">
        <v>324222</v>
      </c>
      <c r="E284" s="13" t="n">
        <v>101</v>
      </c>
      <c r="F284" s="15" t="n">
        <v>125400</v>
      </c>
      <c r="G284" s="13" t="inlineStr">
        <is>
          <t>REAL_MILEAGE</t>
        </is>
      </c>
      <c r="H284" s="13" t="inlineStr">
        <is>
          <t>NONE</t>
        </is>
      </c>
      <c r="I284" s="15" t="n">
        <v>62216</v>
      </c>
      <c r="J284" s="13" t="inlineStr">
        <is>
          <t>2026-07-12T22:00:14+09:00</t>
        </is>
      </c>
      <c r="K284" s="14" t="inlineStr">
        <is>
          <t>AHR20 エスティマハイブリッド G プリクラッシュセーフティ MOPナビ 電動リアゲート 後席モニタ コーナセンサ ボディコーティング済み</t>
        </is>
      </c>
      <c r="L284" s="13" t="inlineStr">
        <is>
          <t>https://page.auctions.yahoo.co.jp/jp/auction/r1236021150</t>
        </is>
      </c>
    </row>
    <row r="285">
      <c r="A285" s="8" t="inlineStr">
        <is>
          <t>エスティマ</t>
        </is>
      </c>
      <c r="B285" s="8" t="n">
        <v>2006</v>
      </c>
      <c r="C285" s="8" t="inlineStr">
        <is>
          <t>50系</t>
        </is>
      </c>
      <c r="D285" s="11" t="n">
        <v>615000</v>
      </c>
      <c r="E285" s="8" t="n">
        <v>1</v>
      </c>
      <c r="F285" s="11" t="n">
        <v>73000</v>
      </c>
      <c r="G285" s="8" t="inlineStr">
        <is>
          <t>REAL_MILEAGE</t>
        </is>
      </c>
      <c r="H285" s="8" t="inlineStr">
        <is>
          <t>NONE</t>
        </is>
      </c>
      <c r="I285" s="11" t="n">
        <v>0</v>
      </c>
      <c r="J285" s="8" t="inlineStr">
        <is>
          <t>2026-06-08T14:50:33+09:00</t>
        </is>
      </c>
      <c r="K285" s="14" t="inlineStr">
        <is>
          <t>エスティマハイブリッド 2.4 G 4WD ハイブリッド4WD</t>
        </is>
      </c>
      <c r="L285" s="8" t="inlineStr">
        <is>
          <t>https://page.auctions.yahoo.co.jp/jp/auction/c1230070977</t>
        </is>
      </c>
    </row>
    <row r="286">
      <c r="A286" s="13" t="inlineStr">
        <is>
          <t>エスティマ</t>
        </is>
      </c>
      <c r="B286" s="13" t="n">
        <v>2006</v>
      </c>
      <c r="C286" s="13" t="inlineStr">
        <is>
          <t>50系</t>
        </is>
      </c>
      <c r="D286" s="15" t="n">
        <v>297000</v>
      </c>
      <c r="E286" s="13" t="n">
        <v>1</v>
      </c>
      <c r="F286" s="15" t="n">
        <v>69000</v>
      </c>
      <c r="G286" s="13" t="inlineStr">
        <is>
          <t>REAL_MILEAGE</t>
        </is>
      </c>
      <c r="H286" s="13" t="inlineStr">
        <is>
          <t>NONE</t>
        </is>
      </c>
      <c r="I286" s="15" t="n">
        <v>0</v>
      </c>
      <c r="J286" s="13" t="inlineStr">
        <is>
          <t>2026-05-31T06:58:49+09:00</t>
        </is>
      </c>
      <c r="K286" s="14" t="inlineStr">
        <is>
          <t>エスティマ 2.4 アエラス HDDナビ　フルセグTV　バックカメラ</t>
        </is>
      </c>
      <c r="L286" s="13" t="inlineStr">
        <is>
          <t>https://page.auctions.yahoo.co.jp/jp/auction/s1231075016</t>
        </is>
      </c>
    </row>
    <row r="287">
      <c r="A287" s="8" t="inlineStr">
        <is>
          <t>エスティマ</t>
        </is>
      </c>
      <c r="B287" s="8" t="n">
        <v>2006</v>
      </c>
      <c r="C287" s="8" t="inlineStr">
        <is>
          <t>50系</t>
        </is>
      </c>
      <c r="D287" s="11" t="n">
        <v>398000</v>
      </c>
      <c r="E287" s="8" t="n">
        <v>1</v>
      </c>
      <c r="F287" s="11" t="n">
        <v>67870</v>
      </c>
      <c r="G287" s="8" t="inlineStr">
        <is>
          <t>REAL_MILEAGE</t>
        </is>
      </c>
      <c r="H287" s="8" t="inlineStr">
        <is>
          <t>NONE</t>
        </is>
      </c>
      <c r="I287" s="11" t="n">
        <v>0</v>
      </c>
      <c r="J287" s="8" t="inlineStr">
        <is>
          <t>2026-03-09T09:51:12+09:00</t>
        </is>
      </c>
      <c r="K287" s="14" t="inlineStr">
        <is>
          <t>エスティマ☆アエラス☆実走行6万キロ台☆車検令和9年1月☆純正ナビ☆CD☆DVD☆ETC☆バックカメラ☆ダブルサンルーフ☆パワースライドドア</t>
        </is>
      </c>
      <c r="L287" s="8" t="inlineStr">
        <is>
          <t>https://page.auctions.yahoo.co.jp/jp/auction/r1214035249</t>
        </is>
      </c>
    </row>
    <row r="288">
      <c r="A288" s="13" t="inlineStr">
        <is>
          <t>エスティマ</t>
        </is>
      </c>
      <c r="B288" s="13" t="n">
        <v>2006</v>
      </c>
      <c r="C288" s="13" t="inlineStr">
        <is>
          <t>50系</t>
        </is>
      </c>
      <c r="D288" s="15" t="n">
        <v>126000</v>
      </c>
      <c r="E288" s="13" t="n">
        <v>13</v>
      </c>
      <c r="F288" s="15" t="n">
        <v>89242</v>
      </c>
      <c r="G288" s="13" t="inlineStr">
        <is>
          <t>REAL_MILEAGE</t>
        </is>
      </c>
      <c r="H288" s="13" t="n"/>
      <c r="I288" s="15" t="n">
        <v>0</v>
      </c>
      <c r="J288" s="13" t="inlineStr">
        <is>
          <t>2026-03-03T18:49:17+09:00</t>
        </is>
      </c>
      <c r="K288" s="14" t="inlineStr">
        <is>
          <t>八戸発 H18年 トヨタ TOYOTA エスティマ ACR50W G 車検R9年12月迄 走行8.9万キロ プッシュスタート 社外ナビ バックカメラ 売切!!</t>
        </is>
      </c>
      <c r="L288" s="13" t="inlineStr">
        <is>
          <t>https://page.auctions.yahoo.co.jp/jp/auction/u1221009478</t>
        </is>
      </c>
    </row>
    <row r="289">
      <c r="A289" s="8" t="inlineStr">
        <is>
          <t>エスティマ</t>
        </is>
      </c>
      <c r="B289" s="8" t="n">
        <v>2004</v>
      </c>
      <c r="C289" s="8" t="inlineStr"/>
      <c r="D289" s="11" t="n">
        <v>260000</v>
      </c>
      <c r="E289" s="8" t="n">
        <v>1</v>
      </c>
      <c r="F289" s="11" t="n">
        <v>72000</v>
      </c>
      <c r="G289" s="8" t="inlineStr">
        <is>
          <t>REAL_MILEAGE</t>
        </is>
      </c>
      <c r="H289" s="8" t="inlineStr">
        <is>
          <t>NONE</t>
        </is>
      </c>
      <c r="I289" s="11" t="n">
        <v>0</v>
      </c>
      <c r="J289" s="8" t="inlineStr">
        <is>
          <t>2026-03-25T18:33:32+09:00</t>
        </is>
      </c>
      <c r="K289" s="14" t="inlineStr">
        <is>
          <t>トヨタエスティマ、札幌発引取歓希少貴重品プレミア品エスティマアエラスL2.4 Gエディション4WD 平成16年サンルーフ後席モニター9スピーカ</t>
        </is>
      </c>
      <c r="L289" s="8" t="inlineStr">
        <is>
          <t>https://page.auctions.yahoo.co.jp/jp/auction/f1223768487</t>
        </is>
      </c>
    </row>
    <row r="290">
      <c r="A290" s="13" t="inlineStr">
        <is>
          <t>エスティマ</t>
        </is>
      </c>
      <c r="B290" s="13" t="n">
        <v>2003</v>
      </c>
      <c r="C290" s="13" t="inlineStr"/>
      <c r="D290" s="15" t="n">
        <v>210000</v>
      </c>
      <c r="E290" s="13" t="n">
        <v>1</v>
      </c>
      <c r="F290" s="15" t="n">
        <v>139813</v>
      </c>
      <c r="G290" s="13" t="inlineStr">
        <is>
          <t>REAL_MILEAGE</t>
        </is>
      </c>
      <c r="H290" s="13" t="n"/>
      <c r="I290" s="15" t="n">
        <v>13660</v>
      </c>
      <c r="J290" s="13" t="inlineStr">
        <is>
          <t>2026-07-13T18:56:28+09:00</t>
        </is>
      </c>
      <c r="K290" s="14" t="inlineStr">
        <is>
          <t>八戸発 H15年 トヨタ TOYOTA エスティマL MCR40 アエラスS 4WD バックカメラ タイベル交換済み 抹消渡し 売切!!</t>
        </is>
      </c>
      <c r="L290" s="13" t="inlineStr">
        <is>
          <t>https://page.auctions.yahoo.co.jp/jp/auction/c1236507607</t>
        </is>
      </c>
    </row>
    <row r="291">
      <c r="A291" s="8" t="inlineStr">
        <is>
          <t>エスティマ</t>
        </is>
      </c>
      <c r="B291" s="8" t="n">
        <v>2003</v>
      </c>
      <c r="C291" s="8" t="inlineStr"/>
      <c r="D291" s="11" t="n">
        <v>190000</v>
      </c>
      <c r="E291" s="8" t="n">
        <v>1</v>
      </c>
      <c r="F291" s="11" t="n">
        <v>197267</v>
      </c>
      <c r="G291" s="8" t="inlineStr">
        <is>
          <t>REAL_MILEAGE</t>
        </is>
      </c>
      <c r="H291" s="8" t="n"/>
      <c r="I291" s="11" t="n">
        <v>0</v>
      </c>
      <c r="J291" s="8" t="inlineStr">
        <is>
          <t>2026-06-12T18:14:36+09:00</t>
        </is>
      </c>
      <c r="K291" s="14" t="inlineStr">
        <is>
          <t>【難あり】 八戸発 H15年 TOYOTA トヨタ エスティマ MCR40W アエラス 4WD 純正ナビ バックカメラ 抹消渡し 売切!!</t>
        </is>
      </c>
      <c r="L291" s="8" t="inlineStr">
        <is>
          <t>https://page.auctions.yahoo.co.jp/jp/auction/d1232679048</t>
        </is>
      </c>
    </row>
    <row r="292">
      <c r="A292" s="13" t="inlineStr">
        <is>
          <t>エスティマ</t>
        </is>
      </c>
      <c r="B292" s="13" t="n">
        <v>2000</v>
      </c>
      <c r="C292" s="13" t="inlineStr"/>
      <c r="D292" s="15" t="n">
        <v>184000</v>
      </c>
      <c r="E292" s="13" t="n">
        <v>16</v>
      </c>
      <c r="F292" s="15" t="n">
        <v>97200</v>
      </c>
      <c r="G292" s="13" t="inlineStr">
        <is>
          <t>REAL_MILEAGE</t>
        </is>
      </c>
      <c r="H292" s="13" t="inlineStr">
        <is>
          <t>NONE</t>
        </is>
      </c>
      <c r="I292" s="15" t="n">
        <v>0</v>
      </c>
      <c r="J292" s="13" t="inlineStr">
        <is>
          <t>2026-06-13T16:01:35+09:00</t>
        </is>
      </c>
      <c r="K292" s="14" t="inlineStr">
        <is>
          <t>トヨタ　エスティマ　T アエラス　2.4 希少　車検残りあり　走行1桁</t>
        </is>
      </c>
      <c r="L292" s="13" t="inlineStr">
        <is>
          <t>https://page.auctions.yahoo.co.jp/jp/auction/n1231731615</t>
        </is>
      </c>
    </row>
    <row r="293">
      <c r="A293" s="8" t="inlineStr">
        <is>
          <t>エスティマ</t>
        </is>
      </c>
      <c r="B293" s="8" t="n">
        <v>1998</v>
      </c>
      <c r="C293" s="8" t="inlineStr"/>
      <c r="D293" s="11" t="n">
        <v>462000</v>
      </c>
      <c r="E293" s="8" t="n">
        <v>3</v>
      </c>
      <c r="F293" s="11" t="n">
        <v>106958</v>
      </c>
      <c r="G293" s="8" t="inlineStr">
        <is>
          <t>REAL_MILEAGE</t>
        </is>
      </c>
      <c r="H293" s="8" t="n"/>
      <c r="I293" s="11" t="n">
        <v>0</v>
      </c>
      <c r="J293" s="8" t="inlineStr">
        <is>
          <t>2026-07-27T06:08:28+09:00</t>
        </is>
      </c>
      <c r="K293" s="14" t="inlineStr">
        <is>
          <t>エスティマＴＣＲ２１ｗ</t>
        </is>
      </c>
      <c r="L293" s="8" t="inlineStr">
        <is>
          <t>https://page.auctions.yahoo.co.jp/jp/auction/h1237649980</t>
        </is>
      </c>
    </row>
    <row r="294">
      <c r="A294" s="13" t="inlineStr">
        <is>
          <t>エスティマ</t>
        </is>
      </c>
      <c r="B294" s="13" t="n">
        <v>1998</v>
      </c>
      <c r="C294" s="13" t="inlineStr"/>
      <c r="D294" s="15" t="n">
        <v>450000</v>
      </c>
      <c r="E294" s="13" t="n">
        <v>1</v>
      </c>
      <c r="F294" s="15" t="n">
        <v>92500</v>
      </c>
      <c r="G294" s="13" t="inlineStr">
        <is>
          <t>REAL_MILEAGE</t>
        </is>
      </c>
      <c r="H294" s="13" t="n"/>
      <c r="I294" s="15" t="n">
        <v>0</v>
      </c>
      <c r="J294" s="13" t="inlineStr">
        <is>
          <t>2026-03-17T11:32:28+09:00</t>
        </is>
      </c>
      <c r="K294" s="14" t="inlineStr">
        <is>
          <t>最終値下げ　トヨタ　エスティマアエラス　低走行アグラス車高調　スタビリンク新品交換</t>
        </is>
      </c>
      <c r="L294" s="13" t="inlineStr">
        <is>
          <t>https://page.auctions.yahoo.co.jp/jp/auction/1208907743</t>
        </is>
      </c>
    </row>
    <row r="295">
      <c r="A295" s="8" t="inlineStr">
        <is>
          <t>エスティマ</t>
        </is>
      </c>
      <c r="B295" s="8" t="n">
        <v>1992</v>
      </c>
      <c r="C295" s="8" t="inlineStr"/>
      <c r="D295" s="11" t="n">
        <v>207000</v>
      </c>
      <c r="E295" s="8" t="n">
        <v>37</v>
      </c>
      <c r="F295" s="11" t="n">
        <v>68000</v>
      </c>
      <c r="G295" s="8" t="inlineStr">
        <is>
          <t>REAL_MILEAGE</t>
        </is>
      </c>
      <c r="H295" s="8" t="inlineStr">
        <is>
          <t>NONE</t>
        </is>
      </c>
      <c r="I295" s="11" t="n">
        <v>0</v>
      </c>
      <c r="J295" s="8" t="inlineStr">
        <is>
          <t>2026-04-26T22:30:04+09:00</t>
        </is>
      </c>
      <c r="K295" s="14" t="inlineStr">
        <is>
          <t>☆極 希少 ☆もう出会えない??☆H4年式 初代 エスティマ ☆ 実走68000ｋｍ 電動サンルーフ 絶対的カブリ無し 旧車 ターボ 卵 冷蔵庫 車中泊</t>
        </is>
      </c>
      <c r="L295" s="8" t="inlineStr">
        <is>
          <t>https://page.auctions.yahoo.co.jp/jp/auction/1226232889</t>
        </is>
      </c>
    </row>
    <row r="296">
      <c r="A296" s="13" t="inlineStr">
        <is>
          <t>エスティマ</t>
        </is>
      </c>
      <c r="B296" s="13" t="n"/>
      <c r="C296" s="13" t="inlineStr"/>
      <c r="D296" s="15" t="n">
        <v>798000</v>
      </c>
      <c r="E296" s="13" t="n">
        <v>1</v>
      </c>
      <c r="F296" s="15" t="n"/>
      <c r="G296" s="13" t="n"/>
      <c r="H296" s="13" t="n"/>
      <c r="I296" s="15" t="n"/>
      <c r="J296" s="13" t="inlineStr">
        <is>
          <t>2026-08-09T22:08:14+09:00</t>
        </is>
      </c>
      <c r="K296" s="14" t="inlineStr">
        <is>
          <t>★売切★アエラス★後席リフトアップシート★両自動ドア*Wサンルーフ*ナビ*地フルセグTV*Bカメラ*FBソナ-*ETC*S-KEY★禁煙車★予備検査付!</t>
        </is>
      </c>
      <c r="L296" s="13" t="inlineStr">
        <is>
          <t>https://page.auctions.yahoo.co.jp/jp/auction/r1238631719</t>
        </is>
      </c>
    </row>
    <row r="297">
      <c r="A297" s="8" t="inlineStr">
        <is>
          <t>エスティマ</t>
        </is>
      </c>
      <c r="B297" s="8" t="n"/>
      <c r="C297" s="8" t="inlineStr"/>
      <c r="D297" s="11" t="n">
        <v>500000</v>
      </c>
      <c r="E297" s="8" t="n">
        <v>132</v>
      </c>
      <c r="F297" s="11" t="n"/>
      <c r="G297" s="8" t="n"/>
      <c r="H297" s="8" t="n"/>
      <c r="I297" s="11" t="n"/>
      <c r="J297" s="8" t="inlineStr">
        <is>
          <t>2026-08-09T22:01:38+09:00</t>
        </is>
      </c>
      <c r="K297" s="14" t="inlineStr">
        <is>
          <t>後期型！車検R9年5月まで！H26年式！レザーシート！ナビ！ETC！リア席モニター！乗って帰れます！</t>
        </is>
      </c>
      <c r="L297" s="8" t="inlineStr">
        <is>
          <t>https://page.auctions.yahoo.co.jp/jp/auction/x1238763497</t>
        </is>
      </c>
    </row>
    <row r="298">
      <c r="A298" s="13" t="inlineStr">
        <is>
          <t>エスティマ</t>
        </is>
      </c>
      <c r="B298" s="13" t="n"/>
      <c r="C298" s="13" t="inlineStr"/>
      <c r="D298" s="15" t="n">
        <v>300000</v>
      </c>
      <c r="E298" s="13" t="n">
        <v>1</v>
      </c>
      <c r="F298" s="15" t="n"/>
      <c r="G298" s="13" t="n"/>
      <c r="H298" s="13" t="n"/>
      <c r="I298" s="15" t="n"/>
      <c r="J298" s="13" t="inlineStr">
        <is>
          <t>2026-08-06T10:57:16+09:00</t>
        </is>
      </c>
      <c r="K298" s="14" t="inlineStr">
        <is>
          <t>返金保証付:サンルーフ/レザーシートヒーター/クルーズコントロール/両側電動ドア/Bluetooth/フルセグ/パワーバックドア</t>
        </is>
      </c>
      <c r="L298" s="13" t="inlineStr">
        <is>
          <t>https://page.auctions.yahoo.co.jp/jp/auction/x1239532023</t>
        </is>
      </c>
    </row>
    <row r="299">
      <c r="A299" s="8" t="inlineStr">
        <is>
          <t>エスティマ</t>
        </is>
      </c>
      <c r="B299" s="8" t="n"/>
      <c r="C299" s="8" t="inlineStr"/>
      <c r="D299" s="11" t="n">
        <v>298000</v>
      </c>
      <c r="E299" s="8" t="n">
        <v>2</v>
      </c>
      <c r="F299" s="11" t="n"/>
      <c r="G299" s="8" t="n"/>
      <c r="H299" s="8" t="n"/>
      <c r="I299" s="11" t="n"/>
      <c r="J299" s="8" t="inlineStr">
        <is>
          <t>2026-07-19T13:48:53+09:00</t>
        </is>
      </c>
      <c r="K299" s="14" t="inlineStr">
        <is>
          <t>★車検R8/9/29まで　後期型　アエラス　両側パワスラ/スマートキー×2個/純正18インチアルミ/純正ナビ＆TV＆Bluetooth/純正ETC　修復歴無し</t>
        </is>
      </c>
      <c r="L299" s="8" t="inlineStr">
        <is>
          <t>https://page.auctions.yahoo.co.jp/jp/auction/b1235450155</t>
        </is>
      </c>
    </row>
    <row r="300">
      <c r="A300" s="13" t="inlineStr">
        <is>
          <t>エスティマ</t>
        </is>
      </c>
      <c r="B300" s="13" t="n"/>
      <c r="C300" s="13" t="inlineStr"/>
      <c r="D300" s="15" t="n">
        <v>334000</v>
      </c>
      <c r="E300" s="13" t="n">
        <v>74</v>
      </c>
      <c r="F300" s="15" t="n"/>
      <c r="G300" s="13" t="n"/>
      <c r="H300" s="13" t="n"/>
      <c r="I300" s="15" t="n"/>
      <c r="J300" s="13" t="inlineStr">
        <is>
          <t>2026-07-16T21:07:39+09:00</t>
        </is>
      </c>
      <c r="K300" s="14" t="inlineStr">
        <is>
          <t>４ＷＤ　モデリスタグリル＆リップスポイラー　車検９年６月　修復なし　両側パワスラ　パワーバックドア　ストラーダナビ　クルコン</t>
        </is>
      </c>
      <c r="L300" s="13" t="inlineStr">
        <is>
          <t>https://page.auctions.yahoo.co.jp/jp/auction/c1236635646</t>
        </is>
      </c>
    </row>
    <row r="301">
      <c r="A301" s="8" t="inlineStr">
        <is>
          <t>エスティマ</t>
        </is>
      </c>
      <c r="B301" s="8" t="n"/>
      <c r="C301" s="8" t="inlineStr"/>
      <c r="D301" s="11" t="n">
        <v>790000</v>
      </c>
      <c r="E301" s="8" t="n">
        <v>1</v>
      </c>
      <c r="F301" s="11" t="n"/>
      <c r="G301" s="8" t="n"/>
      <c r="H301" s="8" t="n"/>
      <c r="I301" s="11" t="n"/>
      <c r="J301" s="8" t="inlineStr">
        <is>
          <t>2026-07-02T20:25:51+09:00</t>
        </is>
      </c>
      <c r="K301" s="14" t="inlineStr">
        <is>
          <t>●修復歴なし●実走行５万キロ●両側パワースライドドア●プッシュスタート●スマートキー●純正１８インチＡＷ●Ｒカメラ●ＥＴＣ</t>
        </is>
      </c>
      <c r="L301" s="8" t="inlineStr">
        <is>
          <t>https://page.auctions.yahoo.co.jp/jp/auction/j1224063776</t>
        </is>
      </c>
    </row>
    <row r="302">
      <c r="A302" s="13" t="inlineStr">
        <is>
          <t>エスティマ</t>
        </is>
      </c>
      <c r="B302" s="13" t="n"/>
      <c r="C302" s="13" t="inlineStr"/>
      <c r="D302" s="15" t="n">
        <v>329000</v>
      </c>
      <c r="E302" s="13" t="n">
        <v>57</v>
      </c>
      <c r="F302" s="15" t="n"/>
      <c r="G302" s="13" t="n"/>
      <c r="H302" s="13" t="n"/>
      <c r="I302" s="15" t="n"/>
      <c r="J302" s="13" t="inlineStr">
        <is>
          <t>2026-06-27T21:26:17+09:00</t>
        </is>
      </c>
      <c r="K302" s="14" t="inlineStr">
        <is>
          <t>完全売切 後期アエラス/モデリスタ製フルエアロ　フル装備　低燃費CVT＆アイドリングストップ　エンジン機関絶好調　修復歴無の極上美車</t>
        </is>
      </c>
      <c r="L302" s="13" t="inlineStr">
        <is>
          <t>https://page.auctions.yahoo.co.jp/jp/auction/j1234222658</t>
        </is>
      </c>
    </row>
    <row r="303">
      <c r="A303" s="8" t="inlineStr">
        <is>
          <t>エスティマ</t>
        </is>
      </c>
      <c r="B303" s="8" t="n"/>
      <c r="C303" s="8" t="inlineStr"/>
      <c r="D303" s="11" t="n">
        <v>498000</v>
      </c>
      <c r="E303" s="8" t="n">
        <v>1</v>
      </c>
      <c r="F303" s="11" t="n"/>
      <c r="G303" s="8" t="n"/>
      <c r="H303" s="8" t="n"/>
      <c r="I303" s="11" t="n"/>
      <c r="J303" s="8" t="inlineStr">
        <is>
          <t>2026-06-22T20:13:46+09:00</t>
        </is>
      </c>
      <c r="K303" s="14" t="inlineStr">
        <is>
          <t>★売切★後期★2,4アエラス*４ＷＤ★両自動ドア*TEIN車庫調*ナビ*地フルセグTV*後席フリップダウン*バックカメラ*ETC★禁煙車★予備検査付!</t>
        </is>
      </c>
      <c r="L303" s="8" t="inlineStr">
        <is>
          <t>https://page.auctions.yahoo.co.jp/jp/auction/o1231149728</t>
        </is>
      </c>
    </row>
    <row r="304">
      <c r="A304" s="13" t="inlineStr">
        <is>
          <t>エスティマ</t>
        </is>
      </c>
      <c r="B304" s="13" t="n"/>
      <c r="C304" s="13" t="inlineStr"/>
      <c r="D304" s="15" t="n">
        <v>228000</v>
      </c>
      <c r="E304" s="13" t="n">
        <v>19</v>
      </c>
      <c r="F304" s="15" t="n"/>
      <c r="G304" s="13" t="n"/>
      <c r="H304" s="13" t="n"/>
      <c r="I304" s="15" t="n"/>
      <c r="J304" s="13" t="inlineStr">
        <is>
          <t>2026-06-18T21:38:46+09:00</t>
        </is>
      </c>
      <c r="K304" s="14" t="inlineStr">
        <is>
          <t>最上級モデル/後期26年アエラス　特別仕様車プレミアムED　フル装備　CVT＆エンジン機関絶好調　検査令和9年10月　修復歴無しの美車</t>
        </is>
      </c>
      <c r="L304" s="13" t="inlineStr">
        <is>
          <t>https://page.auctions.yahoo.co.jp/jp/auction/h1233057441</t>
        </is>
      </c>
    </row>
    <row r="305">
      <c r="A305" s="8" t="inlineStr">
        <is>
          <t>エスティマ</t>
        </is>
      </c>
      <c r="B305" s="8" t="n"/>
      <c r="C305" s="8" t="inlineStr"/>
      <c r="D305" s="11" t="n">
        <v>478000</v>
      </c>
      <c r="E305" s="8" t="n">
        <v>2</v>
      </c>
      <c r="F305" s="11" t="n"/>
      <c r="G305" s="8" t="n"/>
      <c r="H305" s="8" t="n"/>
      <c r="I305" s="11" t="n"/>
      <c r="J305" s="8" t="inlineStr">
        <is>
          <t>2026-06-12T08:22:01+09:00</t>
        </is>
      </c>
      <c r="K305" s="14" t="inlineStr">
        <is>
          <t>★売切★後期★2.4アエラス*BLACK★両自動ドア*8incナビ*後フリップダウン*地フルセグTV*バックカメラ*ETC★禁煙車★予備検査付!</t>
        </is>
      </c>
      <c r="L305" s="8" t="inlineStr">
        <is>
          <t>https://page.auctions.yahoo.co.jp/jp/auction/t1233056908</t>
        </is>
      </c>
    </row>
    <row r="306">
      <c r="A306" s="13" t="inlineStr">
        <is>
          <t>エスティマ</t>
        </is>
      </c>
      <c r="B306" s="13" t="n"/>
      <c r="C306" s="13" t="inlineStr"/>
      <c r="D306" s="15" t="n">
        <v>598000</v>
      </c>
      <c r="E306" s="13" t="n">
        <v>1</v>
      </c>
      <c r="F306" s="15" t="n"/>
      <c r="G306" s="13" t="n"/>
      <c r="H306" s="13" t="n"/>
      <c r="I306" s="15" t="n"/>
      <c r="J306" s="13" t="inlineStr">
        <is>
          <t>2026-06-01T12:26:02+09:00</t>
        </is>
      </c>
      <c r="K306" s="14" t="inlineStr">
        <is>
          <t>★売切★後期★2,4アエラス*４ＷＤ*BLACK★両自動ドア*ナビ*地フルセグTV*後席フリップダウン*バックカメラ*ETC★禁煙車★予備検査付!</t>
        </is>
      </c>
      <c r="L306" s="13" t="inlineStr">
        <is>
          <t>https://page.auctions.yahoo.co.jp/jp/auction/e1231654121</t>
        </is>
      </c>
    </row>
    <row r="307">
      <c r="A307" s="8" t="inlineStr">
        <is>
          <t>エスティマ</t>
        </is>
      </c>
      <c r="B307" s="8" t="n"/>
      <c r="C307" s="8" t="inlineStr"/>
      <c r="D307" s="11" t="n">
        <v>478000</v>
      </c>
      <c r="E307" s="8" t="n">
        <v>2</v>
      </c>
      <c r="F307" s="11" t="n"/>
      <c r="G307" s="8" t="n"/>
      <c r="H307" s="8" t="n"/>
      <c r="I307" s="11" t="n"/>
      <c r="J307" s="8" t="inlineStr">
        <is>
          <t>2026-05-23T12:31:28+09:00</t>
        </is>
      </c>
      <c r="K307" s="14" t="inlineStr">
        <is>
          <t>★売切★後期モデル*豪華!★2.4 アエラス*8人乗★両自動ドア*8incナビ*地フルセグTV*後フリップダウン*Bカメラ*ETC★禁煙車★予備検査付!</t>
        </is>
      </c>
      <c r="L307" s="8" t="inlineStr">
        <is>
          <t>https://page.auctions.yahoo.co.jp/jp/auction/h1229407676</t>
        </is>
      </c>
    </row>
    <row r="308">
      <c r="A308" s="13" t="inlineStr">
        <is>
          <t>エスティマ</t>
        </is>
      </c>
      <c r="B308" s="13" t="n"/>
      <c r="C308" s="13" t="inlineStr"/>
      <c r="D308" s="15" t="n">
        <v>389000</v>
      </c>
      <c r="E308" s="13" t="n">
        <v>85</v>
      </c>
      <c r="F308" s="15" t="n"/>
      <c r="G308" s="13" t="n"/>
      <c r="H308" s="13" t="n"/>
      <c r="I308" s="15" t="n"/>
      <c r="J308" s="13" t="inlineStr">
        <is>
          <t>2026-05-15T21:47:09+09:00</t>
        </is>
      </c>
      <c r="K308" s="14" t="inlineStr">
        <is>
          <t>売切★H26年式アエラスプレミアムエディション 車検長い(R9/8迄)純正ナビ・地デジTV・両側Pスラ・Pリアゲート・Pシート</t>
        </is>
      </c>
      <c r="L308" s="13" t="inlineStr">
        <is>
          <t>https://page.auctions.yahoo.co.jp/jp/auction/p1228602125</t>
        </is>
      </c>
    </row>
    <row r="309">
      <c r="A309" s="8" t="inlineStr">
        <is>
          <t>エスティマ</t>
        </is>
      </c>
      <c r="B309" s="8" t="n"/>
      <c r="C309" s="8" t="inlineStr"/>
      <c r="D309" s="11" t="n">
        <v>271000</v>
      </c>
      <c r="E309" s="8" t="n">
        <v>64</v>
      </c>
      <c r="F309" s="11" t="n"/>
      <c r="G309" s="8" t="n"/>
      <c r="H309" s="8" t="n"/>
      <c r="I309" s="11" t="n"/>
      <c r="J309" s="8" t="inlineStr">
        <is>
          <t>2026-05-11T21:15:38+09:00</t>
        </is>
      </c>
      <c r="K309" s="14" t="inlineStr">
        <is>
          <t>車検１０年５月　アエラスＧエディション　修復なし　両側パワースライドドア　ナビ　Ｂカメラ　ＥＴＣ　クルコン　オートエアコン</t>
        </is>
      </c>
      <c r="L309" s="8" t="inlineStr">
        <is>
          <t>https://page.auctions.yahoo.co.jp/jp/auction/o1228491820</t>
        </is>
      </c>
    </row>
    <row r="310">
      <c r="A310" s="13" t="inlineStr">
        <is>
          <t>エスティマ</t>
        </is>
      </c>
      <c r="B310" s="13" t="n"/>
      <c r="C310" s="13" t="inlineStr"/>
      <c r="D310" s="15" t="n">
        <v>558000</v>
      </c>
      <c r="E310" s="13" t="n">
        <v>1</v>
      </c>
      <c r="F310" s="15" t="n"/>
      <c r="G310" s="13" t="n"/>
      <c r="H310" s="13" t="n"/>
      <c r="I310" s="15" t="n"/>
      <c r="J310" s="13" t="inlineStr">
        <is>
          <t>2026-05-09T13:35:50+09:00</t>
        </is>
      </c>
      <c r="K310" s="14" t="inlineStr">
        <is>
          <t>★売切★後期★2.4アエラス*４ＷＤ★両自動ドア*８inc-HDDナビ*地フルセグTV*バックカメラ*ETC★禁煙車★予備検査付!</t>
        </is>
      </c>
      <c r="L310" s="13" t="inlineStr">
        <is>
          <t>https://page.auctions.yahoo.co.jp/jp/auction/g1226165395</t>
        </is>
      </c>
    </row>
    <row r="311">
      <c r="A311" s="8" t="inlineStr">
        <is>
          <t>エスティマ</t>
        </is>
      </c>
      <c r="B311" s="8" t="n"/>
      <c r="C311" s="8" t="inlineStr"/>
      <c r="D311" s="11" t="n">
        <v>500000</v>
      </c>
      <c r="E311" s="8" t="n">
        <v>1</v>
      </c>
      <c r="F311" s="11" t="n"/>
      <c r="G311" s="8" t="n"/>
      <c r="H311" s="8" t="n"/>
      <c r="I311" s="11" t="n"/>
      <c r="J311" s="8" t="inlineStr">
        <is>
          <t>2026-03-31T21:24:24+09:00</t>
        </is>
      </c>
      <c r="K311" s="14" t="inlineStr">
        <is>
          <t xml:space="preserve">後期型アエラス黒 ７人乗り ８型ナビ フルセグTV フリップダウンモニター 両側電動ドア スマートキー×2 オットマン 車検9/8 </t>
        </is>
      </c>
      <c r="L311" s="8" t="inlineStr">
        <is>
          <t>https://page.auctions.yahoo.co.jp/jp/auction/n1223760877</t>
        </is>
      </c>
    </row>
    <row r="312">
      <c r="A312" s="13" t="inlineStr">
        <is>
          <t>エスティマ</t>
        </is>
      </c>
      <c r="B312" s="13" t="n"/>
      <c r="C312" s="13" t="inlineStr"/>
      <c r="D312" s="15" t="n">
        <v>400000</v>
      </c>
      <c r="E312" s="13" t="n">
        <v>2</v>
      </c>
      <c r="F312" s="15" t="n"/>
      <c r="G312" s="13" t="n"/>
      <c r="H312" s="13" t="n"/>
      <c r="I312" s="15" t="n"/>
      <c r="J312" s="13" t="inlineStr">
        <is>
          <t>2026-03-24T23:09:04+09:00</t>
        </is>
      </c>
      <c r="K312" s="14" t="inlineStr">
        <is>
          <t>★売切★特別仕様車★2,4アエラス20thアニバーサリー*BLACK★両側自動ドア*8incHDDナビ*地フルセグTV*フリップダウン*Bカメラ★禁煙車!</t>
        </is>
      </c>
      <c r="L312" s="13" t="inlineStr">
        <is>
          <t>https://page.auctions.yahoo.co.jp/jp/auction/r1222444502</t>
        </is>
      </c>
    </row>
    <row r="313">
      <c r="A313" s="8" t="inlineStr">
        <is>
          <t>エスティマ</t>
        </is>
      </c>
      <c r="B313" s="8" t="n"/>
      <c r="C313" s="8" t="inlineStr"/>
      <c r="D313" s="11" t="n">
        <v>358000</v>
      </c>
      <c r="E313" s="8" t="n">
        <v>1</v>
      </c>
      <c r="F313" s="11" t="n"/>
      <c r="G313" s="8" t="n"/>
      <c r="H313" s="8" t="n"/>
      <c r="I313" s="11" t="n"/>
      <c r="J313" s="8" t="inlineStr">
        <is>
          <t>2026-03-19T17:41:38+09:00</t>
        </is>
      </c>
      <c r="K313" s="14" t="inlineStr">
        <is>
          <t>無事故 実走行 OBD診断済 両側PWスライド ナビ フルセグTV フリップダウンモニター 前後カメラ シートヒーター 禁煙 予備検査付き</t>
        </is>
      </c>
      <c r="L313" s="8" t="inlineStr">
        <is>
          <t>https://page.auctions.yahoo.co.jp/jp/auction/l1223385759</t>
        </is>
      </c>
    </row>
    <row r="314">
      <c r="A314" s="13" t="inlineStr">
        <is>
          <t>エスティマ</t>
        </is>
      </c>
      <c r="B314" s="13" t="n"/>
      <c r="C314" s="13" t="inlineStr"/>
      <c r="D314" s="15" t="n">
        <v>276000</v>
      </c>
      <c r="E314" s="13" t="n">
        <v>140</v>
      </c>
      <c r="F314" s="15" t="n"/>
      <c r="G314" s="13" t="n"/>
      <c r="H314" s="13" t="n"/>
      <c r="I314" s="15" t="n"/>
      <c r="J314" s="13" t="inlineStr">
        <is>
          <t>2026-03-07T22:39:06+09:00</t>
        </is>
      </c>
      <c r="K314" s="14" t="inlineStr">
        <is>
          <t>売切！サンルーフ★両側電動パワースライドドア★クルーズコントロール★Bluetooth★バックカメラ★乗って帰れます！★内外装・機関状態良</t>
        </is>
      </c>
      <c r="L314" s="13" t="inlineStr">
        <is>
          <t>https://page.auctions.yahoo.co.jp/jp/auction/s1221665115</t>
        </is>
      </c>
    </row>
    <row r="315">
      <c r="A315" s="8" t="inlineStr">
        <is>
          <t>エスティマ</t>
        </is>
      </c>
      <c r="B315" s="8" t="n"/>
      <c r="C315" s="8" t="inlineStr"/>
      <c r="D315" s="11" t="n">
        <v>558000</v>
      </c>
      <c r="E315" s="8" t="n">
        <v>1</v>
      </c>
      <c r="F315" s="11" t="n"/>
      <c r="G315" s="8" t="n"/>
      <c r="H315" s="8" t="n"/>
      <c r="I315" s="11" t="n"/>
      <c r="J315" s="8" t="inlineStr">
        <is>
          <t>2026-08-05T23:48:53+09:00</t>
        </is>
      </c>
      <c r="K315" s="14" t="inlineStr">
        <is>
          <t>★売切★豪華*美車★23年式*ハイブリッド*4WD★7人乗★SDナビ*地フルセグTV*後フリップダウン*S&amp;Bカメラ*ETC★禁煙車★予備検査付!</t>
        </is>
      </c>
      <c r="L315" s="8" t="inlineStr">
        <is>
          <t>https://page.auctions.yahoo.co.jp/jp/auction/d1238024287</t>
        </is>
      </c>
    </row>
    <row r="316">
      <c r="A316" s="13" t="inlineStr">
        <is>
          <t>エスティマ</t>
        </is>
      </c>
      <c r="B316" s="13" t="n"/>
      <c r="C316" s="13" t="inlineStr"/>
      <c r="D316" s="15" t="n">
        <v>578000</v>
      </c>
      <c r="E316" s="13" t="n">
        <v>1</v>
      </c>
      <c r="F316" s="15" t="n"/>
      <c r="G316" s="13" t="n"/>
      <c r="H316" s="13" t="n"/>
      <c r="I316" s="15" t="n"/>
      <c r="J316" s="13" t="inlineStr">
        <is>
          <t>2026-06-06T09:25:05+09:00</t>
        </is>
      </c>
      <c r="K316" s="14" t="inlineStr">
        <is>
          <t>★売切★最高級★G*4WD★走行46900Km!★8incHDDナビ*地フルセグTV*後フリップダウン*FSBカメラ*ソナー*ドラレコ*ETC★禁煙車★予備検査付!</t>
        </is>
      </c>
      <c r="L316" s="13" t="inlineStr">
        <is>
          <t>https://page.auctions.yahoo.co.jp/jp/auction/x1232325840</t>
        </is>
      </c>
    </row>
    <row r="317">
      <c r="A317" s="8" t="inlineStr">
        <is>
          <t>エスティマ</t>
        </is>
      </c>
      <c r="B317" s="8" t="n"/>
      <c r="C317" s="8" t="inlineStr"/>
      <c r="D317" s="11" t="n">
        <v>335000</v>
      </c>
      <c r="E317" s="8" t="n">
        <v>93</v>
      </c>
      <c r="F317" s="11" t="n"/>
      <c r="G317" s="8" t="n"/>
      <c r="H317" s="8" t="n"/>
      <c r="I317" s="11" t="n"/>
      <c r="J317" s="8" t="inlineStr">
        <is>
          <t>2026-03-01T21:52:36+09:00</t>
        </is>
      </c>
      <c r="K317" s="14" t="inlineStr">
        <is>
          <t>H21【3型フェイス 4WD】寒冷地仕様/ナビ/18インチアルミホイール/両側PS/リアエンター/クルーズコントロール/リアエアコン/検8.8</t>
        </is>
      </c>
      <c r="L317" s="8" t="inlineStr">
        <is>
          <t>https://page.auctions.yahoo.co.jp/jp/auction/e1220679003</t>
        </is>
      </c>
    </row>
    <row r="318">
      <c r="A318" s="13" t="inlineStr">
        <is>
          <t>シエンタ</t>
        </is>
      </c>
      <c r="B318" s="13" t="n">
        <v>2025</v>
      </c>
      <c r="C318" s="13" t="inlineStr">
        <is>
          <t>10系</t>
        </is>
      </c>
      <c r="D318" s="15" t="n">
        <v>1651000</v>
      </c>
      <c r="E318" s="13" t="n">
        <v>211</v>
      </c>
      <c r="F318" s="15" t="n">
        <v>4200</v>
      </c>
      <c r="G318" s="13" t="inlineStr">
        <is>
          <t>REAL_MILEAGE</t>
        </is>
      </c>
      <c r="H318" s="13" t="n"/>
      <c r="I318" s="15" t="n">
        <v>91650</v>
      </c>
      <c r="J318" s="13" t="inlineStr">
        <is>
          <t>2026-07-12T21:26:53+09:00</t>
        </is>
      </c>
      <c r="K318" s="14" t="inlineStr">
        <is>
          <t>トヨタシエンタハイブリッドG、カーナビ、ETC、車検R8/12月まで、プッシュスタート、バックカメラ、360カメラビュー、</t>
        </is>
      </c>
      <c r="L318" s="13" t="inlineStr">
        <is>
          <t>https://page.auctions.yahoo.co.jp/jp/auction/l1233825722</t>
        </is>
      </c>
    </row>
    <row r="319">
      <c r="A319" s="8" t="inlineStr">
        <is>
          <t>シエンタ</t>
        </is>
      </c>
      <c r="B319" s="8" t="n">
        <v>2024</v>
      </c>
      <c r="C319" s="8" t="inlineStr">
        <is>
          <t>10系</t>
        </is>
      </c>
      <c r="D319" s="11" t="n">
        <v>1452000</v>
      </c>
      <c r="E319" s="8" t="n">
        <v>147</v>
      </c>
      <c r="F319" s="11" t="n">
        <v>35130</v>
      </c>
      <c r="G319" s="8" t="inlineStr">
        <is>
          <t>REAL_MILEAGE</t>
        </is>
      </c>
      <c r="H319" s="8" t="n"/>
      <c r="I319" s="11" t="n">
        <v>11650</v>
      </c>
      <c r="J319" s="8" t="inlineStr">
        <is>
          <t>2026-08-18T20:48:14+09:00</t>
        </is>
      </c>
      <c r="K319" s="14" t="inlineStr">
        <is>
          <t>トヨタ シエンタ 令和 6年式 ハイブリッド Zグレード、車検2年付き！大型TVナビゲーション、アラウンドビューモニター搭載</t>
        </is>
      </c>
      <c r="L319" s="8" t="inlineStr">
        <is>
          <t>https://page.auctions.yahoo.co.jp/jp/auction/s1240841121</t>
        </is>
      </c>
    </row>
    <row r="320">
      <c r="A320" s="13" t="inlineStr">
        <is>
          <t>シエンタ</t>
        </is>
      </c>
      <c r="B320" s="13" t="n">
        <v>2024</v>
      </c>
      <c r="C320" s="13" t="inlineStr">
        <is>
          <t>10系</t>
        </is>
      </c>
      <c r="D320" s="15" t="n">
        <v>1601000</v>
      </c>
      <c r="E320" s="13" t="n">
        <v>178</v>
      </c>
      <c r="F320" s="15" t="n">
        <v>58050</v>
      </c>
      <c r="G320" s="13" t="inlineStr">
        <is>
          <t>REAL_MILEAGE</t>
        </is>
      </c>
      <c r="H320" s="13" t="inlineStr">
        <is>
          <t>NONE</t>
        </is>
      </c>
      <c r="I320" s="15" t="n">
        <v>65750</v>
      </c>
      <c r="J320" s="13" t="inlineStr">
        <is>
          <t>2026-07-13T22:08:04+09:00</t>
        </is>
      </c>
      <c r="K320" s="14" t="inlineStr">
        <is>
          <t>トヨタ シエンタ ハイブリッドG R6年 5.8万km 車検R10年7月 両側パワスラ ナビ Bカメラ 7日間返金保証</t>
        </is>
      </c>
      <c r="L320" s="13" t="inlineStr">
        <is>
          <t>https://page.auctions.yahoo.co.jp/jp/auction/t1236255981</t>
        </is>
      </c>
    </row>
    <row r="321">
      <c r="A321" s="8" t="inlineStr">
        <is>
          <t>シエンタ</t>
        </is>
      </c>
      <c r="B321" s="8" t="n">
        <v>2024</v>
      </c>
      <c r="C321" s="8" t="inlineStr">
        <is>
          <t>10系</t>
        </is>
      </c>
      <c r="D321" s="11" t="n">
        <v>2113000</v>
      </c>
      <c r="E321" s="8" t="n">
        <v>194</v>
      </c>
      <c r="F321" s="11" t="n">
        <v>10900</v>
      </c>
      <c r="G321" s="8" t="inlineStr">
        <is>
          <t>REAL_MILEAGE</t>
        </is>
      </c>
      <c r="H321" s="8" t="n"/>
      <c r="I321" s="11" t="n">
        <v>0</v>
      </c>
      <c r="J321" s="8" t="inlineStr">
        <is>
          <t>2026-06-09T20:07:51+09:00</t>
        </is>
      </c>
      <c r="K321" s="14" t="inlineStr">
        <is>
          <t>トヨタ シエンタ ハイブリッドZ 7人乗り 令和6年11,000キロ車検令和9年9月(全てコミコミ)(1万円〜売り切り)</t>
        </is>
      </c>
      <c r="L321" s="8" t="inlineStr">
        <is>
          <t>https://page.auctions.yahoo.co.jp/jp/auction/u1232599316</t>
        </is>
      </c>
    </row>
    <row r="322">
      <c r="A322" s="13" t="inlineStr">
        <is>
          <t>シエンタ</t>
        </is>
      </c>
      <c r="B322" s="13" t="n">
        <v>2023</v>
      </c>
      <c r="C322" s="13" t="inlineStr">
        <is>
          <t>10系</t>
        </is>
      </c>
      <c r="D322" s="15" t="n">
        <v>2200000</v>
      </c>
      <c r="E322" s="13" t="n">
        <v>71</v>
      </c>
      <c r="F322" s="15" t="n">
        <v>35500</v>
      </c>
      <c r="G322" s="13" t="inlineStr">
        <is>
          <t>REAL_MILEAGE</t>
        </is>
      </c>
      <c r="H322" s="13" t="inlineStr">
        <is>
          <t>NONE</t>
        </is>
      </c>
      <c r="I322" s="15" t="n">
        <v>11650</v>
      </c>
      <c r="J322" s="13" t="inlineStr">
        <is>
          <t>2026-07-26T21:12:30+09:00</t>
        </is>
      </c>
      <c r="K322" s="14" t="inlineStr">
        <is>
          <t>トヨタ シエンタハイブリッド 1.5Z 純正ナビTV 両側パワースライドドア パノラミックビューモニター シートヒーター</t>
        </is>
      </c>
      <c r="L322" s="13" t="inlineStr">
        <is>
          <t>https://page.auctions.yahoo.co.jp/jp/auction/e1237923892</t>
        </is>
      </c>
    </row>
    <row r="323">
      <c r="A323" s="8" t="inlineStr">
        <is>
          <t>シエンタ</t>
        </is>
      </c>
      <c r="B323" s="8" t="n">
        <v>2023</v>
      </c>
      <c r="C323" s="8" t="inlineStr">
        <is>
          <t>10系</t>
        </is>
      </c>
      <c r="D323" s="11" t="n">
        <v>1999000</v>
      </c>
      <c r="E323" s="8" t="n">
        <v>158</v>
      </c>
      <c r="F323" s="11" t="n">
        <v>35000</v>
      </c>
      <c r="G323" s="8" t="inlineStr">
        <is>
          <t>REAL_MILEAGE</t>
        </is>
      </c>
      <c r="H323" s="8" t="inlineStr">
        <is>
          <t>NONE</t>
        </is>
      </c>
      <c r="I323" s="11" t="n">
        <v>11650</v>
      </c>
      <c r="J323" s="8" t="inlineStr">
        <is>
          <t>2026-07-15T21:08:47+09:00</t>
        </is>
      </c>
      <c r="K323" s="14" t="inlineStr">
        <is>
          <t>トヨタ シエンタハイブリッド 1.5Z 純正ナビTV 両側パワースライドドア パノラミックビューモニター シートヒーター</t>
        </is>
      </c>
      <c r="L323" s="8" t="inlineStr">
        <is>
          <t>https://page.auctions.yahoo.co.jp/jp/auction/w1236627927</t>
        </is>
      </c>
    </row>
    <row r="324">
      <c r="A324" s="13" t="inlineStr">
        <is>
          <t>シエンタ</t>
        </is>
      </c>
      <c r="B324" s="13" t="n">
        <v>2022</v>
      </c>
      <c r="C324" s="13" t="inlineStr">
        <is>
          <t>10系</t>
        </is>
      </c>
      <c r="D324" s="15" t="n">
        <v>1201000</v>
      </c>
      <c r="E324" s="13" t="n">
        <v>112</v>
      </c>
      <c r="F324" s="15" t="n">
        <v>10000</v>
      </c>
      <c r="G324" s="13" t="inlineStr">
        <is>
          <t>METER_REPLACEMENT</t>
        </is>
      </c>
      <c r="H324" s="13" t="inlineStr">
        <is>
          <t>NONE</t>
        </is>
      </c>
      <c r="I324" s="15" t="n">
        <v>0</v>
      </c>
      <c r="J324" s="13" t="inlineStr">
        <is>
          <t>2026-04-24T22:47:37+09:00</t>
        </is>
      </c>
      <c r="K324" s="14" t="inlineStr">
        <is>
          <t xml:space="preserve">トヨタ シエンタ ハイブリッド 令和4年式 MXPL10 1万キロ パールホワイト ナビTV バックカメラ パワースライドドア </t>
        </is>
      </c>
      <c r="L324" s="13" t="inlineStr">
        <is>
          <t>https://page.auctions.yahoo.co.jp/jp/auction/h1227085164</t>
        </is>
      </c>
    </row>
    <row r="325">
      <c r="A325" s="8" t="inlineStr">
        <is>
          <t>シエンタ</t>
        </is>
      </c>
      <c r="B325" s="8" t="n">
        <v>2021</v>
      </c>
      <c r="C325" s="8" t="inlineStr">
        <is>
          <t>170系</t>
        </is>
      </c>
      <c r="D325" s="11" t="n">
        <v>810000</v>
      </c>
      <c r="E325" s="8" t="n">
        <v>167</v>
      </c>
      <c r="F325" s="11" t="n">
        <v>25500</v>
      </c>
      <c r="G325" s="8" t="inlineStr">
        <is>
          <t>REAL_MILEAGE</t>
        </is>
      </c>
      <c r="H325" s="8" t="inlineStr">
        <is>
          <t>NONE</t>
        </is>
      </c>
      <c r="I325" s="11" t="n">
        <v>0</v>
      </c>
      <c r="J325" s="8" t="inlineStr">
        <is>
          <t>2026-04-08T20:58:48+09:00</t>
        </is>
      </c>
      <c r="K325" s="14" t="inlineStr">
        <is>
          <t>低走行距離／トヨタ シエンタ／ナビ／パワースライドドア（前後）／トヨタ セーフティ センス／新車点検済み</t>
        </is>
      </c>
      <c r="L325" s="8" t="inlineStr">
        <is>
          <t>https://page.auctions.yahoo.co.jp/jp/auction/m1225009289</t>
        </is>
      </c>
    </row>
    <row r="326">
      <c r="A326" s="13" t="inlineStr">
        <is>
          <t>シエンタ</t>
        </is>
      </c>
      <c r="B326" s="13" t="n">
        <v>2020</v>
      </c>
      <c r="C326" s="13" t="inlineStr">
        <is>
          <t>170系</t>
        </is>
      </c>
      <c r="D326" s="15" t="n">
        <v>903000</v>
      </c>
      <c r="E326" s="13" t="n">
        <v>83</v>
      </c>
      <c r="F326" s="15" t="n">
        <v>62000</v>
      </c>
      <c r="G326" s="13" t="inlineStr">
        <is>
          <t>REAL_MILEAGE</t>
        </is>
      </c>
      <c r="H326" s="13" t="inlineStr">
        <is>
          <t>NONE</t>
        </is>
      </c>
      <c r="I326" s="15" t="n">
        <v>10360</v>
      </c>
      <c r="J326" s="13" t="inlineStr">
        <is>
          <t>2026-07-18T21:37:39+09:00</t>
        </is>
      </c>
      <c r="K326" s="14" t="inlineStr">
        <is>
          <t>トヨタ シエンタ 令和2年式 5BA-NSP170G ファンベースG 両側パワースライドドア 純正ナビTV BT フリップダウンモニター ETC Bカメラ</t>
        </is>
      </c>
      <c r="L326" s="13" t="inlineStr">
        <is>
          <t>https://page.auctions.yahoo.co.jp/jp/auction/x1237179610</t>
        </is>
      </c>
    </row>
    <row r="327">
      <c r="A327" s="8" t="inlineStr">
        <is>
          <t>シエンタ</t>
        </is>
      </c>
      <c r="B327" s="8" t="n">
        <v>2020</v>
      </c>
      <c r="C327" s="8" t="inlineStr">
        <is>
          <t>170系</t>
        </is>
      </c>
      <c r="D327" s="11" t="n">
        <v>1070000</v>
      </c>
      <c r="E327" s="8" t="n">
        <v>252</v>
      </c>
      <c r="F327" s="11" t="n">
        <v>62000</v>
      </c>
      <c r="G327" s="8" t="inlineStr">
        <is>
          <t>REAL_MILEAGE</t>
        </is>
      </c>
      <c r="H327" s="8" t="inlineStr">
        <is>
          <t>NONE</t>
        </is>
      </c>
      <c r="I327" s="11" t="n">
        <v>10360</v>
      </c>
      <c r="J327" s="8" t="inlineStr">
        <is>
          <t>2026-07-08T21:33:10+09:00</t>
        </is>
      </c>
      <c r="K327" s="14" t="inlineStr">
        <is>
          <t>トヨタ シエンタ 令和2年式 5BA-NSP170G ファンベースG 両側パワースライドドア 純正ナビTV BT フリップダウンモニター ETC Bカメラ</t>
        </is>
      </c>
      <c r="L327" s="8" t="inlineStr">
        <is>
          <t>https://page.auctions.yahoo.co.jp/jp/auction/o1235907027</t>
        </is>
      </c>
    </row>
    <row r="328">
      <c r="A328" s="13" t="inlineStr">
        <is>
          <t>シエンタ</t>
        </is>
      </c>
      <c r="B328" s="13" t="n">
        <v>2019</v>
      </c>
      <c r="C328" s="13" t="inlineStr">
        <is>
          <t>170系</t>
        </is>
      </c>
      <c r="D328" s="15" t="n">
        <v>1058000</v>
      </c>
      <c r="E328" s="13" t="n">
        <v>1</v>
      </c>
      <c r="F328" s="15" t="n">
        <v>85000</v>
      </c>
      <c r="G328" s="13" t="inlineStr">
        <is>
          <t>REAL_MILEAGE</t>
        </is>
      </c>
      <c r="H328" s="13" t="inlineStr">
        <is>
          <t>NONE</t>
        </is>
      </c>
      <c r="I328" s="15" t="n">
        <v>0</v>
      </c>
      <c r="J328" s="13" t="inlineStr">
        <is>
          <t>2026-08-17T12:31:59+09:00</t>
        </is>
      </c>
      <c r="K328" s="14" t="inlineStr">
        <is>
          <t>シエンタ ハイブリッド 1.5 ファンベース G ブレーキサポート メモリーナビ ETC</t>
        </is>
      </c>
      <c r="L328" s="13" t="inlineStr">
        <is>
          <t>https://page.auctions.yahoo.co.jp/jp/auction/1239865299</t>
        </is>
      </c>
    </row>
    <row r="329">
      <c r="A329" s="8" t="inlineStr">
        <is>
          <t>シエンタ</t>
        </is>
      </c>
      <c r="B329" s="8" t="n">
        <v>2019</v>
      </c>
      <c r="C329" s="8" t="inlineStr">
        <is>
          <t>170系</t>
        </is>
      </c>
      <c r="D329" s="11" t="n">
        <v>1989000</v>
      </c>
      <c r="E329" s="8" t="n">
        <v>1</v>
      </c>
      <c r="F329" s="11" t="n">
        <v>61430</v>
      </c>
      <c r="G329" s="8" t="inlineStr">
        <is>
          <t>REAL_MILEAGE</t>
        </is>
      </c>
      <c r="H329" s="8" t="inlineStr">
        <is>
          <t>NONE</t>
        </is>
      </c>
      <c r="I329" s="11" t="n">
        <v>0</v>
      </c>
      <c r="J329" s="8" t="inlineStr">
        <is>
          <t>2026-07-14T23:58:33+09:00</t>
        </is>
      </c>
      <c r="K329" s="14" t="inlineStr">
        <is>
          <t>【諸費用コミ】:令和1年 シエンタ ハイブリッド 1.5 G クエロ</t>
        </is>
      </c>
      <c r="L329" s="8" t="inlineStr">
        <is>
          <t>https://page.auctions.yahoo.co.jp/jp/auction/u1236264743</t>
        </is>
      </c>
    </row>
    <row r="330">
      <c r="A330" s="13" t="inlineStr">
        <is>
          <t>シエンタ</t>
        </is>
      </c>
      <c r="B330" s="13" t="n">
        <v>2019</v>
      </c>
      <c r="C330" s="13" t="inlineStr">
        <is>
          <t>170系</t>
        </is>
      </c>
      <c r="D330" s="15" t="n">
        <v>970000</v>
      </c>
      <c r="E330" s="13" t="n">
        <v>1</v>
      </c>
      <c r="F330" s="15" t="n">
        <v>121266</v>
      </c>
      <c r="G330" s="13" t="inlineStr">
        <is>
          <t>REAL_MILEAGE</t>
        </is>
      </c>
      <c r="H330" s="13" t="inlineStr">
        <is>
          <t>NONE</t>
        </is>
      </c>
      <c r="I330" s="15" t="n">
        <v>44860</v>
      </c>
      <c r="J330" s="13" t="inlineStr">
        <is>
          <t>2026-07-09T10:25:06+09:00</t>
        </is>
      </c>
      <c r="K330" s="14" t="inlineStr">
        <is>
          <t>【個人極上後期型!R1シエンタHV上級ファンベースG 5人乗り 純正OP超満載☆セーフティセンス!9型純正SDナビ!パッケージOP4種全部付!検10/2】</t>
        </is>
      </c>
      <c r="L330" s="13" t="inlineStr">
        <is>
          <t>https://page.auctions.yahoo.co.jp/jp/auction/o1226788470</t>
        </is>
      </c>
    </row>
    <row r="331">
      <c r="A331" s="8" t="inlineStr">
        <is>
          <t>シエンタ</t>
        </is>
      </c>
      <c r="B331" s="8" t="n">
        <v>2019</v>
      </c>
      <c r="C331" s="8" t="inlineStr">
        <is>
          <t>170系</t>
        </is>
      </c>
      <c r="D331" s="11" t="n">
        <v>717200</v>
      </c>
      <c r="E331" s="8" t="n">
        <v>34</v>
      </c>
      <c r="F331" s="11" t="n">
        <v>75334</v>
      </c>
      <c r="G331" s="8" t="inlineStr">
        <is>
          <t>REAL_MILEAGE</t>
        </is>
      </c>
      <c r="H331" s="8" t="inlineStr">
        <is>
          <t>NONE</t>
        </is>
      </c>
      <c r="I331" s="11" t="n">
        <v>0</v>
      </c>
      <c r="J331" s="8" t="inlineStr">
        <is>
          <t>2026-07-02T21:16:18+09:00</t>
        </is>
      </c>
      <c r="K331" s="14" t="inlineStr">
        <is>
          <t>【諸費用コミ】:トヨタ シエンタ 1.5ファンベースGグランパー 両側パワースライドドア/バックモニター/ETC/BTオーディオ</t>
        </is>
      </c>
      <c r="L331" s="8" t="inlineStr">
        <is>
          <t>https://page.auctions.yahoo.co.jp/jp/auction/x1233999416</t>
        </is>
      </c>
    </row>
    <row r="332">
      <c r="A332" s="13" t="inlineStr">
        <is>
          <t>シエンタ</t>
        </is>
      </c>
      <c r="B332" s="13" t="n">
        <v>2019</v>
      </c>
      <c r="C332" s="13" t="inlineStr">
        <is>
          <t>170系</t>
        </is>
      </c>
      <c r="D332" s="15" t="n">
        <v>1250000</v>
      </c>
      <c r="E332" s="13" t="n">
        <v>1</v>
      </c>
      <c r="F332" s="15" t="n">
        <v>8627</v>
      </c>
      <c r="G332" s="13" t="inlineStr">
        <is>
          <t>REAL_MILEAGE</t>
        </is>
      </c>
      <c r="H332" s="13" t="inlineStr">
        <is>
          <t>NONE</t>
        </is>
      </c>
      <c r="I332" s="15" t="n">
        <v>0</v>
      </c>
      <c r="J332" s="13" t="inlineStr">
        <is>
          <t>2026-05-23T20:27:41+09:00</t>
        </is>
      </c>
      <c r="K332" s="14" t="inlineStr">
        <is>
          <t>個人出品　8ナンバー　シエンタ 1.5　X　ウェルキャブ　車いす仕様車　タイプⅠ　低走行　減税免税　福祉車両　トランポ</t>
        </is>
      </c>
      <c r="L332" s="13" t="inlineStr">
        <is>
          <t>https://page.auctions.yahoo.co.jp/jp/auction/v1226061895</t>
        </is>
      </c>
    </row>
    <row r="333">
      <c r="A333" s="8" t="inlineStr">
        <is>
          <t>シエンタ</t>
        </is>
      </c>
      <c r="B333" s="8" t="n">
        <v>2019</v>
      </c>
      <c r="C333" s="8" t="inlineStr">
        <is>
          <t>170系</t>
        </is>
      </c>
      <c r="D333" s="11" t="n">
        <v>751000</v>
      </c>
      <c r="E333" s="8" t="n">
        <v>226</v>
      </c>
      <c r="F333" s="11" t="n">
        <v>44000</v>
      </c>
      <c r="G333" s="8" t="inlineStr">
        <is>
          <t>REAL_MILEAGE</t>
        </is>
      </c>
      <c r="H333" s="8" t="inlineStr">
        <is>
          <t>NONE</t>
        </is>
      </c>
      <c r="I333" s="11" t="n">
        <v>0</v>
      </c>
      <c r="J333" s="8" t="inlineStr">
        <is>
          <t>2026-04-11T21:27:06+09:00</t>
        </is>
      </c>
      <c r="K333" s="14" t="inlineStr">
        <is>
          <t>トヨタ　シエンタ　ファンベースX　片側電動スライドドア　平成３１年１月登録　５人乗り　ディーラー記録簿多数　メンテナンスバッチリ</t>
        </is>
      </c>
      <c r="L333" s="8" t="inlineStr">
        <is>
          <t>https://page.auctions.yahoo.co.jp/jp/auction/m1220176295</t>
        </is>
      </c>
    </row>
    <row r="334">
      <c r="A334" s="13" t="inlineStr">
        <is>
          <t>シエンタ</t>
        </is>
      </c>
      <c r="B334" s="13" t="n">
        <v>2018</v>
      </c>
      <c r="C334" s="13" t="inlineStr">
        <is>
          <t>170系</t>
        </is>
      </c>
      <c r="D334" s="15" t="n">
        <v>1048000</v>
      </c>
      <c r="E334" s="13" t="n">
        <v>1</v>
      </c>
      <c r="F334" s="15" t="n">
        <v>36680</v>
      </c>
      <c r="G334" s="13" t="inlineStr">
        <is>
          <t>REAL_MILEAGE</t>
        </is>
      </c>
      <c r="H334" s="13" t="inlineStr">
        <is>
          <t>EXISTS</t>
        </is>
      </c>
      <c r="I334" s="15" t="n">
        <v>0</v>
      </c>
      <c r="J334" s="13" t="inlineStr">
        <is>
          <t>2026-04-24T16:20:39+09:00</t>
        </is>
      </c>
      <c r="K334" s="14" t="inlineStr">
        <is>
          <t>車検満タン シエンタHV 後期 実走行 トヨタセーフティセンス 衝突軽減BK ナビ TV Bluetooth バックカメラ 電動オートスライド スマキー ETC</t>
        </is>
      </c>
      <c r="L334" s="13" t="inlineStr">
        <is>
          <t>https://page.auctions.yahoo.co.jp/jp/auction/p1226998835</t>
        </is>
      </c>
    </row>
    <row r="335">
      <c r="A335" s="8" t="inlineStr">
        <is>
          <t>シエンタ</t>
        </is>
      </c>
      <c r="B335" s="8" t="n">
        <v>2018</v>
      </c>
      <c r="C335" s="8" t="inlineStr">
        <is>
          <t>170系</t>
        </is>
      </c>
      <c r="D335" s="11" t="n">
        <v>1651100</v>
      </c>
      <c r="E335" s="8" t="n">
        <v>549</v>
      </c>
      <c r="F335" s="11" t="n">
        <v>43793</v>
      </c>
      <c r="G335" s="8" t="inlineStr">
        <is>
          <t>REAL_MILEAGE</t>
        </is>
      </c>
      <c r="H335" s="8" t="inlineStr">
        <is>
          <t>NONE</t>
        </is>
      </c>
      <c r="I335" s="11" t="n">
        <v>0</v>
      </c>
      <c r="J335" s="8" t="inlineStr">
        <is>
          <t>2026-04-05T22:07:18+09:00</t>
        </is>
      </c>
      <c r="K335" s="14" t="inlineStr">
        <is>
          <t>売り切り7人乗り禁煙ワンオーナー H30年 シエンタHV1..5 G モデリスタカスタム多数 7人乗り 記録簿</t>
        </is>
      </c>
      <c r="L335" s="8" t="inlineStr">
        <is>
          <t>https://page.auctions.yahoo.co.jp/jp/auction/1224732660</t>
        </is>
      </c>
    </row>
    <row r="336">
      <c r="A336" s="13" t="inlineStr">
        <is>
          <t>シエンタ</t>
        </is>
      </c>
      <c r="B336" s="13" t="n">
        <v>2017</v>
      </c>
      <c r="C336" s="13" t="inlineStr">
        <is>
          <t>170系</t>
        </is>
      </c>
      <c r="D336" s="15" t="n">
        <v>868000</v>
      </c>
      <c r="E336" s="13" t="n">
        <v>1</v>
      </c>
      <c r="F336" s="15" t="n">
        <v>39450</v>
      </c>
      <c r="G336" s="13" t="inlineStr">
        <is>
          <t>REAL_MILEAGE</t>
        </is>
      </c>
      <c r="H336" s="13" t="inlineStr">
        <is>
          <t>EXISTS</t>
        </is>
      </c>
      <c r="I336" s="15" t="n">
        <v>35660</v>
      </c>
      <c r="J336" s="13" t="inlineStr">
        <is>
          <t>2026-08-05T11:24:50+09:00</t>
        </is>
      </c>
      <c r="K336" s="14" t="inlineStr">
        <is>
          <t>車検10年3月 29年式 シエンタ 実走 トヨタセーフティセンス 衝突軽減ブレーキ ナビTV Bluetooth バックモニター 両側パワスラ スマキー ETC</t>
        </is>
      </c>
      <c r="L336" s="13" t="inlineStr">
        <is>
          <t>https://page.auctions.yahoo.co.jp/jp/auction/o1234220334</t>
        </is>
      </c>
    </row>
    <row r="337">
      <c r="A337" s="8" t="inlineStr">
        <is>
          <t>シエンタ</t>
        </is>
      </c>
      <c r="B337" s="8" t="n">
        <v>2017</v>
      </c>
      <c r="C337" s="8" t="inlineStr">
        <is>
          <t>170系</t>
        </is>
      </c>
      <c r="D337" s="11" t="n">
        <v>704000</v>
      </c>
      <c r="E337" s="8" t="n">
        <v>86</v>
      </c>
      <c r="F337" s="11" t="n">
        <v>61600</v>
      </c>
      <c r="G337" s="8" t="inlineStr">
        <is>
          <t>REAL_MILEAGE</t>
        </is>
      </c>
      <c r="H337" s="8" t="inlineStr">
        <is>
          <t>NONE</t>
        </is>
      </c>
      <c r="I337" s="11" t="n">
        <v>80360</v>
      </c>
      <c r="J337" s="8" t="inlineStr">
        <is>
          <t>2026-07-12T20:30:38+09:00</t>
        </is>
      </c>
      <c r="K337" s="14" t="inlineStr">
        <is>
          <t>トヨタ シエンタ モデリスタフルエアロ X 4WD Ｈ29年度式(2017) 61600km ★★車検：2年付き！</t>
        </is>
      </c>
      <c r="L337" s="8" t="inlineStr">
        <is>
          <t>https://page.auctions.yahoo.co.jp/jp/auction/x1235898041</t>
        </is>
      </c>
    </row>
    <row r="338">
      <c r="A338" s="13" t="inlineStr">
        <is>
          <t>シエンタ</t>
        </is>
      </c>
      <c r="B338" s="13" t="n">
        <v>2017</v>
      </c>
      <c r="C338" s="13" t="inlineStr">
        <is>
          <t>170系</t>
        </is>
      </c>
      <c r="D338" s="15" t="n">
        <v>250000</v>
      </c>
      <c r="E338" s="13" t="n">
        <v>1</v>
      </c>
      <c r="F338" s="15" t="n">
        <v>167000</v>
      </c>
      <c r="G338" s="13" t="inlineStr">
        <is>
          <t>REAL_MILEAGE</t>
        </is>
      </c>
      <c r="H338" s="13" t="n"/>
      <c r="I338" s="15" t="n">
        <v>0</v>
      </c>
      <c r="J338" s="13" t="inlineStr">
        <is>
          <t>2026-07-03T16:47:28+09:00</t>
        </is>
      </c>
      <c r="K338" s="14" t="inlineStr">
        <is>
          <t>トヨタ　シエンタ　タクシーで利用してました、格安スタート売り切り</t>
        </is>
      </c>
      <c r="L338" s="13" t="inlineStr">
        <is>
          <t>https://page.auctions.yahoo.co.jp/jp/auction/w1235415260</t>
        </is>
      </c>
    </row>
    <row r="339">
      <c r="A339" s="8" t="inlineStr">
        <is>
          <t>シエンタ</t>
        </is>
      </c>
      <c r="B339" s="8" t="n">
        <v>2017</v>
      </c>
      <c r="C339" s="8" t="inlineStr">
        <is>
          <t>170系</t>
        </is>
      </c>
      <c r="D339" s="11" t="n">
        <v>657000</v>
      </c>
      <c r="E339" s="8" t="n">
        <v>1</v>
      </c>
      <c r="F339" s="11" t="n">
        <v>88000</v>
      </c>
      <c r="G339" s="8" t="inlineStr">
        <is>
          <t>REAL_MILEAGE</t>
        </is>
      </c>
      <c r="H339" s="8" t="inlineStr">
        <is>
          <t>EXISTS</t>
        </is>
      </c>
      <c r="I339" s="11" t="n">
        <v>46960</v>
      </c>
      <c r="J339" s="8" t="inlineStr">
        <is>
          <t>2026-06-25T08:47:44+09:00</t>
        </is>
      </c>
      <c r="K339" s="14" t="inlineStr">
        <is>
          <t>シエンタ*検10/6迄*29年式!*PCS*LDA*キーレス*左パワスラ*純正ナビ*Bカメラ*BTオーディオ*ワンセグTV*CD*ETC*310517</t>
        </is>
      </c>
      <c r="L339" s="8" t="inlineStr">
        <is>
          <t>https://page.auctions.yahoo.co.jp/jp/auction/v1233177557</t>
        </is>
      </c>
    </row>
    <row r="340">
      <c r="A340" s="13" t="inlineStr">
        <is>
          <t>シエンタ</t>
        </is>
      </c>
      <c r="B340" s="13" t="n">
        <v>2017</v>
      </c>
      <c r="C340" s="13" t="inlineStr">
        <is>
          <t>170系</t>
        </is>
      </c>
      <c r="D340" s="15" t="n">
        <v>396000</v>
      </c>
      <c r="E340" s="13" t="n">
        <v>91</v>
      </c>
      <c r="F340" s="15" t="n">
        <v>126000</v>
      </c>
      <c r="G340" s="13" t="inlineStr">
        <is>
          <t>REAL_MILEAGE</t>
        </is>
      </c>
      <c r="H340" s="13" t="inlineStr">
        <is>
          <t>NONE</t>
        </is>
      </c>
      <c r="I340" s="15" t="n">
        <v>0</v>
      </c>
      <c r="J340" s="13" t="inlineStr">
        <is>
          <t>2026-06-03T21:53:21+09:00</t>
        </is>
      </c>
      <c r="K340" s="14" t="inlineStr">
        <is>
          <t>トヨタ シエンタ ハイブリッド G（NHP170G） 自走可能・車検長期付き。</t>
        </is>
      </c>
      <c r="L340" s="13" t="inlineStr">
        <is>
          <t>https://page.auctions.yahoo.co.jp/jp/auction/g1231776296</t>
        </is>
      </c>
    </row>
    <row r="341">
      <c r="A341" s="8" t="inlineStr">
        <is>
          <t>シエンタ</t>
        </is>
      </c>
      <c r="B341" s="8" t="n">
        <v>2017</v>
      </c>
      <c r="C341" s="8" t="inlineStr">
        <is>
          <t>170系</t>
        </is>
      </c>
      <c r="D341" s="11" t="n">
        <v>831000</v>
      </c>
      <c r="E341" s="8" t="n">
        <v>19</v>
      </c>
      <c r="F341" s="11" t="n">
        <v>66000</v>
      </c>
      <c r="G341" s="8" t="inlineStr">
        <is>
          <t>REAL_MILEAGE</t>
        </is>
      </c>
      <c r="H341" s="8" t="n"/>
      <c r="I341" s="11" t="n">
        <v>0</v>
      </c>
      <c r="J341" s="8" t="inlineStr">
        <is>
          <t>2026-04-05T21:36:36+09:00</t>
        </is>
      </c>
      <c r="K341" s="14" t="inlineStr">
        <is>
          <t>個人出品 平成29年 トヨタ シエンタ　ハイブリッド　1.5G　クエロ　66,000キロ 検R8.11 モデリスタフルエアロ 神奈川</t>
        </is>
      </c>
      <c r="L341" s="8" t="inlineStr">
        <is>
          <t>https://page.auctions.yahoo.co.jp/jp/auction/o1224406484</t>
        </is>
      </c>
    </row>
    <row r="342">
      <c r="A342" s="13" t="inlineStr">
        <is>
          <t>シエンタ</t>
        </is>
      </c>
      <c r="B342" s="13" t="n">
        <v>2016</v>
      </c>
      <c r="C342" s="13" t="inlineStr">
        <is>
          <t>170系</t>
        </is>
      </c>
      <c r="D342" s="15" t="n">
        <v>413000</v>
      </c>
      <c r="E342" s="13" t="n">
        <v>80</v>
      </c>
      <c r="F342" s="15" t="n">
        <v>187700</v>
      </c>
      <c r="G342" s="13" t="inlineStr">
        <is>
          <t>REAL_MILEAGE</t>
        </is>
      </c>
      <c r="H342" s="13" t="inlineStr">
        <is>
          <t>NONE</t>
        </is>
      </c>
      <c r="I342" s="15" t="n">
        <v>38740</v>
      </c>
      <c r="J342" s="13" t="inlineStr">
        <is>
          <t>2026-08-19T22:22:01+09:00</t>
        </is>
      </c>
      <c r="K342" s="14" t="inlineStr">
        <is>
          <t>トヨタ シエンタ ハイブリッド G 車検R9 年4月 ☆両側電動スライド／トヨタセーフティセンス／純正ナビ／バックカメラ／LEDヘッドライト</t>
        </is>
      </c>
      <c r="L342" s="13" t="inlineStr">
        <is>
          <t>https://page.auctions.yahoo.co.jp/jp/auction/j1236931459</t>
        </is>
      </c>
    </row>
    <row r="343">
      <c r="A343" s="8" t="inlineStr">
        <is>
          <t>シエンタ</t>
        </is>
      </c>
      <c r="B343" s="8" t="n">
        <v>2016</v>
      </c>
      <c r="C343" s="8" t="inlineStr">
        <is>
          <t>170系</t>
        </is>
      </c>
      <c r="D343" s="11" t="n">
        <v>445000</v>
      </c>
      <c r="E343" s="8" t="n">
        <v>124</v>
      </c>
      <c r="F343" s="11" t="n">
        <v>184400</v>
      </c>
      <c r="G343" s="8" t="inlineStr">
        <is>
          <t>REAL_MILEAGE</t>
        </is>
      </c>
      <c r="H343" s="8" t="inlineStr">
        <is>
          <t>NONE</t>
        </is>
      </c>
      <c r="I343" s="11" t="n">
        <v>33360</v>
      </c>
      <c r="J343" s="8" t="inlineStr">
        <is>
          <t>2026-08-05T23:24:50+09:00</t>
        </is>
      </c>
      <c r="K343" s="14" t="inlineStr">
        <is>
          <t>H28 シエンタハイブリッド☆上級グレードG☆トヨタセーフティセンス☆LEDヘッドライト☆バックカメラ☆両側パワスラドア☆プリクラッシュ☆</t>
        </is>
      </c>
      <c r="L343" s="8" t="inlineStr">
        <is>
          <t>https://page.auctions.yahoo.co.jp/jp/auction/f1239039938</t>
        </is>
      </c>
    </row>
    <row r="344">
      <c r="A344" s="13" t="inlineStr">
        <is>
          <t>シエンタ</t>
        </is>
      </c>
      <c r="B344" s="13" t="n">
        <v>2016</v>
      </c>
      <c r="C344" s="13" t="inlineStr">
        <is>
          <t>170系</t>
        </is>
      </c>
      <c r="D344" s="15" t="n">
        <v>415000</v>
      </c>
      <c r="E344" s="13" t="n">
        <v>131</v>
      </c>
      <c r="F344" s="15" t="n">
        <v>220000</v>
      </c>
      <c r="G344" s="13" t="inlineStr">
        <is>
          <t>REAL_MILEAGE</t>
        </is>
      </c>
      <c r="H344" s="13" t="inlineStr">
        <is>
          <t>NONE</t>
        </is>
      </c>
      <c r="I344" s="15" t="n">
        <v>39110</v>
      </c>
      <c r="J344" s="13" t="inlineStr">
        <is>
          <t>2026-07-29T21:38:45+09:00</t>
        </is>
      </c>
      <c r="K344" s="14" t="inlineStr">
        <is>
          <t>H28 シエンタHV 最上級Gグレード ナビ 地デジ Bモニター 両側パワスラ モデリスタ ドラレコ 検9年3月 ETC 外アルミ リアモニター 大阪</t>
        </is>
      </c>
      <c r="L344" s="13" t="inlineStr">
        <is>
          <t>https://page.auctions.yahoo.co.jp/jp/auction/c1237700255</t>
        </is>
      </c>
    </row>
    <row r="345">
      <c r="A345" s="8" t="inlineStr">
        <is>
          <t>シエンタ</t>
        </is>
      </c>
      <c r="B345" s="8" t="n">
        <v>2016</v>
      </c>
      <c r="C345" s="8" t="inlineStr">
        <is>
          <t>170系</t>
        </is>
      </c>
      <c r="D345" s="11" t="n">
        <v>363000</v>
      </c>
      <c r="E345" s="8" t="n">
        <v>89</v>
      </c>
      <c r="F345" s="11" t="n">
        <v>220000</v>
      </c>
      <c r="G345" s="8" t="inlineStr">
        <is>
          <t>REAL_MILEAGE</t>
        </is>
      </c>
      <c r="H345" s="8" t="inlineStr">
        <is>
          <t>NONE</t>
        </is>
      </c>
      <c r="I345" s="11" t="n">
        <v>47720</v>
      </c>
      <c r="J345" s="8" t="inlineStr">
        <is>
          <t>2026-06-26T21:40:25+09:00</t>
        </is>
      </c>
      <c r="K345" s="14" t="inlineStr">
        <is>
          <t>H28 シエンタHV 最上級Gグレード ナビ 地デジ Bモニター ドラレコ 検9年3月 ETC 社外アルミ リアモニター 大阪発</t>
        </is>
      </c>
      <c r="L345" s="8" t="inlineStr">
        <is>
          <t>https://page.auctions.yahoo.co.jp/jp/auction/c1232604071</t>
        </is>
      </c>
    </row>
    <row r="346">
      <c r="A346" s="13" t="inlineStr">
        <is>
          <t>シエンタ</t>
        </is>
      </c>
      <c r="B346" s="13" t="n">
        <v>2016</v>
      </c>
      <c r="C346" s="13" t="inlineStr">
        <is>
          <t>170系</t>
        </is>
      </c>
      <c r="D346" s="15" t="n">
        <v>635000</v>
      </c>
      <c r="E346" s="13" t="n">
        <v>1</v>
      </c>
      <c r="F346" s="15" t="n">
        <v>106600</v>
      </c>
      <c r="G346" s="13" t="inlineStr">
        <is>
          <t>REAL_MILEAGE</t>
        </is>
      </c>
      <c r="H346" s="13" t="inlineStr">
        <is>
          <t>NONE</t>
        </is>
      </c>
      <c r="I346" s="15" t="n">
        <v>0</v>
      </c>
      <c r="J346" s="13" t="inlineStr">
        <is>
          <t>2026-06-22T13:21:54+09:00</t>
        </is>
      </c>
      <c r="K346" s="14" t="inlineStr">
        <is>
          <t>シエンタハイブリッド*検10/6迄*28年式!*スマートキー*両パワスラ*フリップダウン*純正ナビ*Bカメラ*DTV*BTオーディオ*DVD*CD*ETC*140525</t>
        </is>
      </c>
      <c r="L346" s="13" t="inlineStr">
        <is>
          <t>https://page.auctions.yahoo.co.jp/jp/auction/f1232281830</t>
        </is>
      </c>
    </row>
    <row r="347">
      <c r="A347" s="8" t="inlineStr">
        <is>
          <t>シエンタ</t>
        </is>
      </c>
      <c r="B347" s="8" t="n">
        <v>2016</v>
      </c>
      <c r="C347" s="8" t="inlineStr">
        <is>
          <t>170系</t>
        </is>
      </c>
      <c r="D347" s="11" t="n">
        <v>328000</v>
      </c>
      <c r="E347" s="8" t="n">
        <v>108</v>
      </c>
      <c r="F347" s="11" t="n">
        <v>290215</v>
      </c>
      <c r="G347" s="8" t="inlineStr">
        <is>
          <t>REAL_MILEAGE</t>
        </is>
      </c>
      <c r="H347" s="8" t="inlineStr">
        <is>
          <t>NONE</t>
        </is>
      </c>
      <c r="I347" s="11" t="n">
        <v>0</v>
      </c>
      <c r="J347" s="8" t="inlineStr">
        <is>
          <t>2026-03-24T22:23:30+09:00</t>
        </is>
      </c>
      <c r="K347" s="14" t="inlineStr">
        <is>
          <t>平成28年　トヨタシエンタ　ハイブリッドG 　DAA-NHP170G 両側パワースライドドア ナビ/DTV 1500cc 実走行 事故/修復歴無 東北 宮城 仙台</t>
        </is>
      </c>
      <c r="L347" s="8" t="inlineStr">
        <is>
          <t>https://page.auctions.yahoo.co.jp/jp/auction/w1223154432</t>
        </is>
      </c>
    </row>
    <row r="348">
      <c r="A348" s="13" t="inlineStr">
        <is>
          <t>シエンタ</t>
        </is>
      </c>
      <c r="B348" s="13" t="n">
        <v>2015</v>
      </c>
      <c r="C348" s="13" t="inlineStr">
        <is>
          <t>80系</t>
        </is>
      </c>
      <c r="D348" s="15" t="n">
        <v>479000</v>
      </c>
      <c r="E348" s="13" t="n">
        <v>1</v>
      </c>
      <c r="F348" s="15" t="n">
        <v>83390</v>
      </c>
      <c r="G348" s="13" t="inlineStr">
        <is>
          <t>REAL_MILEAGE</t>
        </is>
      </c>
      <c r="H348" s="13" t="inlineStr">
        <is>
          <t>NONE</t>
        </is>
      </c>
      <c r="I348" s="15" t="n">
        <v>35360</v>
      </c>
      <c r="J348" s="13" t="inlineStr">
        <is>
          <t>2026-08-20T18:20:09+09:00</t>
        </is>
      </c>
      <c r="K348" s="14" t="inlineStr">
        <is>
          <t>【修復歴無】埼玉発 H27 シエンタHV G 車検R8/9 実走行8万km台 両側パワスラ/社外ナビ/スマートキー/ETC/バックカメラ</t>
        </is>
      </c>
      <c r="L348" s="13" t="inlineStr">
        <is>
          <t>https://page.auctions.yahoo.co.jp/jp/auction/j1240512376</t>
        </is>
      </c>
    </row>
    <row r="349">
      <c r="A349" s="8" t="inlineStr">
        <is>
          <t>シエンタ</t>
        </is>
      </c>
      <c r="B349" s="8" t="n">
        <v>2015</v>
      </c>
      <c r="C349" s="8" t="inlineStr">
        <is>
          <t>170系</t>
        </is>
      </c>
      <c r="D349" s="11" t="n">
        <v>585000</v>
      </c>
      <c r="E349" s="8" t="n">
        <v>1</v>
      </c>
      <c r="F349" s="11" t="n">
        <v>153200</v>
      </c>
      <c r="G349" s="8" t="inlineStr">
        <is>
          <t>REAL_MILEAGE</t>
        </is>
      </c>
      <c r="H349" s="8" t="inlineStr">
        <is>
          <t>EXISTS</t>
        </is>
      </c>
      <c r="I349" s="11" t="n">
        <v>41160</v>
      </c>
      <c r="J349" s="8" t="inlineStr">
        <is>
          <t>2026-08-19T17:24:57+09:00</t>
        </is>
      </c>
      <c r="K349" s="14" t="inlineStr">
        <is>
          <t>H27年式*シエンタ*ハイブリッドG*検10/8迄*LEDヘッドライト*スマートキー*両パワスラ*純正ナビ*Bカメラ*BTオーディオ*DTV*DVD*CD*110622</t>
        </is>
      </c>
      <c r="L349" s="8" t="inlineStr">
        <is>
          <t>https://page.auctions.yahoo.co.jp/jp/auction/n1235080628</t>
        </is>
      </c>
    </row>
    <row r="350">
      <c r="A350" s="13" t="inlineStr">
        <is>
          <t>シエンタ</t>
        </is>
      </c>
      <c r="B350" s="13" t="n">
        <v>2015</v>
      </c>
      <c r="C350" s="13" t="inlineStr">
        <is>
          <t>170系</t>
        </is>
      </c>
      <c r="D350" s="15" t="n">
        <v>404000</v>
      </c>
      <c r="E350" s="13" t="n">
        <v>88</v>
      </c>
      <c r="F350" s="15" t="n">
        <v>135000</v>
      </c>
      <c r="G350" s="13" t="inlineStr">
        <is>
          <t>REAL_MILEAGE</t>
        </is>
      </c>
      <c r="H350" s="13" t="n"/>
      <c r="I350" s="15" t="n">
        <v>13000</v>
      </c>
      <c r="J350" s="13" t="inlineStr">
        <is>
          <t>2026-06-24T16:29:33+09:00</t>
        </is>
      </c>
      <c r="K350" s="14" t="inlineStr">
        <is>
          <t>【売切り】平成27年 トヨタ シエンタ ハイブリッドG 両側パワースライドドア スマートキー 機関良好「2年車検付きも可能です。</t>
        </is>
      </c>
      <c r="L350" s="13" t="inlineStr">
        <is>
          <t>https://page.auctions.yahoo.co.jp/jp/auction/n1232824825</t>
        </is>
      </c>
    </row>
    <row r="351">
      <c r="A351" s="8" t="inlineStr">
        <is>
          <t>シエンタ</t>
        </is>
      </c>
      <c r="B351" s="8" t="n">
        <v>2015</v>
      </c>
      <c r="C351" s="8" t="inlineStr">
        <is>
          <t>170系</t>
        </is>
      </c>
      <c r="D351" s="11" t="n">
        <v>698000</v>
      </c>
      <c r="E351" s="8" t="n">
        <v>1</v>
      </c>
      <c r="F351" s="11" t="n">
        <v>86000</v>
      </c>
      <c r="G351" s="8" t="inlineStr">
        <is>
          <t>REAL_MILEAGE</t>
        </is>
      </c>
      <c r="H351" s="8" t="inlineStr">
        <is>
          <t>NONE</t>
        </is>
      </c>
      <c r="I351" s="11" t="n">
        <v>0</v>
      </c>
      <c r="J351" s="8" t="inlineStr">
        <is>
          <t>2026-06-06T06:56:12+09:00</t>
        </is>
      </c>
      <c r="K351" s="14" t="inlineStr">
        <is>
          <t>シエンタ ハイブリッド 1.5 G 両側オートスライド ブレーキサポート</t>
        </is>
      </c>
      <c r="L351" s="8" t="inlineStr">
        <is>
          <t>https://page.auctions.yahoo.co.jp/jp/auction/m1226884327</t>
        </is>
      </c>
    </row>
    <row r="352">
      <c r="A352" s="13" t="inlineStr">
        <is>
          <t>シエンタ</t>
        </is>
      </c>
      <c r="B352" s="13" t="n">
        <v>2015</v>
      </c>
      <c r="C352" s="13" t="inlineStr">
        <is>
          <t>80系</t>
        </is>
      </c>
      <c r="D352" s="15" t="n">
        <v>663000</v>
      </c>
      <c r="E352" s="13" t="n">
        <v>1</v>
      </c>
      <c r="F352" s="15" t="n">
        <v>94000</v>
      </c>
      <c r="G352" s="13" t="inlineStr">
        <is>
          <t>REAL_MILEAGE</t>
        </is>
      </c>
      <c r="H352" s="13" t="inlineStr">
        <is>
          <t>NONE</t>
        </is>
      </c>
      <c r="I352" s="15" t="n">
        <v>0</v>
      </c>
      <c r="J352" s="13" t="inlineStr">
        <is>
          <t>2026-05-01T23:03:21+09:00</t>
        </is>
      </c>
      <c r="K352" s="14" t="inlineStr">
        <is>
          <t>【諸費用コミ】:【在庫確認必須】 シエンタ</t>
        </is>
      </c>
      <c r="L352" s="13" t="inlineStr">
        <is>
          <t>https://page.auctions.yahoo.co.jp/jp/auction/o1226866534</t>
        </is>
      </c>
    </row>
    <row r="353">
      <c r="A353" s="8" t="inlineStr">
        <is>
          <t>シエンタ</t>
        </is>
      </c>
      <c r="B353" s="8" t="n">
        <v>2015</v>
      </c>
      <c r="C353" s="8" t="inlineStr">
        <is>
          <t>170系</t>
        </is>
      </c>
      <c r="D353" s="11" t="n">
        <v>400000</v>
      </c>
      <c r="E353" s="8" t="n">
        <v>1</v>
      </c>
      <c r="F353" s="11" t="n">
        <v>178000</v>
      </c>
      <c r="G353" s="8" t="inlineStr">
        <is>
          <t>REAL_MILEAGE</t>
        </is>
      </c>
      <c r="H353" s="8" t="inlineStr">
        <is>
          <t>NONE</t>
        </is>
      </c>
      <c r="I353" s="11" t="n">
        <v>0</v>
      </c>
      <c r="J353" s="8" t="inlineStr">
        <is>
          <t>2026-04-23T12:54:20+09:00</t>
        </is>
      </c>
      <c r="K353" s="14" t="inlineStr">
        <is>
          <t>シエンタX　車検9年1月　7人乗</t>
        </is>
      </c>
      <c r="L353" s="8" t="inlineStr">
        <is>
          <t>https://page.auctions.yahoo.co.jp/jp/auction/f1226281939</t>
        </is>
      </c>
    </row>
    <row r="354">
      <c r="A354" s="13" t="inlineStr">
        <is>
          <t>シエンタ</t>
        </is>
      </c>
      <c r="B354" s="13" t="n">
        <v>2015</v>
      </c>
      <c r="C354" s="13" t="inlineStr">
        <is>
          <t>170系</t>
        </is>
      </c>
      <c r="D354" s="15" t="n">
        <v>508000</v>
      </c>
      <c r="E354" s="13" t="n">
        <v>1</v>
      </c>
      <c r="F354" s="15" t="n">
        <v>159185</v>
      </c>
      <c r="G354" s="13" t="inlineStr">
        <is>
          <t>REAL_MILEAGE</t>
        </is>
      </c>
      <c r="H354" s="13" t="inlineStr">
        <is>
          <t>NONE</t>
        </is>
      </c>
      <c r="I354" s="15" t="n">
        <v>0</v>
      </c>
      <c r="J354" s="13" t="inlineStr">
        <is>
          <t>2026-04-20T11:14:47+09:00</t>
        </is>
      </c>
      <c r="K354" s="14" t="inlineStr">
        <is>
          <t>シエンタ　ハイブリッド　G　モデリスタ　エアロ</t>
        </is>
      </c>
      <c r="L354" s="13" t="inlineStr">
        <is>
          <t>https://page.auctions.yahoo.co.jp/jp/auction/f1226517649</t>
        </is>
      </c>
    </row>
    <row r="355">
      <c r="A355" s="8" t="inlineStr">
        <is>
          <t>シエンタ</t>
        </is>
      </c>
      <c r="B355" s="8" t="n">
        <v>2015</v>
      </c>
      <c r="C355" s="8" t="inlineStr">
        <is>
          <t>170系</t>
        </is>
      </c>
      <c r="D355" s="11" t="n">
        <v>601100</v>
      </c>
      <c r="E355" s="8" t="n">
        <v>133</v>
      </c>
      <c r="F355" s="11" t="n">
        <v>102250</v>
      </c>
      <c r="G355" s="8" t="inlineStr">
        <is>
          <t>REAL_MILEAGE</t>
        </is>
      </c>
      <c r="H355" s="8" t="inlineStr">
        <is>
          <t>NONE</t>
        </is>
      </c>
      <c r="I355" s="11" t="n">
        <v>0</v>
      </c>
      <c r="J355" s="8" t="inlineStr">
        <is>
          <t>2026-04-11T19:26:29+09:00</t>
        </is>
      </c>
      <c r="K355" s="14" t="inlineStr">
        <is>
          <t>平成27年 トヨタ シエンタ (NHP170G )ハイブリッドG スマートキー/プッシュスタート/パナソニック SDナビゲーション, ETC</t>
        </is>
      </c>
      <c r="L355" s="8" t="inlineStr">
        <is>
          <t>https://page.auctions.yahoo.co.jp/jp/auction/p1224911028</t>
        </is>
      </c>
    </row>
    <row r="356">
      <c r="A356" s="13" t="inlineStr">
        <is>
          <t>シエンタ</t>
        </is>
      </c>
      <c r="B356" s="13" t="n">
        <v>2015</v>
      </c>
      <c r="C356" s="13" t="inlineStr">
        <is>
          <t>170系</t>
        </is>
      </c>
      <c r="D356" s="15" t="n">
        <v>611000</v>
      </c>
      <c r="E356" s="13" t="n">
        <v>53</v>
      </c>
      <c r="F356" s="15" t="n">
        <v>70950</v>
      </c>
      <c r="G356" s="13" t="inlineStr">
        <is>
          <t>REAL_MILEAGE</t>
        </is>
      </c>
      <c r="H356" s="13" t="inlineStr">
        <is>
          <t>NONE</t>
        </is>
      </c>
      <c r="I356" s="15" t="n">
        <v>0</v>
      </c>
      <c r="J356" s="13" t="inlineStr">
        <is>
          <t>2026-04-01T11:25:42+09:00</t>
        </is>
      </c>
      <c r="K356" s="14" t="inlineStr">
        <is>
          <t>平成27年 トヨタ シエンタ (NHP170G )ハイブリッドG (走行距離7万キロ) スマートキー/プッシュスタート/パナソニック ナビゲーション, ETC</t>
        </is>
      </c>
      <c r="L356" s="13" t="inlineStr">
        <is>
          <t>https://page.auctions.yahoo.co.jp/jp/auction/h1224580266</t>
        </is>
      </c>
    </row>
    <row r="357">
      <c r="A357" s="8" t="inlineStr">
        <is>
          <t>シエンタ</t>
        </is>
      </c>
      <c r="B357" s="8" t="n">
        <v>2015</v>
      </c>
      <c r="C357" s="8" t="inlineStr">
        <is>
          <t>170系</t>
        </is>
      </c>
      <c r="D357" s="11" t="n">
        <v>719200</v>
      </c>
      <c r="E357" s="8" t="n">
        <v>2</v>
      </c>
      <c r="F357" s="11" t="n">
        <v>44300</v>
      </c>
      <c r="G357" s="8" t="inlineStr">
        <is>
          <t>REAL_MILEAGE</t>
        </is>
      </c>
      <c r="H357" s="8" t="inlineStr">
        <is>
          <t>NONE</t>
        </is>
      </c>
      <c r="I357" s="11" t="n">
        <v>0</v>
      </c>
      <c r="J357" s="8" t="inlineStr">
        <is>
          <t>2026-03-27T20:46:47+09:00</t>
        </is>
      </c>
      <c r="K357" s="14" t="inlineStr">
        <is>
          <t>関東/埼玉　H.27(2015)年 トヨタ シエンタ 1.5 G ヴィンテージブラウンパールクリスタルシャ 車検令和8年10月まで　走行44,300km</t>
        </is>
      </c>
      <c r="L357" s="8" t="inlineStr">
        <is>
          <t>https://page.auctions.yahoo.co.jp/jp/auction/j1218725685</t>
        </is>
      </c>
    </row>
    <row r="358">
      <c r="A358" s="13" t="inlineStr">
        <is>
          <t>シエンタ</t>
        </is>
      </c>
      <c r="B358" s="13" t="n">
        <v>2015</v>
      </c>
      <c r="C358" s="13" t="inlineStr">
        <is>
          <t>170系</t>
        </is>
      </c>
      <c r="D358" s="15" t="n">
        <v>501000</v>
      </c>
      <c r="E358" s="13" t="n">
        <v>2</v>
      </c>
      <c r="F358" s="15" t="n">
        <v>145600</v>
      </c>
      <c r="G358" s="13" t="inlineStr">
        <is>
          <t>REAL_MILEAGE</t>
        </is>
      </c>
      <c r="H358" s="13" t="inlineStr">
        <is>
          <t>NONE</t>
        </is>
      </c>
      <c r="I358" s="15" t="n">
        <v>0</v>
      </c>
      <c r="J358" s="13" t="inlineStr">
        <is>
          <t>2026-03-21T19:54:30+09:00</t>
        </is>
      </c>
      <c r="K358" s="14" t="inlineStr">
        <is>
          <t>シエンタ　ハイブリッドG　両側パワースライドドア　車検令和８年１１月まで</t>
        </is>
      </c>
      <c r="L358" s="13" t="inlineStr">
        <is>
          <t>https://page.auctions.yahoo.co.jp/jp/auction/n1222988431</t>
        </is>
      </c>
    </row>
    <row r="359">
      <c r="A359" s="8" t="inlineStr">
        <is>
          <t>シエンタ</t>
        </is>
      </c>
      <c r="B359" s="8" t="n">
        <v>2013</v>
      </c>
      <c r="C359" s="8" t="inlineStr">
        <is>
          <t>80系</t>
        </is>
      </c>
      <c r="D359" s="11" t="n">
        <v>200000</v>
      </c>
      <c r="E359" s="8" t="n">
        <v>1</v>
      </c>
      <c r="F359" s="11" t="n">
        <v>165020</v>
      </c>
      <c r="G359" s="8" t="inlineStr">
        <is>
          <t>REAL_MILEAGE</t>
        </is>
      </c>
      <c r="H359" s="8" t="inlineStr">
        <is>
          <t>NONE</t>
        </is>
      </c>
      <c r="I359" s="11" t="n">
        <v>40190</v>
      </c>
      <c r="J359" s="8" t="inlineStr">
        <is>
          <t>2026-06-15T13:44:56+09:00</t>
        </is>
      </c>
      <c r="K359" s="14" t="inlineStr">
        <is>
          <t>シエンタ　1.5 ダイス　乗って帰れます！</t>
        </is>
      </c>
      <c r="L359" s="8" t="inlineStr">
        <is>
          <t>https://page.auctions.yahoo.co.jp/jp/auction/x1233621522</t>
        </is>
      </c>
    </row>
    <row r="360">
      <c r="A360" s="13" t="inlineStr">
        <is>
          <t>シエンタ</t>
        </is>
      </c>
      <c r="B360" s="13" t="n">
        <v>2013</v>
      </c>
      <c r="C360" s="13" t="inlineStr">
        <is>
          <t>80系</t>
        </is>
      </c>
      <c r="D360" s="15" t="n">
        <v>450000</v>
      </c>
      <c r="E360" s="13" t="n">
        <v>1</v>
      </c>
      <c r="F360" s="15" t="n">
        <v>20558</v>
      </c>
      <c r="G360" s="13" t="inlineStr">
        <is>
          <t>REAL_MILEAGE</t>
        </is>
      </c>
      <c r="H360" s="13" t="n"/>
      <c r="I360" s="15" t="n">
        <v>0</v>
      </c>
      <c r="J360" s="13" t="inlineStr">
        <is>
          <t>2026-05-25T21:58:07+09:00</t>
        </is>
      </c>
      <c r="K360" s="14" t="inlineStr">
        <is>
          <t>シエンタ 後期 上級 ダイス 7人乗り 1オーナー 実走2万キロ 両側スライドドア HID Fフォグ ナビ 革巻ハンドル ETC</t>
        </is>
      </c>
      <c r="L360" s="13" t="inlineStr">
        <is>
          <t>https://page.auctions.yahoo.co.jp/jp/auction/k1219846304</t>
        </is>
      </c>
    </row>
    <row r="361">
      <c r="A361" s="8" t="inlineStr">
        <is>
          <t>シエンタ</t>
        </is>
      </c>
      <c r="B361" s="8" t="n">
        <v>2012</v>
      </c>
      <c r="C361" s="8" t="inlineStr">
        <is>
          <t>80系</t>
        </is>
      </c>
      <c r="D361" s="11" t="n">
        <v>170000</v>
      </c>
      <c r="E361" s="8" t="n">
        <v>26</v>
      </c>
      <c r="F361" s="11" t="n">
        <v>182396</v>
      </c>
      <c r="G361" s="8" t="inlineStr">
        <is>
          <t>REAL_MILEAGE</t>
        </is>
      </c>
      <c r="H361" s="8" t="n"/>
      <c r="I361" s="11" t="n">
        <v>0</v>
      </c>
      <c r="J361" s="8" t="inlineStr">
        <is>
          <t>2026-07-24T21:59:58+09:00</t>
        </is>
      </c>
      <c r="K361" s="14" t="inlineStr">
        <is>
          <t>大阪1681★ TOYOTA/トヨタ 平成24年式 SIENTA シエンタ ダイスリミテッド 実動 書類無し DBA-NCP81G 1NZ 片側電動スライドドア ETC 売切り</t>
        </is>
      </c>
      <c r="L361" s="8" t="inlineStr">
        <is>
          <t>https://page.auctions.yahoo.co.jp/jp/auction/q1237645675</t>
        </is>
      </c>
    </row>
    <row r="362">
      <c r="A362" s="13" t="inlineStr">
        <is>
          <t>シエンタ</t>
        </is>
      </c>
      <c r="B362" s="13" t="n">
        <v>2012</v>
      </c>
      <c r="C362" s="13" t="inlineStr">
        <is>
          <t>80系</t>
        </is>
      </c>
      <c r="D362" s="15" t="n">
        <v>350000</v>
      </c>
      <c r="E362" s="13" t="n">
        <v>1</v>
      </c>
      <c r="F362" s="15" t="n">
        <v>69500</v>
      </c>
      <c r="G362" s="13" t="inlineStr">
        <is>
          <t>REAL_MILEAGE</t>
        </is>
      </c>
      <c r="H362" s="13" t="inlineStr">
        <is>
          <t>NONE</t>
        </is>
      </c>
      <c r="I362" s="15" t="n">
        <v>10490</v>
      </c>
      <c r="J362" s="13" t="inlineStr">
        <is>
          <t>2026-07-02T13:07:08+09:00</t>
        </is>
      </c>
      <c r="K362" s="14" t="inlineStr">
        <is>
          <t>◎NCP81G後期型シエンタダイスのカスタムチック赤/黒ツートンカラーのお洒落仕様 旧車 希少車 ヂパング車店</t>
        </is>
      </c>
      <c r="L362" s="13" t="inlineStr">
        <is>
          <t>https://page.auctions.yahoo.co.jp/jp/auction/v1234921019</t>
        </is>
      </c>
    </row>
    <row r="363">
      <c r="A363" s="8" t="inlineStr">
        <is>
          <t>シエンタ</t>
        </is>
      </c>
      <c r="B363" s="8" t="n">
        <v>2012</v>
      </c>
      <c r="C363" s="8" t="inlineStr">
        <is>
          <t>80系</t>
        </is>
      </c>
      <c r="D363" s="11" t="n">
        <v>830000</v>
      </c>
      <c r="E363" s="8" t="n">
        <v>1</v>
      </c>
      <c r="F363" s="11" t="n">
        <v>86726</v>
      </c>
      <c r="G363" s="8" t="inlineStr">
        <is>
          <t>REAL_MILEAGE</t>
        </is>
      </c>
      <c r="H363" s="8" t="inlineStr">
        <is>
          <t>NONE</t>
        </is>
      </c>
      <c r="I363" s="11" t="n">
        <v>0</v>
      </c>
      <c r="J363" s="8" t="inlineStr">
        <is>
          <t>2026-06-18T22:49:34+09:00</t>
        </is>
      </c>
      <c r="K363" s="14" t="inlineStr">
        <is>
          <t>シエンタL-1-8</t>
        </is>
      </c>
      <c r="L363" s="8" t="inlineStr">
        <is>
          <t>https://page.auctions.yahoo.co.jp/jp/auction/c1234046994</t>
        </is>
      </c>
    </row>
    <row r="364">
      <c r="A364" s="13" t="inlineStr">
        <is>
          <t>シエンタ</t>
        </is>
      </c>
      <c r="B364" s="13" t="n">
        <v>2012</v>
      </c>
      <c r="C364" s="13" t="inlineStr">
        <is>
          <t>80系</t>
        </is>
      </c>
      <c r="D364" s="15" t="n">
        <v>800000</v>
      </c>
      <c r="E364" s="13" t="n">
        <v>1</v>
      </c>
      <c r="F364" s="15" t="n">
        <v>109209</v>
      </c>
      <c r="G364" s="13" t="inlineStr">
        <is>
          <t>REAL_MILEAGE</t>
        </is>
      </c>
      <c r="H364" s="13" t="inlineStr">
        <is>
          <t>NONE</t>
        </is>
      </c>
      <c r="I364" s="15" t="n">
        <v>0</v>
      </c>
      <c r="J364" s="13" t="inlineStr">
        <is>
          <t>2026-06-18T22:49:13+09:00</t>
        </is>
      </c>
      <c r="K364" s="14" t="inlineStr">
        <is>
          <t>トヨタ　シエンタ　1.5 ダイス リミテッド</t>
        </is>
      </c>
      <c r="L364" s="13" t="inlineStr">
        <is>
          <t>https://page.auctions.yahoo.co.jp/jp/auction/k1234051626</t>
        </is>
      </c>
    </row>
    <row r="365">
      <c r="A365" s="8" t="inlineStr">
        <is>
          <t>シエンタ</t>
        </is>
      </c>
      <c r="B365" s="8" t="n">
        <v>2011</v>
      </c>
      <c r="C365" s="8" t="inlineStr">
        <is>
          <t>80系</t>
        </is>
      </c>
      <c r="D365" s="11" t="n">
        <v>660000</v>
      </c>
      <c r="E365" s="8" t="n">
        <v>1</v>
      </c>
      <c r="F365" s="11" t="n">
        <v>152000</v>
      </c>
      <c r="G365" s="8" t="inlineStr">
        <is>
          <t>REAL_MILEAGE</t>
        </is>
      </c>
      <c r="H365" s="8" t="inlineStr">
        <is>
          <t>EXISTS</t>
        </is>
      </c>
      <c r="I365" s="11" t="n">
        <v>0</v>
      </c>
      <c r="J365" s="8" t="inlineStr">
        <is>
          <t>2026-06-18T22:49:00+09:00</t>
        </is>
      </c>
      <c r="K365" s="14" t="inlineStr">
        <is>
          <t>シエンタ　X 1LPk</t>
        </is>
      </c>
      <c r="L365" s="8" t="inlineStr">
        <is>
          <t>https://page.auctions.yahoo.co.jp/jp/auction/d1234049595</t>
        </is>
      </c>
    </row>
    <row r="366">
      <c r="A366" s="13" t="inlineStr">
        <is>
          <t>シエンタ</t>
        </is>
      </c>
      <c r="B366" s="13" t="n">
        <v>2009</v>
      </c>
      <c r="C366" s="13" t="inlineStr">
        <is>
          <t>80系</t>
        </is>
      </c>
      <c r="D366" s="15" t="n">
        <v>251000</v>
      </c>
      <c r="E366" s="13" t="n">
        <v>29</v>
      </c>
      <c r="F366" s="15" t="n">
        <v>128800</v>
      </c>
      <c r="G366" s="13" t="inlineStr">
        <is>
          <t>REAL_MILEAGE</t>
        </is>
      </c>
      <c r="H366" s="13" t="inlineStr">
        <is>
          <t>NONE</t>
        </is>
      </c>
      <c r="I366" s="15" t="n">
        <v>11200</v>
      </c>
      <c r="J366" s="13" t="inlineStr">
        <is>
          <t>2026-07-12T19:26:35+09:00</t>
        </is>
      </c>
      <c r="K366" s="14" t="inlineStr">
        <is>
          <t>トヨタシエンタNCP81G 1円スタート　売り切り</t>
        </is>
      </c>
      <c r="L366" s="13" t="inlineStr">
        <is>
          <t>https://page.auctions.yahoo.co.jp/jp/auction/l1234245317</t>
        </is>
      </c>
    </row>
    <row r="367">
      <c r="A367" s="8" t="inlineStr">
        <is>
          <t>シエンタ</t>
        </is>
      </c>
      <c r="B367" s="8" t="n">
        <v>2009</v>
      </c>
      <c r="C367" s="8" t="inlineStr">
        <is>
          <t>80系</t>
        </is>
      </c>
      <c r="D367" s="11" t="n">
        <v>165000</v>
      </c>
      <c r="E367" s="8" t="n">
        <v>1</v>
      </c>
      <c r="F367" s="11" t="n">
        <v>294000</v>
      </c>
      <c r="G367" s="8" t="inlineStr">
        <is>
          <t>REAL_MILEAGE</t>
        </is>
      </c>
      <c r="H367" s="8" t="n"/>
      <c r="I367" s="11" t="n">
        <v>0</v>
      </c>
      <c r="J367" s="8" t="inlineStr">
        <is>
          <t>2026-02-25T19:11:43+09:00</t>
        </is>
      </c>
      <c r="K367" s="14" t="inlineStr">
        <is>
          <t>売り切り　個人　シエンタ　NCP81G 1NZ 貿易　輸出　抹消渡し　自家用　輸出用　部品取りにも　多走行です　愛知県北部から</t>
        </is>
      </c>
      <c r="L367" s="8" t="inlineStr">
        <is>
          <t>https://page.auctions.yahoo.co.jp/jp/auction/s1220612316</t>
        </is>
      </c>
    </row>
    <row r="368">
      <c r="A368" s="13" t="inlineStr">
        <is>
          <t>シエンタ</t>
        </is>
      </c>
      <c r="B368" s="13" t="n">
        <v>2006</v>
      </c>
      <c r="C368" s="13" t="inlineStr">
        <is>
          <t>80系</t>
        </is>
      </c>
      <c r="D368" s="15" t="n">
        <v>130000</v>
      </c>
      <c r="E368" s="13" t="n">
        <v>1</v>
      </c>
      <c r="F368" s="15" t="n">
        <v>206096</v>
      </c>
      <c r="G368" s="13" t="inlineStr">
        <is>
          <t>REAL_MILEAGE</t>
        </is>
      </c>
      <c r="H368" s="13" t="n"/>
      <c r="I368" s="15" t="n">
        <v>11200</v>
      </c>
      <c r="J368" s="13" t="inlineStr">
        <is>
          <t>2026-06-20T18:35:21+09:00</t>
        </is>
      </c>
      <c r="K368" s="14" t="inlineStr">
        <is>
          <t>【難あり】八戸発 H18年 トヨタ TOYOTA シエンタ NCP85 X 4WD 抹消渡し 売切!!</t>
        </is>
      </c>
      <c r="L368" s="13" t="inlineStr">
        <is>
          <t>https://page.auctions.yahoo.co.jp/jp/auction/r1233752441</t>
        </is>
      </c>
    </row>
    <row r="369">
      <c r="A369" s="8" t="inlineStr">
        <is>
          <t>シエンタ</t>
        </is>
      </c>
      <c r="B369" s="8" t="n">
        <v>2005</v>
      </c>
      <c r="C369" s="8" t="inlineStr">
        <is>
          <t>80系</t>
        </is>
      </c>
      <c r="D369" s="11" t="n">
        <v>181000</v>
      </c>
      <c r="E369" s="8" t="n">
        <v>3</v>
      </c>
      <c r="F369" s="11" t="n">
        <v>112400</v>
      </c>
      <c r="G369" s="8" t="inlineStr">
        <is>
          <t>REAL_MILEAGE</t>
        </is>
      </c>
      <c r="H369" s="8" t="n"/>
      <c r="I369" s="11" t="n">
        <v>0</v>
      </c>
      <c r="J369" s="8" t="inlineStr">
        <is>
          <t>2026-03-08T11:01:46+09:00</t>
        </is>
      </c>
      <c r="K369" s="14" t="inlineStr">
        <is>
          <t xml:space="preserve">トヨタ シエンタ 平成17年 車検令和8年10月30日 走行112500km 希少色 機関好調 ETC </t>
        </is>
      </c>
      <c r="L369" s="8" t="inlineStr">
        <is>
          <t>https://page.auctions.yahoo.co.jp/jp/auction/g1220509509</t>
        </is>
      </c>
    </row>
    <row r="370">
      <c r="A370" s="13" t="inlineStr">
        <is>
          <t>シエンタ</t>
        </is>
      </c>
      <c r="B370" s="13" t="n">
        <v>2003</v>
      </c>
      <c r="C370" s="13" t="inlineStr">
        <is>
          <t>80系</t>
        </is>
      </c>
      <c r="D370" s="15" t="n">
        <v>160000</v>
      </c>
      <c r="E370" s="13" t="n">
        <v>84</v>
      </c>
      <c r="F370" s="15" t="n">
        <v>184139</v>
      </c>
      <c r="G370" s="13" t="inlineStr">
        <is>
          <t>REAL_MILEAGE</t>
        </is>
      </c>
      <c r="H370" s="13" t="inlineStr">
        <is>
          <t>NONE</t>
        </is>
      </c>
      <c r="I370" s="15" t="n">
        <v>0</v>
      </c>
      <c r="J370" s="13" t="inlineStr">
        <is>
          <t>2026-08-15T20:59:19+09:00</t>
        </is>
      </c>
      <c r="K370" s="14" t="inlineStr">
        <is>
          <t>【売り切り！】トヨタ シエンタ Xリミテッド NCP81G 1.5L 車検令和9年2月まで！</t>
        </is>
      </c>
      <c r="L370" s="13" t="inlineStr">
        <is>
          <t>https://page.auctions.yahoo.co.jp/jp/auction/s1239740855</t>
        </is>
      </c>
    </row>
    <row r="371">
      <c r="A371" s="8" t="inlineStr">
        <is>
          <t>シエンタ</t>
        </is>
      </c>
      <c r="B371" s="8" t="n">
        <v>2003</v>
      </c>
      <c r="C371" s="8" t="inlineStr">
        <is>
          <t>80系</t>
        </is>
      </c>
      <c r="D371" s="11" t="n">
        <v>130001</v>
      </c>
      <c r="E371" s="8" t="n">
        <v>28</v>
      </c>
      <c r="F371" s="11" t="n">
        <v>119089</v>
      </c>
      <c r="G371" s="8" t="inlineStr">
        <is>
          <t>REAL_MILEAGE</t>
        </is>
      </c>
      <c r="H371" s="8" t="n"/>
      <c r="I371" s="11" t="n">
        <v>0</v>
      </c>
      <c r="J371" s="8" t="inlineStr">
        <is>
          <t>2026-06-07T20:20:44+09:00</t>
        </is>
      </c>
      <c r="K371" s="14" t="inlineStr">
        <is>
          <t>値引【個人出品】 車検:令和9年(2027年)1月 東京都日野市 トヨタ シエンタ 7人乗 電動スライド 保護シートカバー付き 練習用など</t>
        </is>
      </c>
      <c r="L371" s="8" t="inlineStr">
        <is>
          <t>https://page.auctions.yahoo.co.jp/jp/auction/d1228031568</t>
        </is>
      </c>
    </row>
    <row r="372">
      <c r="A372" s="13" t="inlineStr">
        <is>
          <t>シエンタ</t>
        </is>
      </c>
      <c r="B372" s="13" t="n">
        <v>1991</v>
      </c>
      <c r="C372" s="13" t="inlineStr"/>
      <c r="D372" s="15" t="n">
        <v>573000</v>
      </c>
      <c r="E372" s="13" t="n">
        <v>73</v>
      </c>
      <c r="F372" s="15" t="n">
        <v>79400</v>
      </c>
      <c r="G372" s="13" t="inlineStr">
        <is>
          <t>REAL_MILEAGE</t>
        </is>
      </c>
      <c r="H372" s="13" t="inlineStr">
        <is>
          <t>NONE</t>
        </is>
      </c>
      <c r="I372" s="15" t="n">
        <v>0</v>
      </c>
      <c r="J372" s="13" t="inlineStr">
        <is>
          <t>2026-03-11T22:58:10+09:00</t>
        </is>
      </c>
      <c r="K372" s="14" t="inlineStr">
        <is>
          <t>トヨタシエンタ令和3/3 X 79400キーロ！！2年車検</t>
        </is>
      </c>
      <c r="L372" s="13" t="inlineStr">
        <is>
          <t>https://page.auctions.yahoo.co.jp/jp/auction/f1221865115</t>
        </is>
      </c>
    </row>
    <row r="373">
      <c r="A373" s="8" t="inlineStr">
        <is>
          <t>シエンタ</t>
        </is>
      </c>
      <c r="B373" s="8" t="n"/>
      <c r="C373" s="8" t="inlineStr"/>
      <c r="D373" s="11" t="n">
        <v>598000</v>
      </c>
      <c r="E373" s="8" t="n">
        <v>6</v>
      </c>
      <c r="F373" s="11" t="n"/>
      <c r="G373" s="8" t="n"/>
      <c r="H373" s="8" t="n"/>
      <c r="I373" s="11" t="n"/>
      <c r="J373" s="8" t="inlineStr">
        <is>
          <t>2026-08-08T15:28:29+09:00</t>
        </is>
      </c>
      <c r="K373" s="14" t="inlineStr">
        <is>
          <t>ハイブリッドＧ　車検１０年８月　両側パワースライドドア　純正ナビ　バックカメラ　ステアリングスイッチ　オートエアコン　ＬＥＤライト</t>
        </is>
      </c>
      <c r="L373" s="8" t="inlineStr">
        <is>
          <t>https://page.auctions.yahoo.co.jp/jp/auction/s1239992739</t>
        </is>
      </c>
    </row>
    <row r="374">
      <c r="A374" s="13" t="inlineStr">
        <is>
          <t>シエンタ</t>
        </is>
      </c>
      <c r="B374" s="13" t="n"/>
      <c r="C374" s="13" t="inlineStr"/>
      <c r="D374" s="15" t="n">
        <v>471000</v>
      </c>
      <c r="E374" s="13" t="n">
        <v>80</v>
      </c>
      <c r="F374" s="15" t="n"/>
      <c r="G374" s="13" t="n"/>
      <c r="H374" s="13" t="n"/>
      <c r="I374" s="15" t="n"/>
      <c r="J374" s="13" t="inlineStr">
        <is>
          <t>2026-08-01T21:14:41+09:00</t>
        </is>
      </c>
      <c r="K374" s="14" t="inlineStr">
        <is>
          <t>ハイブリッドＧ　車検１０年８月　修復なし　両側パワスラ　パイオニアナビ　Ｂカメラ　ＥＴＣ　シートヒーター　ドラレコ　ＬＥＤライト</t>
        </is>
      </c>
      <c r="L374" s="13" t="inlineStr">
        <is>
          <t>https://page.auctions.yahoo.co.jp/jp/auction/j1238385961</t>
        </is>
      </c>
    </row>
    <row r="375">
      <c r="A375" s="8" t="inlineStr">
        <is>
          <t>シエンタ</t>
        </is>
      </c>
      <c r="B375" s="8" t="n"/>
      <c r="C375" s="8" t="inlineStr"/>
      <c r="D375" s="11" t="n">
        <v>469000</v>
      </c>
      <c r="E375" s="8" t="n">
        <v>86</v>
      </c>
      <c r="F375" s="11" t="n"/>
      <c r="G375" s="8" t="n"/>
      <c r="H375" s="8" t="n"/>
      <c r="I375" s="11" t="n"/>
      <c r="J375" s="8" t="inlineStr">
        <is>
          <t>2026-07-26T21:14:21+09:00</t>
        </is>
      </c>
      <c r="K375" s="14" t="inlineStr">
        <is>
          <t>東大阪発　クエロ　ブラック209 モデリスタエアロ　ガソリン車　7人乗り 両側電動スライドドア　令和8年9月迄　支払い金額は落札金額のみ</t>
        </is>
      </c>
      <c r="L375" s="8" t="inlineStr">
        <is>
          <t>https://page.auctions.yahoo.co.jp/jp/auction/g1238170630</t>
        </is>
      </c>
    </row>
    <row r="376">
      <c r="A376" s="13" t="inlineStr">
        <is>
          <t>シエンタ</t>
        </is>
      </c>
      <c r="B376" s="13" t="n"/>
      <c r="C376" s="13" t="inlineStr"/>
      <c r="D376" s="15" t="n">
        <v>597000</v>
      </c>
      <c r="E376" s="13" t="n">
        <v>165</v>
      </c>
      <c r="F376" s="15" t="n"/>
      <c r="G376" s="13" t="n"/>
      <c r="H376" s="13" t="n"/>
      <c r="I376" s="15" t="n"/>
      <c r="J376" s="13" t="inlineStr">
        <is>
          <t>2026-06-30T22:14:39+09:00</t>
        </is>
      </c>
      <c r="K376" s="14" t="inlineStr">
        <is>
          <t>完全売切！【無事故/実走】28年式上級/ハイブリッドG☆人気の2x2x2/６人乗り☆衝突軽減/レーンキープ/LEDヘッド＆両側自動ドア☆車検R9.11</t>
        </is>
      </c>
      <c r="L376" s="13" t="inlineStr">
        <is>
          <t>https://page.auctions.yahoo.co.jp/jp/auction/b1234595984</t>
        </is>
      </c>
    </row>
    <row r="377">
      <c r="A377" s="8" t="inlineStr">
        <is>
          <t>シエンタ</t>
        </is>
      </c>
      <c r="B377" s="8" t="n"/>
      <c r="C377" s="8" t="inlineStr"/>
      <c r="D377" s="11" t="n">
        <v>540000</v>
      </c>
      <c r="E377" s="8" t="n">
        <v>62</v>
      </c>
      <c r="F377" s="11" t="n"/>
      <c r="G377" s="8" t="n"/>
      <c r="H377" s="8" t="n"/>
      <c r="I377" s="11" t="n"/>
      <c r="J377" s="8" t="inlineStr">
        <is>
          <t>2026-06-27T21:40:01+09:00</t>
        </is>
      </c>
      <c r="K377" s="14" t="inlineStr">
        <is>
          <t xml:space="preserve">ハイブリッドＧ　車検１０年７月　修復なし　ＰＣＳ　ＬＤＡ　ＡＨＢ　Ｓ-ＴＲＣ　両側パワスラ　純正ナビ　Ｂカメラ　シートヒーター　</t>
        </is>
      </c>
      <c r="L377" s="8" t="inlineStr">
        <is>
          <t>https://page.auctions.yahoo.co.jp/jp/auction/f1234273838</t>
        </is>
      </c>
    </row>
    <row r="378">
      <c r="A378" s="13" t="inlineStr">
        <is>
          <t>シエンタ</t>
        </is>
      </c>
      <c r="B378" s="13" t="n"/>
      <c r="C378" s="13" t="inlineStr"/>
      <c r="D378" s="15" t="n">
        <v>634000</v>
      </c>
      <c r="E378" s="13" t="n">
        <v>81</v>
      </c>
      <c r="F378" s="15" t="n"/>
      <c r="G378" s="13" t="n"/>
      <c r="H378" s="13" t="n"/>
      <c r="I378" s="15" t="n"/>
      <c r="J378" s="13" t="inlineStr">
        <is>
          <t>2026-06-18T22:00:37+09:00</t>
        </is>
      </c>
      <c r="K378" s="14" t="inlineStr">
        <is>
          <t>上級 ハイブリッド G トヨタセイフティーセンス 本車検2年 機関良好 両側自動ドア フルセグナビBT対応Bカメラ スマキー 自動ブレーキ Dレコ</t>
        </is>
      </c>
      <c r="L378" s="13" t="inlineStr">
        <is>
          <t>https://page.auctions.yahoo.co.jp/jp/auction/f1232568724</t>
        </is>
      </c>
    </row>
    <row r="379">
      <c r="A379" s="8" t="inlineStr">
        <is>
          <t>シエンタ</t>
        </is>
      </c>
      <c r="B379" s="8" t="n"/>
      <c r="C379" s="8" t="inlineStr"/>
      <c r="D379" s="11" t="n">
        <v>621000</v>
      </c>
      <c r="E379" s="8" t="n">
        <v>190</v>
      </c>
      <c r="F379" s="11" t="n"/>
      <c r="G379" s="8" t="n"/>
      <c r="H379" s="8" t="n"/>
      <c r="I379" s="11" t="n"/>
      <c r="J379" s="8" t="inlineStr">
        <is>
          <t>2026-06-17T21:33:49+09:00</t>
        </is>
      </c>
      <c r="K379" s="14" t="inlineStr">
        <is>
          <t>『陸送30%OFF』☆車検満タン10/6☆セ-フティセンス☆ハイブリッドG♪【Fダウンモニタ-/両パワスラ/ナビ/フルセグ/Bカメラ/スマ-トキ-/ETC】</t>
        </is>
      </c>
      <c r="L379" s="8" t="inlineStr">
        <is>
          <t>https://page.auctions.yahoo.co.jp/jp/auction/j1232658588</t>
        </is>
      </c>
    </row>
    <row r="380">
      <c r="A380" s="13" t="inlineStr">
        <is>
          <t>シエンタ</t>
        </is>
      </c>
      <c r="B380" s="13" t="n"/>
      <c r="C380" s="13" t="inlineStr"/>
      <c r="D380" s="15" t="n">
        <v>421000</v>
      </c>
      <c r="E380" s="13" t="n">
        <v>168</v>
      </c>
      <c r="F380" s="15" t="n"/>
      <c r="G380" s="13" t="n"/>
      <c r="H380" s="13" t="n"/>
      <c r="I380" s="15" t="n"/>
      <c r="J380" s="13" t="inlineStr">
        <is>
          <t>2026-05-28T22:42:07+09:00</t>
        </is>
      </c>
      <c r="K380" s="14" t="inlineStr">
        <is>
          <t>H28 シエンタHV 最上級Gグレード ナビ 地デジ Bモニター ドラレコ 検9年3月 ETC 社外アルミ リアモニター 大阪発</t>
        </is>
      </c>
      <c r="L380" s="13" t="inlineStr">
        <is>
          <t>https://page.auctions.yahoo.co.jp/jp/auction/t1230773918</t>
        </is>
      </c>
    </row>
    <row r="381">
      <c r="A381" s="8" t="inlineStr">
        <is>
          <t>シエンタ</t>
        </is>
      </c>
      <c r="B381" s="8" t="n"/>
      <c r="C381" s="8" t="inlineStr"/>
      <c r="D381" s="11" t="n">
        <v>619000</v>
      </c>
      <c r="E381" s="8" t="n">
        <v>73</v>
      </c>
      <c r="F381" s="11" t="n"/>
      <c r="G381" s="8" t="n"/>
      <c r="H381" s="8" t="n"/>
      <c r="I381" s="11" t="n"/>
      <c r="J381" s="8" t="inlineStr">
        <is>
          <t>2026-05-03T20:57:14+09:00</t>
        </is>
      </c>
      <c r="K381" s="14" t="inlineStr">
        <is>
          <t>【H28/1　シエンタ　ハイブリッドG　パワースライドドア　TV・ETC　売り切りスタート！！】</t>
        </is>
      </c>
      <c r="L381" s="8" t="inlineStr">
        <is>
          <t>https://page.auctions.yahoo.co.jp/jp/auction/e1228243925</t>
        </is>
      </c>
    </row>
    <row r="382">
      <c r="A382" s="13" t="inlineStr">
        <is>
          <t>シエンタ</t>
        </is>
      </c>
      <c r="B382" s="13" t="n"/>
      <c r="C382" s="13" t="inlineStr"/>
      <c r="D382" s="15" t="n">
        <v>665000</v>
      </c>
      <c r="E382" s="13" t="n">
        <v>176</v>
      </c>
      <c r="F382" s="15" t="n"/>
      <c r="G382" s="13" t="n"/>
      <c r="H382" s="13" t="n"/>
      <c r="I382" s="15" t="n"/>
      <c r="J382" s="13" t="inlineStr">
        <is>
          <t>2026-04-25T22:20:34+09:00</t>
        </is>
      </c>
      <c r="K382" s="14" t="inlineStr">
        <is>
          <t>トヨタシアンタ G、年式:平成30年6月、走行距離:50820KM、車検:いるなら受けてあげます、テレビ、ETC、外装と内装めちゃきれい、自走可能</t>
        </is>
      </c>
      <c r="L382" s="13" t="inlineStr">
        <is>
          <t>https://page.auctions.yahoo.co.jp/jp/auction/o1227404312</t>
        </is>
      </c>
    </row>
    <row r="383">
      <c r="A383" s="8" t="inlineStr">
        <is>
          <t>シエンタ</t>
        </is>
      </c>
      <c r="B383" s="8" t="n"/>
      <c r="C383" s="8" t="inlineStr"/>
      <c r="D383" s="11" t="n">
        <v>602000</v>
      </c>
      <c r="E383" s="8" t="n">
        <v>103</v>
      </c>
      <c r="F383" s="11" t="n"/>
      <c r="G383" s="8" t="n"/>
      <c r="H383" s="8" t="n"/>
      <c r="I383" s="11" t="n"/>
      <c r="J383" s="8" t="inlineStr">
        <is>
          <t>2026-04-25T21:38:01+09:00</t>
        </is>
      </c>
      <c r="K383" s="14" t="inlineStr">
        <is>
          <t>最上級ハイブリッドG　モデリスタ製フルエアロ＆リアスポイラー　HVシステム＆エンジン機関絶好調　修復歴無の艶ピカ極上美車</t>
        </is>
      </c>
      <c r="L383" s="8" t="inlineStr">
        <is>
          <t>https://page.auctions.yahoo.co.jp/jp/auction/e1226588363</t>
        </is>
      </c>
    </row>
    <row r="384">
      <c r="A384" s="13" t="inlineStr">
        <is>
          <t>シエンタ</t>
        </is>
      </c>
      <c r="B384" s="13" t="n"/>
      <c r="C384" s="13" t="inlineStr"/>
      <c r="D384" s="15" t="n">
        <v>192000</v>
      </c>
      <c r="E384" s="13" t="n">
        <v>21</v>
      </c>
      <c r="F384" s="15" t="n"/>
      <c r="G384" s="13" t="n"/>
      <c r="H384" s="13" t="n"/>
      <c r="I384" s="15" t="n"/>
      <c r="J384" s="13" t="inlineStr">
        <is>
          <t>2026-03-29T22:38:51+09:00</t>
        </is>
      </c>
      <c r="K384" s="14" t="inlineStr">
        <is>
          <t xml:space="preserve">平成25 ポルテ グレード F </t>
        </is>
      </c>
      <c r="L384" s="13" t="inlineStr">
        <is>
          <t>https://page.auctions.yahoo.co.jp/jp/auction/q1223553567</t>
        </is>
      </c>
    </row>
    <row r="385">
      <c r="A385" s="8" t="inlineStr">
        <is>
          <t>ノア</t>
        </is>
      </c>
      <c r="B385" s="8" t="n">
        <v>2023</v>
      </c>
      <c r="C385" s="8" t="inlineStr">
        <is>
          <t>90系</t>
        </is>
      </c>
      <c r="D385" s="11" t="n">
        <v>2921000</v>
      </c>
      <c r="E385" s="8" t="n">
        <v>1</v>
      </c>
      <c r="F385" s="11" t="n">
        <v>4000</v>
      </c>
      <c r="G385" s="8" t="inlineStr">
        <is>
          <t>REAL_MILEAGE</t>
        </is>
      </c>
      <c r="H385" s="8" t="inlineStr">
        <is>
          <t>NONE</t>
        </is>
      </c>
      <c r="I385" s="11" t="n">
        <v>0</v>
      </c>
      <c r="J385" s="8" t="inlineStr">
        <is>
          <t>2026-04-13T23:27:50+09:00</t>
        </is>
      </c>
      <c r="K385" s="14" t="inlineStr">
        <is>
          <t>【諸費用コミ】:【在庫確認必須】 ノア</t>
        </is>
      </c>
      <c r="L385" s="8" t="inlineStr">
        <is>
          <t>https://page.auctions.yahoo.co.jp/jp/auction/o1224806188</t>
        </is>
      </c>
    </row>
    <row r="386">
      <c r="A386" s="13" t="inlineStr">
        <is>
          <t>ノア</t>
        </is>
      </c>
      <c r="B386" s="13" t="n">
        <v>2020</v>
      </c>
      <c r="C386" s="13" t="inlineStr">
        <is>
          <t>80系</t>
        </is>
      </c>
      <c r="D386" s="15" t="n">
        <v>1447444</v>
      </c>
      <c r="E386" s="13" t="n">
        <v>78</v>
      </c>
      <c r="F386" s="15" t="n">
        <v>85000</v>
      </c>
      <c r="G386" s="13" t="inlineStr">
        <is>
          <t>REAL_MILEAGE</t>
        </is>
      </c>
      <c r="H386" s="13" t="inlineStr">
        <is>
          <t>NONE</t>
        </is>
      </c>
      <c r="I386" s="15" t="n">
        <v>0</v>
      </c>
      <c r="J386" s="13" t="inlineStr">
        <is>
          <t>2026-03-23T21:26:23+09:00</t>
        </is>
      </c>
      <c r="K386" s="14" t="inlineStr">
        <is>
          <t>ノア SI GR スポーツパッケージ。車検は2027年11月まで、フルセグTVナビ、ETC、ドライブレコーダー</t>
        </is>
      </c>
      <c r="L386" s="13" t="inlineStr">
        <is>
          <t>https://page.auctions.yahoo.co.jp/jp/auction/c1223644250</t>
        </is>
      </c>
    </row>
    <row r="387">
      <c r="A387" s="8" t="inlineStr">
        <is>
          <t>ノア</t>
        </is>
      </c>
      <c r="B387" s="8" t="n">
        <v>2018</v>
      </c>
      <c r="C387" s="8" t="inlineStr">
        <is>
          <t>80系</t>
        </is>
      </c>
      <c r="D387" s="11" t="n">
        <v>1330000</v>
      </c>
      <c r="E387" s="8" t="n">
        <v>1</v>
      </c>
      <c r="F387" s="11" t="n">
        <v>122000</v>
      </c>
      <c r="G387" s="8" t="inlineStr">
        <is>
          <t>REAL_MILEAGE</t>
        </is>
      </c>
      <c r="H387" s="8" t="inlineStr">
        <is>
          <t>NONE</t>
        </is>
      </c>
      <c r="I387" s="11" t="n">
        <v>0</v>
      </c>
      <c r="J387" s="8" t="inlineStr">
        <is>
          <t>2026-06-21T12:03:31+09:00</t>
        </is>
      </c>
      <c r="K387" s="14" t="inlineStr">
        <is>
          <t>平成30年 トヨタ ノア 2.0 X サイドリフトアップシート</t>
        </is>
      </c>
      <c r="L387" s="8" t="inlineStr">
        <is>
          <t>https://page.auctions.yahoo.co.jp/jp/auction/d1231978721</t>
        </is>
      </c>
    </row>
    <row r="388">
      <c r="A388" s="13" t="inlineStr">
        <is>
          <t>ノア</t>
        </is>
      </c>
      <c r="B388" s="13" t="n">
        <v>2017</v>
      </c>
      <c r="C388" s="13" t="inlineStr">
        <is>
          <t>80系</t>
        </is>
      </c>
      <c r="D388" s="15" t="n">
        <v>1668000</v>
      </c>
      <c r="E388" s="13" t="n">
        <v>1</v>
      </c>
      <c r="F388" s="15" t="n">
        <v>33000</v>
      </c>
      <c r="G388" s="13" t="inlineStr">
        <is>
          <t>REAL_MILEAGE</t>
        </is>
      </c>
      <c r="H388" s="13" t="inlineStr">
        <is>
          <t>NONE</t>
        </is>
      </c>
      <c r="I388" s="15" t="n">
        <v>0</v>
      </c>
      <c r="J388" s="13" t="inlineStr">
        <is>
          <t>2026-05-10T08:46:02+09:00</t>
        </is>
      </c>
      <c r="K388" s="14" t="inlineStr">
        <is>
          <t>ノア 2.0 G ブレーキサポート 左オートスライド</t>
        </is>
      </c>
      <c r="L388" s="13" t="inlineStr">
        <is>
          <t>https://page.auctions.yahoo.co.jp/jp/auction/o1227604500</t>
        </is>
      </c>
    </row>
    <row r="389">
      <c r="A389" s="8" t="inlineStr">
        <is>
          <t>ノア</t>
        </is>
      </c>
      <c r="B389" s="8" t="n">
        <v>2017</v>
      </c>
      <c r="C389" s="8" t="inlineStr">
        <is>
          <t>80系</t>
        </is>
      </c>
      <c r="D389" s="11" t="n">
        <v>1728001</v>
      </c>
      <c r="E389" s="8" t="n">
        <v>1</v>
      </c>
      <c r="F389" s="11" t="n">
        <v>77000</v>
      </c>
      <c r="G389" s="8" t="inlineStr">
        <is>
          <t>REAL_MILEAGE</t>
        </is>
      </c>
      <c r="H389" s="8" t="inlineStr">
        <is>
          <t>NONE</t>
        </is>
      </c>
      <c r="I389" s="11" t="n">
        <v>0</v>
      </c>
      <c r="J389" s="8" t="inlineStr">
        <is>
          <t>2026-05-10T08:42:18+09:00</t>
        </is>
      </c>
      <c r="K389" s="14" t="inlineStr">
        <is>
          <t>ノア 1.8 ハイブリッド Si WxB 両側オートスライド ブレーキサポート</t>
        </is>
      </c>
      <c r="L389" s="8" t="inlineStr">
        <is>
          <t>https://page.auctions.yahoo.co.jp/jp/auction/c1227626677</t>
        </is>
      </c>
    </row>
    <row r="390">
      <c r="A390" s="13" t="inlineStr">
        <is>
          <t>ノア</t>
        </is>
      </c>
      <c r="B390" s="13" t="n">
        <v>2016</v>
      </c>
      <c r="C390" s="13" t="inlineStr">
        <is>
          <t>80系</t>
        </is>
      </c>
      <c r="D390" s="15" t="n">
        <v>968000</v>
      </c>
      <c r="E390" s="13" t="n">
        <v>1</v>
      </c>
      <c r="F390" s="15" t="n">
        <v>141360</v>
      </c>
      <c r="G390" s="13" t="inlineStr">
        <is>
          <t>REAL_MILEAGE</t>
        </is>
      </c>
      <c r="H390" s="13" t="inlineStr">
        <is>
          <t>NONE</t>
        </is>
      </c>
      <c r="I390" s="15" t="n">
        <v>45030</v>
      </c>
      <c r="J390" s="13" t="inlineStr">
        <is>
          <t>2026-07-16T17:31:20+09:00</t>
        </is>
      </c>
      <c r="K390" s="14" t="inlineStr">
        <is>
          <t>ノア ハイブリッドSｉ トヨタセーフティセンス 衝突軽減ブレーキ ナビ TV Bluetooth フリップモニター バックモニター 両側Pスラ スマキー</t>
        </is>
      </c>
      <c r="L390" s="13" t="inlineStr">
        <is>
          <t>https://page.auctions.yahoo.co.jp/jp/auction/p1234254170</t>
        </is>
      </c>
    </row>
    <row r="391">
      <c r="A391" s="8" t="inlineStr">
        <is>
          <t>ノア</t>
        </is>
      </c>
      <c r="B391" s="8" t="n">
        <v>2016</v>
      </c>
      <c r="C391" s="8" t="inlineStr">
        <is>
          <t>80系</t>
        </is>
      </c>
      <c r="D391" s="11" t="n">
        <v>1598000</v>
      </c>
      <c r="E391" s="8" t="n">
        <v>1</v>
      </c>
      <c r="F391" s="11" t="n">
        <v>59000</v>
      </c>
      <c r="G391" s="8" t="inlineStr">
        <is>
          <t>REAL_MILEAGE</t>
        </is>
      </c>
      <c r="H391" s="8" t="inlineStr">
        <is>
          <t>NONE</t>
        </is>
      </c>
      <c r="I391" s="11" t="n">
        <v>0</v>
      </c>
      <c r="J391" s="8" t="inlineStr">
        <is>
          <t>2026-05-10T08:53:32+09:00</t>
        </is>
      </c>
      <c r="K391" s="14" t="inlineStr">
        <is>
          <t>ノア 1.8 ハイブリッド X 両側オートスライド ブレーキサポート</t>
        </is>
      </c>
      <c r="L391" s="8" t="inlineStr">
        <is>
          <t>https://page.auctions.yahoo.co.jp/jp/auction/w1225688521</t>
        </is>
      </c>
    </row>
    <row r="392">
      <c r="A392" s="13" t="inlineStr">
        <is>
          <t>ノア</t>
        </is>
      </c>
      <c r="B392" s="13" t="n">
        <v>2015</v>
      </c>
      <c r="C392" s="13" t="inlineStr">
        <is>
          <t>80系</t>
        </is>
      </c>
      <c r="D392" s="15" t="n">
        <v>880000</v>
      </c>
      <c r="E392" s="13" t="n">
        <v>1</v>
      </c>
      <c r="F392" s="15" t="n">
        <v>83402</v>
      </c>
      <c r="G392" s="13" t="inlineStr">
        <is>
          <t>REAL_MILEAGE</t>
        </is>
      </c>
      <c r="H392" s="13" t="inlineStr">
        <is>
          <t>EXISTS</t>
        </is>
      </c>
      <c r="I392" s="15" t="n">
        <v>0</v>
      </c>
      <c r="J392" s="13" t="inlineStr">
        <is>
          <t>2026-08-07T21:00:07+09:00</t>
        </is>
      </c>
      <c r="K392" s="14" t="inlineStr">
        <is>
          <t>【諸費用コミ】:平成27年 ノア 2.0 G 4WD</t>
        </is>
      </c>
      <c r="L392" s="13" t="inlineStr">
        <is>
          <t>https://page.auctions.yahoo.co.jp/jp/auction/k1238287619</t>
        </is>
      </c>
    </row>
    <row r="393">
      <c r="A393" s="8" t="inlineStr">
        <is>
          <t>ノア</t>
        </is>
      </c>
      <c r="B393" s="8" t="n">
        <v>2015</v>
      </c>
      <c r="C393" s="8" t="inlineStr">
        <is>
          <t>80系</t>
        </is>
      </c>
      <c r="D393" s="11" t="n">
        <v>850000</v>
      </c>
      <c r="E393" s="8" t="n">
        <v>3</v>
      </c>
      <c r="F393" s="11" t="n">
        <v>115566</v>
      </c>
      <c r="G393" s="8" t="inlineStr">
        <is>
          <t>REAL_MILEAGE</t>
        </is>
      </c>
      <c r="H393" s="8" t="inlineStr">
        <is>
          <t>NONE</t>
        </is>
      </c>
      <c r="I393" s="11" t="n">
        <v>12470</v>
      </c>
      <c r="J393" s="8" t="inlineStr">
        <is>
          <t>2026-08-02T21:19:50+09:00</t>
        </is>
      </c>
      <c r="K393" s="14" t="inlineStr">
        <is>
          <t xml:space="preserve">H 27 ノア ハイブリッド　希少グレー　極上車美車　</t>
        </is>
      </c>
      <c r="L393" s="8" t="inlineStr">
        <is>
          <t>https://page.auctions.yahoo.co.jp/jp/auction/v1232618398</t>
        </is>
      </c>
    </row>
    <row r="394">
      <c r="A394" s="13" t="inlineStr">
        <is>
          <t>ノア</t>
        </is>
      </c>
      <c r="B394" s="13" t="n">
        <v>2015</v>
      </c>
      <c r="C394" s="13" t="inlineStr">
        <is>
          <t>80系</t>
        </is>
      </c>
      <c r="D394" s="15" t="n">
        <v>583000</v>
      </c>
      <c r="E394" s="13" t="n">
        <v>104</v>
      </c>
      <c r="F394" s="15" t="n">
        <v>165000</v>
      </c>
      <c r="G394" s="13" t="inlineStr">
        <is>
          <t>REAL_MILEAGE</t>
        </is>
      </c>
      <c r="H394" s="13" t="inlineStr">
        <is>
          <t>NONE</t>
        </is>
      </c>
      <c r="I394" s="15" t="n">
        <v>12400</v>
      </c>
      <c r="J394" s="13" t="inlineStr">
        <is>
          <t>2026-07-19T22:08:59+09:00</t>
        </is>
      </c>
      <c r="K394" s="14" t="inlineStr">
        <is>
          <t xml:space="preserve">トヨタ ノア ハイブリッド G 平成27年 2015年 AT 両側パワースライドドア ナビ ETC 前後カメラ パールホワイト 美濃加茂市 </t>
        </is>
      </c>
      <c r="L394" s="13" t="inlineStr">
        <is>
          <t>https://page.auctions.yahoo.co.jp/jp/auction/f1237195399</t>
        </is>
      </c>
    </row>
    <row r="395">
      <c r="A395" s="8" t="inlineStr">
        <is>
          <t>ノア</t>
        </is>
      </c>
      <c r="B395" s="8" t="n">
        <v>2015</v>
      </c>
      <c r="C395" s="8" t="inlineStr">
        <is>
          <t>80系</t>
        </is>
      </c>
      <c r="D395" s="11" t="n">
        <v>698000</v>
      </c>
      <c r="E395" s="8" t="n">
        <v>1</v>
      </c>
      <c r="F395" s="11" t="n">
        <v>147500</v>
      </c>
      <c r="G395" s="8" t="inlineStr">
        <is>
          <t>REAL_MILEAGE</t>
        </is>
      </c>
      <c r="H395" s="8" t="inlineStr">
        <is>
          <t>NONE</t>
        </is>
      </c>
      <c r="I395" s="11" t="n">
        <v>60230</v>
      </c>
      <c r="J395" s="8" t="inlineStr">
        <is>
          <t>2026-07-19T10:21:17+09:00</t>
        </is>
      </c>
      <c r="K395" s="14" t="inlineStr">
        <is>
          <t>車検満タン ノア ハイブリッドXディライトプラス ナビ TV Bluetooth フリップダウンモニター バックカメラ 両側パワスラ スマキー LED ETC</t>
        </is>
      </c>
      <c r="L395" s="8" t="inlineStr">
        <is>
          <t>https://page.auctions.yahoo.co.jp/jp/auction/d1236118198</t>
        </is>
      </c>
    </row>
    <row r="396">
      <c r="A396" s="13" t="inlineStr">
        <is>
          <t>ノア</t>
        </is>
      </c>
      <c r="B396" s="13" t="n">
        <v>2015</v>
      </c>
      <c r="C396" s="13" t="inlineStr">
        <is>
          <t>80系</t>
        </is>
      </c>
      <c r="D396" s="15" t="n">
        <v>598000</v>
      </c>
      <c r="E396" s="13" t="n">
        <v>1</v>
      </c>
      <c r="F396" s="15" t="n">
        <v>99000</v>
      </c>
      <c r="G396" s="13" t="inlineStr">
        <is>
          <t>REAL_MILEAGE</t>
        </is>
      </c>
      <c r="H396" s="13" t="inlineStr">
        <is>
          <t>EXISTS</t>
        </is>
      </c>
      <c r="I396" s="15" t="n">
        <v>0</v>
      </c>
      <c r="J396" s="13" t="inlineStr">
        <is>
          <t>2026-07-07T22:36:05+09:00</t>
        </is>
      </c>
      <c r="K396" s="14" t="inlineStr">
        <is>
          <t>ノア 2.0 X サイドリフトアップシート装着車 純正ナビTVビデオBluetooth接続Bカメラ/両</t>
        </is>
      </c>
      <c r="L396" s="13" t="inlineStr">
        <is>
          <t>https://page.auctions.yahoo.co.jp/jp/auction/v1230078009</t>
        </is>
      </c>
    </row>
    <row r="397">
      <c r="A397" s="8" t="inlineStr">
        <is>
          <t>ノア</t>
        </is>
      </c>
      <c r="B397" s="8" t="n">
        <v>2015</v>
      </c>
      <c r="C397" s="8" t="inlineStr">
        <is>
          <t>80系</t>
        </is>
      </c>
      <c r="D397" s="11" t="n">
        <v>878000</v>
      </c>
      <c r="E397" s="8" t="n">
        <v>1</v>
      </c>
      <c r="F397" s="11" t="n">
        <v>127000</v>
      </c>
      <c r="G397" s="8" t="inlineStr">
        <is>
          <t>REAL_MILEAGE</t>
        </is>
      </c>
      <c r="H397" s="8" t="inlineStr">
        <is>
          <t>NONE</t>
        </is>
      </c>
      <c r="I397" s="11" t="n">
        <v>0</v>
      </c>
      <c r="J397" s="8" t="inlineStr">
        <is>
          <t>2026-05-10T08:16:48+09:00</t>
        </is>
      </c>
      <c r="K397" s="14" t="inlineStr">
        <is>
          <t>ノア 2.0 G 社外SDナビ&amp;フルセグTV/CD&amp;DVD再生・USB</t>
        </is>
      </c>
      <c r="L397" s="8" t="inlineStr">
        <is>
          <t>https://page.auctions.yahoo.co.jp/jp/auction/k1228016110</t>
        </is>
      </c>
    </row>
    <row r="398">
      <c r="A398" s="13" t="inlineStr">
        <is>
          <t>ノア</t>
        </is>
      </c>
      <c r="B398" s="13" t="n">
        <v>2015</v>
      </c>
      <c r="C398" s="13" t="inlineStr">
        <is>
          <t>80系</t>
        </is>
      </c>
      <c r="D398" s="15" t="n">
        <v>1060000</v>
      </c>
      <c r="E398" s="13" t="n">
        <v>1</v>
      </c>
      <c r="F398" s="15" t="n">
        <v>68000</v>
      </c>
      <c r="G398" s="13" t="inlineStr">
        <is>
          <t>REAL_MILEAGE</t>
        </is>
      </c>
      <c r="H398" s="13" t="inlineStr">
        <is>
          <t>EXISTS</t>
        </is>
      </c>
      <c r="I398" s="15" t="n">
        <v>0</v>
      </c>
      <c r="J398" s="13" t="inlineStr">
        <is>
          <t>2026-05-10T08:15:59+09:00</t>
        </is>
      </c>
      <c r="K398" s="14" t="inlineStr">
        <is>
          <t>ノア 2.0 X ディライト プラス ナビ　バックカメラ　Bluetooth</t>
        </is>
      </c>
      <c r="L398" s="13" t="inlineStr">
        <is>
          <t>https://page.auctions.yahoo.co.jp/jp/auction/o1228645371</t>
        </is>
      </c>
    </row>
    <row r="399">
      <c r="A399" s="8" t="inlineStr">
        <is>
          <t>ノア</t>
        </is>
      </c>
      <c r="B399" s="8" t="n">
        <v>2015</v>
      </c>
      <c r="C399" s="8" t="inlineStr">
        <is>
          <t>80系</t>
        </is>
      </c>
      <c r="D399" s="11" t="n">
        <v>906100</v>
      </c>
      <c r="E399" s="8" t="n">
        <v>153</v>
      </c>
      <c r="F399" s="11" t="n">
        <v>92221</v>
      </c>
      <c r="G399" s="8" t="inlineStr">
        <is>
          <t>REAL_MILEAGE</t>
        </is>
      </c>
      <c r="H399" s="8" t="n"/>
      <c r="I399" s="11" t="n">
        <v>0</v>
      </c>
      <c r="J399" s="8" t="inlineStr">
        <is>
          <t>2026-03-07T22:33:39+09:00</t>
        </is>
      </c>
      <c r="K399" s="14" t="inlineStr">
        <is>
          <t>美車!! TOYOTA トヨタ NOAH 80系 ノア ハイブリッド 両側電動スライドドア 車検:令和9年6月迄</t>
        </is>
      </c>
      <c r="L399" s="8" t="inlineStr">
        <is>
          <t>https://page.auctions.yahoo.co.jp/jp/auction/p1220856639</t>
        </is>
      </c>
    </row>
    <row r="400">
      <c r="A400" s="13" t="inlineStr">
        <is>
          <t>ノア</t>
        </is>
      </c>
      <c r="B400" s="13" t="n">
        <v>2015</v>
      </c>
      <c r="C400" s="13" t="inlineStr">
        <is>
          <t>80系</t>
        </is>
      </c>
      <c r="D400" s="15" t="n">
        <v>1450000</v>
      </c>
      <c r="E400" s="13" t="n">
        <v>148</v>
      </c>
      <c r="F400" s="15" t="n">
        <v>92221</v>
      </c>
      <c r="G400" s="13" t="inlineStr">
        <is>
          <t>REAL_MILEAGE</t>
        </is>
      </c>
      <c r="H400" s="13" t="n"/>
      <c r="I400" s="15" t="n">
        <v>0</v>
      </c>
      <c r="J400" s="13" t="inlineStr">
        <is>
          <t>2026-02-23T22:17:41+09:00</t>
        </is>
      </c>
      <c r="K400" s="14" t="inlineStr">
        <is>
          <t>美車!! TOYOTA トヨタ NOAH 80系 ノア ハイブリッド 両側電動スライドドア 車検:令和9年6月迄</t>
        </is>
      </c>
      <c r="L400" s="13" t="inlineStr">
        <is>
          <t>https://page.auctions.yahoo.co.jp/jp/auction/n1219033806</t>
        </is>
      </c>
    </row>
    <row r="401">
      <c r="A401" s="8" t="inlineStr">
        <is>
          <t>ノア</t>
        </is>
      </c>
      <c r="B401" s="8" t="n">
        <v>2014</v>
      </c>
      <c r="C401" s="8" t="inlineStr">
        <is>
          <t>80系</t>
        </is>
      </c>
      <c r="D401" s="11" t="n">
        <v>436000</v>
      </c>
      <c r="E401" s="8" t="n">
        <v>53</v>
      </c>
      <c r="F401" s="11" t="n">
        <v>175000</v>
      </c>
      <c r="G401" s="8" t="inlineStr">
        <is>
          <t>REAL_MILEAGE</t>
        </is>
      </c>
      <c r="H401" s="8" t="inlineStr">
        <is>
          <t>EXISTS</t>
        </is>
      </c>
      <c r="I401" s="11" t="n">
        <v>32470</v>
      </c>
      <c r="J401" s="8" t="inlineStr">
        <is>
          <t>2026-07-26T21:20:00+09:00</t>
        </is>
      </c>
      <c r="K401" s="14" t="inlineStr">
        <is>
          <t>★予備検付！★H26年式ノアHV X 人気色ブラック/社外AW/Fリップ/Rスポ/7人乗/パワスラ/9インチナビ/フリップダウン/Bカメラ/ETC</t>
        </is>
      </c>
      <c r="L401" s="8" t="inlineStr">
        <is>
          <t>https://page.auctions.yahoo.co.jp/jp/auction/x1237325927</t>
        </is>
      </c>
    </row>
    <row r="402">
      <c r="A402" s="13" t="inlineStr">
        <is>
          <t>ノア</t>
        </is>
      </c>
      <c r="B402" s="13" t="n">
        <v>2014</v>
      </c>
      <c r="C402" s="13" t="inlineStr">
        <is>
          <t>80系</t>
        </is>
      </c>
      <c r="D402" s="15" t="n">
        <v>452000</v>
      </c>
      <c r="E402" s="13" t="n">
        <v>93</v>
      </c>
      <c r="F402" s="15" t="n">
        <v>165900</v>
      </c>
      <c r="G402" s="13" t="inlineStr">
        <is>
          <t>REAL_MILEAGE</t>
        </is>
      </c>
      <c r="H402" s="13" t="inlineStr">
        <is>
          <t>EXISTS</t>
        </is>
      </c>
      <c r="I402" s="15" t="n">
        <v>12470</v>
      </c>
      <c r="J402" s="13" t="inlineStr">
        <is>
          <t>2026-07-06T21:31:45+09:00</t>
        </is>
      </c>
      <c r="K402" s="14" t="inlineStr">
        <is>
          <t>検2年付き/予備検込み★ハイブリッド車★ノア★両側パワースライドドア★フリップダウンモニター★LEDライト★9インチ大型ナビ/TV/Bカメラ</t>
        </is>
      </c>
      <c r="L402" s="13" t="inlineStr">
        <is>
          <t>https://page.auctions.yahoo.co.jp/jp/auction/s1235827386</t>
        </is>
      </c>
    </row>
    <row r="403">
      <c r="A403" s="8" t="inlineStr">
        <is>
          <t>ノア</t>
        </is>
      </c>
      <c r="B403" s="8" t="n">
        <v>2014</v>
      </c>
      <c r="C403" s="8" t="inlineStr">
        <is>
          <t>80系</t>
        </is>
      </c>
      <c r="D403" s="11" t="n">
        <v>527200</v>
      </c>
      <c r="E403" s="8" t="n">
        <v>124</v>
      </c>
      <c r="F403" s="11" t="n">
        <v>160000</v>
      </c>
      <c r="G403" s="8" t="inlineStr">
        <is>
          <t>REAL_MILEAGE</t>
        </is>
      </c>
      <c r="H403" s="8" t="inlineStr">
        <is>
          <t>NONE</t>
        </is>
      </c>
      <c r="I403" s="11" t="n">
        <v>0</v>
      </c>
      <c r="J403" s="8" t="inlineStr">
        <is>
          <t>2026-05-29T22:02:35+09:00</t>
        </is>
      </c>
      <c r="K403" s="14" t="inlineStr">
        <is>
          <t>トヨタ ノア ZWR80G ハイブリッドX 自走可能 車検付き</t>
        </is>
      </c>
      <c r="L403" s="8" t="inlineStr">
        <is>
          <t>https://page.auctions.yahoo.co.jp/jp/auction/e1231150966</t>
        </is>
      </c>
    </row>
    <row r="404">
      <c r="A404" s="13" t="inlineStr">
        <is>
          <t>ノア</t>
        </is>
      </c>
      <c r="B404" s="13" t="n">
        <v>2014</v>
      </c>
      <c r="C404" s="13" t="inlineStr">
        <is>
          <t>80系</t>
        </is>
      </c>
      <c r="D404" s="15" t="n">
        <v>1218000</v>
      </c>
      <c r="E404" s="13" t="n">
        <v>1</v>
      </c>
      <c r="F404" s="15" t="n">
        <v>84000</v>
      </c>
      <c r="G404" s="13" t="inlineStr">
        <is>
          <t>REAL_MILEAGE</t>
        </is>
      </c>
      <c r="H404" s="13" t="inlineStr">
        <is>
          <t>NONE</t>
        </is>
      </c>
      <c r="I404" s="15" t="n">
        <v>0</v>
      </c>
      <c r="J404" s="13" t="inlineStr">
        <is>
          <t>2026-05-03T21:31:50+09:00</t>
        </is>
      </c>
      <c r="K404" s="14" t="inlineStr">
        <is>
          <t>ノア 1.8 ハイブリッド G モデリスタフルエアロ WORK18インチアルミ</t>
        </is>
      </c>
      <c r="L404" s="13" t="inlineStr">
        <is>
          <t>https://page.auctions.yahoo.co.jp/jp/auction/t1225961968</t>
        </is>
      </c>
    </row>
    <row r="405">
      <c r="A405" s="8" t="inlineStr">
        <is>
          <t>ノア</t>
        </is>
      </c>
      <c r="B405" s="8" t="n">
        <v>2014</v>
      </c>
      <c r="C405" s="8" t="inlineStr">
        <is>
          <t>80系</t>
        </is>
      </c>
      <c r="D405" s="11" t="n">
        <v>598000</v>
      </c>
      <c r="E405" s="8" t="n">
        <v>140</v>
      </c>
      <c r="F405" s="11" t="n">
        <v>183911</v>
      </c>
      <c r="G405" s="8" t="inlineStr">
        <is>
          <t>REAL_MILEAGE</t>
        </is>
      </c>
      <c r="H405" s="8" t="inlineStr">
        <is>
          <t>NONE</t>
        </is>
      </c>
      <c r="I405" s="11" t="n">
        <v>0</v>
      </c>
      <c r="J405" s="8" t="inlineStr">
        <is>
          <t>2026-04-27T21:10:25+09:00</t>
        </is>
      </c>
      <c r="K405" s="14" t="inlineStr">
        <is>
          <t>トヨタ ノア ハイブリッド 80 ハイブリッドG　車検 R8年10月22日　乗って帰れる！ 修復歴なし！ モデリスタエアロ！ 平成26年式</t>
        </is>
      </c>
      <c r="L405" s="8" t="inlineStr">
        <is>
          <t>https://page.auctions.yahoo.co.jp/jp/auction/g1227437476</t>
        </is>
      </c>
    </row>
    <row r="406">
      <c r="A406" s="13" t="inlineStr">
        <is>
          <t>ノア</t>
        </is>
      </c>
      <c r="B406" s="13" t="n">
        <v>2014</v>
      </c>
      <c r="C406" s="13" t="inlineStr">
        <is>
          <t>80系</t>
        </is>
      </c>
      <c r="D406" s="15" t="n">
        <v>850000</v>
      </c>
      <c r="E406" s="13" t="n">
        <v>16</v>
      </c>
      <c r="F406" s="15" t="n">
        <v>159070</v>
      </c>
      <c r="G406" s="13" t="inlineStr">
        <is>
          <t>REAL_MILEAGE</t>
        </is>
      </c>
      <c r="H406" s="13" t="inlineStr">
        <is>
          <t>NONE</t>
        </is>
      </c>
      <c r="I406" s="15" t="n">
        <v>0</v>
      </c>
      <c r="J406" s="13" t="inlineStr">
        <is>
          <t>2026-03-31T18:39:13+09:00</t>
        </is>
      </c>
      <c r="K406" s="14" t="inlineStr">
        <is>
          <t>即決特典込々85万H26年トヨタ ノアハイブリッドＧ【検R10年3月】純正ナビ/地デジTV/Bカメラ/パワスラ/クルコン/ETC/FDモニター/好調/無事故</t>
        </is>
      </c>
      <c r="L406" s="13" t="inlineStr">
        <is>
          <t>https://page.auctions.yahoo.co.jp/jp/auction/c1222078542</t>
        </is>
      </c>
    </row>
    <row r="407">
      <c r="A407" s="8" t="inlineStr">
        <is>
          <t>ノア</t>
        </is>
      </c>
      <c r="B407" s="8" t="n">
        <v>2014</v>
      </c>
      <c r="C407" s="8" t="inlineStr">
        <is>
          <t>80系</t>
        </is>
      </c>
      <c r="D407" s="11" t="n">
        <v>1238000</v>
      </c>
      <c r="E407" s="8" t="n">
        <v>1</v>
      </c>
      <c r="F407" s="11" t="n">
        <v>84000</v>
      </c>
      <c r="G407" s="8" t="inlineStr">
        <is>
          <t>REAL_MILEAGE</t>
        </is>
      </c>
      <c r="H407" s="8" t="inlineStr">
        <is>
          <t>NONE</t>
        </is>
      </c>
      <c r="I407" s="11" t="n">
        <v>0</v>
      </c>
      <c r="J407" s="8" t="inlineStr">
        <is>
          <t>2026-03-18T00:19:06+09:00</t>
        </is>
      </c>
      <c r="K407" s="14" t="inlineStr">
        <is>
          <t>ノア 1.8 ハイブリッド G モデリスタフルエアロ WORK18インチアルミ</t>
        </is>
      </c>
      <c r="L407" s="8" t="inlineStr">
        <is>
          <t>https://page.auctions.yahoo.co.jp/jp/auction/f1215836978</t>
        </is>
      </c>
    </row>
    <row r="408">
      <c r="A408" s="13" t="inlineStr">
        <is>
          <t>ノア</t>
        </is>
      </c>
      <c r="B408" s="13" t="n">
        <v>2014</v>
      </c>
      <c r="C408" s="13" t="inlineStr">
        <is>
          <t>80系</t>
        </is>
      </c>
      <c r="D408" s="15" t="n">
        <v>500000</v>
      </c>
      <c r="E408" s="13" t="n">
        <v>3</v>
      </c>
      <c r="F408" s="15" t="n">
        <v>137313</v>
      </c>
      <c r="G408" s="13" t="inlineStr">
        <is>
          <t>REAL_MILEAGE</t>
        </is>
      </c>
      <c r="H408" s="13" t="n"/>
      <c r="I408" s="15" t="n">
        <v>0</v>
      </c>
      <c r="J408" s="13" t="inlineStr">
        <is>
          <t>2026-03-17T23:05:31+09:00</t>
        </is>
      </c>
      <c r="K408" s="14" t="inlineStr">
        <is>
          <t>ノア　ZRR80W 117656km AT H26年 8人乗 車検無 左右スライドドアパワースライド　SI　※訳有※　NO2513635</t>
        </is>
      </c>
      <c r="L408" s="13" t="inlineStr">
        <is>
          <t>https://page.auctions.yahoo.co.jp/jp/auction/t1222513347</t>
        </is>
      </c>
    </row>
    <row r="409">
      <c r="A409" s="8" t="inlineStr">
        <is>
          <t>ノア</t>
        </is>
      </c>
      <c r="B409" s="8" t="n">
        <v>2011</v>
      </c>
      <c r="C409" s="8" t="inlineStr">
        <is>
          <t>70系</t>
        </is>
      </c>
      <c r="D409" s="11" t="n">
        <v>250000</v>
      </c>
      <c r="E409" s="8" t="n">
        <v>1</v>
      </c>
      <c r="F409" s="11" t="n">
        <v>209000</v>
      </c>
      <c r="G409" s="8" t="inlineStr">
        <is>
          <t>REAL_MILEAGE</t>
        </is>
      </c>
      <c r="H409" s="8" t="inlineStr">
        <is>
          <t>NONE</t>
        </is>
      </c>
      <c r="I409" s="11" t="n">
        <v>13280</v>
      </c>
      <c r="J409" s="8" t="inlineStr">
        <is>
          <t>2026-07-26T22:47:22+09:00</t>
        </is>
      </c>
      <c r="K409" s="14" t="inlineStr">
        <is>
          <t>一時抹消済 H23 後期 トヨタ ノア ウェルキャブ 福祉車両 スロープタイプ 4WD 7人乗り 車いす 2脚仕様 部品取り 輸出</t>
        </is>
      </c>
      <c r="L409" s="8" t="inlineStr">
        <is>
          <t>https://page.auctions.yahoo.co.jp/jp/auction/u1231765016</t>
        </is>
      </c>
    </row>
    <row r="410">
      <c r="A410" s="13" t="inlineStr">
        <is>
          <t>ノア</t>
        </is>
      </c>
      <c r="B410" s="13" t="n">
        <v>2011</v>
      </c>
      <c r="C410" s="13" t="inlineStr">
        <is>
          <t>70系</t>
        </is>
      </c>
      <c r="D410" s="15" t="n">
        <v>859001</v>
      </c>
      <c r="E410" s="13" t="n">
        <v>1</v>
      </c>
      <c r="F410" s="15" t="n">
        <v>64000</v>
      </c>
      <c r="G410" s="13" t="inlineStr">
        <is>
          <t>REAL_MILEAGE</t>
        </is>
      </c>
      <c r="H410" s="13" t="inlineStr">
        <is>
          <t>NONE</t>
        </is>
      </c>
      <c r="I410" s="15" t="n">
        <v>0</v>
      </c>
      <c r="J410" s="13" t="inlineStr">
        <is>
          <t>2026-06-05T21:59:01+09:00</t>
        </is>
      </c>
      <c r="K410" s="14" t="inlineStr">
        <is>
          <t>【諸費用コミ】:★三郷市発★ 平成23年 ノア 2.0 X ナビ テレビ バックカメラ ETC</t>
        </is>
      </c>
      <c r="L410" s="13" t="inlineStr">
        <is>
          <t>https://page.auctions.yahoo.co.jp/jp/auction/b1229183640</t>
        </is>
      </c>
    </row>
    <row r="411">
      <c r="A411" s="8" t="inlineStr">
        <is>
          <t>ノア</t>
        </is>
      </c>
      <c r="B411" s="8" t="n">
        <v>2011</v>
      </c>
      <c r="C411" s="8" t="inlineStr">
        <is>
          <t>70系</t>
        </is>
      </c>
      <c r="D411" s="11" t="n">
        <v>320000</v>
      </c>
      <c r="E411" s="8" t="n">
        <v>1</v>
      </c>
      <c r="F411" s="11" t="n">
        <v>121614</v>
      </c>
      <c r="G411" s="8" t="inlineStr">
        <is>
          <t>REAL_MILEAGE</t>
        </is>
      </c>
      <c r="H411" s="8" t="inlineStr">
        <is>
          <t>NONE</t>
        </is>
      </c>
      <c r="I411" s="11" t="n">
        <v>0</v>
      </c>
      <c r="J411" s="8" t="inlineStr">
        <is>
          <t>2026-04-06T21:10:33+09:00</t>
        </is>
      </c>
      <c r="K411" s="14" t="inlineStr">
        <is>
          <t>個人出品☆ノア 2.0YY　70系無事故良好検付き車　冬用タイヤホイールもどうぞ☆大阪南部から</t>
        </is>
      </c>
      <c r="L411" s="8" t="inlineStr">
        <is>
          <t>https://page.auctions.yahoo.co.jp/jp/auction/s1225545219</t>
        </is>
      </c>
    </row>
    <row r="412">
      <c r="A412" s="13" t="inlineStr">
        <is>
          <t>ノア</t>
        </is>
      </c>
      <c r="B412" s="13" t="n">
        <v>2011</v>
      </c>
      <c r="C412" s="13" t="inlineStr">
        <is>
          <t>70系</t>
        </is>
      </c>
      <c r="D412" s="15" t="n">
        <v>450000</v>
      </c>
      <c r="E412" s="13" t="n">
        <v>24</v>
      </c>
      <c r="F412" s="15" t="n">
        <v>193500</v>
      </c>
      <c r="G412" s="13" t="inlineStr">
        <is>
          <t>REAL_MILEAGE</t>
        </is>
      </c>
      <c r="H412" s="13" t="inlineStr">
        <is>
          <t>NONE</t>
        </is>
      </c>
      <c r="I412" s="15" t="n">
        <v>0</v>
      </c>
      <c r="J412" s="13" t="inlineStr">
        <is>
          <t>2026-02-25T12:33:16+09:00</t>
        </is>
      </c>
      <c r="K412" s="14" t="inlineStr">
        <is>
          <t>トヨタ　ノア Sｉ valve matic 4WD ナビ　アルミ　バックカメラ　TV 7人乗リ　平成23年　(二日間オークション）売り切りナビTVETC付き</t>
        </is>
      </c>
      <c r="L412" s="13" t="inlineStr">
        <is>
          <t>https://page.auctions.yahoo.co.jp/jp/auction/w1220751987</t>
        </is>
      </c>
    </row>
    <row r="413">
      <c r="A413" s="8" t="inlineStr">
        <is>
          <t>ノア</t>
        </is>
      </c>
      <c r="B413" s="8" t="n">
        <v>2010</v>
      </c>
      <c r="C413" s="8" t="inlineStr">
        <is>
          <t>70系</t>
        </is>
      </c>
      <c r="D413" s="11" t="n">
        <v>375000</v>
      </c>
      <c r="E413" s="8" t="n">
        <v>1</v>
      </c>
      <c r="F413" s="11" t="n">
        <v>94800</v>
      </c>
      <c r="G413" s="8" t="inlineStr">
        <is>
          <t>REAL_MILEAGE</t>
        </is>
      </c>
      <c r="H413" s="8" t="inlineStr">
        <is>
          <t>EXISTS</t>
        </is>
      </c>
      <c r="I413" s="11" t="n">
        <v>64330</v>
      </c>
      <c r="J413" s="8" t="inlineStr">
        <is>
          <t>2026-07-13T16:50:53+09:00</t>
        </is>
      </c>
      <c r="K413" s="14" t="inlineStr">
        <is>
          <t>ノア*検長*HID*スマートキー*左パワスラ*ナビ*Bカメラ*DTV*DVD*CD*ETC*社外AW*110420</t>
        </is>
      </c>
      <c r="L413" s="8" t="inlineStr">
        <is>
          <t>https://page.auctions.yahoo.co.jp/jp/auction/1233885732</t>
        </is>
      </c>
    </row>
    <row r="414">
      <c r="A414" s="13" t="inlineStr">
        <is>
          <t>ノア</t>
        </is>
      </c>
      <c r="B414" s="13" t="n">
        <v>2010</v>
      </c>
      <c r="C414" s="13" t="inlineStr">
        <is>
          <t>70系</t>
        </is>
      </c>
      <c r="D414" s="15" t="n">
        <v>179888</v>
      </c>
      <c r="E414" s="13" t="n">
        <v>28</v>
      </c>
      <c r="F414" s="15" t="n">
        <v>243550</v>
      </c>
      <c r="G414" s="13" t="inlineStr">
        <is>
          <t>REAL_MILEAGE</t>
        </is>
      </c>
      <c r="H414" s="13" t="n"/>
      <c r="I414" s="15" t="n">
        <v>0</v>
      </c>
      <c r="J414" s="13" t="inlineStr">
        <is>
          <t>2026-06-07T19:49:29+09:00</t>
        </is>
      </c>
      <c r="K414" s="14" t="inlineStr">
        <is>
          <t>ノア　NOAH 4WD　貨物登録　4ナンバー　ZRR75 スマートキー　シートヒーター　電動スライドドア</t>
        </is>
      </c>
      <c r="L414" s="13" t="inlineStr">
        <is>
          <t>https://page.auctions.yahoo.co.jp/jp/auction/e1231742667</t>
        </is>
      </c>
    </row>
    <row r="415">
      <c r="A415" s="8" t="inlineStr">
        <is>
          <t>ノア</t>
        </is>
      </c>
      <c r="B415" s="8" t="n">
        <v>2009</v>
      </c>
      <c r="C415" s="8" t="inlineStr">
        <is>
          <t>70系</t>
        </is>
      </c>
      <c r="D415" s="11" t="n">
        <v>317000</v>
      </c>
      <c r="E415" s="8" t="n">
        <v>1</v>
      </c>
      <c r="F415" s="11" t="n">
        <v>112400</v>
      </c>
      <c r="G415" s="8" t="inlineStr">
        <is>
          <t>REAL_MILEAGE</t>
        </is>
      </c>
      <c r="H415" s="8" t="inlineStr">
        <is>
          <t>EXISTS</t>
        </is>
      </c>
      <c r="I415" s="11" t="n">
        <v>23500</v>
      </c>
      <c r="J415" s="8" t="inlineStr">
        <is>
          <t>2026-08-07T20:27:59+09:00</t>
        </is>
      </c>
      <c r="K415" s="14" t="inlineStr">
        <is>
          <t>貨物登録済4ナンバー　検9年7月　年間自税17600円　左右電動スライド　ノア　ナビTV</t>
        </is>
      </c>
      <c r="L415" s="8" t="inlineStr">
        <is>
          <t>https://page.auctions.yahoo.co.jp/jp/auction/w1238367782</t>
        </is>
      </c>
    </row>
    <row r="416">
      <c r="A416" s="13" t="inlineStr">
        <is>
          <t>ノア</t>
        </is>
      </c>
      <c r="B416" s="13" t="n">
        <v>2009</v>
      </c>
      <c r="C416" s="13" t="inlineStr">
        <is>
          <t>70系</t>
        </is>
      </c>
      <c r="D416" s="15" t="n">
        <v>250000</v>
      </c>
      <c r="E416" s="13" t="n">
        <v>1</v>
      </c>
      <c r="F416" s="15" t="n">
        <v>130603</v>
      </c>
      <c r="G416" s="13" t="inlineStr">
        <is>
          <t>REAL_MILEAGE</t>
        </is>
      </c>
      <c r="H416" s="13" t="inlineStr">
        <is>
          <t>NONE</t>
        </is>
      </c>
      <c r="I416" s="15" t="n">
        <v>0</v>
      </c>
      <c r="J416" s="13" t="inlineStr">
        <is>
          <t>2026-07-31T19:57:49+09:00</t>
        </is>
      </c>
      <c r="K416" s="14" t="inlineStr">
        <is>
          <t>埼玉所沢発　ノア　車検たっぷり令和10年4月　13.0万キロ　H21年　DBA-ZRR70G　ナビ　バックカメラ　ETC　パワスラ　売り切り！</t>
        </is>
      </c>
      <c r="L416" s="13" t="inlineStr">
        <is>
          <t>https://page.auctions.yahoo.co.jp/jp/auction/j1237466246</t>
        </is>
      </c>
    </row>
    <row r="417">
      <c r="A417" s="8" t="inlineStr">
        <is>
          <t>ノア</t>
        </is>
      </c>
      <c r="B417" s="8" t="n">
        <v>2008</v>
      </c>
      <c r="C417" s="8" t="inlineStr">
        <is>
          <t>70系</t>
        </is>
      </c>
      <c r="D417" s="11" t="n">
        <v>228000</v>
      </c>
      <c r="E417" s="8" t="n">
        <v>66</v>
      </c>
      <c r="F417" s="11" t="n">
        <v>196032</v>
      </c>
      <c r="G417" s="8" t="inlineStr">
        <is>
          <t>REAL_MILEAGE</t>
        </is>
      </c>
      <c r="H417" s="8" t="n"/>
      <c r="I417" s="11" t="n">
        <v>0</v>
      </c>
      <c r="J417" s="8" t="inlineStr">
        <is>
          <t>2026-03-15T22:52:59+09:00</t>
        </is>
      </c>
      <c r="K417" s="14" t="inlineStr">
        <is>
          <t>売切り！70系ノア X 車検長い(R7年7月) 両側パワスラ ナビ フリップダウン ETC</t>
        </is>
      </c>
      <c r="L417" s="8" t="inlineStr">
        <is>
          <t>https://page.auctions.yahoo.co.jp/jp/auction/p1222115157</t>
        </is>
      </c>
    </row>
    <row r="418">
      <c r="A418" s="13" t="inlineStr">
        <is>
          <t>ノア</t>
        </is>
      </c>
      <c r="B418" s="13" t="n">
        <v>2007</v>
      </c>
      <c r="C418" s="13" t="inlineStr">
        <is>
          <t>70系</t>
        </is>
      </c>
      <c r="D418" s="15" t="n">
        <v>121800</v>
      </c>
      <c r="E418" s="13" t="n">
        <v>38</v>
      </c>
      <c r="F418" s="15" t="n">
        <v>360000</v>
      </c>
      <c r="G418" s="13" t="inlineStr">
        <is>
          <t>REAL_MILEAGE</t>
        </is>
      </c>
      <c r="H418" s="13" t="inlineStr">
        <is>
          <t>NONE</t>
        </is>
      </c>
      <c r="I418" s="15" t="n">
        <v>69810</v>
      </c>
      <c r="J418" s="13" t="inlineStr">
        <is>
          <t>2026-08-15T22:49:21+09:00</t>
        </is>
      </c>
      <c r="K418" s="14" t="inlineStr">
        <is>
          <t xml:space="preserve">須賀川市～　即決あり　トヨタ　ノア　Ｓｉ　４ＷＤ　　車検8年11月29日　輸出　過走行　調子良い　平成19年式　パドルシフト　車中泊　</t>
        </is>
      </c>
      <c r="L418" s="13" t="inlineStr">
        <is>
          <t>https://page.auctions.yahoo.co.jp/jp/auction/x1239226988</t>
        </is>
      </c>
    </row>
    <row r="419">
      <c r="A419" s="8" t="inlineStr">
        <is>
          <t>ノア</t>
        </is>
      </c>
      <c r="B419" s="8" t="n">
        <v>2006</v>
      </c>
      <c r="C419" s="8" t="inlineStr"/>
      <c r="D419" s="11" t="n">
        <v>348000</v>
      </c>
      <c r="E419" s="8" t="n">
        <v>2</v>
      </c>
      <c r="F419" s="11" t="n">
        <v>148845</v>
      </c>
      <c r="G419" s="8" t="inlineStr">
        <is>
          <t>REAL_MILEAGE</t>
        </is>
      </c>
      <c r="H419" s="8" t="n"/>
      <c r="I419" s="11" t="n">
        <v>0</v>
      </c>
      <c r="J419" s="8" t="inlineStr">
        <is>
          <t>2026-03-11T22:20:42+09:00</t>
        </is>
      </c>
      <c r="K419" s="14" t="inlineStr">
        <is>
          <t>◆8ナンバー！福祉車両！スローパー！車検令和9年12月迄 ノア 2.0 X バイクトランポ使用可 ナビ 地デジ ドラレコ 左右パワースライド</t>
        </is>
      </c>
      <c r="L419" s="8" t="inlineStr">
        <is>
          <t>https://page.auctions.yahoo.co.jp/jp/auction/s1220203237</t>
        </is>
      </c>
    </row>
    <row r="420">
      <c r="A420" s="13" t="inlineStr">
        <is>
          <t>ノア</t>
        </is>
      </c>
      <c r="B420" s="13" t="n">
        <v>2005</v>
      </c>
      <c r="C420" s="13" t="inlineStr"/>
      <c r="D420" s="15" t="n">
        <v>110000</v>
      </c>
      <c r="E420" s="13" t="n">
        <v>8</v>
      </c>
      <c r="F420" s="15" t="n">
        <v>201500</v>
      </c>
      <c r="G420" s="13" t="inlineStr">
        <is>
          <t>REAL_MILEAGE</t>
        </is>
      </c>
      <c r="H420" s="13" t="n"/>
      <c r="I420" s="15" t="n">
        <v>0</v>
      </c>
      <c r="J420" s="13" t="inlineStr">
        <is>
          <t>2026-08-12T20:37:48+09:00</t>
        </is>
      </c>
      <c r="K420" s="14" t="inlineStr">
        <is>
          <t xml:space="preserve">トヨタ ノア AZR60 17年 </t>
        </is>
      </c>
      <c r="L420" s="13" t="inlineStr">
        <is>
          <t>https://page.auctions.yahoo.co.jp/jp/auction/e1238912284</t>
        </is>
      </c>
    </row>
    <row r="421">
      <c r="A421" s="8" t="inlineStr">
        <is>
          <t>ノア</t>
        </is>
      </c>
      <c r="B421" s="8" t="n">
        <v>2005</v>
      </c>
      <c r="C421" s="8" t="inlineStr"/>
      <c r="D421" s="11" t="n">
        <v>122000</v>
      </c>
      <c r="E421" s="8" t="n">
        <v>7</v>
      </c>
      <c r="F421" s="11" t="n">
        <v>141605</v>
      </c>
      <c r="G421" s="8" t="inlineStr">
        <is>
          <t>REAL_MILEAGE</t>
        </is>
      </c>
      <c r="H421" s="8" t="inlineStr">
        <is>
          <t>NONE</t>
        </is>
      </c>
      <c r="I421" s="11" t="n">
        <v>12730</v>
      </c>
      <c r="J421" s="8" t="inlineStr">
        <is>
          <t>2026-06-22T23:29:08+09:00</t>
        </is>
      </c>
      <c r="K421" s="14" t="inlineStr">
        <is>
          <t xml:space="preserve">H17年式　ノア　後席サイドリフトアップシート　両側電動スライドドア　福祉　一時抹消渡し　</t>
        </is>
      </c>
      <c r="L421" s="8" t="inlineStr">
        <is>
          <t>https://page.auctions.yahoo.co.jp/jp/auction/h1234189419</t>
        </is>
      </c>
    </row>
    <row r="422">
      <c r="A422" s="13" t="inlineStr">
        <is>
          <t>ノア</t>
        </is>
      </c>
      <c r="B422" s="13" t="n">
        <v>2002</v>
      </c>
      <c r="C422" s="13" t="inlineStr"/>
      <c r="D422" s="15" t="n">
        <v>165000</v>
      </c>
      <c r="E422" s="13" t="n">
        <v>41</v>
      </c>
      <c r="F422" s="15" t="n">
        <v>180100</v>
      </c>
      <c r="G422" s="13" t="inlineStr">
        <is>
          <t>REAL_MILEAGE</t>
        </is>
      </c>
      <c r="H422" s="13" t="inlineStr">
        <is>
          <t>NONE</t>
        </is>
      </c>
      <c r="I422" s="15" t="n">
        <v>0</v>
      </c>
      <c r="J422" s="13" t="inlineStr">
        <is>
          <t>2026-06-15T22:44:31+09:00</t>
        </is>
      </c>
      <c r="K422" s="14" t="inlineStr">
        <is>
          <t>ノア　リフトアップ　一時抹消</t>
        </is>
      </c>
      <c r="L422" s="13" t="inlineStr">
        <is>
          <t>https://page.auctions.yahoo.co.jp/jp/auction/t1233042014</t>
        </is>
      </c>
    </row>
    <row r="423">
      <c r="A423" s="8" t="inlineStr">
        <is>
          <t>ノア</t>
        </is>
      </c>
      <c r="B423" s="8" t="n"/>
      <c r="C423" s="8" t="inlineStr"/>
      <c r="D423" s="11" t="n">
        <v>501000</v>
      </c>
      <c r="E423" s="8" t="n">
        <v>26</v>
      </c>
      <c r="F423" s="11" t="n"/>
      <c r="G423" s="8" t="n"/>
      <c r="H423" s="8" t="n"/>
      <c r="I423" s="11" t="n"/>
      <c r="J423" s="8" t="inlineStr">
        <is>
          <t>2026-08-14T21:14:01+09:00</t>
        </is>
      </c>
      <c r="K423" s="14" t="inlineStr">
        <is>
          <t>ハイブリッドＸ　車検９年７月　修復なし　フリップダウンモニター　純正ナビ　Ｂカメラ　パワースライドドア　後席純正カーテン</t>
        </is>
      </c>
      <c r="L423" s="8" t="inlineStr">
        <is>
          <t>https://page.auctions.yahoo.co.jp/jp/auction/w1238406583</t>
        </is>
      </c>
    </row>
    <row r="424">
      <c r="A424" s="13" t="inlineStr">
        <is>
          <t>ノア</t>
        </is>
      </c>
      <c r="B424" s="13" t="n"/>
      <c r="C424" s="13" t="inlineStr"/>
      <c r="D424" s="15" t="n">
        <v>300000</v>
      </c>
      <c r="E424" s="13" t="n">
        <v>1</v>
      </c>
      <c r="F424" s="15" t="n"/>
      <c r="G424" s="13" t="n"/>
      <c r="H424" s="13" t="n"/>
      <c r="I424" s="15" t="n"/>
      <c r="J424" s="13" t="inlineStr">
        <is>
          <t>2026-08-10T14:02:04+09:00</t>
        </is>
      </c>
      <c r="K424" s="14" t="inlineStr">
        <is>
          <t>カスタム多数 寒冷地仕様 VSC カーテンエアバッグ付 オプション 70 ノア ヴォクシー トヨタ 70系 70型 NOAH VOXY ZRR70 ZRR75 3ZR ボクシー</t>
        </is>
      </c>
      <c r="L424" s="13" t="inlineStr">
        <is>
          <t>https://page.auctions.yahoo.co.jp/jp/auction/r1238680653</t>
        </is>
      </c>
    </row>
    <row r="425">
      <c r="A425" s="8" t="inlineStr">
        <is>
          <t>ノア</t>
        </is>
      </c>
      <c r="B425" s="8" t="n"/>
      <c r="C425" s="8" t="inlineStr"/>
      <c r="D425" s="11" t="n">
        <v>550000</v>
      </c>
      <c r="E425" s="8" t="n">
        <v>101</v>
      </c>
      <c r="F425" s="11" t="n"/>
      <c r="G425" s="8" t="n"/>
      <c r="H425" s="8" t="n"/>
      <c r="I425" s="11" t="n"/>
      <c r="J425" s="8" t="inlineStr">
        <is>
          <t>2026-07-29T21:10:12+09:00</t>
        </is>
      </c>
      <c r="K425" s="14" t="inlineStr">
        <is>
          <t>【訳アリ/外装】ハイブリッド★両側パワースライドドア★希少/寒冷地仕様★スマートキー★ナビ/TV/Bカメラ★25年製国産タイヤ4本溝深い</t>
        </is>
      </c>
      <c r="L425" s="8" t="inlineStr">
        <is>
          <t>https://page.auctions.yahoo.co.jp/jp/auction/r1238082583</t>
        </is>
      </c>
    </row>
    <row r="426">
      <c r="A426" s="13" t="inlineStr">
        <is>
          <t>ノア</t>
        </is>
      </c>
      <c r="B426" s="13" t="n"/>
      <c r="C426" s="13" t="inlineStr"/>
      <c r="D426" s="15" t="n">
        <v>521000</v>
      </c>
      <c r="E426" s="13" t="n">
        <v>178</v>
      </c>
      <c r="F426" s="15" t="n"/>
      <c r="G426" s="13" t="n"/>
      <c r="H426" s="13" t="n"/>
      <c r="I426" s="15" t="n"/>
      <c r="J426" s="13" t="inlineStr">
        <is>
          <t>2026-07-28T21:42:49+09:00</t>
        </is>
      </c>
      <c r="K426" s="14" t="inlineStr">
        <is>
          <t>ハイブリッド★フリップダウンモニター★両側パワースライドドア★シートヒーター★ナビ/TV/Bカメラ★内外美車★24年製国産タイヤ4本溝深い</t>
        </is>
      </c>
      <c r="L426" s="13" t="inlineStr">
        <is>
          <t>https://page.auctions.yahoo.co.jp/jp/auction/s1238081189</t>
        </is>
      </c>
    </row>
    <row r="427">
      <c r="A427" s="8" t="inlineStr">
        <is>
          <t>ノア</t>
        </is>
      </c>
      <c r="B427" s="8" t="n"/>
      <c r="C427" s="8" t="inlineStr"/>
      <c r="D427" s="11" t="n">
        <v>648000</v>
      </c>
      <c r="E427" s="8" t="n">
        <v>8</v>
      </c>
      <c r="F427" s="11" t="n"/>
      <c r="G427" s="8" t="n"/>
      <c r="H427" s="8" t="n"/>
      <c r="I427" s="11" t="n"/>
      <c r="J427" s="8" t="inlineStr">
        <is>
          <t>2026-07-24T12:53:24+09:00</t>
        </is>
      </c>
      <c r="K427" s="14" t="inlineStr">
        <is>
          <t xml:space="preserve">ハイブリッドＧ　車検１０年８月　１０インチナビ　Ｂカメラ　クルコン　両側パワスラ　シートヒーター　Ｗエアコン　リモコンスターター　</t>
        </is>
      </c>
      <c r="L427" s="8" t="inlineStr">
        <is>
          <t>https://page.auctions.yahoo.co.jp/jp/auction/j1238044575</t>
        </is>
      </c>
    </row>
    <row r="428">
      <c r="A428" s="13" t="inlineStr">
        <is>
          <t>ノア</t>
        </is>
      </c>
      <c r="B428" s="13" t="n"/>
      <c r="C428" s="13" t="inlineStr"/>
      <c r="D428" s="15" t="n">
        <v>648000</v>
      </c>
      <c r="E428" s="13" t="n">
        <v>1</v>
      </c>
      <c r="F428" s="15" t="n"/>
      <c r="G428" s="13" t="n"/>
      <c r="H428" s="13" t="n"/>
      <c r="I428" s="15" t="n"/>
      <c r="J428" s="13" t="inlineStr">
        <is>
          <t>2026-07-19T18:09:58+09:00</t>
        </is>
      </c>
      <c r="K428" s="14" t="inlineStr">
        <is>
          <t>ハイブリッドＧ　車検１０年８月　修復なし　両側パワスラ　ナビ　Ｂカメラ　ＥＴＣ　クルコン　シートヒーター　Ｗエアコン　ＬＥＤライト</t>
        </is>
      </c>
      <c r="L428" s="13" t="inlineStr">
        <is>
          <t>https://page.auctions.yahoo.co.jp/jp/auction/x1234900358</t>
        </is>
      </c>
    </row>
    <row r="429">
      <c r="A429" s="8" t="inlineStr">
        <is>
          <t>ノア</t>
        </is>
      </c>
      <c r="B429" s="8" t="n"/>
      <c r="C429" s="8" t="inlineStr"/>
      <c r="D429" s="11" t="n">
        <v>139000</v>
      </c>
      <c r="E429" s="8" t="n">
        <v>29</v>
      </c>
      <c r="F429" s="11" t="n"/>
      <c r="G429" s="8" t="n"/>
      <c r="H429" s="8" t="n"/>
      <c r="I429" s="11" t="n"/>
      <c r="J429" s="8" t="inlineStr">
        <is>
          <t>2026-07-11T22:03:02+09:00</t>
        </is>
      </c>
      <c r="K429" s="14" t="inlineStr">
        <is>
          <t>【個人】全込み！元気よく走ります！ジャンク？</t>
        </is>
      </c>
      <c r="L429" s="8" t="inlineStr">
        <is>
          <t>https://page.auctions.yahoo.co.jp/jp/auction/n1233439092</t>
        </is>
      </c>
    </row>
    <row r="430">
      <c r="A430" s="13" t="inlineStr">
        <is>
          <t>ノア</t>
        </is>
      </c>
      <c r="B430" s="13" t="n"/>
      <c r="C430" s="13" t="inlineStr"/>
      <c r="D430" s="15" t="n">
        <v>635000</v>
      </c>
      <c r="E430" s="13" t="n">
        <v>99</v>
      </c>
      <c r="F430" s="15" t="n"/>
      <c r="G430" s="13" t="n"/>
      <c r="H430" s="13" t="n"/>
      <c r="I430" s="15" t="n"/>
      <c r="J430" s="13" t="inlineStr">
        <is>
          <t>2026-07-07T20:45:08+09:00</t>
        </is>
      </c>
      <c r="K430" s="14" t="inlineStr">
        <is>
          <t>ハイブリッドＧ　車検１０年７月　修復なし　両側パワスラ　大画面ナビ　Ｂカメラ　ＥＴＣ　クルコン　シートヒーター　Ｗエアコン</t>
        </is>
      </c>
      <c r="L430" s="13" t="inlineStr">
        <is>
          <t>https://page.auctions.yahoo.co.jp/jp/auction/s1235438642</t>
        </is>
      </c>
    </row>
    <row r="431">
      <c r="A431" s="8" t="inlineStr">
        <is>
          <t>ノア</t>
        </is>
      </c>
      <c r="B431" s="8" t="n"/>
      <c r="C431" s="8" t="inlineStr"/>
      <c r="D431" s="11" t="n">
        <v>388000</v>
      </c>
      <c r="E431" s="8" t="n">
        <v>1</v>
      </c>
      <c r="F431" s="11" t="n"/>
      <c r="G431" s="8" t="n"/>
      <c r="H431" s="8" t="n"/>
      <c r="I431" s="11" t="n"/>
      <c r="J431" s="8" t="inlineStr">
        <is>
          <t>2026-07-07T20:43:03+09:00</t>
        </is>
      </c>
      <c r="K431" s="14" t="inlineStr">
        <is>
          <t>ノア スローパー 8ナンバー 車いす2基 2脚　福祉車両 ウェルキャブ 事業用　車いす仕様車　ZRR70　定員５名</t>
        </is>
      </c>
      <c r="L431" s="8" t="inlineStr">
        <is>
          <t>https://page.auctions.yahoo.co.jp/jp/auction/l1236078839</t>
        </is>
      </c>
    </row>
    <row r="432">
      <c r="A432" s="13" t="inlineStr">
        <is>
          <t>ノア</t>
        </is>
      </c>
      <c r="B432" s="13" t="n"/>
      <c r="C432" s="13" t="inlineStr"/>
      <c r="D432" s="15" t="n">
        <v>491000</v>
      </c>
      <c r="E432" s="13" t="n">
        <v>31</v>
      </c>
      <c r="F432" s="15" t="n"/>
      <c r="G432" s="13" t="n"/>
      <c r="H432" s="13" t="n"/>
      <c r="I432" s="15" t="n"/>
      <c r="J432" s="13" t="inlineStr">
        <is>
          <t>2026-06-28T22:40:48+09:00</t>
        </is>
      </c>
      <c r="K432" s="14" t="inlineStr">
        <is>
          <t>記録簿13枚あり★車検ロングR10年3月★H27年式人気の80ノア X★純正ナビ地デジ/左右パワスラ/Bカメラ/ETC★内外装掃除済み/機関快調/希少色</t>
        </is>
      </c>
      <c r="L432" s="13" t="inlineStr">
        <is>
          <t>https://page.auctions.yahoo.co.jp/jp/auction/h1234503402</t>
        </is>
      </c>
    </row>
    <row r="433">
      <c r="A433" s="8" t="inlineStr">
        <is>
          <t>ノア</t>
        </is>
      </c>
      <c r="B433" s="8" t="n"/>
      <c r="C433" s="8" t="inlineStr"/>
      <c r="D433" s="11" t="n">
        <v>599000</v>
      </c>
      <c r="E433" s="8" t="n">
        <v>40</v>
      </c>
      <c r="F433" s="11" t="n"/>
      <c r="G433" s="8" t="n"/>
      <c r="H433" s="8" t="n"/>
      <c r="I433" s="11" t="n"/>
      <c r="J433" s="8" t="inlineStr">
        <is>
          <t>2026-06-09T21:22:23+09:00</t>
        </is>
      </c>
      <c r="K433" s="14" t="inlineStr">
        <is>
          <t xml:space="preserve">ハイブリッドＧ　車検１０年６月　修復なし　両側パワスラ　Ｗエアコン　純正ナビ　Ｂカメラ　Bluetooth　シートヒーター　クルコン　</t>
        </is>
      </c>
      <c r="L433" s="8" t="inlineStr">
        <is>
          <t>https://page.auctions.yahoo.co.jp/jp/auction/h1232123490</t>
        </is>
      </c>
    </row>
    <row r="434">
      <c r="A434" s="13" t="inlineStr">
        <is>
          <t>ノア</t>
        </is>
      </c>
      <c r="B434" s="13" t="n"/>
      <c r="C434" s="13" t="inlineStr"/>
      <c r="D434" s="15" t="n">
        <v>653500</v>
      </c>
      <c r="E434" s="13" t="n">
        <v>184</v>
      </c>
      <c r="F434" s="15" t="n"/>
      <c r="G434" s="13" t="n"/>
      <c r="H434" s="13" t="n"/>
      <c r="I434" s="15" t="n"/>
      <c r="J434" s="13" t="inlineStr">
        <is>
          <t>2026-05-25T22:02:19+09:00</t>
        </is>
      </c>
      <c r="K434" s="14" t="inlineStr">
        <is>
          <t>モデリスタエアロ　ハイブリッドＸ　車検１０年６月　修復なし　両側パワースライド　純正ナビ　Ｂカメラ　ＥＴＣ　前後ドラレコ</t>
        </is>
      </c>
      <c r="L434" s="13" t="inlineStr">
        <is>
          <t>https://page.auctions.yahoo.co.jp/jp/auction/v1230476906</t>
        </is>
      </c>
    </row>
    <row r="435">
      <c r="A435" s="8" t="inlineStr">
        <is>
          <t>ノア</t>
        </is>
      </c>
      <c r="B435" s="8" t="n"/>
      <c r="C435" s="8" t="inlineStr"/>
      <c r="D435" s="11" t="n">
        <v>702000</v>
      </c>
      <c r="E435" s="8" t="n">
        <v>144</v>
      </c>
      <c r="F435" s="11" t="n"/>
      <c r="G435" s="8" t="n"/>
      <c r="H435" s="8" t="n"/>
      <c r="I435" s="11" t="n"/>
      <c r="J435" s="8" t="inlineStr">
        <is>
          <t>2026-05-21T22:19:19+09:00</t>
        </is>
      </c>
      <c r="K435" s="14" t="inlineStr">
        <is>
          <t>26年トヨタ　ノア　ハイブリッド　G 純正9ナビフルセグ地デジ　　モデリスタエアロ　左右パワースライド　車検2年満タン</t>
        </is>
      </c>
      <c r="L435" s="8" t="inlineStr">
        <is>
          <t>https://page.auctions.yahoo.co.jp/jp/auction/v1230140293</t>
        </is>
      </c>
    </row>
    <row r="436">
      <c r="A436" s="13" t="inlineStr">
        <is>
          <t>ノア</t>
        </is>
      </c>
      <c r="B436" s="13" t="n"/>
      <c r="C436" s="13" t="inlineStr"/>
      <c r="D436" s="15" t="n">
        <v>384000</v>
      </c>
      <c r="E436" s="13" t="n">
        <v>34</v>
      </c>
      <c r="F436" s="15" t="n"/>
      <c r="G436" s="13" t="n"/>
      <c r="H436" s="13" t="n"/>
      <c r="I436" s="15" t="n"/>
      <c r="J436" s="13" t="inlineStr">
        <is>
          <t>2026-05-07T18:23:31+09:00</t>
        </is>
      </c>
      <c r="K436" s="14" t="inlineStr">
        <is>
          <t>トヨタ ノア Xディライトプラス★ZRR80G★平成２８年★53800km★車検丸２年★自動パワースライドドア★修復歴なし★大型純正ナビ！</t>
        </is>
      </c>
      <c r="L436" s="13" t="inlineStr">
        <is>
          <t>https://page.auctions.yahoo.co.jp/jp/auction/r1228619074</t>
        </is>
      </c>
    </row>
    <row r="437">
      <c r="A437" s="8" t="inlineStr">
        <is>
          <t>ノア</t>
        </is>
      </c>
      <c r="B437" s="8" t="n"/>
      <c r="C437" s="8" t="inlineStr"/>
      <c r="D437" s="11" t="n">
        <v>612000</v>
      </c>
      <c r="E437" s="8" t="n">
        <v>83</v>
      </c>
      <c r="F437" s="11" t="n"/>
      <c r="G437" s="8" t="n"/>
      <c r="H437" s="8" t="n"/>
      <c r="I437" s="11" t="n"/>
      <c r="J437" s="8" t="inlineStr">
        <is>
          <t>2026-04-26T22:29:36+09:00</t>
        </is>
      </c>
      <c r="K437" s="14" t="inlineStr">
        <is>
          <t>ハイブリッドＧ　車検１０年４月　フリップダウンモニター　両側パワスラ　大画面ナビ　Ｂカメラ　シートヒーター　クルコン　Ｗエアコン</t>
        </is>
      </c>
      <c r="L437" s="8" t="inlineStr">
        <is>
          <t>https://page.auctions.yahoo.co.jp/jp/auction/o1225415674</t>
        </is>
      </c>
    </row>
    <row r="438">
      <c r="A438" s="13" t="inlineStr">
        <is>
          <t>ノア</t>
        </is>
      </c>
      <c r="B438" s="13" t="n"/>
      <c r="C438" s="13" t="inlineStr"/>
      <c r="D438" s="15" t="n">
        <v>2413001</v>
      </c>
      <c r="E438" s="13" t="n">
        <v>513</v>
      </c>
      <c r="F438" s="15" t="n"/>
      <c r="G438" s="13" t="n"/>
      <c r="H438" s="13" t="n"/>
      <c r="I438" s="15" t="n"/>
      <c r="J438" s="13" t="inlineStr">
        <is>
          <t>2026-04-24T09:30:01+09:00</t>
        </is>
      </c>
      <c r="K438" s="14" t="inlineStr">
        <is>
          <t>令和６年式　ノア　ハイブリッドX　低燃費　８人乗り　パールホワイト　車検たっぷり令和１０年３月まで</t>
        </is>
      </c>
      <c r="L438" s="13" t="inlineStr">
        <is>
          <t>https://page.auctions.yahoo.co.jp/jp/auction/k1225543786</t>
        </is>
      </c>
    </row>
    <row r="439">
      <c r="A439" s="8" t="inlineStr">
        <is>
          <t>ノア</t>
        </is>
      </c>
      <c r="B439" s="8" t="n"/>
      <c r="C439" s="8" t="inlineStr"/>
      <c r="D439" s="11" t="n">
        <v>2551000</v>
      </c>
      <c r="E439" s="8" t="n">
        <v>46</v>
      </c>
      <c r="F439" s="11" t="n"/>
      <c r="G439" s="8" t="n"/>
      <c r="H439" s="8" t="n"/>
      <c r="I439" s="11" t="n"/>
      <c r="J439" s="8" t="inlineStr">
        <is>
          <t>2026-04-12T20:44:45+09:00</t>
        </is>
      </c>
      <c r="K439" s="14" t="inlineStr">
        <is>
          <t>★プリウス 2025 PHEV Z 低走行距離、優れた燃費、大型ナビゲーションシステム、プッシュスタート、クルーズコントロール ETC ★</t>
        </is>
      </c>
      <c r="L439" s="8" t="inlineStr">
        <is>
          <t>https://page.auctions.yahoo.co.jp/jp/auction/s1226063056</t>
        </is>
      </c>
    </row>
    <row r="440">
      <c r="A440" s="13" t="inlineStr">
        <is>
          <t>ノア</t>
        </is>
      </c>
      <c r="B440" s="13" t="n"/>
      <c r="C440" s="13" t="inlineStr"/>
      <c r="D440" s="15" t="n">
        <v>652000</v>
      </c>
      <c r="E440" s="13" t="n">
        <v>95</v>
      </c>
      <c r="F440" s="15" t="n"/>
      <c r="G440" s="13" t="n"/>
      <c r="H440" s="13" t="n"/>
      <c r="I440" s="15" t="n"/>
      <c r="J440" s="13" t="inlineStr">
        <is>
          <t>2026-03-18T21:15:13+09:00</t>
        </is>
      </c>
      <c r="K440" s="14" t="inlineStr">
        <is>
          <t xml:space="preserve">ハイブリッドＧ　車検１０年３月　フリップダウンモニター　両側パワスラ　純正ナビ　Ｂカメラ　シートヒーター　クルコン　Ｗエアコン　</t>
        </is>
      </c>
      <c r="L440" s="13" t="inlineStr">
        <is>
          <t>https://page.auctions.yahoo.co.jp/jp/auction/l1222012062</t>
        </is>
      </c>
    </row>
    <row r="441">
      <c r="A441" s="8" t="inlineStr">
        <is>
          <t>プリウスα</t>
        </is>
      </c>
      <c r="B441" s="8" t="n">
        <v>2017</v>
      </c>
      <c r="C441" s="8" t="inlineStr">
        <is>
          <t>40系</t>
        </is>
      </c>
      <c r="D441" s="11" t="n">
        <v>978000</v>
      </c>
      <c r="E441" s="8" t="n">
        <v>1</v>
      </c>
      <c r="F441" s="11" t="n">
        <v>97000</v>
      </c>
      <c r="G441" s="8" t="inlineStr">
        <is>
          <t>REAL_MILEAGE</t>
        </is>
      </c>
      <c r="H441" s="8" t="inlineStr">
        <is>
          <t>NONE</t>
        </is>
      </c>
      <c r="I441" s="11" t="n">
        <v>0</v>
      </c>
      <c r="J441" s="8" t="inlineStr">
        <is>
          <t>2026-08-12T22:14:45+09:00</t>
        </is>
      </c>
      <c r="K441" s="14" t="inlineStr">
        <is>
          <t>プリウスα 1.8 S 純ナビフルセグバックカメラ禁煙車1年保証</t>
        </is>
      </c>
      <c r="L441" s="8" t="inlineStr">
        <is>
          <t>https://page.auctions.yahoo.co.jp/jp/auction/w1235684458</t>
        </is>
      </c>
    </row>
    <row r="442">
      <c r="A442" s="13" t="inlineStr">
        <is>
          <t>プリウスα</t>
        </is>
      </c>
      <c r="B442" s="13" t="n">
        <v>2017</v>
      </c>
      <c r="C442" s="13" t="inlineStr">
        <is>
          <t>40系</t>
        </is>
      </c>
      <c r="D442" s="15" t="n">
        <v>616111</v>
      </c>
      <c r="E442" s="13" t="n">
        <v>25</v>
      </c>
      <c r="F442" s="15" t="n">
        <v>63000</v>
      </c>
      <c r="G442" s="13" t="inlineStr">
        <is>
          <t>REAL_MILEAGE</t>
        </is>
      </c>
      <c r="H442" s="13" t="n"/>
      <c r="I442" s="15" t="n">
        <v>102030</v>
      </c>
      <c r="J442" s="13" t="inlineStr">
        <is>
          <t>2026-07-19T18:49:40+09:00</t>
        </is>
      </c>
      <c r="K442" s="14" t="inlineStr">
        <is>
          <t>H29 トヨタ プリウス α ハイブリッド 63000 Km 状態は非常に良く、ご家族での利用に最適です。</t>
        </is>
      </c>
      <c r="L442" s="13" t="inlineStr">
        <is>
          <t>https://page.auctions.yahoo.co.jp/jp/auction/l1237202334</t>
        </is>
      </c>
    </row>
    <row r="443">
      <c r="A443" s="8" t="inlineStr">
        <is>
          <t>プリウスα</t>
        </is>
      </c>
      <c r="B443" s="8" t="n">
        <v>2017</v>
      </c>
      <c r="C443" s="8" t="inlineStr">
        <is>
          <t>40系</t>
        </is>
      </c>
      <c r="D443" s="11" t="n">
        <v>891000</v>
      </c>
      <c r="E443" s="8" t="n">
        <v>1</v>
      </c>
      <c r="F443" s="11" t="n">
        <v>89000</v>
      </c>
      <c r="G443" s="8" t="inlineStr">
        <is>
          <t>REAL_MILEAGE</t>
        </is>
      </c>
      <c r="H443" s="8" t="inlineStr">
        <is>
          <t>NONE</t>
        </is>
      </c>
      <c r="I443" s="11" t="n">
        <v>0</v>
      </c>
      <c r="J443" s="8" t="inlineStr">
        <is>
          <t>2026-07-16T23:40:23+09:00</t>
        </is>
      </c>
      <c r="K443" s="14" t="inlineStr">
        <is>
          <t>プリウスα 1.8 S</t>
        </is>
      </c>
      <c r="L443" s="8" t="inlineStr">
        <is>
          <t>https://page.auctions.yahoo.co.jp/jp/auction/w1235560492</t>
        </is>
      </c>
    </row>
    <row r="444">
      <c r="A444" s="13" t="inlineStr">
        <is>
          <t>プリウスα</t>
        </is>
      </c>
      <c r="B444" s="13" t="n">
        <v>2017</v>
      </c>
      <c r="C444" s="13" t="inlineStr">
        <is>
          <t>40系</t>
        </is>
      </c>
      <c r="D444" s="15" t="n">
        <v>1800000</v>
      </c>
      <c r="E444" s="13" t="n">
        <v>1</v>
      </c>
      <c r="F444" s="15" t="n">
        <v>96000</v>
      </c>
      <c r="G444" s="13" t="inlineStr">
        <is>
          <t>REAL_MILEAGE</t>
        </is>
      </c>
      <c r="H444" s="13" t="inlineStr">
        <is>
          <t>NONE</t>
        </is>
      </c>
      <c r="I444" s="15" t="n">
        <v>0</v>
      </c>
      <c r="J444" s="13" t="inlineStr">
        <is>
          <t>2026-04-14T22:20:21+09:00</t>
        </is>
      </c>
      <c r="K444" s="14" t="inlineStr">
        <is>
          <t>H29年式　プリウスα G's 社外パーツ多数　車検長い　アルパイン</t>
        </is>
      </c>
      <c r="L444" s="13" t="inlineStr">
        <is>
          <t>https://page.auctions.yahoo.co.jp/jp/auction/r1222711781</t>
        </is>
      </c>
    </row>
    <row r="445">
      <c r="A445" s="8" t="inlineStr">
        <is>
          <t>プリウスα</t>
        </is>
      </c>
      <c r="B445" s="8" t="n">
        <v>2017</v>
      </c>
      <c r="C445" s="8" t="inlineStr">
        <is>
          <t>40系</t>
        </is>
      </c>
      <c r="D445" s="11" t="n">
        <v>1298000</v>
      </c>
      <c r="E445" s="8" t="n">
        <v>3</v>
      </c>
      <c r="F445" s="11" t="n">
        <v>43280</v>
      </c>
      <c r="G445" s="8" t="inlineStr">
        <is>
          <t>REAL_MILEAGE</t>
        </is>
      </c>
      <c r="H445" s="8" t="inlineStr">
        <is>
          <t>EXISTS</t>
        </is>
      </c>
      <c r="I445" s="11" t="n">
        <v>0</v>
      </c>
      <c r="J445" s="8" t="inlineStr">
        <is>
          <t>2026-04-07T08:01:26+09:00</t>
        </is>
      </c>
      <c r="K445" s="14" t="inlineStr">
        <is>
          <t>車検満タン 29年式 プリウスα 後期 セーフティセンス 衝突軽減ブレーキ レーダークルーズ ナビ TV Bluetooth バックモニター スマキー ETC</t>
        </is>
      </c>
      <c r="L445" s="8" t="inlineStr">
        <is>
          <t>https://page.auctions.yahoo.co.jp/jp/auction/p1224475802</t>
        </is>
      </c>
    </row>
    <row r="446">
      <c r="A446" s="13" t="inlineStr">
        <is>
          <t>プリウスα</t>
        </is>
      </c>
      <c r="B446" s="13" t="n">
        <v>2016</v>
      </c>
      <c r="C446" s="13" t="inlineStr">
        <is>
          <t>40系</t>
        </is>
      </c>
      <c r="D446" s="15" t="n">
        <v>650000</v>
      </c>
      <c r="E446" s="13" t="n">
        <v>1</v>
      </c>
      <c r="F446" s="15" t="n">
        <v>83000</v>
      </c>
      <c r="G446" s="13" t="inlineStr">
        <is>
          <t>REAL_MILEAGE</t>
        </is>
      </c>
      <c r="H446" s="13" t="inlineStr">
        <is>
          <t>NONE</t>
        </is>
      </c>
      <c r="I446" s="15" t="n">
        <v>0</v>
      </c>
      <c r="J446" s="13" t="inlineStr">
        <is>
          <t>2026-03-29T14:37:23+09:00</t>
        </is>
      </c>
      <c r="K446" s="14" t="inlineStr">
        <is>
          <t xml:space="preserve">プリウスα グレードS 5人乗り　ハイブリッド　H28年式　純正ナビ　8万キロ　ETC バックカメラ　社外アルミ　サマータイヤ付き　</t>
        </is>
      </c>
      <c r="L446" s="13" t="inlineStr">
        <is>
          <t>https://page.auctions.yahoo.co.jp/jp/auction/l1224601486</t>
        </is>
      </c>
    </row>
    <row r="447">
      <c r="A447" s="8" t="inlineStr">
        <is>
          <t>プリウスα</t>
        </is>
      </c>
      <c r="B447" s="8" t="n">
        <v>2015</v>
      </c>
      <c r="C447" s="8" t="inlineStr">
        <is>
          <t>40系</t>
        </is>
      </c>
      <c r="D447" s="11" t="n">
        <v>450000</v>
      </c>
      <c r="E447" s="8" t="n">
        <v>1</v>
      </c>
      <c r="F447" s="11" t="n">
        <v>147860</v>
      </c>
      <c r="G447" s="8" t="inlineStr">
        <is>
          <t>REAL_MILEAGE</t>
        </is>
      </c>
      <c r="H447" s="8" t="inlineStr">
        <is>
          <t>NONE</t>
        </is>
      </c>
      <c r="I447" s="11" t="n">
        <v>0</v>
      </c>
      <c r="J447" s="8" t="inlineStr">
        <is>
          <t>2026-08-10T19:47:47+09:00</t>
        </is>
      </c>
      <c r="K447" s="14" t="inlineStr">
        <is>
          <t>プリウスα　人気の白　フレモデリスタ　ハーフレザー</t>
        </is>
      </c>
      <c r="L447" s="8" t="inlineStr">
        <is>
          <t>https://page.auctions.yahoo.co.jp/jp/auction/1240315006</t>
        </is>
      </c>
    </row>
    <row r="448">
      <c r="A448" s="13" t="inlineStr">
        <is>
          <t>プリウスα</t>
        </is>
      </c>
      <c r="B448" s="13" t="n">
        <v>2015</v>
      </c>
      <c r="C448" s="13" t="inlineStr">
        <is>
          <t>40系</t>
        </is>
      </c>
      <c r="D448" s="15" t="n">
        <v>450999</v>
      </c>
      <c r="E448" s="13" t="n">
        <v>89</v>
      </c>
      <c r="F448" s="15" t="n">
        <v>228239</v>
      </c>
      <c r="G448" s="13" t="inlineStr">
        <is>
          <t>REAL_MILEAGE</t>
        </is>
      </c>
      <c r="H448" s="13" t="n"/>
      <c r="I448" s="15" t="n">
        <v>0</v>
      </c>
      <c r="J448" s="13" t="inlineStr">
        <is>
          <t>2026-06-12T19:46:45+09:00</t>
        </is>
      </c>
      <c r="K448" s="14" t="inlineStr">
        <is>
          <t>◎プリウスα　黒　１円スタート　個人出品　バッテリーメンテ、ＥＧＲ洗浄、プラグ、ウオーターポンプ交換済み◎</t>
        </is>
      </c>
      <c r="L448" s="13" t="inlineStr">
        <is>
          <t>https://page.auctions.yahoo.co.jp/jp/auction/r1231781529</t>
        </is>
      </c>
    </row>
    <row r="449">
      <c r="A449" s="8" t="inlineStr">
        <is>
          <t>プリウスα</t>
        </is>
      </c>
      <c r="B449" s="8" t="n">
        <v>2015</v>
      </c>
      <c r="C449" s="8" t="inlineStr">
        <is>
          <t>40系</t>
        </is>
      </c>
      <c r="D449" s="11" t="n">
        <v>1198000</v>
      </c>
      <c r="E449" s="8" t="n">
        <v>1</v>
      </c>
      <c r="F449" s="11" t="n">
        <v>23580</v>
      </c>
      <c r="G449" s="8" t="inlineStr">
        <is>
          <t>REAL_MILEAGE</t>
        </is>
      </c>
      <c r="H449" s="8" t="inlineStr">
        <is>
          <t>EXISTS</t>
        </is>
      </c>
      <c r="I449" s="11" t="n">
        <v>0</v>
      </c>
      <c r="J449" s="8" t="inlineStr">
        <is>
          <t>2026-06-02T16:30:43+09:00</t>
        </is>
      </c>
      <c r="K449" s="14" t="inlineStr">
        <is>
          <t>車検満タン 27年式 プリウスα 後期 セーフティセンス 衝突軽減ブレーキ レーダークルーズ ナビ TV Bluetooth バックモニター スマキー ETC</t>
        </is>
      </c>
      <c r="L449" s="8" t="inlineStr">
        <is>
          <t>https://page.auctions.yahoo.co.jp/jp/auction/e1229285694</t>
        </is>
      </c>
    </row>
    <row r="450">
      <c r="A450" s="13" t="inlineStr">
        <is>
          <t>プリウスα</t>
        </is>
      </c>
      <c r="B450" s="13" t="n">
        <v>2015</v>
      </c>
      <c r="C450" s="13" t="inlineStr">
        <is>
          <t>40系</t>
        </is>
      </c>
      <c r="D450" s="15" t="n">
        <v>1250000</v>
      </c>
      <c r="E450" s="13" t="n">
        <v>1</v>
      </c>
      <c r="F450" s="15" t="n">
        <v>55000</v>
      </c>
      <c r="G450" s="13" t="inlineStr">
        <is>
          <t>REAL_MILEAGE</t>
        </is>
      </c>
      <c r="H450" s="13" t="inlineStr">
        <is>
          <t>EXISTS</t>
        </is>
      </c>
      <c r="I450" s="15" t="n">
        <v>0</v>
      </c>
      <c r="J450" s="13" t="inlineStr">
        <is>
          <t>2026-04-17T17:03:24+09:00</t>
        </is>
      </c>
      <c r="K450" s="14" t="inlineStr">
        <is>
          <t>★後期モデル！H27年！上級！プリウスα【G】禁煙車！クルコン！パワーシート！フルセグＴＶ！革巻きハンドル！クルコン！LED！Bカメ！ETC</t>
        </is>
      </c>
      <c r="L450" s="13" t="inlineStr">
        <is>
          <t>https://page.auctions.yahoo.co.jp/jp/auction/h1221285202</t>
        </is>
      </c>
    </row>
    <row r="451">
      <c r="A451" s="8" t="inlineStr">
        <is>
          <t>プリウスα</t>
        </is>
      </c>
      <c r="B451" s="8" t="n">
        <v>2015</v>
      </c>
      <c r="C451" s="8" t="inlineStr">
        <is>
          <t>40系</t>
        </is>
      </c>
      <c r="D451" s="11" t="n">
        <v>1100100</v>
      </c>
      <c r="E451" s="8" t="n">
        <v>2</v>
      </c>
      <c r="F451" s="11" t="n">
        <v>78000</v>
      </c>
      <c r="G451" s="8" t="inlineStr">
        <is>
          <t>REAL_MILEAGE</t>
        </is>
      </c>
      <c r="H451" s="8" t="inlineStr">
        <is>
          <t>NONE</t>
        </is>
      </c>
      <c r="I451" s="11" t="n">
        <v>0</v>
      </c>
      <c r="J451" s="8" t="inlineStr">
        <is>
          <t>2026-03-27T23:34:52+09:00</t>
        </is>
      </c>
      <c r="K451" s="14" t="inlineStr">
        <is>
          <t>【諸費用コミ】:【在庫確認必須】 プリウスα</t>
        </is>
      </c>
      <c r="L451" s="8" t="inlineStr">
        <is>
          <t>https://page.auctions.yahoo.co.jp/jp/auction/l1222785941</t>
        </is>
      </c>
    </row>
    <row r="452">
      <c r="A452" s="13" t="inlineStr">
        <is>
          <t>プリウスα</t>
        </is>
      </c>
      <c r="B452" s="13" t="n">
        <v>2015</v>
      </c>
      <c r="C452" s="13" t="inlineStr">
        <is>
          <t>40系</t>
        </is>
      </c>
      <c r="D452" s="15" t="n">
        <v>700000</v>
      </c>
      <c r="E452" s="13" t="n">
        <v>1</v>
      </c>
      <c r="F452" s="15" t="n">
        <v>145383</v>
      </c>
      <c r="G452" s="13" t="inlineStr">
        <is>
          <t>REAL_MILEAGE</t>
        </is>
      </c>
      <c r="H452" s="13" t="inlineStr">
        <is>
          <t>NONE</t>
        </is>
      </c>
      <c r="I452" s="15" t="n">
        <v>0</v>
      </c>
      <c r="J452" s="13" t="inlineStr">
        <is>
          <t>2026-03-09T23:03:41+09:00</t>
        </is>
      </c>
      <c r="K452" s="14" t="inlineStr">
        <is>
          <t>値下げ! プリウスα 後期型 S 3列シート 7人乗り スタッドレスタイヤ付属　茨城県</t>
        </is>
      </c>
      <c r="L452" s="13" t="inlineStr">
        <is>
          <t>https://page.auctions.yahoo.co.jp/jp/auction/c1220492593</t>
        </is>
      </c>
    </row>
    <row r="453">
      <c r="A453" s="8" t="inlineStr">
        <is>
          <t>プリウスα</t>
        </is>
      </c>
      <c r="B453" s="8" t="n">
        <v>2014</v>
      </c>
      <c r="C453" s="8" t="inlineStr">
        <is>
          <t>40系</t>
        </is>
      </c>
      <c r="D453" s="11" t="n">
        <v>462000</v>
      </c>
      <c r="E453" s="8" t="n">
        <v>114</v>
      </c>
      <c r="F453" s="11" t="n">
        <v>132972</v>
      </c>
      <c r="G453" s="8" t="inlineStr">
        <is>
          <t>REAL_MILEAGE</t>
        </is>
      </c>
      <c r="H453" s="8" t="inlineStr">
        <is>
          <t>NONE</t>
        </is>
      </c>
      <c r="I453" s="11" t="n">
        <v>45630</v>
      </c>
      <c r="J453" s="8" t="inlineStr">
        <is>
          <t>2026-08-19T21:44:29+09:00</t>
        </is>
      </c>
      <c r="K453" s="14" t="inlineStr">
        <is>
          <t>『陸送30％off』車検R9年10月♪プリウスαSチューンブラック★【純正ナビ/TV&amp;DVD/バックモニタ-/ビルトインETC】LEDヘッドライト/AW</t>
        </is>
      </c>
      <c r="L453" s="8" t="inlineStr">
        <is>
          <t>https://page.auctions.yahoo.co.jp/jp/auction/k1240534882</t>
        </is>
      </c>
    </row>
    <row r="454">
      <c r="A454" s="13" t="inlineStr">
        <is>
          <t>プリウスα</t>
        </is>
      </c>
      <c r="B454" s="13" t="n">
        <v>2014</v>
      </c>
      <c r="C454" s="13" t="inlineStr">
        <is>
          <t>40系</t>
        </is>
      </c>
      <c r="D454" s="15" t="n">
        <v>337000</v>
      </c>
      <c r="E454" s="13" t="n">
        <v>83</v>
      </c>
      <c r="F454" s="15" t="n">
        <v>140000</v>
      </c>
      <c r="G454" s="13" t="inlineStr">
        <is>
          <t>REAL_MILEAGE</t>
        </is>
      </c>
      <c r="H454" s="13" t="n"/>
      <c r="I454" s="15" t="n">
        <v>38330</v>
      </c>
      <c r="J454" s="13" t="inlineStr">
        <is>
          <t>2026-07-25T21:41:51+09:00</t>
        </is>
      </c>
      <c r="K454" s="14" t="inlineStr">
        <is>
          <t>【愛知豊田発】平成２６年９月登録　プリウスα　車検令和９年９月迄　１４万キロ　禁煙車！！</t>
        </is>
      </c>
      <c r="L454" s="13" t="inlineStr">
        <is>
          <t>https://page.auctions.yahoo.co.jp/jp/auction/f1236811013</t>
        </is>
      </c>
    </row>
    <row r="455">
      <c r="A455" s="8" t="inlineStr">
        <is>
          <t>プリウスα</t>
        </is>
      </c>
      <c r="B455" s="8" t="n">
        <v>2014</v>
      </c>
      <c r="C455" s="8" t="inlineStr">
        <is>
          <t>40系</t>
        </is>
      </c>
      <c r="D455" s="11" t="n">
        <v>598000</v>
      </c>
      <c r="E455" s="8" t="n">
        <v>2</v>
      </c>
      <c r="F455" s="11" t="n">
        <v>86600</v>
      </c>
      <c r="G455" s="8" t="inlineStr">
        <is>
          <t>REAL_MILEAGE</t>
        </is>
      </c>
      <c r="H455" s="8" t="inlineStr">
        <is>
          <t>EXISTS</t>
        </is>
      </c>
      <c r="I455" s="11" t="n">
        <v>13120</v>
      </c>
      <c r="J455" s="8" t="inlineStr">
        <is>
          <t>2026-07-18T12:47:35+09:00</t>
        </is>
      </c>
      <c r="K455" s="14" t="inlineStr">
        <is>
          <t>☆26年プリウスα・S☆実走行8.6km☆乗り出し総額67.3万円☆寒冷地仕様☆スマートキー×2☆純正ナビ☆バックカメラ☆地デジTV☆Bluetooth☆</t>
        </is>
      </c>
      <c r="L455" s="8" t="inlineStr">
        <is>
          <t>https://page.auctions.yahoo.co.jp/jp/auction/l1235414639</t>
        </is>
      </c>
    </row>
    <row r="456">
      <c r="A456" s="13" t="inlineStr">
        <is>
          <t>プリウスα</t>
        </is>
      </c>
      <c r="B456" s="13" t="n">
        <v>2014</v>
      </c>
      <c r="C456" s="13" t="inlineStr">
        <is>
          <t>40系</t>
        </is>
      </c>
      <c r="D456" s="15" t="n">
        <v>450000</v>
      </c>
      <c r="E456" s="13" t="n">
        <v>1</v>
      </c>
      <c r="F456" s="15" t="n">
        <v>136000</v>
      </c>
      <c r="G456" s="13" t="inlineStr">
        <is>
          <t>REAL_MILEAGE</t>
        </is>
      </c>
      <c r="H456" s="13" t="n"/>
      <c r="I456" s="15" t="n">
        <v>0</v>
      </c>
      <c r="J456" s="13" t="inlineStr">
        <is>
          <t>2026-06-15T23:35:50+09:00</t>
        </is>
      </c>
      <c r="K456" s="14" t="inlineStr">
        <is>
          <t>個人 平成26年 プリウスα 車検付 人気のブラック色 希少フレーダーマウスフルエアロ 車高調 8インチナビ 自動車税込み 即決</t>
        </is>
      </c>
      <c r="L456" s="13" t="inlineStr">
        <is>
          <t>https://page.auctions.yahoo.co.jp/jp/auction/x1233644183</t>
        </is>
      </c>
    </row>
    <row r="457">
      <c r="A457" s="8" t="inlineStr">
        <is>
          <t>プリウスα</t>
        </is>
      </c>
      <c r="B457" s="8" t="n">
        <v>2014</v>
      </c>
      <c r="C457" s="8" t="inlineStr">
        <is>
          <t>40系</t>
        </is>
      </c>
      <c r="D457" s="11" t="n">
        <v>1000000</v>
      </c>
      <c r="E457" s="8" t="n">
        <v>1</v>
      </c>
      <c r="F457" s="11" t="n">
        <v>92272</v>
      </c>
      <c r="G457" s="8" t="inlineStr">
        <is>
          <t>REAL_MILEAGE</t>
        </is>
      </c>
      <c r="H457" s="8" t="inlineStr">
        <is>
          <t>NONE</t>
        </is>
      </c>
      <c r="I457" s="11" t="n">
        <v>0</v>
      </c>
      <c r="J457" s="8" t="inlineStr">
        <is>
          <t>2026-05-21T12:57:52+09:00</t>
        </is>
      </c>
      <c r="K457" s="14" t="inlineStr">
        <is>
          <t>トヨタ　プリウス　α　Gツーリングセレクション</t>
        </is>
      </c>
      <c r="L457" s="8" t="inlineStr">
        <is>
          <t>https://page.auctions.yahoo.co.jp/jp/auction/s1229933836</t>
        </is>
      </c>
    </row>
    <row r="458">
      <c r="A458" s="13" t="inlineStr">
        <is>
          <t>プリウスα</t>
        </is>
      </c>
      <c r="B458" s="13" t="n">
        <v>2014</v>
      </c>
      <c r="C458" s="13" t="inlineStr">
        <is>
          <t>40系</t>
        </is>
      </c>
      <c r="D458" s="15" t="n">
        <v>800000</v>
      </c>
      <c r="E458" s="13" t="n">
        <v>1</v>
      </c>
      <c r="F458" s="15" t="n">
        <v>106479</v>
      </c>
      <c r="G458" s="13" t="inlineStr">
        <is>
          <t>REAL_MILEAGE</t>
        </is>
      </c>
      <c r="H458" s="13" t="inlineStr">
        <is>
          <t>EXISTS</t>
        </is>
      </c>
      <c r="I458" s="15" t="n">
        <v>0</v>
      </c>
      <c r="J458" s="13" t="inlineStr">
        <is>
          <t>2026-03-23T21:31:15+09:00</t>
        </is>
      </c>
      <c r="K458" s="14" t="inlineStr">
        <is>
          <t>【諸費用コミ】:★広島発★広島市★中古車★ プリウスα 1.8 G</t>
        </is>
      </c>
      <c r="L458" s="13" t="inlineStr">
        <is>
          <t>https://page.auctions.yahoo.co.jp/jp/auction/s1222284203</t>
        </is>
      </c>
    </row>
    <row r="459">
      <c r="A459" s="8" t="inlineStr">
        <is>
          <t>プリウスα</t>
        </is>
      </c>
      <c r="B459" s="8" t="n">
        <v>2013</v>
      </c>
      <c r="C459" s="8" t="inlineStr">
        <is>
          <t>40系</t>
        </is>
      </c>
      <c r="D459" s="11" t="n">
        <v>590000</v>
      </c>
      <c r="E459" s="8" t="n">
        <v>1</v>
      </c>
      <c r="F459" s="11" t="n">
        <v>171320</v>
      </c>
      <c r="G459" s="8" t="inlineStr">
        <is>
          <t>REAL_MILEAGE</t>
        </is>
      </c>
      <c r="H459" s="8" t="inlineStr">
        <is>
          <t>EXISTS</t>
        </is>
      </c>
      <c r="I459" s="11" t="n">
        <v>38420</v>
      </c>
      <c r="J459" s="8" t="inlineStr">
        <is>
          <t>2026-08-17T06:36:27+09:00</t>
        </is>
      </c>
      <c r="K459" s="14" t="inlineStr">
        <is>
          <t>【ヤフオク限定特別価格】H25年 プリウスα Sチューンブラック《7人乗り》モデリスタエアロ/ダウンサス/17AW/ドラレコ 車検R8年11月まで</t>
        </is>
      </c>
      <c r="L459" s="8" t="inlineStr">
        <is>
          <t>https://page.auctions.yahoo.co.jp/jp/auction/x1236312124</t>
        </is>
      </c>
    </row>
    <row r="460">
      <c r="A460" s="13" t="inlineStr">
        <is>
          <t>プリウスα</t>
        </is>
      </c>
      <c r="B460" s="13" t="n">
        <v>2013</v>
      </c>
      <c r="C460" s="13" t="inlineStr">
        <is>
          <t>40系</t>
        </is>
      </c>
      <c r="D460" s="15" t="n">
        <v>568000</v>
      </c>
      <c r="E460" s="13" t="n">
        <v>1</v>
      </c>
      <c r="F460" s="15" t="n">
        <v>91500</v>
      </c>
      <c r="G460" s="13" t="inlineStr">
        <is>
          <t>REAL_MILEAGE</t>
        </is>
      </c>
      <c r="H460" s="13" t="inlineStr">
        <is>
          <t>EXISTS</t>
        </is>
      </c>
      <c r="I460" s="15" t="n">
        <v>13120</v>
      </c>
      <c r="J460" s="13" t="inlineStr">
        <is>
          <t>2026-07-31T15:02:35+09:00</t>
        </is>
      </c>
      <c r="K460" s="14" t="inlineStr">
        <is>
          <t>☆25年プリウスα・SLセレクション☆実走行9.1万km☆乗り出し総額64.3万円☆スマ-トキ-×2☆純正ナビ☆地デジTV☆Bluetooth☆バックカメラ</t>
        </is>
      </c>
      <c r="L460" s="13" t="inlineStr">
        <is>
          <t>https://page.auctions.yahoo.co.jp/jp/auction/q1238209424</t>
        </is>
      </c>
    </row>
    <row r="461">
      <c r="A461" s="8" t="inlineStr">
        <is>
          <t>プリウスα</t>
        </is>
      </c>
      <c r="B461" s="8" t="n">
        <v>2013</v>
      </c>
      <c r="C461" s="8" t="inlineStr">
        <is>
          <t>40系</t>
        </is>
      </c>
      <c r="D461" s="11" t="n">
        <v>358000</v>
      </c>
      <c r="E461" s="8" t="n">
        <v>1</v>
      </c>
      <c r="F461" s="11" t="n">
        <v>169000</v>
      </c>
      <c r="G461" s="8" t="inlineStr">
        <is>
          <t>REAL_MILEAGE</t>
        </is>
      </c>
      <c r="H461" s="8" t="inlineStr">
        <is>
          <t>NONE</t>
        </is>
      </c>
      <c r="I461" s="11" t="n">
        <v>0</v>
      </c>
      <c r="J461" s="8" t="inlineStr">
        <is>
          <t>2026-07-30T20:26:04+09:00</t>
        </is>
      </c>
      <c r="K461" s="14" t="inlineStr">
        <is>
          <t>プリウスα 1.8 S 8インチナビ バックカメラ ルーフモニター</t>
        </is>
      </c>
      <c r="L461" s="8" t="inlineStr">
        <is>
          <t>https://page.auctions.yahoo.co.jp/jp/auction/c1237717125</t>
        </is>
      </c>
    </row>
    <row r="462">
      <c r="A462" s="13" t="inlineStr">
        <is>
          <t>プリウスα</t>
        </is>
      </c>
      <c r="B462" s="13" t="n">
        <v>2013</v>
      </c>
      <c r="C462" s="13" t="inlineStr">
        <is>
          <t>40系</t>
        </is>
      </c>
      <c r="D462" s="15" t="n">
        <v>380000</v>
      </c>
      <c r="E462" s="13" t="n">
        <v>12</v>
      </c>
      <c r="F462" s="15" t="n">
        <v>216385</v>
      </c>
      <c r="G462" s="13" t="inlineStr">
        <is>
          <t>REAL_MILEAGE</t>
        </is>
      </c>
      <c r="H462" s="13" t="inlineStr">
        <is>
          <t>NONE</t>
        </is>
      </c>
      <c r="I462" s="15" t="n">
        <v>13120</v>
      </c>
      <c r="J462" s="13" t="inlineStr">
        <is>
          <t>2026-07-17T08:55:02+09:00</t>
        </is>
      </c>
      <c r="K462" s="14" t="inlineStr">
        <is>
          <t>トヨタ プリウスα 平成25年1月 ハイブリッドバッテリー交換済(2027年4月7日まで保証あり)</t>
        </is>
      </c>
      <c r="L462" s="13" t="inlineStr">
        <is>
          <t>https://page.auctions.yahoo.co.jp/jp/auction/1237004721</t>
        </is>
      </c>
    </row>
    <row r="463">
      <c r="A463" s="8" t="inlineStr">
        <is>
          <t>プリウスα</t>
        </is>
      </c>
      <c r="B463" s="8" t="n">
        <v>2013</v>
      </c>
      <c r="C463" s="8" t="inlineStr">
        <is>
          <t>40系</t>
        </is>
      </c>
      <c r="D463" s="11" t="n">
        <v>450000</v>
      </c>
      <c r="E463" s="8" t="n">
        <v>1</v>
      </c>
      <c r="F463" s="11" t="n">
        <v>153000</v>
      </c>
      <c r="G463" s="8" t="inlineStr">
        <is>
          <t>REAL_MILEAGE</t>
        </is>
      </c>
      <c r="H463" s="8" t="inlineStr">
        <is>
          <t>NONE</t>
        </is>
      </c>
      <c r="I463" s="11" t="n">
        <v>0</v>
      </c>
      <c r="J463" s="8" t="inlineStr">
        <is>
          <t>2026-06-24T15:42:03+09:00</t>
        </is>
      </c>
      <c r="K463" s="14" t="inlineStr">
        <is>
          <t>【個人出品】プリウスα グレードS 5人乗り 純正HDDナビ バックカメラ ナビ 地デジTV Bカメラ スマートキー ETC</t>
        </is>
      </c>
      <c r="L463" s="8" t="inlineStr">
        <is>
          <t>https://page.auctions.yahoo.co.jp/jp/auction/p1232698215</t>
        </is>
      </c>
    </row>
    <row r="464">
      <c r="A464" s="13" t="inlineStr">
        <is>
          <t>プリウスα</t>
        </is>
      </c>
      <c r="B464" s="13" t="n">
        <v>2013</v>
      </c>
      <c r="C464" s="13" t="inlineStr">
        <is>
          <t>40系</t>
        </is>
      </c>
      <c r="D464" s="15" t="n">
        <v>398000</v>
      </c>
      <c r="E464" s="13" t="n">
        <v>1</v>
      </c>
      <c r="F464" s="15" t="n">
        <v>169000</v>
      </c>
      <c r="G464" s="13" t="inlineStr">
        <is>
          <t>REAL_MILEAGE</t>
        </is>
      </c>
      <c r="H464" s="13" t="inlineStr">
        <is>
          <t>NONE</t>
        </is>
      </c>
      <c r="I464" s="15" t="n">
        <v>0</v>
      </c>
      <c r="J464" s="13" t="inlineStr">
        <is>
          <t>2026-06-16T03:25:06+09:00</t>
        </is>
      </c>
      <c r="K464" s="14" t="inlineStr">
        <is>
          <t>プリウスα 1.8 S 8インチナビ バックカメラ ルーフモニター</t>
        </is>
      </c>
      <c r="L464" s="13" t="inlineStr">
        <is>
          <t>https://page.auctions.yahoo.co.jp/jp/auction/o1233233370</t>
        </is>
      </c>
    </row>
    <row r="465">
      <c r="A465" s="8" t="inlineStr">
        <is>
          <t>プリウスα</t>
        </is>
      </c>
      <c r="B465" s="8" t="n">
        <v>2013</v>
      </c>
      <c r="C465" s="8" t="inlineStr">
        <is>
          <t>40系</t>
        </is>
      </c>
      <c r="D465" s="11" t="n">
        <v>498000</v>
      </c>
      <c r="E465" s="8" t="n">
        <v>1</v>
      </c>
      <c r="F465" s="11" t="n">
        <v>109300</v>
      </c>
      <c r="G465" s="8" t="inlineStr">
        <is>
          <t>REAL_MILEAGE</t>
        </is>
      </c>
      <c r="H465" s="8" t="inlineStr">
        <is>
          <t>EXISTS</t>
        </is>
      </c>
      <c r="I465" s="11" t="n">
        <v>0</v>
      </c>
      <c r="J465" s="8" t="inlineStr">
        <is>
          <t>2026-05-27T16:45:51+09:00</t>
        </is>
      </c>
      <c r="K465" s="14" t="inlineStr">
        <is>
          <t>☆25年プリウスα・S☆乗り出し総額58.5万円☆スマートキー×2☆ドラレコ☆LEDライト☆純正ナビ☆地デジTV☆バックカメラ☆Bluetooth☆ETC</t>
        </is>
      </c>
      <c r="L465" s="8" t="inlineStr">
        <is>
          <t>https://page.auctions.yahoo.co.jp/jp/auction/s1228594821</t>
        </is>
      </c>
    </row>
    <row r="466">
      <c r="A466" s="13" t="inlineStr">
        <is>
          <t>プリウスα</t>
        </is>
      </c>
      <c r="B466" s="13" t="n">
        <v>2013</v>
      </c>
      <c r="C466" s="13" t="inlineStr">
        <is>
          <t>40系</t>
        </is>
      </c>
      <c r="D466" s="15" t="n">
        <v>580000</v>
      </c>
      <c r="E466" s="13" t="n">
        <v>56</v>
      </c>
      <c r="F466" s="15" t="n">
        <v>102000</v>
      </c>
      <c r="G466" s="13" t="inlineStr">
        <is>
          <t>REAL_MILEAGE</t>
        </is>
      </c>
      <c r="H466" s="13" t="inlineStr">
        <is>
          <t>NONE</t>
        </is>
      </c>
      <c r="I466" s="15" t="n">
        <v>0</v>
      </c>
      <c r="J466" s="13" t="inlineStr">
        <is>
          <t>2026-03-03T20:53:09+09:00</t>
        </is>
      </c>
      <c r="K466" s="14" t="inlineStr">
        <is>
          <t>40　プリウス　α　7人　低燃費　ワゴン</t>
        </is>
      </c>
      <c r="L466" s="13" t="inlineStr">
        <is>
          <t>https://page.auctions.yahoo.co.jp/jp/auction/k1219964176</t>
        </is>
      </c>
    </row>
    <row r="467">
      <c r="A467" s="8" t="inlineStr">
        <is>
          <t>プリウスα</t>
        </is>
      </c>
      <c r="B467" s="8" t="n">
        <v>2013</v>
      </c>
      <c r="C467" s="8" t="inlineStr">
        <is>
          <t>40系</t>
        </is>
      </c>
      <c r="D467" s="11" t="n">
        <v>550000</v>
      </c>
      <c r="E467" s="8" t="n">
        <v>16</v>
      </c>
      <c r="F467" s="11" t="n">
        <v>164323</v>
      </c>
      <c r="G467" s="8" t="inlineStr">
        <is>
          <t>REAL_MILEAGE</t>
        </is>
      </c>
      <c r="H467" s="8" t="n"/>
      <c r="I467" s="11" t="n">
        <v>0</v>
      </c>
      <c r="J467" s="8" t="inlineStr">
        <is>
          <t>2026-03-03T20:23:34+09:00</t>
        </is>
      </c>
      <c r="K467" s="14" t="inlineStr">
        <is>
          <t>トヨタプリウスα Gツーリングセレクション 7人乗り 純正ナビ バックカメラ ETC ドラレコ 純正アルミホイール クルコン パノラマルーフ付</t>
        </is>
      </c>
      <c r="L467" s="8" t="inlineStr">
        <is>
          <t>https://page.auctions.yahoo.co.jp/jp/auction/n1220419236</t>
        </is>
      </c>
    </row>
    <row r="468">
      <c r="A468" s="13" t="inlineStr">
        <is>
          <t>プリウスα</t>
        </is>
      </c>
      <c r="B468" s="13" t="n">
        <v>2012</v>
      </c>
      <c r="C468" s="13" t="inlineStr">
        <is>
          <t>40系</t>
        </is>
      </c>
      <c r="D468" s="15" t="n">
        <v>492000</v>
      </c>
      <c r="E468" s="13" t="n">
        <v>72</v>
      </c>
      <c r="F468" s="15" t="n">
        <v>103099</v>
      </c>
      <c r="G468" s="13" t="inlineStr">
        <is>
          <t>REAL_MILEAGE</t>
        </is>
      </c>
      <c r="H468" s="13" t="inlineStr">
        <is>
          <t>NONE</t>
        </is>
      </c>
      <c r="I468" s="15" t="n">
        <v>0</v>
      </c>
      <c r="J468" s="13" t="inlineStr">
        <is>
          <t>2026-07-05T21:37:27+09:00</t>
        </is>
      </c>
      <c r="K468" s="14" t="inlineStr">
        <is>
          <t>トヨタ プリウスα Gツーリングセレクション</t>
        </is>
      </c>
      <c r="L468" s="13" t="inlineStr">
        <is>
          <t>https://page.auctions.yahoo.co.jp/jp/auction/q1235185954</t>
        </is>
      </c>
    </row>
    <row r="469">
      <c r="A469" s="8" t="inlineStr">
        <is>
          <t>プリウスα</t>
        </is>
      </c>
      <c r="B469" s="8" t="n">
        <v>2012</v>
      </c>
      <c r="C469" s="8" t="inlineStr">
        <is>
          <t>40系</t>
        </is>
      </c>
      <c r="D469" s="11" t="n">
        <v>352000</v>
      </c>
      <c r="E469" s="8" t="n">
        <v>129</v>
      </c>
      <c r="F469" s="11" t="n">
        <v>155020</v>
      </c>
      <c r="G469" s="8" t="inlineStr">
        <is>
          <t>REAL_MILEAGE</t>
        </is>
      </c>
      <c r="H469" s="8" t="inlineStr">
        <is>
          <t>NONE</t>
        </is>
      </c>
      <c r="I469" s="11" t="n">
        <v>13220</v>
      </c>
      <c r="J469" s="8" t="inlineStr">
        <is>
          <t>2026-07-04T21:36:10+09:00</t>
        </is>
      </c>
      <c r="K469" s="14" t="inlineStr">
        <is>
          <t>トヨタ プリウスα、グレード: Sツーリングセレクション、平成24年3月、走行距離:155020KM、自走可能</t>
        </is>
      </c>
      <c r="L469" s="8" t="inlineStr">
        <is>
          <t>https://page.auctions.yahoo.co.jp/jp/auction/d1235445504</t>
        </is>
      </c>
    </row>
    <row r="470">
      <c r="A470" s="13" t="inlineStr">
        <is>
          <t>プリウスα</t>
        </is>
      </c>
      <c r="B470" s="13" t="n">
        <v>2012</v>
      </c>
      <c r="C470" s="13" t="inlineStr">
        <is>
          <t>40系</t>
        </is>
      </c>
      <c r="D470" s="15" t="n">
        <v>599000</v>
      </c>
      <c r="E470" s="13" t="n">
        <v>1</v>
      </c>
      <c r="F470" s="15" t="n">
        <v>41486</v>
      </c>
      <c r="G470" s="13" t="inlineStr">
        <is>
          <t>REAL_MILEAGE</t>
        </is>
      </c>
      <c r="H470" s="13" t="inlineStr">
        <is>
          <t>EXISTS</t>
        </is>
      </c>
      <c r="I470" s="15" t="n">
        <v>13220</v>
      </c>
      <c r="J470" s="13" t="inlineStr">
        <is>
          <t>2026-06-27T12:34:33+09:00</t>
        </is>
      </c>
      <c r="K470" s="14" t="inlineStr">
        <is>
          <t>陸送50%OFF■カーズ大阪●車検2年付●プリウスα銀G●4万キロ●プッシュスタート●ナビ●3F4644</t>
        </is>
      </c>
      <c r="L470" s="13" t="inlineStr">
        <is>
          <t>https://page.auctions.yahoo.co.jp/jp/auction/f1234866254</t>
        </is>
      </c>
    </row>
    <row r="471">
      <c r="A471" s="8" t="inlineStr">
        <is>
          <t>プリウスα</t>
        </is>
      </c>
      <c r="B471" s="8" t="n">
        <v>2012</v>
      </c>
      <c r="C471" s="8" t="inlineStr">
        <is>
          <t>40系</t>
        </is>
      </c>
      <c r="D471" s="11" t="n">
        <v>568000</v>
      </c>
      <c r="E471" s="8" t="n">
        <v>2</v>
      </c>
      <c r="F471" s="11" t="n">
        <v>90700</v>
      </c>
      <c r="G471" s="8" t="inlineStr">
        <is>
          <t>REAL_MILEAGE</t>
        </is>
      </c>
      <c r="H471" s="8" t="inlineStr">
        <is>
          <t>EXISTS</t>
        </is>
      </c>
      <c r="I471" s="11" t="n">
        <v>47120</v>
      </c>
      <c r="J471" s="8" t="inlineStr">
        <is>
          <t>2026-06-24T10:31:58+09:00</t>
        </is>
      </c>
      <c r="K471" s="14" t="inlineStr">
        <is>
          <t>☆24年プリウスα・S☆車検9年8月☆乗り出し総額61.8万円☆実走行9万km☆スマートキー☆ドラレコ☆純正ナビ☆TV☆Bluetooth☆バックカメラ</t>
        </is>
      </c>
      <c r="L471" s="8" t="inlineStr">
        <is>
          <t>https://page.auctions.yahoo.co.jp/jp/auction/w1234424532</t>
        </is>
      </c>
    </row>
    <row r="472">
      <c r="A472" s="13" t="inlineStr">
        <is>
          <t>プリウスα</t>
        </is>
      </c>
      <c r="B472" s="13" t="n">
        <v>2012</v>
      </c>
      <c r="C472" s="13" t="inlineStr">
        <is>
          <t>40系</t>
        </is>
      </c>
      <c r="D472" s="15" t="n">
        <v>536000</v>
      </c>
      <c r="E472" s="13" t="n">
        <v>2</v>
      </c>
      <c r="F472" s="15" t="n">
        <v>96200</v>
      </c>
      <c r="G472" s="13" t="inlineStr">
        <is>
          <t>REAL_MILEAGE</t>
        </is>
      </c>
      <c r="H472" s="13" t="n"/>
      <c r="I472" s="15" t="n">
        <v>13120</v>
      </c>
      <c r="J472" s="13" t="inlineStr">
        <is>
          <t>2026-06-14T22:50:07+09:00</t>
        </is>
      </c>
      <c r="K472" s="14" t="inlineStr">
        <is>
          <t>プリウスα パノラマルーフ車検２年別途月割自動車税</t>
        </is>
      </c>
      <c r="L472" s="13" t="inlineStr">
        <is>
          <t>https://page.auctions.yahoo.co.jp/jp/auction/o1233068953</t>
        </is>
      </c>
    </row>
    <row r="473">
      <c r="A473" s="8" t="inlineStr">
        <is>
          <t>プリウスα</t>
        </is>
      </c>
      <c r="B473" s="8" t="n">
        <v>2012</v>
      </c>
      <c r="C473" s="8" t="inlineStr">
        <is>
          <t>40系</t>
        </is>
      </c>
      <c r="D473" s="11" t="n">
        <v>563000</v>
      </c>
      <c r="E473" s="8" t="n">
        <v>6</v>
      </c>
      <c r="F473" s="11" t="n">
        <v>119000</v>
      </c>
      <c r="G473" s="8" t="inlineStr">
        <is>
          <t>REAL_MILEAGE</t>
        </is>
      </c>
      <c r="H473" s="8" t="inlineStr">
        <is>
          <t>NONE</t>
        </is>
      </c>
      <c r="I473" s="11" t="n">
        <v>0</v>
      </c>
      <c r="J473" s="8" t="inlineStr">
        <is>
          <t>2026-06-11T20:45:51+09:00</t>
        </is>
      </c>
      <c r="K473" s="14" t="inlineStr">
        <is>
          <t>検9年11月　ZVW41W プリウスα Sツーリング　モデリスタ　全国陸送　8インチナビ　クルコン　ブラック　202 大阪　豊中　高槻　現車確認</t>
        </is>
      </c>
      <c r="L473" s="8" t="inlineStr">
        <is>
          <t>https://page.auctions.yahoo.co.jp/jp/auction/r1231560054</t>
        </is>
      </c>
    </row>
    <row r="474">
      <c r="A474" s="13" t="inlineStr">
        <is>
          <t>プリウスα</t>
        </is>
      </c>
      <c r="B474" s="13" t="n">
        <v>2012</v>
      </c>
      <c r="C474" s="13" t="inlineStr">
        <is>
          <t>40系</t>
        </is>
      </c>
      <c r="D474" s="15" t="n">
        <v>251000</v>
      </c>
      <c r="E474" s="13" t="n">
        <v>13</v>
      </c>
      <c r="F474" s="15" t="n">
        <v>95000</v>
      </c>
      <c r="G474" s="13" t="inlineStr">
        <is>
          <t>REAL_MILEAGE</t>
        </is>
      </c>
      <c r="H474" s="13" t="inlineStr">
        <is>
          <t>EXISTS</t>
        </is>
      </c>
      <c r="I474" s="15" t="n">
        <v>0</v>
      </c>
      <c r="J474" s="13" t="inlineStr">
        <is>
          <t>2026-06-11T12:19:36+09:00</t>
        </is>
      </c>
      <c r="K474" s="14" t="inlineStr">
        <is>
          <t>トヨタ プリウスα Sツーリングセレクション 9万km 現状車 ハイブリッド ZVW41W</t>
        </is>
      </c>
      <c r="L474" s="13" t="inlineStr">
        <is>
          <t>https://page.auctions.yahoo.co.jp/jp/auction/m1232771252</t>
        </is>
      </c>
    </row>
    <row r="475">
      <c r="A475" s="8" t="inlineStr">
        <is>
          <t>プリウスα</t>
        </is>
      </c>
      <c r="B475" s="8" t="n">
        <v>2012</v>
      </c>
      <c r="C475" s="8" t="inlineStr">
        <is>
          <t>40系</t>
        </is>
      </c>
      <c r="D475" s="11" t="n">
        <v>341000</v>
      </c>
      <c r="E475" s="8" t="n">
        <v>85</v>
      </c>
      <c r="F475" s="11" t="n">
        <v>211538</v>
      </c>
      <c r="G475" s="8" t="inlineStr">
        <is>
          <t>REAL_MILEAGE</t>
        </is>
      </c>
      <c r="H475" s="8" t="n"/>
      <c r="I475" s="11" t="n">
        <v>0</v>
      </c>
      <c r="J475" s="8" t="inlineStr">
        <is>
          <t>2026-06-04T21:25:25+09:00</t>
        </is>
      </c>
      <c r="K475" s="14" t="inlineStr">
        <is>
          <t>大人気のプリウスα！24年式距離の割には状態も良く調子良いです！取消し無しの完全売切りです！車検も長く本年度の自動車税込みです！</t>
        </is>
      </c>
      <c r="L475" s="8" t="inlineStr">
        <is>
          <t>https://page.auctions.yahoo.co.jp/jp/auction/p1231884408</t>
        </is>
      </c>
    </row>
    <row r="476">
      <c r="A476" s="13" t="inlineStr">
        <is>
          <t>プリウスα</t>
        </is>
      </c>
      <c r="B476" s="13" t="n">
        <v>2012</v>
      </c>
      <c r="C476" s="13" t="inlineStr">
        <is>
          <t>40系</t>
        </is>
      </c>
      <c r="D476" s="15" t="n">
        <v>558000</v>
      </c>
      <c r="E476" s="13" t="n">
        <v>1</v>
      </c>
      <c r="F476" s="15" t="n">
        <v>109200</v>
      </c>
      <c r="G476" s="13" t="inlineStr">
        <is>
          <t>REAL_MILEAGE</t>
        </is>
      </c>
      <c r="H476" s="13" t="inlineStr">
        <is>
          <t>EXISTS</t>
        </is>
      </c>
      <c r="I476" s="15" t="n">
        <v>0</v>
      </c>
      <c r="J476" s="13" t="inlineStr">
        <is>
          <t>2026-05-17T20:00:33+09:00</t>
        </is>
      </c>
      <c r="K476" s="14" t="inlineStr">
        <is>
          <t>☆24年プリウスα・S☆車検10年2月☆乗り出し総額61.2万円☆純正ナビ☆地デジTV☆バックカメラ☆Bluetooth☆LEDライト☆スマートキー×2☆</t>
        </is>
      </c>
      <c r="L476" s="13" t="inlineStr">
        <is>
          <t>https://page.auctions.yahoo.co.jp/jp/auction/t1224518213</t>
        </is>
      </c>
    </row>
    <row r="477">
      <c r="A477" s="8" t="inlineStr">
        <is>
          <t>プリウスα</t>
        </is>
      </c>
      <c r="B477" s="8" t="n">
        <v>2012</v>
      </c>
      <c r="C477" s="8" t="inlineStr">
        <is>
          <t>40系</t>
        </is>
      </c>
      <c r="D477" s="11" t="n">
        <v>598000</v>
      </c>
      <c r="E477" s="8" t="n">
        <v>56</v>
      </c>
      <c r="F477" s="11" t="n">
        <v>10000</v>
      </c>
      <c r="G477" s="8" t="inlineStr">
        <is>
          <t>REAL_MILEAGE</t>
        </is>
      </c>
      <c r="H477" s="8" t="inlineStr">
        <is>
          <t>NONE</t>
        </is>
      </c>
      <c r="I477" s="11" t="n">
        <v>0</v>
      </c>
      <c r="J477" s="8" t="inlineStr">
        <is>
          <t>2026-05-10T20:19:13+09:00</t>
        </is>
      </c>
      <c r="K477" s="14" t="inlineStr">
        <is>
          <t>プリウスα ZVW40W 平成24年 Gグレード パールホワイト 車検2年付 美車 走行14.4万km</t>
        </is>
      </c>
      <c r="L477" s="8" t="inlineStr">
        <is>
          <t>https://page.auctions.yahoo.co.jp/jp/auction/b1228787827</t>
        </is>
      </c>
    </row>
    <row r="478">
      <c r="A478" s="13" t="inlineStr">
        <is>
          <t>プリウスα</t>
        </is>
      </c>
      <c r="B478" s="13" t="n">
        <v>2012</v>
      </c>
      <c r="C478" s="13" t="inlineStr">
        <is>
          <t>40系</t>
        </is>
      </c>
      <c r="D478" s="15" t="n">
        <v>598000</v>
      </c>
      <c r="E478" s="13" t="n">
        <v>1</v>
      </c>
      <c r="F478" s="15" t="n">
        <v>94000</v>
      </c>
      <c r="G478" s="13" t="inlineStr">
        <is>
          <t>REAL_MILEAGE</t>
        </is>
      </c>
      <c r="H478" s="13" t="inlineStr">
        <is>
          <t>NONE</t>
        </is>
      </c>
      <c r="I478" s="15" t="n">
        <v>0</v>
      </c>
      <c r="J478" s="13" t="inlineStr">
        <is>
          <t>2026-04-12T15:55:45+09:00</t>
        </is>
      </c>
      <c r="K478" s="14" t="inlineStr">
        <is>
          <t>☆24年プリウスα・S Lセレクション☆AA評価4点☆乗り出し総額68.8万円☆実走行9.4万km☆純正ナビ☆TV☆バックカメラ☆Bluetooth☆ETC☆</t>
        </is>
      </c>
      <c r="L478" s="13" t="inlineStr">
        <is>
          <t>https://page.auctions.yahoo.co.jp/jp/auction/c1225103793</t>
        </is>
      </c>
    </row>
    <row r="479">
      <c r="A479" s="8" t="inlineStr">
        <is>
          <t>プリウスα</t>
        </is>
      </c>
      <c r="B479" s="8" t="n">
        <v>2012</v>
      </c>
      <c r="C479" s="8" t="inlineStr">
        <is>
          <t>40系</t>
        </is>
      </c>
      <c r="D479" s="11" t="n">
        <v>578000</v>
      </c>
      <c r="E479" s="8" t="n">
        <v>1</v>
      </c>
      <c r="F479" s="11" t="n">
        <v>101000</v>
      </c>
      <c r="G479" s="8" t="inlineStr">
        <is>
          <t>REAL_MILEAGE</t>
        </is>
      </c>
      <c r="H479" s="8" t="inlineStr">
        <is>
          <t>NONE</t>
        </is>
      </c>
      <c r="I479" s="11" t="n">
        <v>0</v>
      </c>
      <c r="J479" s="8" t="inlineStr">
        <is>
          <t>2026-03-30T13:11:16+09:00</t>
        </is>
      </c>
      <c r="K479" s="14" t="inlineStr">
        <is>
          <t>☆24年プリウスα・S☆無事故☆乗り出し総額66.8万円☆純正ナビ☆TV☆Bluetooth☆ドラレコ☆純正アルミ☆ステアリングスイッチ☆ETC☆</t>
        </is>
      </c>
      <c r="L479" s="8" t="inlineStr">
        <is>
          <t>https://page.auctions.yahoo.co.jp/jp/auction/p1223689621</t>
        </is>
      </c>
    </row>
    <row r="480">
      <c r="A480" s="13" t="inlineStr">
        <is>
          <t>プリウスα</t>
        </is>
      </c>
      <c r="B480" s="13" t="n">
        <v>2011</v>
      </c>
      <c r="C480" s="13" t="inlineStr">
        <is>
          <t>40系</t>
        </is>
      </c>
      <c r="D480" s="15" t="n">
        <v>398000</v>
      </c>
      <c r="E480" s="13" t="n">
        <v>1</v>
      </c>
      <c r="F480" s="15" t="n">
        <v>95000</v>
      </c>
      <c r="G480" s="13" t="inlineStr">
        <is>
          <t>REAL_MILEAGE</t>
        </is>
      </c>
      <c r="H480" s="13" t="inlineStr">
        <is>
          <t>NONE</t>
        </is>
      </c>
      <c r="I480" s="15" t="n">
        <v>0</v>
      </c>
      <c r="J480" s="13" t="inlineStr">
        <is>
          <t>2026-07-30T20:23:18+09:00</t>
        </is>
      </c>
      <c r="K480" s="14" t="inlineStr">
        <is>
          <t>プリウスα 1.8 S メモリーナビ バックカメラ ETC</t>
        </is>
      </c>
      <c r="L480" s="13" t="inlineStr">
        <is>
          <t>https://page.auctions.yahoo.co.jp/jp/auction/s1238309499</t>
        </is>
      </c>
    </row>
    <row r="481">
      <c r="A481" s="8" t="inlineStr">
        <is>
          <t>プリウスα</t>
        </is>
      </c>
      <c r="B481" s="8" t="n">
        <v>2011</v>
      </c>
      <c r="C481" s="8" t="inlineStr">
        <is>
          <t>40系</t>
        </is>
      </c>
      <c r="D481" s="11" t="n">
        <v>231000</v>
      </c>
      <c r="E481" s="8" t="n">
        <v>15</v>
      </c>
      <c r="F481" s="11" t="n">
        <v>223594</v>
      </c>
      <c r="G481" s="8" t="inlineStr">
        <is>
          <t>REAL_MILEAGE</t>
        </is>
      </c>
      <c r="H481" s="8" t="inlineStr">
        <is>
          <t>EXISTS</t>
        </is>
      </c>
      <c r="I481" s="11" t="n">
        <v>72020</v>
      </c>
      <c r="J481" s="8" t="inlineStr">
        <is>
          <t>2026-07-12T02:31:18+09:00</t>
        </is>
      </c>
      <c r="K481" s="14" t="inlineStr">
        <is>
          <t>プリウスα　前期型・シルバー</t>
        </is>
      </c>
      <c r="L481" s="8" t="inlineStr">
        <is>
          <t>https://page.auctions.yahoo.co.jp/jp/auction/l1236005212</t>
        </is>
      </c>
    </row>
    <row r="482">
      <c r="A482" s="13" t="inlineStr">
        <is>
          <t>プリウスα</t>
        </is>
      </c>
      <c r="B482" s="13" t="n">
        <v>2011</v>
      </c>
      <c r="C482" s="13" t="inlineStr">
        <is>
          <t>40系</t>
        </is>
      </c>
      <c r="D482" s="15" t="n">
        <v>318000</v>
      </c>
      <c r="E482" s="13" t="n">
        <v>1</v>
      </c>
      <c r="F482" s="15" t="n">
        <v>130784</v>
      </c>
      <c r="G482" s="13" t="inlineStr">
        <is>
          <t>REAL_MILEAGE</t>
        </is>
      </c>
      <c r="H482" s="13" t="inlineStr">
        <is>
          <t>NONE</t>
        </is>
      </c>
      <c r="I482" s="15" t="n">
        <v>13220</v>
      </c>
      <c r="J482" s="13" t="inlineStr">
        <is>
          <t>2026-06-28T22:37:15+09:00</t>
        </is>
      </c>
      <c r="K482" s="14" t="inlineStr">
        <is>
          <t>陸送50%OFF■カーズ大阪●車検2年付●23年プリウスα 1.8 S ● プッシュスタート●3F4454</t>
        </is>
      </c>
      <c r="L482" s="13" t="inlineStr">
        <is>
          <t>https://page.auctions.yahoo.co.jp/jp/auction/l1235184759</t>
        </is>
      </c>
    </row>
    <row r="483">
      <c r="A483" s="8" t="inlineStr">
        <is>
          <t>プリウスα</t>
        </is>
      </c>
      <c r="B483" s="8" t="n">
        <v>2011</v>
      </c>
      <c r="C483" s="8" t="inlineStr">
        <is>
          <t>40系</t>
        </is>
      </c>
      <c r="D483" s="11" t="n">
        <v>600000</v>
      </c>
      <c r="E483" s="8" t="n">
        <v>94</v>
      </c>
      <c r="F483" s="11" t="n">
        <v>105721</v>
      </c>
      <c r="G483" s="8" t="inlineStr">
        <is>
          <t>REAL_MILEAGE</t>
        </is>
      </c>
      <c r="H483" s="8" t="inlineStr">
        <is>
          <t>NONE</t>
        </is>
      </c>
      <c r="I483" s="11" t="n">
        <v>0</v>
      </c>
      <c r="J483" s="8" t="inlineStr">
        <is>
          <t>2026-06-14T22:29:54+09:00</t>
        </is>
      </c>
      <c r="K483" s="14" t="inlineStr">
        <is>
          <t>★プリウスα★極美車★希少★出品なし★フルモデリスタ★ホイールモデリスタ★タイヤ新品交換済み★カーコーティング6/2施工★10万km★</t>
        </is>
      </c>
      <c r="L483" s="8" t="inlineStr">
        <is>
          <t>https://page.auctions.yahoo.co.jp/jp/auction/l1232127594</t>
        </is>
      </c>
    </row>
    <row r="484">
      <c r="A484" s="13" t="inlineStr">
        <is>
          <t>プリウスα</t>
        </is>
      </c>
      <c r="B484" s="13" t="n">
        <v>2011</v>
      </c>
      <c r="C484" s="13" t="inlineStr">
        <is>
          <t>40系</t>
        </is>
      </c>
      <c r="D484" s="15" t="n">
        <v>280000</v>
      </c>
      <c r="E484" s="13" t="n">
        <v>7</v>
      </c>
      <c r="F484" s="15" t="n">
        <v>196700</v>
      </c>
      <c r="G484" s="13" t="inlineStr">
        <is>
          <t>REAL_MILEAGE</t>
        </is>
      </c>
      <c r="H484" s="13" t="n"/>
      <c r="I484" s="15" t="n">
        <v>0</v>
      </c>
      <c r="J484" s="13" t="inlineStr">
        <is>
          <t>2026-06-08T12:53:30+09:00</t>
        </is>
      </c>
      <c r="K484" s="14" t="inlineStr">
        <is>
          <t xml:space="preserve">10,000〜売り切り　★車検令和8年9月迄★トヨタ　プリウスα H23年式　上級グレードSツーリング </t>
        </is>
      </c>
      <c r="L484" s="13" t="inlineStr">
        <is>
          <t>https://page.auctions.yahoo.co.jp/jp/auction/x1232659427</t>
        </is>
      </c>
    </row>
    <row r="485">
      <c r="A485" s="8" t="inlineStr">
        <is>
          <t>プリウスα</t>
        </is>
      </c>
      <c r="B485" s="8" t="n">
        <v>2011</v>
      </c>
      <c r="C485" s="8" t="inlineStr">
        <is>
          <t>40系</t>
        </is>
      </c>
      <c r="D485" s="11" t="n">
        <v>531000</v>
      </c>
      <c r="E485" s="8" t="n">
        <v>117</v>
      </c>
      <c r="F485" s="11" t="n">
        <v>76300</v>
      </c>
      <c r="G485" s="8" t="inlineStr">
        <is>
          <t>REAL_MILEAGE</t>
        </is>
      </c>
      <c r="H485" s="8" t="inlineStr">
        <is>
          <t>NONE</t>
        </is>
      </c>
      <c r="I485" s="11" t="n">
        <v>0</v>
      </c>
      <c r="J485" s="8" t="inlineStr">
        <is>
          <t>2026-06-07T22:49:26+09:00</t>
        </is>
      </c>
      <c r="K485" s="14" t="inlineStr">
        <is>
          <t>個人出品【埼玉県川口市から】プリウスα　走行距離76,300キロ</t>
        </is>
      </c>
      <c r="L485" s="8" t="inlineStr">
        <is>
          <t>https://page.auctions.yahoo.co.jp/jp/auction/r1231516847</t>
        </is>
      </c>
    </row>
    <row r="486">
      <c r="A486" s="13" t="inlineStr">
        <is>
          <t>プリウスα</t>
        </is>
      </c>
      <c r="B486" s="13" t="n">
        <v>2011</v>
      </c>
      <c r="C486" s="13" t="inlineStr">
        <is>
          <t>40系</t>
        </is>
      </c>
      <c r="D486" s="15" t="n">
        <v>800000</v>
      </c>
      <c r="E486" s="13" t="n">
        <v>1</v>
      </c>
      <c r="F486" s="15" t="n">
        <v>68000</v>
      </c>
      <c r="G486" s="13" t="inlineStr">
        <is>
          <t>REAL_MILEAGE</t>
        </is>
      </c>
      <c r="H486" s="13" t="inlineStr">
        <is>
          <t>NONE</t>
        </is>
      </c>
      <c r="I486" s="15" t="n">
        <v>0</v>
      </c>
      <c r="J486" s="13" t="inlineStr">
        <is>
          <t>2026-05-29T04:39:21+09:00</t>
        </is>
      </c>
      <c r="K486" s="14" t="inlineStr">
        <is>
          <t>★修復無！人気ブラック！H23年！プリウスα 上級【G】LEDライト！クルコン！Pスタート！ドラレコ！社外SDナビ！Bluetooth接続！ETC！★</t>
        </is>
      </c>
      <c r="L486" s="13" t="inlineStr">
        <is>
          <t>https://page.auctions.yahoo.co.jp/jp/auction/v1226285399</t>
        </is>
      </c>
    </row>
    <row r="487">
      <c r="A487" s="8" t="inlineStr">
        <is>
          <t>プリウスα</t>
        </is>
      </c>
      <c r="B487" s="8" t="n">
        <v>2011</v>
      </c>
      <c r="C487" s="8" t="inlineStr">
        <is>
          <t>40系</t>
        </is>
      </c>
      <c r="D487" s="11" t="n">
        <v>291000</v>
      </c>
      <c r="E487" s="8" t="n">
        <v>45</v>
      </c>
      <c r="F487" s="11" t="n">
        <v>159780</v>
      </c>
      <c r="G487" s="8" t="inlineStr">
        <is>
          <t>REAL_MILEAGE</t>
        </is>
      </c>
      <c r="H487" s="8" t="inlineStr">
        <is>
          <t>EXISTS</t>
        </is>
      </c>
      <c r="I487" s="11" t="n">
        <v>0</v>
      </c>
      <c r="J487" s="8" t="inlineStr">
        <is>
          <t>2026-05-21T00:06:11+09:00</t>
        </is>
      </c>
      <c r="K487" s="14" t="inlineStr">
        <is>
          <t>プリウスα S 個人出品 ディーラーメンテナンス車 2オーナー 屋根付車庫で保管 禁煙車 補機BT新品 機関良好</t>
        </is>
      </c>
      <c r="L487" s="8" t="inlineStr">
        <is>
          <t>https://page.auctions.yahoo.co.jp/jp/auction/m1229685915</t>
        </is>
      </c>
    </row>
    <row r="488">
      <c r="A488" s="13" t="inlineStr">
        <is>
          <t>プリウスα</t>
        </is>
      </c>
      <c r="B488" s="13" t="n">
        <v>2011</v>
      </c>
      <c r="C488" s="13" t="inlineStr">
        <is>
          <t>40系</t>
        </is>
      </c>
      <c r="D488" s="15" t="n">
        <v>551000</v>
      </c>
      <c r="E488" s="13" t="n">
        <v>53</v>
      </c>
      <c r="F488" s="15" t="n">
        <v>89600</v>
      </c>
      <c r="G488" s="13" t="inlineStr">
        <is>
          <t>REAL_MILEAGE</t>
        </is>
      </c>
      <c r="H488" s="13" t="inlineStr">
        <is>
          <t>NONE</t>
        </is>
      </c>
      <c r="I488" s="15" t="n">
        <v>0</v>
      </c>
      <c r="J488" s="13" t="inlineStr">
        <is>
          <t>2026-03-30T20:59:48+09:00</t>
        </is>
      </c>
      <c r="K488" s="14" t="inlineStr">
        <is>
          <t>綺麗 距離浅 プリウスα S 8万キロ代 車検付</t>
        </is>
      </c>
      <c r="L488" s="13" t="inlineStr">
        <is>
          <t>https://page.auctions.yahoo.co.jp/jp/auction/q1224048479</t>
        </is>
      </c>
    </row>
    <row r="489">
      <c r="A489" s="8" t="inlineStr">
        <is>
          <t>プリウスα</t>
        </is>
      </c>
      <c r="B489" s="8" t="n">
        <v>2011</v>
      </c>
      <c r="C489" s="8" t="inlineStr">
        <is>
          <t>40系</t>
        </is>
      </c>
      <c r="D489" s="11" t="n">
        <v>530000</v>
      </c>
      <c r="E489" s="8" t="n">
        <v>2</v>
      </c>
      <c r="F489" s="11" t="n">
        <v>148423</v>
      </c>
      <c r="G489" s="8" t="inlineStr">
        <is>
          <t>REAL_MILEAGE</t>
        </is>
      </c>
      <c r="H489" s="8" t="inlineStr">
        <is>
          <t>NONE</t>
        </is>
      </c>
      <c r="I489" s="11" t="n">
        <v>0</v>
      </c>
      <c r="J489" s="8" t="inlineStr">
        <is>
          <t>2026-03-14T18:16:41+09:00</t>
        </is>
      </c>
      <c r="K489" s="14" t="inlineStr">
        <is>
          <t>★プリウスα アルファ 最上級 Gツーリングセレクション パノラマルーフ付 禁煙車 車検残有 現車確認可 ETC 純正HDDナビ ドラレコ パール白</t>
        </is>
      </c>
      <c r="L489" s="8" t="inlineStr">
        <is>
          <t>https://page.auctions.yahoo.co.jp/jp/auction/b1222553680</t>
        </is>
      </c>
    </row>
    <row r="490">
      <c r="A490" s="13" t="inlineStr">
        <is>
          <t>プリウスα</t>
        </is>
      </c>
      <c r="B490" s="13" t="n">
        <v>2011</v>
      </c>
      <c r="C490" s="13" t="inlineStr">
        <is>
          <t>40系</t>
        </is>
      </c>
      <c r="D490" s="15" t="n">
        <v>600000</v>
      </c>
      <c r="E490" s="13" t="n">
        <v>1</v>
      </c>
      <c r="F490" s="15" t="n">
        <v>101300</v>
      </c>
      <c r="G490" s="13" t="inlineStr">
        <is>
          <t>REAL_MILEAGE</t>
        </is>
      </c>
      <c r="H490" s="13" t="n"/>
      <c r="I490" s="15" t="n">
        <v>0</v>
      </c>
      <c r="J490" s="13" t="inlineStr">
        <is>
          <t>2026-03-08T20:16:48+09:00</t>
        </is>
      </c>
      <c r="K490" s="14" t="inlineStr">
        <is>
          <t>トヨタ プリウスα　後期仕様　Sグレード</t>
        </is>
      </c>
      <c r="L490" s="13" t="inlineStr">
        <is>
          <t>https://page.auctions.yahoo.co.jp/jp/auction/k1220523047</t>
        </is>
      </c>
    </row>
    <row r="491">
      <c r="A491" s="8" t="inlineStr">
        <is>
          <t>プリウスα</t>
        </is>
      </c>
      <c r="B491" s="8" t="n"/>
      <c r="C491" s="8" t="inlineStr"/>
      <c r="D491" s="11" t="n">
        <v>457000</v>
      </c>
      <c r="E491" s="8" t="n">
        <v>1</v>
      </c>
      <c r="F491" s="11" t="n"/>
      <c r="G491" s="8" t="n"/>
      <c r="H491" s="8" t="n"/>
      <c r="I491" s="11" t="n"/>
      <c r="J491" s="8" t="inlineStr">
        <is>
          <t>2026-08-05T20:44:40+09:00</t>
        </is>
      </c>
      <c r="K491" s="14" t="inlineStr">
        <is>
          <t>H26年式*プリウスアルファ*検10/8迄*HID*スマートキー*純正ナビ*Bカメラ*BTオーディオ*DTV*DVD*CD*ETC*社外AW*110727</t>
        </is>
      </c>
      <c r="L491" s="8" t="inlineStr">
        <is>
          <t>https://page.auctions.yahoo.co.jp/jp/auction/w1239251027</t>
        </is>
      </c>
    </row>
    <row r="492">
      <c r="A492" s="13" t="inlineStr">
        <is>
          <t>プリウスα</t>
        </is>
      </c>
      <c r="B492" s="13" t="n"/>
      <c r="C492" s="13" t="inlineStr"/>
      <c r="D492" s="15" t="n">
        <v>498000</v>
      </c>
      <c r="E492" s="13" t="n">
        <v>2</v>
      </c>
      <c r="F492" s="15" t="n"/>
      <c r="G492" s="13" t="n"/>
      <c r="H492" s="13" t="n"/>
      <c r="I492" s="15" t="n"/>
      <c r="J492" s="13" t="inlineStr">
        <is>
          <t>2026-08-04T22:13:16+09:00</t>
        </is>
      </c>
      <c r="K492" s="14" t="inlineStr">
        <is>
          <t>程度良好★車検R9年8月★プリウスアルファS★17inアルミ/アルパイン8インチナビ地デジ/走行中TV視聴OK/ETC★機関快調/内外装そうじ済み綺麗</t>
        </is>
      </c>
      <c r="L492" s="13" t="inlineStr">
        <is>
          <t>https://page.auctions.yahoo.co.jp/jp/auction/w1238898490</t>
        </is>
      </c>
    </row>
    <row r="493">
      <c r="A493" s="8" t="inlineStr">
        <is>
          <t>プリウスα</t>
        </is>
      </c>
      <c r="B493" s="8" t="n"/>
      <c r="C493" s="8" t="inlineStr"/>
      <c r="D493" s="11" t="n">
        <v>501000</v>
      </c>
      <c r="E493" s="8" t="n">
        <v>4</v>
      </c>
      <c r="F493" s="11" t="n"/>
      <c r="G493" s="8" t="n"/>
      <c r="H493" s="8" t="n"/>
      <c r="I493" s="11" t="n"/>
      <c r="J493" s="8" t="inlineStr">
        <is>
          <t>2026-07-22T22:14:55+09:00</t>
        </is>
      </c>
      <c r="K493" s="14" t="inlineStr">
        <is>
          <t>程度良好★車検R9年8月★プリウスアルファS★17inアルミ/アルパイン8インチナビ地デジ/走行中TV視聴OK/ETC★機関快調/内外装そうじ済み綺麗</t>
        </is>
      </c>
      <c r="L493" s="8" t="inlineStr">
        <is>
          <t>https://page.auctions.yahoo.co.jp/jp/auction/w1235801200</t>
        </is>
      </c>
    </row>
    <row r="494">
      <c r="A494" s="13" t="inlineStr">
        <is>
          <t>プリウスα</t>
        </is>
      </c>
      <c r="B494" s="13" t="n"/>
      <c r="C494" s="13" t="inlineStr"/>
      <c r="D494" s="15" t="n">
        <v>650000</v>
      </c>
      <c r="E494" s="13" t="n">
        <v>1</v>
      </c>
      <c r="F494" s="15" t="n"/>
      <c r="G494" s="13" t="n"/>
      <c r="H494" s="13" t="n"/>
      <c r="I494" s="15" t="n"/>
      <c r="J494" s="13" t="inlineStr">
        <is>
          <t>2026-07-18T04:05:43+09:00</t>
        </is>
      </c>
      <c r="K494" s="14" t="inlineStr">
        <is>
          <t>プリウスアルファ　αハイブリッド　Sツーリング　車検令10/4 車高調　修復歴無板金補修無　予備ハイブリッドバッテリー付き</t>
        </is>
      </c>
      <c r="L494" s="13" t="inlineStr">
        <is>
          <t>https://page.auctions.yahoo.co.jp/jp/auction/d1235824536</t>
        </is>
      </c>
    </row>
    <row r="495">
      <c r="A495" s="8" t="inlineStr">
        <is>
          <t>プリウスα</t>
        </is>
      </c>
      <c r="B495" s="8" t="n"/>
      <c r="C495" s="8" t="inlineStr"/>
      <c r="D495" s="11" t="n">
        <v>580000</v>
      </c>
      <c r="E495" s="8" t="n">
        <v>28</v>
      </c>
      <c r="F495" s="11" t="n"/>
      <c r="G495" s="8" t="n"/>
      <c r="H495" s="8" t="n"/>
      <c r="I495" s="11" t="n"/>
      <c r="J495" s="8" t="inlineStr">
        <is>
          <t>2026-07-03T16:25:36+09:00</t>
        </is>
      </c>
      <c r="K495" s="14" t="inlineStr">
        <is>
          <t>H26 プリウスアルファ　Sチューンブラック　モデリスタフルエアロ　検R8/11 135000km 実走行、修復歴無し　18インチアルミホイール</t>
        </is>
      </c>
      <c r="L495" s="8" t="inlineStr">
        <is>
          <t>https://page.auctions.yahoo.co.jp/jp/auction/r1235552557</t>
        </is>
      </c>
    </row>
    <row r="496">
      <c r="A496" s="13" t="inlineStr">
        <is>
          <t>プリウスα</t>
        </is>
      </c>
      <c r="B496" s="13" t="n"/>
      <c r="C496" s="13" t="inlineStr"/>
      <c r="D496" s="15" t="n">
        <v>409000</v>
      </c>
      <c r="E496" s="13" t="n">
        <v>84</v>
      </c>
      <c r="F496" s="15" t="n"/>
      <c r="G496" s="13" t="n"/>
      <c r="H496" s="13" t="n"/>
      <c r="I496" s="15" t="n"/>
      <c r="J496" s="13" t="inlineStr">
        <is>
          <t>2026-06-29T21:35:16+09:00</t>
        </is>
      </c>
      <c r="K496" s="14" t="inlineStr">
        <is>
          <t>★プリウスアルファ★純正ナビ★バックカメラ★地デジTV★ビルトインETC★DVDビデオ★純正アルミ★</t>
        </is>
      </c>
      <c r="L496" s="13" t="inlineStr">
        <is>
          <t>https://page.auctions.yahoo.co.jp/jp/auction/m1234611519</t>
        </is>
      </c>
    </row>
    <row r="497">
      <c r="A497" s="8" t="inlineStr">
        <is>
          <t>プリウスα</t>
        </is>
      </c>
      <c r="B497" s="8" t="n"/>
      <c r="C497" s="8" t="inlineStr"/>
      <c r="D497" s="11" t="n">
        <v>609000</v>
      </c>
      <c r="E497" s="8" t="n">
        <v>87</v>
      </c>
      <c r="F497" s="11" t="n"/>
      <c r="G497" s="8" t="n"/>
      <c r="H497" s="8" t="n"/>
      <c r="I497" s="11" t="n"/>
      <c r="J497" s="8" t="inlineStr">
        <is>
          <t>2026-05-29T21:10:18+09:00</t>
        </is>
      </c>
      <c r="K497" s="14" t="inlineStr">
        <is>
          <t>★7人乗りプリウスアルファ★車検令10年05月19日★クルーズコントロール★ナビ★バックカメラ★地デジTV★ETC★DVDビデオ★純正アルミ★</t>
        </is>
      </c>
      <c r="L497" s="8" t="inlineStr">
        <is>
          <t>https://page.auctions.yahoo.co.jp/jp/auction/o1230923728</t>
        </is>
      </c>
    </row>
    <row r="498">
      <c r="A498" s="13" t="inlineStr">
        <is>
          <t>プリウスα</t>
        </is>
      </c>
      <c r="B498" s="13" t="n"/>
      <c r="C498" s="13" t="inlineStr"/>
      <c r="D498" s="15" t="n">
        <v>567000</v>
      </c>
      <c r="E498" s="13" t="n">
        <v>21</v>
      </c>
      <c r="F498" s="15" t="n"/>
      <c r="G498" s="13" t="n"/>
      <c r="H498" s="13" t="n"/>
      <c r="I498" s="15" t="n"/>
      <c r="J498" s="13" t="inlineStr">
        <is>
          <t>2026-05-24T20:06:43+09:00</t>
        </is>
      </c>
      <c r="K498" s="14" t="inlineStr">
        <is>
          <t xml:space="preserve">プリウスアルファ　燃費。機関良好　内外綺麗　禁煙　超断熱ガラス　アルパイン大型ナビ　始動バッテリー新品　リフトアップ　</t>
        </is>
      </c>
      <c r="L498" s="13" t="inlineStr">
        <is>
          <t>https://page.auctions.yahoo.co.jp/jp/auction/b1229679785</t>
        </is>
      </c>
    </row>
    <row r="499">
      <c r="A499" s="8" t="inlineStr">
        <is>
          <t>プリウスα</t>
        </is>
      </c>
      <c r="B499" s="8" t="n"/>
      <c r="C499" s="8" t="inlineStr"/>
      <c r="D499" s="11" t="n">
        <v>550000</v>
      </c>
      <c r="E499" s="8" t="n">
        <v>1</v>
      </c>
      <c r="F499" s="11" t="n"/>
      <c r="G499" s="8" t="n"/>
      <c r="H499" s="8" t="n"/>
      <c r="I499" s="11" t="n"/>
      <c r="J499" s="8" t="inlineStr">
        <is>
          <t>2026-05-12T09:13:13+09:00</t>
        </is>
      </c>
      <c r="K499" s="14" t="inlineStr">
        <is>
          <t>売切★車検R9年3月★世の中ガソリン高騰（涙）そこでプリウスアルファ★ストラーダHDDナビ地デジ（走行中TV視聴OK）/Bカメラ★快調/掃除済</t>
        </is>
      </c>
      <c r="L499" s="8" t="inlineStr">
        <is>
          <t>https://page.auctions.yahoo.co.jp/jp/auction/m1228595150</t>
        </is>
      </c>
    </row>
    <row r="500">
      <c r="A500" s="13" t="inlineStr">
        <is>
          <t>プリウスα</t>
        </is>
      </c>
      <c r="B500" s="13" t="n"/>
      <c r="C500" s="13" t="inlineStr"/>
      <c r="D500" s="15" t="n">
        <v>461000</v>
      </c>
      <c r="E500" s="13" t="n">
        <v>116</v>
      </c>
      <c r="F500" s="15" t="n"/>
      <c r="G500" s="13" t="n"/>
      <c r="H500" s="13" t="n"/>
      <c r="I500" s="15" t="n"/>
      <c r="J500" s="13" t="inlineStr">
        <is>
          <t>2026-04-29T21:05:06+09:00</t>
        </is>
      </c>
      <c r="K500" s="14" t="inlineStr">
        <is>
          <t>★プリウスアルファ★車検令10年4月22日まで付いています★LEDヘッドライト★ナビ★Ｂカメラ★TV★ビルトインETC★DVDビデオ★社外アルミ★</t>
        </is>
      </c>
      <c r="L500" s="13" t="inlineStr">
        <is>
          <t>https://page.auctions.yahoo.co.jp/jp/auction/p1227569974</t>
        </is>
      </c>
    </row>
    <row r="501">
      <c r="A501" s="8" t="inlineStr">
        <is>
          <t>プリウスα</t>
        </is>
      </c>
      <c r="B501" s="8" t="n"/>
      <c r="C501" s="8" t="inlineStr"/>
      <c r="D501" s="11" t="n">
        <v>393000</v>
      </c>
      <c r="E501" s="8" t="n">
        <v>35</v>
      </c>
      <c r="F501" s="11" t="n"/>
      <c r="G501" s="8" t="n"/>
      <c r="H501" s="8" t="n"/>
      <c r="I501" s="11" t="n"/>
      <c r="J501" s="8" t="inlineStr">
        <is>
          <t>2026-04-29T20:36:48+09:00</t>
        </is>
      </c>
      <c r="K501" s="14" t="inlineStr">
        <is>
          <t>プリウスα　S Lセレクション　法人ワンオーナー　愛知　車検令和9年3月　売り切り！</t>
        </is>
      </c>
      <c r="L501" s="8" t="inlineStr">
        <is>
          <t>https://page.auctions.yahoo.co.jp/jp/auction/d1227091307</t>
        </is>
      </c>
    </row>
    <row r="502">
      <c r="A502" s="13" t="inlineStr">
        <is>
          <t>プリウスα</t>
        </is>
      </c>
      <c r="B502" s="13" t="n"/>
      <c r="C502" s="13" t="inlineStr"/>
      <c r="D502" s="15" t="n">
        <v>1004000</v>
      </c>
      <c r="E502" s="13" t="n">
        <v>28</v>
      </c>
      <c r="F502" s="15" t="n"/>
      <c r="G502" s="13" t="n"/>
      <c r="H502" s="13" t="n"/>
      <c r="I502" s="15" t="n"/>
      <c r="J502" s="13" t="inlineStr">
        <is>
          <t>2026-04-25T19:42:56+09:00</t>
        </is>
      </c>
      <c r="K502" s="14" t="inlineStr">
        <is>
          <t>愛知県発 プリウスa後期上級グレードG zvw41w平成27年車950登録済み</t>
        </is>
      </c>
      <c r="L502" s="13" t="inlineStr">
        <is>
          <t>https://page.auctions.yahoo.co.jp/jp/auction/q1227344678</t>
        </is>
      </c>
    </row>
    <row r="503">
      <c r="A503" s="8" t="inlineStr">
        <is>
          <t>プリウスα</t>
        </is>
      </c>
      <c r="B503" s="8" t="n"/>
      <c r="C503" s="8" t="inlineStr"/>
      <c r="D503" s="11" t="n">
        <v>399000</v>
      </c>
      <c r="E503" s="8" t="n">
        <v>1</v>
      </c>
      <c r="F503" s="11" t="n"/>
      <c r="G503" s="8" t="n"/>
      <c r="H503" s="8" t="n"/>
      <c r="I503" s="11" t="n"/>
      <c r="J503" s="8" t="inlineStr">
        <is>
          <t>2026-04-18T17:48:31+09:00</t>
        </is>
      </c>
      <c r="K503" s="14" t="inlineStr">
        <is>
          <t>★プリウスアルファ★車検令10年04月09日まで付いています★純正ナビ★バックカメラ★地デジTV★ETC★ドライブレコーダー★社外アルミ★</t>
        </is>
      </c>
      <c r="L503" s="8" t="inlineStr">
        <is>
          <t>https://page.auctions.yahoo.co.jp/jp/auction/p1226924718</t>
        </is>
      </c>
    </row>
    <row r="504">
      <c r="A504" s="13" t="inlineStr">
        <is>
          <t>プリウスα</t>
        </is>
      </c>
      <c r="B504" s="13" t="n"/>
      <c r="C504" s="13" t="inlineStr"/>
      <c r="D504" s="15" t="n">
        <v>451000</v>
      </c>
      <c r="E504" s="13" t="n">
        <v>34</v>
      </c>
      <c r="F504" s="15" t="n"/>
      <c r="G504" s="13" t="n"/>
      <c r="H504" s="13" t="n"/>
      <c r="I504" s="15" t="n"/>
      <c r="J504" s="13" t="inlineStr">
        <is>
          <t>2026-04-10T21:42:26+09:00</t>
        </is>
      </c>
      <c r="K504" s="14" t="inlineStr">
        <is>
          <t xml:space="preserve">トヨタプリウス@ Ｓ　ツーリングセレクション 年式25年　車検満タン　走行距離11万キロ　ナビ、バックカメラ、ETC </t>
        </is>
      </c>
      <c r="L504" s="13" t="inlineStr">
        <is>
          <t>https://page.auctions.yahoo.co.jp/jp/auction/f1225418000</t>
        </is>
      </c>
    </row>
    <row r="505">
      <c r="A505" s="8" t="inlineStr">
        <is>
          <t>プリウスα</t>
        </is>
      </c>
      <c r="B505" s="8" t="n"/>
      <c r="C505" s="8" t="inlineStr"/>
      <c r="D505" s="11" t="n">
        <v>557000</v>
      </c>
      <c r="E505" s="8" t="n">
        <v>162</v>
      </c>
      <c r="F505" s="11" t="n"/>
      <c r="G505" s="8" t="n"/>
      <c r="H505" s="8" t="n"/>
      <c r="I505" s="11" t="n"/>
      <c r="J505" s="8" t="inlineStr">
        <is>
          <t>2026-03-25T21:05:08+09:00</t>
        </is>
      </c>
      <c r="K505" s="14" t="inlineStr">
        <is>
          <t>★25年式プリウスアルファ★車検令10年3月17日まで付いています★純正ナビ★B/カメラ★地デジTV★ETC★ドライブレコーダー★純正アルミ★</t>
        </is>
      </c>
      <c r="L505" s="8" t="inlineStr">
        <is>
          <t>https://page.auctions.yahoo.co.jp/jp/auction/n1223537904</t>
        </is>
      </c>
    </row>
    <row r="506">
      <c r="A506" s="13" t="inlineStr">
        <is>
          <t>プリウスα</t>
        </is>
      </c>
      <c r="B506" s="13" t="n"/>
      <c r="C506" s="13" t="inlineStr"/>
      <c r="D506" s="15" t="n">
        <v>798000</v>
      </c>
      <c r="E506" s="13" t="n">
        <v>165</v>
      </c>
      <c r="F506" s="15" t="n"/>
      <c r="G506" s="13" t="n"/>
      <c r="H506" s="13" t="n"/>
      <c r="I506" s="15" t="n"/>
      <c r="J506" s="13" t="inlineStr">
        <is>
          <t>2026-03-08T21:41:35+09:00</t>
        </is>
      </c>
      <c r="K506" s="14" t="inlineStr">
        <is>
          <t>平成２７年８月　プリウスα 後期モデル　ガンメタ　S ナビ　ETC バックカメラ　美車　車検R８年９月　ナンバー付き　即乗り</t>
        </is>
      </c>
      <c r="L506" s="13" t="inlineStr">
        <is>
          <t>https://page.auctions.yahoo.co.jp/jp/auction/g1221370453</t>
        </is>
      </c>
    </row>
    <row r="507">
      <c r="A507" s="8" t="inlineStr">
        <is>
          <t>ヴェルファイア</t>
        </is>
      </c>
      <c r="B507" s="8" t="n">
        <v>2023</v>
      </c>
      <c r="C507" s="8" t="inlineStr">
        <is>
          <t>40系</t>
        </is>
      </c>
      <c r="D507" s="11" t="n">
        <v>5990000</v>
      </c>
      <c r="E507" s="8" t="n">
        <v>1</v>
      </c>
      <c r="F507" s="11" t="n">
        <v>27000</v>
      </c>
      <c r="G507" s="8" t="inlineStr">
        <is>
          <t>REAL_MILEAGE</t>
        </is>
      </c>
      <c r="H507" s="8" t="inlineStr">
        <is>
          <t>NONE</t>
        </is>
      </c>
      <c r="I507" s="11" t="n">
        <v>0</v>
      </c>
      <c r="J507" s="8" t="inlineStr">
        <is>
          <t>2026-04-09T21:57:57+09:00</t>
        </is>
      </c>
      <c r="K507" s="14" t="inlineStr">
        <is>
          <t>ヴェルファイア ハイブリッド 2.5 Zプレミア トヨタセーフティセンス　サンルーフ</t>
        </is>
      </c>
      <c r="L507" s="8" t="inlineStr">
        <is>
          <t>https://page.auctions.yahoo.co.jp/jp/auction/1224877622</t>
        </is>
      </c>
    </row>
    <row r="508">
      <c r="A508" s="13" t="inlineStr">
        <is>
          <t>ヴェルファイア</t>
        </is>
      </c>
      <c r="B508" s="13" t="n">
        <v>2022</v>
      </c>
      <c r="C508" s="13" t="inlineStr">
        <is>
          <t>30系後期</t>
        </is>
      </c>
      <c r="D508" s="15" t="n">
        <v>2653000</v>
      </c>
      <c r="E508" s="13" t="n">
        <v>201</v>
      </c>
      <c r="F508" s="15" t="n">
        <v>78908</v>
      </c>
      <c r="G508" s="13" t="inlineStr">
        <is>
          <t>REAL_MILEAGE</t>
        </is>
      </c>
      <c r="H508" s="13" t="n"/>
      <c r="I508" s="15" t="n">
        <v>18470</v>
      </c>
      <c r="J508" s="13" t="inlineStr">
        <is>
          <t>2026-07-20T21:28:22+09:00</t>
        </is>
      </c>
      <c r="K508" s="14" t="inlineStr">
        <is>
          <t>個人出品 令和4年12月 トヨタ ヴェルファイア ゴールデンアイズ3 フルモデリスタエアロ 両側パワースライドドア ETC カープレイ ドラレコ</t>
        </is>
      </c>
      <c r="L508" s="13" t="inlineStr">
        <is>
          <t>https://page.auctions.yahoo.co.jp/jp/auction/b1237490900</t>
        </is>
      </c>
    </row>
    <row r="509">
      <c r="A509" s="8" t="inlineStr">
        <is>
          <t>ヴェルファイア</t>
        </is>
      </c>
      <c r="B509" s="8" t="n">
        <v>2019</v>
      </c>
      <c r="C509" s="8" t="inlineStr">
        <is>
          <t>30系後期</t>
        </is>
      </c>
      <c r="D509" s="11" t="n">
        <v>2383000</v>
      </c>
      <c r="E509" s="8" t="n">
        <v>6</v>
      </c>
      <c r="F509" s="11" t="n">
        <v>103000</v>
      </c>
      <c r="G509" s="8" t="inlineStr">
        <is>
          <t>REAL_MILEAGE</t>
        </is>
      </c>
      <c r="H509" s="8" t="inlineStr">
        <is>
          <t>NONE</t>
        </is>
      </c>
      <c r="I509" s="11" t="n">
        <v>0</v>
      </c>
      <c r="J509" s="8" t="inlineStr">
        <is>
          <t>2026-07-11T20:52:22+09:00</t>
        </is>
      </c>
      <c r="K509" s="14" t="inlineStr">
        <is>
          <t xml:space="preserve">トヨタ　ヴェルファイア　2.5Z Gエディション　ワンオーナー　</t>
        </is>
      </c>
      <c r="L509" s="8" t="inlineStr">
        <is>
          <t>https://page.auctions.yahoo.co.jp/jp/auction/h1235202790</t>
        </is>
      </c>
    </row>
    <row r="510">
      <c r="A510" s="13" t="inlineStr">
        <is>
          <t>ヴェルファイア</t>
        </is>
      </c>
      <c r="B510" s="13" t="n">
        <v>2018</v>
      </c>
      <c r="C510" s="13" t="inlineStr">
        <is>
          <t>30系後期</t>
        </is>
      </c>
      <c r="D510" s="15" t="n">
        <v>4480000</v>
      </c>
      <c r="E510" s="13" t="n">
        <v>1</v>
      </c>
      <c r="F510" s="15" t="n">
        <v>43000</v>
      </c>
      <c r="G510" s="13" t="inlineStr">
        <is>
          <t>REAL_MILEAGE</t>
        </is>
      </c>
      <c r="H510" s="13" t="inlineStr">
        <is>
          <t>NONE</t>
        </is>
      </c>
      <c r="I510" s="15" t="n">
        <v>0</v>
      </c>
      <c r="J510" s="13" t="inlineStr">
        <is>
          <t>2026-08-09T21:21:38+09:00</t>
        </is>
      </c>
      <c r="K510" s="14" t="inlineStr">
        <is>
          <t>ヴェルファイア 3.5 エグゼクティブラウンジ Z モデリスタフルエアロ　マフラー</t>
        </is>
      </c>
      <c r="L510" s="13" t="inlineStr">
        <is>
          <t>https://page.auctions.yahoo.co.jp/jp/auction/j1239966931</t>
        </is>
      </c>
    </row>
    <row r="511">
      <c r="A511" s="8" t="inlineStr">
        <is>
          <t>ヴェルファイア</t>
        </is>
      </c>
      <c r="B511" s="8" t="n">
        <v>2018</v>
      </c>
      <c r="C511" s="8" t="inlineStr">
        <is>
          <t>30系後期</t>
        </is>
      </c>
      <c r="D511" s="11" t="n">
        <v>1530000</v>
      </c>
      <c r="E511" s="8" t="n">
        <v>27</v>
      </c>
      <c r="F511" s="11" t="n">
        <v>89200</v>
      </c>
      <c r="G511" s="8" t="inlineStr">
        <is>
          <t>REAL_MILEAGE</t>
        </is>
      </c>
      <c r="H511" s="8" t="inlineStr">
        <is>
          <t>NONE</t>
        </is>
      </c>
      <c r="I511" s="11" t="n">
        <v>49550</v>
      </c>
      <c r="J511" s="8" t="inlineStr">
        <is>
          <t>2026-08-05T19:55:49+09:00</t>
        </is>
      </c>
      <c r="K511" s="14" t="inlineStr">
        <is>
          <t>トヨタヴェルファイア 2.5Z A エディション 車検令和9年6月 走行距離89,200km 修復歴なし</t>
        </is>
      </c>
      <c r="L511" s="8" t="inlineStr">
        <is>
          <t>https://page.auctions.yahoo.co.jp/jp/auction/m1237973932</t>
        </is>
      </c>
    </row>
    <row r="512">
      <c r="A512" s="13" t="inlineStr">
        <is>
          <t>ヴェルファイア</t>
        </is>
      </c>
      <c r="B512" s="13" t="n">
        <v>2017</v>
      </c>
      <c r="C512" s="13" t="inlineStr">
        <is>
          <t>30系前期</t>
        </is>
      </c>
      <c r="D512" s="15" t="n">
        <v>1996000</v>
      </c>
      <c r="E512" s="13" t="n">
        <v>1</v>
      </c>
      <c r="F512" s="15" t="n">
        <v>106863</v>
      </c>
      <c r="G512" s="13" t="inlineStr">
        <is>
          <t>REAL_MILEAGE</t>
        </is>
      </c>
      <c r="H512" s="13" t="inlineStr">
        <is>
          <t>NONE</t>
        </is>
      </c>
      <c r="I512" s="15" t="n">
        <v>0</v>
      </c>
      <c r="J512" s="13" t="inlineStr">
        <is>
          <t>2026-06-08T23:37:43+09:00</t>
        </is>
      </c>
      <c r="K512" s="14" t="inlineStr">
        <is>
          <t>【諸費用コミ】:平成29年 ヴェルファイア 2.5Z-G エグゼクティブシート リアモニ 禁煙</t>
        </is>
      </c>
      <c r="L512" s="13" t="inlineStr">
        <is>
          <t>https://page.auctions.yahoo.co.jp/jp/auction/c1231992550</t>
        </is>
      </c>
    </row>
    <row r="513">
      <c r="A513" s="8" t="inlineStr">
        <is>
          <t>ヴェルファイア</t>
        </is>
      </c>
      <c r="B513" s="8" t="n">
        <v>2016</v>
      </c>
      <c r="C513" s="8" t="inlineStr">
        <is>
          <t>30系前期</t>
        </is>
      </c>
      <c r="D513" s="11" t="n">
        <v>1450000</v>
      </c>
      <c r="E513" s="8" t="n">
        <v>1</v>
      </c>
      <c r="F513" s="11" t="n">
        <v>189000</v>
      </c>
      <c r="G513" s="8" t="inlineStr">
        <is>
          <t>REAL_MILEAGE</t>
        </is>
      </c>
      <c r="H513" s="8" t="inlineStr">
        <is>
          <t>NONE</t>
        </is>
      </c>
      <c r="I513" s="11" t="n">
        <v>53620</v>
      </c>
      <c r="J513" s="8" t="inlineStr">
        <is>
          <t>2026-08-03T05:41:48+09:00</t>
        </is>
      </c>
      <c r="K513" s="14" t="inlineStr">
        <is>
          <t>綺麗 ヴェルファイア Z モデリスタ 車検付</t>
        </is>
      </c>
      <c r="L513" s="8" t="inlineStr">
        <is>
          <t>https://page.auctions.yahoo.co.jp/jp/auction/x1238895406</t>
        </is>
      </c>
    </row>
    <row r="514">
      <c r="A514" s="13" t="inlineStr">
        <is>
          <t>ヴェルファイア</t>
        </is>
      </c>
      <c r="B514" s="13" t="n">
        <v>2016</v>
      </c>
      <c r="C514" s="13" t="inlineStr">
        <is>
          <t>30系前期</t>
        </is>
      </c>
      <c r="D514" s="15" t="n">
        <v>1351000</v>
      </c>
      <c r="E514" s="13" t="n">
        <v>149</v>
      </c>
      <c r="F514" s="15" t="n">
        <v>139000</v>
      </c>
      <c r="G514" s="13" t="inlineStr">
        <is>
          <t>REAL_MILEAGE</t>
        </is>
      </c>
      <c r="H514" s="13" t="inlineStr">
        <is>
          <t>NONE</t>
        </is>
      </c>
      <c r="I514" s="15" t="n">
        <v>16550</v>
      </c>
      <c r="J514" s="13" t="inlineStr">
        <is>
          <t>2026-07-17T20:20:22+09:00</t>
        </is>
      </c>
      <c r="K514" s="14" t="inlineStr">
        <is>
          <t xml:space="preserve">トヨタ　ヴェルファイア　内外装キレイ　4WD 両側パワースライドドア　アルパインナビ　フリップダウンモニター　社外ホイール　ETC2.0 </t>
        </is>
      </c>
      <c r="L514" s="13" t="inlineStr">
        <is>
          <t>https://page.auctions.yahoo.co.jp/jp/auction/e1236219615</t>
        </is>
      </c>
    </row>
    <row r="515">
      <c r="A515" s="8" t="inlineStr">
        <is>
          <t>ヴェルファイア</t>
        </is>
      </c>
      <c r="B515" s="8" t="n">
        <v>2016</v>
      </c>
      <c r="C515" s="8" t="inlineStr">
        <is>
          <t>30系前期</t>
        </is>
      </c>
      <c r="D515" s="11" t="n">
        <v>1001000</v>
      </c>
      <c r="E515" s="8" t="n">
        <v>100</v>
      </c>
      <c r="F515" s="11" t="n">
        <v>150000</v>
      </c>
      <c r="G515" s="8" t="inlineStr">
        <is>
          <t>REAL_MILEAGE</t>
        </is>
      </c>
      <c r="H515" s="8" t="n"/>
      <c r="I515" s="11" t="n">
        <v>0</v>
      </c>
      <c r="J515" s="8" t="inlineStr">
        <is>
          <t>2026-06-30T22:02:53+09:00</t>
        </is>
      </c>
      <c r="K515" s="14" t="inlineStr">
        <is>
          <t>トヨタ ヴェルファイア 2.5Z 自走可能 書類あり AGH30W</t>
        </is>
      </c>
      <c r="L515" s="8" t="inlineStr">
        <is>
          <t>https://page.auctions.yahoo.co.jp/jp/auction/o1234981005</t>
        </is>
      </c>
    </row>
    <row r="516">
      <c r="A516" s="13" t="inlineStr">
        <is>
          <t>ヴェルファイア</t>
        </is>
      </c>
      <c r="B516" s="13" t="n">
        <v>2016</v>
      </c>
      <c r="C516" s="13" t="inlineStr">
        <is>
          <t>30系前期</t>
        </is>
      </c>
      <c r="D516" s="15" t="n">
        <v>999000</v>
      </c>
      <c r="E516" s="13" t="n">
        <v>84</v>
      </c>
      <c r="F516" s="15" t="n">
        <v>150000</v>
      </c>
      <c r="G516" s="13" t="inlineStr">
        <is>
          <t>REAL_MILEAGE</t>
        </is>
      </c>
      <c r="H516" s="13" t="inlineStr">
        <is>
          <t>NONE</t>
        </is>
      </c>
      <c r="I516" s="15" t="n">
        <v>0</v>
      </c>
      <c r="J516" s="13" t="inlineStr">
        <is>
          <t>2026-06-17T22:17:09+09:00</t>
        </is>
      </c>
      <c r="K516" s="14" t="inlineStr">
        <is>
          <t>トヨタ ヴェルファイア 2.5Z 自走可能 書類あり AGH30W</t>
        </is>
      </c>
      <c r="L516" s="13" t="inlineStr">
        <is>
          <t>https://page.auctions.yahoo.co.jp/jp/auction/u1233448173</t>
        </is>
      </c>
    </row>
    <row r="517">
      <c r="A517" s="8" t="inlineStr">
        <is>
          <t>ヴェルファイア</t>
        </is>
      </c>
      <c r="B517" s="8" t="n">
        <v>2016</v>
      </c>
      <c r="C517" s="8" t="inlineStr">
        <is>
          <t>30系前期</t>
        </is>
      </c>
      <c r="D517" s="11" t="n">
        <v>1950000</v>
      </c>
      <c r="E517" s="8" t="n">
        <v>2</v>
      </c>
      <c r="F517" s="11" t="n">
        <v>112060</v>
      </c>
      <c r="G517" s="8" t="inlineStr">
        <is>
          <t>REAL_MILEAGE</t>
        </is>
      </c>
      <c r="H517" s="8" t="inlineStr">
        <is>
          <t>NONE</t>
        </is>
      </c>
      <c r="I517" s="11" t="n">
        <v>0</v>
      </c>
      <c r="J517" s="8" t="inlineStr">
        <is>
          <t>2026-06-06T14:01:21+09:00</t>
        </is>
      </c>
      <c r="K517" s="14" t="inlineStr">
        <is>
          <t>返金保証付:【愛知県弥富市】厳選中古車 平成28年 トヨタ ヴェルファイア 2.5 Z Gエディション BT/TV/バ</t>
        </is>
      </c>
      <c r="L517" s="8" t="inlineStr">
        <is>
          <t>https://page.auctions.yahoo.co.jp/jp/auction/r1232358464</t>
        </is>
      </c>
    </row>
    <row r="518">
      <c r="A518" s="13" t="inlineStr">
        <is>
          <t>ヴェルファイア</t>
        </is>
      </c>
      <c r="B518" s="13" t="n">
        <v>2016</v>
      </c>
      <c r="C518" s="13" t="inlineStr">
        <is>
          <t>30系前期</t>
        </is>
      </c>
      <c r="D518" s="15" t="n">
        <v>1522000</v>
      </c>
      <c r="E518" s="13" t="n">
        <v>1</v>
      </c>
      <c r="F518" s="15" t="n">
        <v>113000</v>
      </c>
      <c r="G518" s="13" t="inlineStr">
        <is>
          <t>REAL_MILEAGE</t>
        </is>
      </c>
      <c r="H518" s="13" t="inlineStr">
        <is>
          <t>EXISTS</t>
        </is>
      </c>
      <c r="I518" s="15" t="n">
        <v>0</v>
      </c>
      <c r="J518" s="13" t="inlineStr">
        <is>
          <t>2026-05-01T17:51:14+09:00</t>
        </is>
      </c>
      <c r="K518" s="14" t="inlineStr">
        <is>
          <t>ヴェルファイア 2.5 Z Gエディション 純正9インチナビ　フルセグTV</t>
        </is>
      </c>
      <c r="L518" s="13" t="inlineStr">
        <is>
          <t>https://page.auctions.yahoo.co.jp/jp/auction/x1227485105</t>
        </is>
      </c>
    </row>
    <row r="519">
      <c r="A519" s="8" t="inlineStr">
        <is>
          <t>ヴェルファイア</t>
        </is>
      </c>
      <c r="B519" s="8" t="n">
        <v>2016</v>
      </c>
      <c r="C519" s="8" t="inlineStr">
        <is>
          <t>30系前期</t>
        </is>
      </c>
      <c r="D519" s="11" t="n">
        <v>1503000</v>
      </c>
      <c r="E519" s="8" t="n">
        <v>226</v>
      </c>
      <c r="F519" s="11" t="n">
        <v>292000</v>
      </c>
      <c r="G519" s="8" t="inlineStr">
        <is>
          <t>REAL_MILEAGE</t>
        </is>
      </c>
      <c r="H519" s="8" t="inlineStr">
        <is>
          <t>NONE</t>
        </is>
      </c>
      <c r="I519" s="11" t="n">
        <v>0</v>
      </c>
      <c r="J519" s="8" t="inlineStr">
        <is>
          <t>2026-04-13T20:51:02+09:00</t>
        </is>
      </c>
      <c r="K519" s="14" t="inlineStr">
        <is>
          <t>車検長！トヨタヴェルファイアハイブリッド ZR 4WD</t>
        </is>
      </c>
      <c r="L519" s="8" t="inlineStr">
        <is>
          <t>https://page.auctions.yahoo.co.jp/jp/auction/n1226090787</t>
        </is>
      </c>
    </row>
    <row r="520">
      <c r="A520" s="13" t="inlineStr">
        <is>
          <t>ヴェルファイア</t>
        </is>
      </c>
      <c r="B520" s="13" t="n">
        <v>2016</v>
      </c>
      <c r="C520" s="13" t="inlineStr">
        <is>
          <t>30系前期</t>
        </is>
      </c>
      <c r="D520" s="15" t="n">
        <v>1580000</v>
      </c>
      <c r="E520" s="13" t="n">
        <v>1</v>
      </c>
      <c r="F520" s="15" t="n">
        <v>113000</v>
      </c>
      <c r="G520" s="13" t="inlineStr">
        <is>
          <t>REAL_MILEAGE</t>
        </is>
      </c>
      <c r="H520" s="13" t="inlineStr">
        <is>
          <t>EXISTS</t>
        </is>
      </c>
      <c r="I520" s="15" t="n">
        <v>0</v>
      </c>
      <c r="J520" s="13" t="inlineStr">
        <is>
          <t>2026-03-23T13:34:14+09:00</t>
        </is>
      </c>
      <c r="K520" s="14" t="inlineStr">
        <is>
          <t>ヴェルファイア 2.5 Z Gエディション 純正9インチナビ　フルセグTV</t>
        </is>
      </c>
      <c r="L520" s="13" t="inlineStr">
        <is>
          <t>https://page.auctions.yahoo.co.jp/jp/auction/r1223635228</t>
        </is>
      </c>
    </row>
    <row r="521">
      <c r="A521" s="8" t="inlineStr">
        <is>
          <t>ヴェルファイア</t>
        </is>
      </c>
      <c r="B521" s="8" t="n">
        <v>2016</v>
      </c>
      <c r="C521" s="8" t="inlineStr">
        <is>
          <t>30系前期</t>
        </is>
      </c>
      <c r="D521" s="11" t="n">
        <v>1450000</v>
      </c>
      <c r="E521" s="8" t="n">
        <v>1</v>
      </c>
      <c r="F521" s="11" t="n">
        <v>35000</v>
      </c>
      <c r="G521" s="8" t="inlineStr">
        <is>
          <t>REAL_MILEAGE</t>
        </is>
      </c>
      <c r="H521" s="8" t="inlineStr">
        <is>
          <t>EXISTS</t>
        </is>
      </c>
      <c r="I521" s="11" t="n">
        <v>0</v>
      </c>
      <c r="J521" s="8" t="inlineStr">
        <is>
          <t>2026-03-01T20:52:56+09:00</t>
        </is>
      </c>
      <c r="K521" s="14" t="inlineStr">
        <is>
          <t>ヴェルファイア 2.5 V 純正ナビ　フルセグTV</t>
        </is>
      </c>
      <c r="L521" s="8" t="inlineStr">
        <is>
          <t>https://page.auctions.yahoo.co.jp/jp/auction/s1221276927</t>
        </is>
      </c>
    </row>
    <row r="522">
      <c r="A522" s="13" t="inlineStr">
        <is>
          <t>ヴェルファイア</t>
        </is>
      </c>
      <c r="B522" s="13" t="n">
        <v>2015</v>
      </c>
      <c r="C522" s="13" t="inlineStr">
        <is>
          <t>30系前期</t>
        </is>
      </c>
      <c r="D522" s="15" t="n">
        <v>861000</v>
      </c>
      <c r="E522" s="13" t="n">
        <v>45</v>
      </c>
      <c r="F522" s="15" t="n">
        <v>177500</v>
      </c>
      <c r="G522" s="13" t="inlineStr">
        <is>
          <t>REAL_MILEAGE</t>
        </is>
      </c>
      <c r="H522" s="13" t="n"/>
      <c r="I522" s="15" t="n">
        <v>18120</v>
      </c>
      <c r="J522" s="13" t="inlineStr">
        <is>
          <t>2026-08-05T21:37:35+09:00</t>
        </is>
      </c>
      <c r="K522" s="14" t="inlineStr">
        <is>
          <t>トヨタ ヴェルファイア 2.5Z AGH30W 自走可能・書類付き</t>
        </is>
      </c>
      <c r="L522" s="13" t="inlineStr">
        <is>
          <t>https://page.auctions.yahoo.co.jp/jp/auction/j1239249627</t>
        </is>
      </c>
    </row>
    <row r="523">
      <c r="A523" s="8" t="inlineStr">
        <is>
          <t>ヴェルファイア</t>
        </is>
      </c>
      <c r="B523" s="8" t="n">
        <v>2015</v>
      </c>
      <c r="C523" s="8" t="inlineStr">
        <is>
          <t>30系前期</t>
        </is>
      </c>
      <c r="D523" s="11" t="n">
        <v>1750000</v>
      </c>
      <c r="E523" s="8" t="n">
        <v>1</v>
      </c>
      <c r="F523" s="11" t="n">
        <v>203000</v>
      </c>
      <c r="G523" s="8" t="inlineStr">
        <is>
          <t>REAL_MILEAGE</t>
        </is>
      </c>
      <c r="H523" s="8" t="inlineStr">
        <is>
          <t>NONE</t>
        </is>
      </c>
      <c r="I523" s="11" t="n">
        <v>0</v>
      </c>
      <c r="J523" s="8" t="inlineStr">
        <is>
          <t>2026-08-05T07:05:09+09:00</t>
        </is>
      </c>
      <c r="K523" s="14" t="inlineStr">
        <is>
          <t>トヨタ ヴェルファイア ハイブリッド　ZR Gエディション　車検令和１０年５月まで</t>
        </is>
      </c>
      <c r="L523" s="8" t="inlineStr">
        <is>
          <t>https://page.auctions.yahoo.co.jp/jp/auction/m1235850404</t>
        </is>
      </c>
    </row>
    <row r="524">
      <c r="A524" s="13" t="inlineStr">
        <is>
          <t>ヴェルファイア</t>
        </is>
      </c>
      <c r="B524" s="13" t="n">
        <v>2015</v>
      </c>
      <c r="C524" s="13" t="inlineStr">
        <is>
          <t>30系前期</t>
        </is>
      </c>
      <c r="D524" s="15" t="n">
        <v>1480000</v>
      </c>
      <c r="E524" s="13" t="n">
        <v>1</v>
      </c>
      <c r="F524" s="15" t="n">
        <v>170838</v>
      </c>
      <c r="G524" s="13" t="inlineStr">
        <is>
          <t>REAL_MILEAGE</t>
        </is>
      </c>
      <c r="H524" s="13" t="inlineStr">
        <is>
          <t>NONE</t>
        </is>
      </c>
      <c r="I524" s="15" t="n">
        <v>0</v>
      </c>
      <c r="J524" s="13" t="inlineStr">
        <is>
          <t>2026-07-30T09:16:42+09:00</t>
        </is>
      </c>
      <c r="K524" s="14" t="inlineStr">
        <is>
          <t>人気の平成27年式、4WDヴェルファイア、7人乗りリクライニングシート！JBL、360度カメラ、後部座席モニター、車検付きで全部コミコミ料金！</t>
        </is>
      </c>
      <c r="L524" s="13" t="inlineStr">
        <is>
          <t>https://page.auctions.yahoo.co.jp/jp/auction/k1236201835</t>
        </is>
      </c>
    </row>
    <row r="525">
      <c r="A525" s="8" t="inlineStr">
        <is>
          <t>ヴェルファイア</t>
        </is>
      </c>
      <c r="B525" s="8" t="n">
        <v>2015</v>
      </c>
      <c r="C525" s="8" t="inlineStr">
        <is>
          <t>30系前期</t>
        </is>
      </c>
      <c r="D525" s="11" t="n">
        <v>1478000</v>
      </c>
      <c r="E525" s="8" t="n">
        <v>1</v>
      </c>
      <c r="F525" s="11" t="n">
        <v>150000</v>
      </c>
      <c r="G525" s="8" t="inlineStr">
        <is>
          <t>REAL_MILEAGE</t>
        </is>
      </c>
      <c r="H525" s="8" t="inlineStr">
        <is>
          <t>NONE</t>
        </is>
      </c>
      <c r="I525" s="11" t="n">
        <v>0</v>
      </c>
      <c r="J525" s="8" t="inlineStr">
        <is>
          <t>2026-07-30T08:02:26+09:00</t>
        </is>
      </c>
      <c r="K525" s="14" t="inlineStr">
        <is>
          <t>ヴェルファイア 3.5 ZA 4WD</t>
        </is>
      </c>
      <c r="L525" s="8" t="inlineStr">
        <is>
          <t>https://page.auctions.yahoo.co.jp/jp/auction/1231252393</t>
        </is>
      </c>
    </row>
    <row r="526">
      <c r="A526" s="13" t="inlineStr">
        <is>
          <t>ヴェルファイア</t>
        </is>
      </c>
      <c r="B526" s="13" t="n">
        <v>2015</v>
      </c>
      <c r="C526" s="13" t="inlineStr">
        <is>
          <t>30系前期</t>
        </is>
      </c>
      <c r="D526" s="15" t="n">
        <v>1248000</v>
      </c>
      <c r="E526" s="13" t="n">
        <v>2</v>
      </c>
      <c r="F526" s="15" t="n">
        <v>166225</v>
      </c>
      <c r="G526" s="13" t="inlineStr">
        <is>
          <t>REAL_MILEAGE</t>
        </is>
      </c>
      <c r="H526" s="13" t="inlineStr">
        <is>
          <t>NONE</t>
        </is>
      </c>
      <c r="I526" s="15" t="n">
        <v>16550</v>
      </c>
      <c r="J526" s="13" t="inlineStr">
        <is>
          <t>2026-07-24T22:02:47+09:00</t>
        </is>
      </c>
      <c r="K526" s="14" t="inlineStr">
        <is>
          <t>☆予備検付H27ヴェルファイアVモデリスタエアロアルパイン10インチナビフリップダウンTEIN車高調レーダークルコンシートヒータードラレコ☆</t>
        </is>
      </c>
      <c r="L526" s="13" t="inlineStr">
        <is>
          <t>https://page.auctions.yahoo.co.jp/jp/auction/d1236803528</t>
        </is>
      </c>
    </row>
    <row r="527">
      <c r="A527" s="8" t="inlineStr">
        <is>
          <t>ヴェルファイア</t>
        </is>
      </c>
      <c r="B527" s="8" t="n">
        <v>2015</v>
      </c>
      <c r="C527" s="8" t="inlineStr">
        <is>
          <t>30系前期</t>
        </is>
      </c>
      <c r="D527" s="11" t="n">
        <v>2580000</v>
      </c>
      <c r="E527" s="8" t="n">
        <v>1</v>
      </c>
      <c r="F527" s="11" t="n">
        <v>74000</v>
      </c>
      <c r="G527" s="8" t="inlineStr">
        <is>
          <t>REAL_MILEAGE</t>
        </is>
      </c>
      <c r="H527" s="8" t="inlineStr">
        <is>
          <t>NONE</t>
        </is>
      </c>
      <c r="I527" s="11" t="n">
        <v>0</v>
      </c>
      <c r="J527" s="8" t="inlineStr">
        <is>
          <t>2026-07-17T18:49:41+09:00</t>
        </is>
      </c>
      <c r="K527" s="14" t="inlineStr">
        <is>
          <t>ヴェルファイア 3.5 VL LM仕様 LM350仕様 LEDヘッドライト シーケ</t>
        </is>
      </c>
      <c r="L527" s="8" t="inlineStr">
        <is>
          <t>https://page.auctions.yahoo.co.jp/jp/auction/k1235537426</t>
        </is>
      </c>
    </row>
    <row r="528">
      <c r="A528" s="13" t="inlineStr">
        <is>
          <t>ヴェルファイア</t>
        </is>
      </c>
      <c r="B528" s="13" t="n">
        <v>2015</v>
      </c>
      <c r="C528" s="13" t="inlineStr">
        <is>
          <t>30系前期</t>
        </is>
      </c>
      <c r="D528" s="15" t="n">
        <v>953000</v>
      </c>
      <c r="E528" s="13" t="n">
        <v>109</v>
      </c>
      <c r="F528" s="15" t="n">
        <v>66000</v>
      </c>
      <c r="G528" s="13" t="inlineStr">
        <is>
          <t>REAL_MILEAGE</t>
        </is>
      </c>
      <c r="H528" s="13" t="inlineStr">
        <is>
          <t>NONE</t>
        </is>
      </c>
      <c r="I528" s="15" t="n">
        <v>92930</v>
      </c>
      <c r="J528" s="13" t="inlineStr">
        <is>
          <t>2026-07-05T21:41:32+09:00</t>
        </is>
      </c>
      <c r="K528" s="14" t="inlineStr">
        <is>
          <t>H27年2月＊トヨタヴェルファイア＊ゴールドアイスii＊車検10年4月＊66000km＊ANH20W＊カードお支払いok＊</t>
        </is>
      </c>
      <c r="L528" s="13" t="inlineStr">
        <is>
          <t>https://page.auctions.yahoo.co.jp/jp/auction/p1235113400</t>
        </is>
      </c>
    </row>
    <row r="529">
      <c r="A529" s="8" t="inlineStr">
        <is>
          <t>ヴェルファイア</t>
        </is>
      </c>
      <c r="B529" s="8" t="n">
        <v>2015</v>
      </c>
      <c r="C529" s="8" t="inlineStr">
        <is>
          <t>30系前期</t>
        </is>
      </c>
      <c r="D529" s="11" t="n">
        <v>1980000</v>
      </c>
      <c r="E529" s="8" t="n">
        <v>1</v>
      </c>
      <c r="F529" s="11" t="n">
        <v>80000</v>
      </c>
      <c r="G529" s="8" t="inlineStr">
        <is>
          <t>REAL_MILEAGE</t>
        </is>
      </c>
      <c r="H529" s="8" t="inlineStr">
        <is>
          <t>EXISTS</t>
        </is>
      </c>
      <c r="I529" s="11" t="n">
        <v>0</v>
      </c>
      <c r="J529" s="8" t="inlineStr">
        <is>
          <t>2026-06-30T08:53:47+09:00</t>
        </is>
      </c>
      <c r="K529" s="14" t="inlineStr">
        <is>
          <t>ヴェルファイア 3.5 エグゼクティブラウンジ 4WD ツインムーンルーフ　本革シート</t>
        </is>
      </c>
      <c r="L529" s="8" t="inlineStr">
        <is>
          <t>https://page.auctions.yahoo.co.jp/jp/auction/x1232665310</t>
        </is>
      </c>
    </row>
    <row r="530">
      <c r="A530" s="13" t="inlineStr">
        <is>
          <t>ヴェルファイア</t>
        </is>
      </c>
      <c r="B530" s="13" t="n">
        <v>2015</v>
      </c>
      <c r="C530" s="13" t="inlineStr">
        <is>
          <t>30系前期</t>
        </is>
      </c>
      <c r="D530" s="15" t="n">
        <v>1695000</v>
      </c>
      <c r="E530" s="13" t="n">
        <v>133</v>
      </c>
      <c r="F530" s="15" t="n">
        <v>115837</v>
      </c>
      <c r="G530" s="13" t="inlineStr">
        <is>
          <t>REAL_MILEAGE</t>
        </is>
      </c>
      <c r="H530" s="13" t="n"/>
      <c r="I530" s="15" t="n">
        <v>0</v>
      </c>
      <c r="J530" s="13" t="inlineStr">
        <is>
          <t>2026-04-26T22:55:55+09:00</t>
        </is>
      </c>
      <c r="K530" s="14" t="inlineStr">
        <is>
          <t>【売り切り】ヴェルファイア　平成２７年式　車検令和８年７月７日まで　走行116,000km</t>
        </is>
      </c>
      <c r="L530" s="13" t="inlineStr">
        <is>
          <t>https://page.auctions.yahoo.co.jp/jp/auction/v1226709158</t>
        </is>
      </c>
    </row>
    <row r="531">
      <c r="A531" s="8" t="inlineStr">
        <is>
          <t>ヴェルファイア</t>
        </is>
      </c>
      <c r="B531" s="8" t="n">
        <v>2014</v>
      </c>
      <c r="C531" s="8" t="inlineStr">
        <is>
          <t>20系</t>
        </is>
      </c>
      <c r="D531" s="11" t="n">
        <v>641000</v>
      </c>
      <c r="E531" s="8" t="n">
        <v>4</v>
      </c>
      <c r="F531" s="11" t="n">
        <v>159600</v>
      </c>
      <c r="G531" s="8" t="inlineStr">
        <is>
          <t>REAL_MILEAGE</t>
        </is>
      </c>
      <c r="H531" s="8" t="inlineStr">
        <is>
          <t>NONE</t>
        </is>
      </c>
      <c r="I531" s="11" t="n">
        <v>0</v>
      </c>
      <c r="J531" s="8" t="inlineStr">
        <is>
          <t>2026-06-13T20:43:12+09:00</t>
        </is>
      </c>
      <c r="K531" s="14" t="inlineStr">
        <is>
          <t>最終型 H26 ヴェルファイア ゴールデンアイズⅡ 車検長い　エアロ　車高調　20インチアルミ　ALPINEナビ&amp;リアモニター</t>
        </is>
      </c>
      <c r="L531" s="8" t="inlineStr">
        <is>
          <t>https://page.auctions.yahoo.co.jp/jp/auction/v1231773677</t>
        </is>
      </c>
    </row>
    <row r="532">
      <c r="A532" s="13" t="inlineStr">
        <is>
          <t>ヴェルファイア</t>
        </is>
      </c>
      <c r="B532" s="13" t="n">
        <v>2014</v>
      </c>
      <c r="C532" s="13" t="inlineStr">
        <is>
          <t>20系</t>
        </is>
      </c>
      <c r="D532" s="15" t="n">
        <v>420000</v>
      </c>
      <c r="E532" s="13" t="n">
        <v>1</v>
      </c>
      <c r="F532" s="15" t="n">
        <v>161000</v>
      </c>
      <c r="G532" s="13" t="inlineStr">
        <is>
          <t>REAL_MILEAGE</t>
        </is>
      </c>
      <c r="H532" s="13" t="inlineStr">
        <is>
          <t>EXISTS</t>
        </is>
      </c>
      <c r="I532" s="15" t="n">
        <v>0</v>
      </c>
      <c r="J532" s="13" t="inlineStr">
        <is>
          <t>2026-05-23T18:54:59+09:00</t>
        </is>
      </c>
      <c r="K532" s="14" t="inlineStr">
        <is>
          <t>返金保証付:平成26年 ヴェルファイア 2.4 Z ナビ&amp;TV&amp;ETC付き</t>
        </is>
      </c>
      <c r="L532" s="13" t="inlineStr">
        <is>
          <t>https://page.auctions.yahoo.co.jp/jp/auction/k1230933463</t>
        </is>
      </c>
    </row>
    <row r="533">
      <c r="A533" s="8" t="inlineStr">
        <is>
          <t>ヴェルファイア</t>
        </is>
      </c>
      <c r="B533" s="8" t="n">
        <v>2014</v>
      </c>
      <c r="C533" s="8" t="inlineStr">
        <is>
          <t>20系</t>
        </is>
      </c>
      <c r="D533" s="11" t="n">
        <v>778000</v>
      </c>
      <c r="E533" s="8" t="n">
        <v>1</v>
      </c>
      <c r="F533" s="11" t="n">
        <v>113050</v>
      </c>
      <c r="G533" s="8" t="inlineStr">
        <is>
          <t>REAL_MILEAGE</t>
        </is>
      </c>
      <c r="H533" s="8" t="inlineStr">
        <is>
          <t>EXISTS</t>
        </is>
      </c>
      <c r="I533" s="11" t="n">
        <v>0</v>
      </c>
      <c r="J533" s="8" t="inlineStr">
        <is>
          <t>2026-04-10T22:31:53+09:00</t>
        </is>
      </c>
      <c r="K533" s="14" t="inlineStr">
        <is>
          <t>ヴェルファイア 後期 3.5ZGエディション ナビ TV Bluetooth フリップモニタ Bカメラ 両側Pスラ Pバックドア サンルーフ スマキー クルコン</t>
        </is>
      </c>
      <c r="L533" s="8" t="inlineStr">
        <is>
          <t>https://page.auctions.yahoo.co.jp/jp/auction/n1225292668</t>
        </is>
      </c>
    </row>
    <row r="534">
      <c r="A534" s="13" t="inlineStr">
        <is>
          <t>ヴェルファイア</t>
        </is>
      </c>
      <c r="B534" s="13" t="n">
        <v>2014</v>
      </c>
      <c r="C534" s="13" t="inlineStr">
        <is>
          <t>20系</t>
        </is>
      </c>
      <c r="D534" s="15" t="n">
        <v>800000</v>
      </c>
      <c r="E534" s="13" t="n">
        <v>1</v>
      </c>
      <c r="F534" s="15" t="n">
        <v>73879</v>
      </c>
      <c r="G534" s="13" t="inlineStr">
        <is>
          <t>REAL_MILEAGE</t>
        </is>
      </c>
      <c r="H534" s="13" t="inlineStr">
        <is>
          <t>NONE</t>
        </is>
      </c>
      <c r="I534" s="15" t="n">
        <v>0</v>
      </c>
      <c r="J534" s="13" t="inlineStr">
        <is>
          <t>2026-02-26T21:19:16+09:00</t>
        </is>
      </c>
      <c r="K534" s="14" t="inlineStr">
        <is>
          <t>【諸費用コミ】:★広島発★広島市★中古車★ ヴェルファイア 2.4 Z ゴールデンアイズII 73879km電動バックドア</t>
        </is>
      </c>
      <c r="L534" s="13" t="inlineStr">
        <is>
          <t>https://page.auctions.yahoo.co.jp/jp/auction/h1219308325</t>
        </is>
      </c>
    </row>
    <row r="535">
      <c r="A535" s="8" t="inlineStr">
        <is>
          <t>ヴェルファイア</t>
        </is>
      </c>
      <c r="B535" s="8" t="n">
        <v>2013</v>
      </c>
      <c r="C535" s="8" t="inlineStr">
        <is>
          <t>20系</t>
        </is>
      </c>
      <c r="D535" s="11" t="n">
        <v>429000</v>
      </c>
      <c r="E535" s="8" t="n">
        <v>1</v>
      </c>
      <c r="F535" s="11" t="n">
        <v>191800</v>
      </c>
      <c r="G535" s="8" t="inlineStr">
        <is>
          <t>REAL_MILEAGE</t>
        </is>
      </c>
      <c r="H535" s="8" t="inlineStr">
        <is>
          <t>NONE</t>
        </is>
      </c>
      <c r="I535" s="11" t="n">
        <v>65820</v>
      </c>
      <c r="J535" s="8" t="inlineStr">
        <is>
          <t>2026-08-16T22:29:44+09:00</t>
        </is>
      </c>
      <c r="K535" s="14" t="inlineStr">
        <is>
          <t xml:space="preserve">車検8年12月 25年 ヴェルファイア 4WD 3.5Z ゴールデンアイズ Ⅱ V6 「Golden Eyes」のバージョンアップ　ワンオーナー（名義変更のみ） </t>
        </is>
      </c>
      <c r="L535" s="8" t="inlineStr">
        <is>
          <t>https://page.auctions.yahoo.co.jp/jp/auction/e1239180534</t>
        </is>
      </c>
    </row>
    <row r="536">
      <c r="A536" s="13" t="inlineStr">
        <is>
          <t>ヴェルファイア</t>
        </is>
      </c>
      <c r="B536" s="13" t="n">
        <v>2013</v>
      </c>
      <c r="C536" s="13" t="inlineStr">
        <is>
          <t>20系</t>
        </is>
      </c>
      <c r="D536" s="15" t="n">
        <v>452000</v>
      </c>
      <c r="E536" s="13" t="n">
        <v>109</v>
      </c>
      <c r="F536" s="15" t="n">
        <v>160368</v>
      </c>
      <c r="G536" s="13" t="inlineStr">
        <is>
          <t>REAL_MILEAGE</t>
        </is>
      </c>
      <c r="H536" s="13" t="inlineStr">
        <is>
          <t>NONE</t>
        </is>
      </c>
      <c r="I536" s="15" t="n">
        <v>16260</v>
      </c>
      <c r="J536" s="13" t="inlineStr">
        <is>
          <t>2026-07-26T20:38:01+09:00</t>
        </is>
      </c>
      <c r="K536" s="14" t="inlineStr">
        <is>
          <t>0015【1円売り切り】ヴェルファイア　2.4Z　ゴールデンアイズ　DBA-ANH20W</t>
        </is>
      </c>
      <c r="L536" s="13" t="inlineStr">
        <is>
          <t>https://page.auctions.yahoo.co.jp/jp/auction/j1237847142</t>
        </is>
      </c>
    </row>
    <row r="537">
      <c r="A537" s="8" t="inlineStr">
        <is>
          <t>ヴェルファイア</t>
        </is>
      </c>
      <c r="B537" s="8" t="n">
        <v>2013</v>
      </c>
      <c r="C537" s="8" t="inlineStr">
        <is>
          <t>20系</t>
        </is>
      </c>
      <c r="D537" s="11" t="n">
        <v>573000</v>
      </c>
      <c r="E537" s="8" t="n">
        <v>116</v>
      </c>
      <c r="F537" s="11" t="n">
        <v>105800</v>
      </c>
      <c r="G537" s="8" t="inlineStr">
        <is>
          <t>REAL_MILEAGE</t>
        </is>
      </c>
      <c r="H537" s="8" t="inlineStr">
        <is>
          <t>NONE</t>
        </is>
      </c>
      <c r="I537" s="11" t="n">
        <v>16260</v>
      </c>
      <c r="J537" s="8" t="inlineStr">
        <is>
          <t>2026-07-21T18:38:44+09:00</t>
        </is>
      </c>
      <c r="K537" s="14" t="inlineStr">
        <is>
          <t xml:space="preserve">[上級]ヴェルファイア 2.4Z Gエディション 後期型 H25年 高グレード 新車保証書パワーシートパワートランク大型コンソール 実走行10.5万km </t>
        </is>
      </c>
      <c r="L537" s="8" t="inlineStr">
        <is>
          <t>https://page.auctions.yahoo.co.jp/jp/auction/x1235896257</t>
        </is>
      </c>
    </row>
    <row r="538">
      <c r="A538" s="13" t="inlineStr">
        <is>
          <t>ヴェルファイア</t>
        </is>
      </c>
      <c r="B538" s="13" t="n">
        <v>2013</v>
      </c>
      <c r="C538" s="13" t="inlineStr">
        <is>
          <t>20系</t>
        </is>
      </c>
      <c r="D538" s="15" t="n">
        <v>430000</v>
      </c>
      <c r="E538" s="13" t="n">
        <v>48</v>
      </c>
      <c r="F538" s="15" t="n">
        <v>117300</v>
      </c>
      <c r="G538" s="13" t="inlineStr">
        <is>
          <t>REAL_MILEAGE</t>
        </is>
      </c>
      <c r="H538" s="13" t="inlineStr">
        <is>
          <t>NONE</t>
        </is>
      </c>
      <c r="I538" s="15" t="n">
        <v>16260</v>
      </c>
      <c r="J538" s="13" t="inlineStr">
        <is>
          <t>2026-07-18T21:25:03+09:00</t>
        </is>
      </c>
      <c r="K538" s="14" t="inlineStr">
        <is>
          <t>1000円スタート　売り切り　トヨタ　ヴェルファイア20系後期 年式25年　検10年3月 19インチホイール、フルエアロ</t>
        </is>
      </c>
      <c r="L538" s="13" t="inlineStr">
        <is>
          <t>https://page.auctions.yahoo.co.jp/jp/auction/e1231877749</t>
        </is>
      </c>
    </row>
    <row r="539">
      <c r="A539" s="8" t="inlineStr">
        <is>
          <t>ヴェルファイア</t>
        </is>
      </c>
      <c r="B539" s="8" t="n">
        <v>2013</v>
      </c>
      <c r="C539" s="8" t="inlineStr">
        <is>
          <t>20系</t>
        </is>
      </c>
      <c r="D539" s="11" t="n">
        <v>321000</v>
      </c>
      <c r="E539" s="8" t="n">
        <v>68</v>
      </c>
      <c r="F539" s="11" t="n">
        <v>193400</v>
      </c>
      <c r="G539" s="8" t="inlineStr">
        <is>
          <t>REAL_MILEAGE</t>
        </is>
      </c>
      <c r="H539" s="8" t="inlineStr">
        <is>
          <t>NONE</t>
        </is>
      </c>
      <c r="I539" s="11" t="n">
        <v>25150</v>
      </c>
      <c r="J539" s="8" t="inlineStr">
        <is>
          <t>2026-07-11T21:11:29+09:00</t>
        </is>
      </c>
      <c r="K539" s="14" t="inlineStr">
        <is>
          <t>トヨタ ヴェルファイア 2.4Z ANH20W 7人乗り 自走可 車検付き</t>
        </is>
      </c>
      <c r="L539" s="8" t="inlineStr">
        <is>
          <t>https://page.auctions.yahoo.co.jp/jp/auction/p1236219750</t>
        </is>
      </c>
    </row>
    <row r="540">
      <c r="A540" s="13" t="inlineStr">
        <is>
          <t>ヴェルファイア</t>
        </is>
      </c>
      <c r="B540" s="13" t="n">
        <v>2013</v>
      </c>
      <c r="C540" s="13" t="inlineStr">
        <is>
          <t>20系</t>
        </is>
      </c>
      <c r="D540" s="15" t="n">
        <v>460000</v>
      </c>
      <c r="E540" s="13" t="n">
        <v>118</v>
      </c>
      <c r="F540" s="15" t="n">
        <v>185773</v>
      </c>
      <c r="G540" s="13" t="inlineStr">
        <is>
          <t>REAL_MILEAGE</t>
        </is>
      </c>
      <c r="H540" s="13" t="n"/>
      <c r="I540" s="15" t="n">
        <v>5870</v>
      </c>
      <c r="J540" s="13" t="inlineStr">
        <is>
          <t>2026-07-03T20:02:50+09:00</t>
        </is>
      </c>
      <c r="K540" s="14" t="inlineStr">
        <is>
          <t>トヨタ　ヴェルファイア　キャンピングカー 2</t>
        </is>
      </c>
      <c r="L540" s="13" t="inlineStr">
        <is>
          <t>https://page.auctions.yahoo.co.jp/jp/auction/d1234267893</t>
        </is>
      </c>
    </row>
    <row r="541">
      <c r="A541" s="8" t="inlineStr">
        <is>
          <t>ヴェルファイア</t>
        </is>
      </c>
      <c r="B541" s="8" t="n">
        <v>2013</v>
      </c>
      <c r="C541" s="8" t="inlineStr">
        <is>
          <t>20系</t>
        </is>
      </c>
      <c r="D541" s="11" t="n">
        <v>798000</v>
      </c>
      <c r="E541" s="8" t="n">
        <v>1</v>
      </c>
      <c r="F541" s="11" t="n">
        <v>152400</v>
      </c>
      <c r="G541" s="8" t="inlineStr">
        <is>
          <t>REAL_MILEAGE</t>
        </is>
      </c>
      <c r="H541" s="8" t="inlineStr">
        <is>
          <t>NONE</t>
        </is>
      </c>
      <c r="I541" s="11" t="n">
        <v>0</v>
      </c>
      <c r="J541" s="8" t="inlineStr">
        <is>
          <t>2026-06-11T18:31:00+09:00</t>
        </is>
      </c>
      <c r="K541" s="14" t="inlineStr">
        <is>
          <t>ヴェルファイアハイブリッド*検10/5迄*4WD*HID*両パワスラ*フリップダウン*純正ナビ*Bカメラ*DTV*BTオーディオ*ETC*30用アルミ*310311</t>
        </is>
      </c>
      <c r="L541" s="8" t="inlineStr">
        <is>
          <t>https://page.auctions.yahoo.co.jp/jp/auction/h1223339638</t>
        </is>
      </c>
    </row>
    <row r="542">
      <c r="A542" s="13" t="inlineStr">
        <is>
          <t>ヴェルファイア</t>
        </is>
      </c>
      <c r="B542" s="13" t="n">
        <v>2013</v>
      </c>
      <c r="C542" s="13" t="inlineStr">
        <is>
          <t>20系</t>
        </is>
      </c>
      <c r="D542" s="15" t="n">
        <v>490000</v>
      </c>
      <c r="E542" s="13" t="n">
        <v>2</v>
      </c>
      <c r="F542" s="15" t="n">
        <v>154000</v>
      </c>
      <c r="G542" s="13" t="inlineStr">
        <is>
          <t>REAL_MILEAGE</t>
        </is>
      </c>
      <c r="H542" s="13" t="inlineStr">
        <is>
          <t>NONE</t>
        </is>
      </c>
      <c r="I542" s="15" t="n">
        <v>0</v>
      </c>
      <c r="J542" s="13" t="inlineStr">
        <is>
          <t>2026-06-05T17:36:35+09:00</t>
        </is>
      </c>
      <c r="K542" s="14" t="inlineStr">
        <is>
          <t>返金保証付:平成25年 ヴェルファイア 2.4 Z ゴールデンアイズ 4WD 8インチモニター</t>
        </is>
      </c>
      <c r="L542" s="13" t="inlineStr">
        <is>
          <t>https://page.auctions.yahoo.co.jp/jp/auction/q1231944584</t>
        </is>
      </c>
    </row>
    <row r="543">
      <c r="A543" s="8" t="inlineStr">
        <is>
          <t>ヴェルファイア</t>
        </is>
      </c>
      <c r="B543" s="8" t="n">
        <v>2013</v>
      </c>
      <c r="C543" s="8" t="inlineStr">
        <is>
          <t>20系</t>
        </is>
      </c>
      <c r="D543" s="11" t="n">
        <v>648000</v>
      </c>
      <c r="E543" s="8" t="n">
        <v>1</v>
      </c>
      <c r="F543" s="11" t="n">
        <v>146750</v>
      </c>
      <c r="G543" s="8" t="inlineStr">
        <is>
          <t>REAL_MILEAGE</t>
        </is>
      </c>
      <c r="H543" s="8" t="inlineStr">
        <is>
          <t>EXISTS</t>
        </is>
      </c>
      <c r="I543" s="11" t="n">
        <v>0</v>
      </c>
      <c r="J543" s="8" t="inlineStr">
        <is>
          <t>2026-05-27T22:40:05+09:00</t>
        </is>
      </c>
      <c r="K543" s="14" t="inlineStr">
        <is>
          <t>ヴェルファイア 後期 2.4Zゴールデンアイズ ナビ TV Bluetooth フリップモニタ バックカメラ 両側Pスラ Pバックドア スマキー クルコン ETC</t>
        </is>
      </c>
      <c r="L543" s="8" t="inlineStr">
        <is>
          <t>https://page.auctions.yahoo.co.jp/jp/auction/v1223690614</t>
        </is>
      </c>
    </row>
    <row r="544">
      <c r="A544" s="13" t="inlineStr">
        <is>
          <t>ヴェルファイア</t>
        </is>
      </c>
      <c r="B544" s="13" t="n">
        <v>2013</v>
      </c>
      <c r="C544" s="13" t="inlineStr">
        <is>
          <t>20系</t>
        </is>
      </c>
      <c r="D544" s="15" t="n">
        <v>562001</v>
      </c>
      <c r="E544" s="13" t="n">
        <v>64</v>
      </c>
      <c r="F544" s="15" t="n">
        <v>105000</v>
      </c>
      <c r="G544" s="13" t="inlineStr">
        <is>
          <t>REAL_MILEAGE</t>
        </is>
      </c>
      <c r="H544" s="13" t="inlineStr">
        <is>
          <t>NONE</t>
        </is>
      </c>
      <c r="I544" s="15" t="n">
        <v>0</v>
      </c>
      <c r="J544" s="13" t="inlineStr">
        <is>
          <t>2026-05-12T22:34:09+09:00</t>
        </is>
      </c>
      <c r="K544" s="14" t="inlineStr">
        <is>
          <t>機関快調/綺麗★車検R9年3月/105000km★ヴェルファイア2.4Z★19inアルミ/モデリスタFバンパー/エクリプスビッグナビ地デジ/リアモニター</t>
        </is>
      </c>
      <c r="L544" s="13" t="inlineStr">
        <is>
          <t>https://page.auctions.yahoo.co.jp/jp/auction/k1228978717</t>
        </is>
      </c>
    </row>
    <row r="545">
      <c r="A545" s="8" t="inlineStr">
        <is>
          <t>ヴェルファイア</t>
        </is>
      </c>
      <c r="B545" s="8" t="n">
        <v>2013</v>
      </c>
      <c r="C545" s="8" t="inlineStr">
        <is>
          <t>20系</t>
        </is>
      </c>
      <c r="D545" s="11" t="n">
        <v>556555</v>
      </c>
      <c r="E545" s="8" t="n">
        <v>2</v>
      </c>
      <c r="F545" s="11" t="n">
        <v>132700</v>
      </c>
      <c r="G545" s="8" t="inlineStr">
        <is>
          <t>REAL_MILEAGE</t>
        </is>
      </c>
      <c r="H545" s="8" t="inlineStr">
        <is>
          <t>NONE</t>
        </is>
      </c>
      <c r="I545" s="11" t="n">
        <v>0</v>
      </c>
      <c r="J545" s="8" t="inlineStr">
        <is>
          <t>2026-05-10T20:51:55+09:00</t>
        </is>
      </c>
      <c r="K545" s="14" t="inlineStr">
        <is>
          <t>【人気上級グレード】ヴェルファイア20 ゴールデンアイズ</t>
        </is>
      </c>
      <c r="L545" s="8" t="inlineStr">
        <is>
          <t>https://page.auctions.yahoo.co.jp/jp/auction/b1228787302</t>
        </is>
      </c>
    </row>
    <row r="546">
      <c r="A546" s="13" t="inlineStr">
        <is>
          <t>ヴェルファイア</t>
        </is>
      </c>
      <c r="B546" s="13" t="n">
        <v>2012</v>
      </c>
      <c r="C546" s="13" t="inlineStr">
        <is>
          <t>20系</t>
        </is>
      </c>
      <c r="D546" s="15" t="n">
        <v>500000</v>
      </c>
      <c r="E546" s="13" t="n">
        <v>1</v>
      </c>
      <c r="F546" s="15" t="n">
        <v>140400</v>
      </c>
      <c r="G546" s="13" t="inlineStr">
        <is>
          <t>REAL_MILEAGE</t>
        </is>
      </c>
      <c r="H546" s="13" t="n"/>
      <c r="I546" s="15" t="n">
        <v>0</v>
      </c>
      <c r="J546" s="13" t="inlineStr">
        <is>
          <t>2026-08-13T17:28:25+09:00</t>
        </is>
      </c>
      <c r="K546" s="14" t="inlineStr">
        <is>
          <t>トヨタ　ヴェルファイア20系　平成24年　１４０４００ｋｍ</t>
        </is>
      </c>
      <c r="L546" s="13" t="inlineStr">
        <is>
          <t>https://page.auctions.yahoo.co.jp/jp/auction/n1240303683</t>
        </is>
      </c>
    </row>
    <row r="547">
      <c r="A547" s="8" t="inlineStr">
        <is>
          <t>ヴェルファイア</t>
        </is>
      </c>
      <c r="B547" s="8" t="n">
        <v>2012</v>
      </c>
      <c r="C547" s="8" t="inlineStr">
        <is>
          <t>20系</t>
        </is>
      </c>
      <c r="D547" s="11" t="n">
        <v>457000</v>
      </c>
      <c r="E547" s="8" t="n">
        <v>1</v>
      </c>
      <c r="F547" s="11" t="n">
        <v>180200</v>
      </c>
      <c r="G547" s="8" t="inlineStr">
        <is>
          <t>REAL_MILEAGE</t>
        </is>
      </c>
      <c r="H547" s="8" t="inlineStr">
        <is>
          <t>NONE</t>
        </is>
      </c>
      <c r="I547" s="11" t="n">
        <v>70190</v>
      </c>
      <c r="J547" s="8" t="inlineStr">
        <is>
          <t>2026-07-24T13:25:20+09:00</t>
        </is>
      </c>
      <c r="K547" s="14" t="inlineStr">
        <is>
          <t>※九州・福岡発※ヴェルファイア*車検10年7月迄*Bluetoothオーディオ*クルーズコントロール*両側パワースライドドアPWバックドア*211206</t>
        </is>
      </c>
      <c r="L547" s="8" t="inlineStr">
        <is>
          <t>https://page.auctions.yahoo.co.jp/jp/auction/w1212502499</t>
        </is>
      </c>
    </row>
    <row r="548">
      <c r="A548" s="13" t="inlineStr">
        <is>
          <t>ヴェルファイア</t>
        </is>
      </c>
      <c r="B548" s="13" t="n">
        <v>2012</v>
      </c>
      <c r="C548" s="13" t="inlineStr">
        <is>
          <t>20系</t>
        </is>
      </c>
      <c r="D548" s="15" t="n">
        <v>624000</v>
      </c>
      <c r="E548" s="13" t="n">
        <v>240</v>
      </c>
      <c r="F548" s="15" t="n">
        <v>215849</v>
      </c>
      <c r="G548" s="13" t="inlineStr">
        <is>
          <t>REAL_MILEAGE</t>
        </is>
      </c>
      <c r="H548" s="13" t="inlineStr">
        <is>
          <t>NONE</t>
        </is>
      </c>
      <c r="I548" s="15" t="n">
        <v>62060</v>
      </c>
      <c r="J548" s="13" t="inlineStr">
        <is>
          <t>2026-07-14T20:39:05+09:00</t>
        </is>
      </c>
      <c r="K548" s="14" t="inlineStr">
        <is>
          <t>20ヴェルファイア ハイブリッド後期 ZR フリップダウン/両側パワスラ/カスタム多数</t>
        </is>
      </c>
      <c r="L548" s="13" t="inlineStr">
        <is>
          <t>https://page.auctions.yahoo.co.jp/jp/auction/s1228259564</t>
        </is>
      </c>
    </row>
    <row r="549">
      <c r="A549" s="8" t="inlineStr">
        <is>
          <t>ヴェルファイア</t>
        </is>
      </c>
      <c r="B549" s="8" t="n">
        <v>2012</v>
      </c>
      <c r="C549" s="8" t="inlineStr">
        <is>
          <t>20系</t>
        </is>
      </c>
      <c r="D549" s="11" t="n">
        <v>398000</v>
      </c>
      <c r="E549" s="8" t="n">
        <v>7</v>
      </c>
      <c r="F549" s="11" t="n">
        <v>180000</v>
      </c>
      <c r="G549" s="8" t="inlineStr">
        <is>
          <t>REAL_MILEAGE</t>
        </is>
      </c>
      <c r="H549" s="8" t="inlineStr">
        <is>
          <t>NONE</t>
        </is>
      </c>
      <c r="I549" s="11" t="n">
        <v>0</v>
      </c>
      <c r="J549" s="8" t="inlineStr">
        <is>
          <t>2026-07-12T16:25:36+09:00</t>
        </is>
      </c>
      <c r="K549" s="14" t="inlineStr">
        <is>
          <t>★★H24 トヨタ■ヴェルファイアANH20W■ナビ■バックモニター■後席フリップダウンモニター■走行180,000km■車検R9年6月28日まで★★</t>
        </is>
      </c>
      <c r="L549" s="8" t="inlineStr">
        <is>
          <t>https://page.auctions.yahoo.co.jp/jp/auction/n1235279264</t>
        </is>
      </c>
    </row>
    <row r="550">
      <c r="A550" s="13" t="inlineStr">
        <is>
          <t>ヴェルファイア</t>
        </is>
      </c>
      <c r="B550" s="13" t="n">
        <v>2012</v>
      </c>
      <c r="C550" s="13" t="inlineStr">
        <is>
          <t>20系</t>
        </is>
      </c>
      <c r="D550" s="15" t="n">
        <v>628000</v>
      </c>
      <c r="E550" s="13" t="n">
        <v>1</v>
      </c>
      <c r="F550" s="15" t="n">
        <v>139550</v>
      </c>
      <c r="G550" s="13" t="inlineStr">
        <is>
          <t>REAL_MILEAGE</t>
        </is>
      </c>
      <c r="H550" s="13" t="inlineStr">
        <is>
          <t>NONE</t>
        </is>
      </c>
      <c r="I550" s="15" t="n">
        <v>58930</v>
      </c>
      <c r="J550" s="13" t="inlineStr">
        <is>
          <t>2026-07-11T11:42:26+09:00</t>
        </is>
      </c>
      <c r="K550" s="14" t="inlineStr">
        <is>
          <t>ヴェルファイア 後期 2.4ZGエディション ナビ TV Bluetooth 後席モニター バックカメラ 両側Pスラ Pバックドア スマキー クルコン HID ETC</t>
        </is>
      </c>
      <c r="L550" s="13" t="inlineStr">
        <is>
          <t>https://page.auctions.yahoo.co.jp/jp/auction/v1235867332</t>
        </is>
      </c>
    </row>
    <row r="551">
      <c r="A551" s="8" t="inlineStr">
        <is>
          <t>ヴェルファイア</t>
        </is>
      </c>
      <c r="B551" s="8" t="n">
        <v>2012</v>
      </c>
      <c r="C551" s="8" t="inlineStr">
        <is>
          <t>20系</t>
        </is>
      </c>
      <c r="D551" s="11" t="n">
        <v>800000</v>
      </c>
      <c r="E551" s="8" t="n">
        <v>1</v>
      </c>
      <c r="F551" s="11" t="n">
        <v>183000</v>
      </c>
      <c r="G551" s="8" t="inlineStr">
        <is>
          <t>REAL_MILEAGE</t>
        </is>
      </c>
      <c r="H551" s="8" t="inlineStr">
        <is>
          <t>NONE</t>
        </is>
      </c>
      <c r="I551" s="11" t="n">
        <v>0</v>
      </c>
      <c r="J551" s="8" t="inlineStr">
        <is>
          <t>2026-07-09T11:10:31+09:00</t>
        </is>
      </c>
      <c r="K551" s="14" t="inlineStr">
        <is>
          <t>ヴェルファイア ハイブリッドZR Gエディション</t>
        </is>
      </c>
      <c r="L551" s="8" t="inlineStr">
        <is>
          <t>https://page.auctions.yahoo.co.jp/jp/auction/p1234830330</t>
        </is>
      </c>
    </row>
    <row r="552">
      <c r="A552" s="13" t="inlineStr">
        <is>
          <t>ヴェルファイア</t>
        </is>
      </c>
      <c r="B552" s="13" t="n">
        <v>2012</v>
      </c>
      <c r="C552" s="13" t="inlineStr">
        <is>
          <t>20系</t>
        </is>
      </c>
      <c r="D552" s="15" t="n">
        <v>500000</v>
      </c>
      <c r="E552" s="13" t="n">
        <v>86</v>
      </c>
      <c r="F552" s="15" t="n">
        <v>114000</v>
      </c>
      <c r="G552" s="13" t="inlineStr">
        <is>
          <t>REAL_MILEAGE</t>
        </is>
      </c>
      <c r="H552" s="13" t="inlineStr">
        <is>
          <t>NONE</t>
        </is>
      </c>
      <c r="I552" s="15" t="n">
        <v>0</v>
      </c>
      <c r="J552" s="13" t="inlineStr">
        <is>
          <t>2026-07-08T22:23:36+09:00</t>
        </is>
      </c>
      <c r="K552" s="14" t="inlineStr">
        <is>
          <t>平成24年 トヨタ ヴェルファイア20 後期 グレード2.4Z 2400cc 純正ナビ,バックカメラ</t>
        </is>
      </c>
      <c r="L552" s="13" t="inlineStr">
        <is>
          <t>https://page.auctions.yahoo.co.jp/jp/auction/c1235924097</t>
        </is>
      </c>
    </row>
    <row r="553">
      <c r="A553" s="8" t="inlineStr">
        <is>
          <t>ヴェルファイア</t>
        </is>
      </c>
      <c r="B553" s="8" t="n">
        <v>2012</v>
      </c>
      <c r="C553" s="8" t="inlineStr">
        <is>
          <t>20系</t>
        </is>
      </c>
      <c r="D553" s="11" t="n">
        <v>302000</v>
      </c>
      <c r="E553" s="8" t="n">
        <v>29</v>
      </c>
      <c r="F553" s="11" t="n">
        <v>99800</v>
      </c>
      <c r="G553" s="8" t="inlineStr">
        <is>
          <t>REAL_MILEAGE</t>
        </is>
      </c>
      <c r="H553" s="8" t="inlineStr">
        <is>
          <t>EXISTS</t>
        </is>
      </c>
      <c r="I553" s="11" t="n">
        <v>0</v>
      </c>
      <c r="J553" s="8" t="inlineStr">
        <is>
          <t>2026-06-14T20:39:41+09:00</t>
        </is>
      </c>
      <c r="K553" s="14" t="inlineStr">
        <is>
          <t>20ヴェルファイア 後期　車検受け渡し可能　7人乗り　両側パワスラ　バックカメラ　フリップダウン　ナビ下取り35000補償　即決交渉有</t>
        </is>
      </c>
      <c r="L553" s="8" t="inlineStr">
        <is>
          <t>https://page.auctions.yahoo.co.jp/jp/auction/c1232221801</t>
        </is>
      </c>
    </row>
    <row r="554">
      <c r="A554" s="13" t="inlineStr">
        <is>
          <t>ヴェルファイア</t>
        </is>
      </c>
      <c r="B554" s="13" t="n">
        <v>2012</v>
      </c>
      <c r="C554" s="13" t="inlineStr">
        <is>
          <t>20系</t>
        </is>
      </c>
      <c r="D554" s="15" t="n">
        <v>678000</v>
      </c>
      <c r="E554" s="13" t="n">
        <v>1</v>
      </c>
      <c r="F554" s="15" t="n">
        <v>120480</v>
      </c>
      <c r="G554" s="13" t="inlineStr">
        <is>
          <t>REAL_MILEAGE</t>
        </is>
      </c>
      <c r="H554" s="13" t="inlineStr">
        <is>
          <t>NONE</t>
        </is>
      </c>
      <c r="I554" s="15" t="n">
        <v>0</v>
      </c>
      <c r="J554" s="13" t="inlineStr">
        <is>
          <t>2026-06-05T22:50:33+09:00</t>
        </is>
      </c>
      <c r="K554" s="14" t="inlineStr">
        <is>
          <t>ヴェルファイア 後期 2.4ZGエディション ナビ TV Bluetooth バックモニター 両側Pスラ Pバックドア スマキー サンルーフ クルコン HID ETC</t>
        </is>
      </c>
      <c r="L554" s="13" t="inlineStr">
        <is>
          <t>https://page.auctions.yahoo.co.jp/jp/auction/g1231682894</t>
        </is>
      </c>
    </row>
    <row r="555">
      <c r="A555" s="8" t="inlineStr">
        <is>
          <t>ヴェルファイア</t>
        </is>
      </c>
      <c r="B555" s="8" t="n">
        <v>2012</v>
      </c>
      <c r="C555" s="8" t="inlineStr">
        <is>
          <t>20系</t>
        </is>
      </c>
      <c r="D555" s="11" t="n">
        <v>701001</v>
      </c>
      <c r="E555" s="8" t="n">
        <v>11</v>
      </c>
      <c r="F555" s="11" t="n">
        <v>146000</v>
      </c>
      <c r="G555" s="8" t="inlineStr">
        <is>
          <t>REAL_MILEAGE</t>
        </is>
      </c>
      <c r="H555" s="8" t="inlineStr">
        <is>
          <t>NONE</t>
        </is>
      </c>
      <c r="I555" s="11" t="n">
        <v>0</v>
      </c>
      <c r="J555" s="8" t="inlineStr">
        <is>
          <t>2026-05-20T20:43:27+09:00</t>
        </is>
      </c>
      <c r="K555" s="14" t="inlineStr">
        <is>
          <t>個人出品　トヨタ　20系ヴェルファイアハイブリッドX　走行距離１４６０００㎞</t>
        </is>
      </c>
      <c r="L555" s="8" t="inlineStr">
        <is>
          <t>https://page.auctions.yahoo.co.jp/jp/auction/q1229423549</t>
        </is>
      </c>
    </row>
    <row r="556">
      <c r="A556" s="13" t="inlineStr">
        <is>
          <t>ヴェルファイア</t>
        </is>
      </c>
      <c r="B556" s="13" t="n">
        <v>2012</v>
      </c>
      <c r="C556" s="13" t="inlineStr">
        <is>
          <t>20系</t>
        </is>
      </c>
      <c r="D556" s="15" t="n">
        <v>181000</v>
      </c>
      <c r="E556" s="13" t="n">
        <v>2</v>
      </c>
      <c r="F556" s="15" t="n">
        <v>169464</v>
      </c>
      <c r="G556" s="13" t="inlineStr">
        <is>
          <t>REAL_MILEAGE</t>
        </is>
      </c>
      <c r="H556" s="13" t="n"/>
      <c r="I556" s="15" t="n">
        <v>0</v>
      </c>
      <c r="J556" s="13" t="inlineStr">
        <is>
          <t>2026-04-20T19:48:10+09:00</t>
        </is>
      </c>
      <c r="K556" s="14" t="inlineStr">
        <is>
          <t>岩手発!! H24 トヨタ ヴェルファイア 2.4Z ANH20W 2WD AT 走行16.9万km 抹消渡し 売切!!</t>
        </is>
      </c>
      <c r="L556" s="13" t="inlineStr">
        <is>
          <t>https://page.auctions.yahoo.co.jp/jp/auction/n1226897574</t>
        </is>
      </c>
    </row>
    <row r="557">
      <c r="A557" s="8" t="inlineStr">
        <is>
          <t>ヴェルファイア</t>
        </is>
      </c>
      <c r="B557" s="8" t="n">
        <v>2012</v>
      </c>
      <c r="C557" s="8" t="inlineStr">
        <is>
          <t>20系</t>
        </is>
      </c>
      <c r="D557" s="11" t="n">
        <v>648000</v>
      </c>
      <c r="E557" s="8" t="n">
        <v>2</v>
      </c>
      <c r="F557" s="11" t="n">
        <v>138380</v>
      </c>
      <c r="G557" s="8" t="inlineStr">
        <is>
          <t>REAL_MILEAGE</t>
        </is>
      </c>
      <c r="H557" s="8" t="inlineStr">
        <is>
          <t>NONE</t>
        </is>
      </c>
      <c r="I557" s="11" t="n">
        <v>0</v>
      </c>
      <c r="J557" s="8" t="inlineStr">
        <is>
          <t>2026-04-17T07:36:10+09:00</t>
        </is>
      </c>
      <c r="K557" s="14" t="inlineStr">
        <is>
          <t>車検9年11月 ヴェルファイア 後期 2.4ZGエディション ナビ TV Bluetooth バックモニター 両側Pスラ Pバックドア スマキー クルコン HID ETC</t>
        </is>
      </c>
      <c r="L557" s="8" t="inlineStr">
        <is>
          <t>https://page.auctions.yahoo.co.jp/jp/auction/n1226185686</t>
        </is>
      </c>
    </row>
    <row r="558">
      <c r="A558" s="13" t="inlineStr">
        <is>
          <t>ヴェルファイア</t>
        </is>
      </c>
      <c r="B558" s="13" t="n">
        <v>2012</v>
      </c>
      <c r="C558" s="13" t="inlineStr">
        <is>
          <t>20系</t>
        </is>
      </c>
      <c r="D558" s="15" t="n">
        <v>798000</v>
      </c>
      <c r="E558" s="13" t="n">
        <v>1</v>
      </c>
      <c r="F558" s="15" t="n">
        <v>188200</v>
      </c>
      <c r="G558" s="13" t="inlineStr">
        <is>
          <t>REAL_MILEAGE</t>
        </is>
      </c>
      <c r="H558" s="13" t="inlineStr">
        <is>
          <t>NONE</t>
        </is>
      </c>
      <c r="I558" s="15" t="n">
        <v>0</v>
      </c>
      <c r="J558" s="13" t="inlineStr">
        <is>
          <t>2026-04-15T17:43:35+09:00</t>
        </is>
      </c>
      <c r="K558" s="14" t="inlineStr">
        <is>
          <t>ヴェルファイアハイブリッド*検10/4迄*福祉車両*サイドリフトアップシート*4WD*HID*フリップダウン*純正ナビ*純正AW*ローダウン*310311S2</t>
        </is>
      </c>
      <c r="L558" s="13" t="inlineStr">
        <is>
          <t>https://page.auctions.yahoo.co.jp/jp/auction/e1222923689</t>
        </is>
      </c>
    </row>
    <row r="559">
      <c r="A559" s="8" t="inlineStr">
        <is>
          <t>ヴェルファイア</t>
        </is>
      </c>
      <c r="B559" s="8" t="n">
        <v>2012</v>
      </c>
      <c r="C559" s="8" t="inlineStr">
        <is>
          <t>20系</t>
        </is>
      </c>
      <c r="D559" s="11" t="n">
        <v>630000</v>
      </c>
      <c r="E559" s="8" t="n">
        <v>1</v>
      </c>
      <c r="F559" s="11" t="n">
        <v>155000</v>
      </c>
      <c r="G559" s="8" t="inlineStr">
        <is>
          <t>REAL_MILEAGE</t>
        </is>
      </c>
      <c r="H559" s="8" t="inlineStr">
        <is>
          <t>NONE</t>
        </is>
      </c>
      <c r="I559" s="11" t="n">
        <v>0</v>
      </c>
      <c r="J559" s="8" t="inlineStr">
        <is>
          <t>2026-04-13T22:47:57+09:00</t>
        </is>
      </c>
      <c r="K559" s="14" t="inlineStr">
        <is>
          <t>ヴェルファイア　年式　H24 距離　１５５０００キロ</t>
        </is>
      </c>
      <c r="L559" s="8" t="inlineStr">
        <is>
          <t>https://page.auctions.yahoo.co.jp/jp/auction/v1222945302</t>
        </is>
      </c>
    </row>
    <row r="560">
      <c r="A560" s="13" t="inlineStr">
        <is>
          <t>ヴェルファイア</t>
        </is>
      </c>
      <c r="B560" s="13" t="n">
        <v>2012</v>
      </c>
      <c r="C560" s="13" t="inlineStr">
        <is>
          <t>20系</t>
        </is>
      </c>
      <c r="D560" s="15" t="n">
        <v>321000</v>
      </c>
      <c r="E560" s="13" t="n">
        <v>22</v>
      </c>
      <c r="F560" s="15" t="n">
        <v>186880</v>
      </c>
      <c r="G560" s="13" t="inlineStr">
        <is>
          <t>REAL_MILEAGE</t>
        </is>
      </c>
      <c r="H560" s="13" t="n"/>
      <c r="I560" s="15" t="n">
        <v>0</v>
      </c>
      <c r="J560" s="13" t="inlineStr">
        <is>
          <t>2026-04-07T21:54:13+09:00</t>
        </is>
      </c>
      <c r="K560" s="14" t="inlineStr">
        <is>
          <t>ヴェルファイアANH20W シフト(CVT)オートマー 2.4Z アルパインナビTV,フリップダウンモニター,両側パワースライドドア右/車検9年8月3日まで</t>
        </is>
      </c>
      <c r="L560" s="13" t="inlineStr">
        <is>
          <t>https://page.auctions.yahoo.co.jp/jp/auction/o1224883646</t>
        </is>
      </c>
    </row>
    <row r="561">
      <c r="A561" s="8" t="inlineStr">
        <is>
          <t>ヴェルファイア</t>
        </is>
      </c>
      <c r="B561" s="8" t="n">
        <v>2012</v>
      </c>
      <c r="C561" s="8" t="inlineStr">
        <is>
          <t>20系</t>
        </is>
      </c>
      <c r="D561" s="11" t="n">
        <v>750000</v>
      </c>
      <c r="E561" s="8" t="n">
        <v>1</v>
      </c>
      <c r="F561" s="11" t="n">
        <v>166000</v>
      </c>
      <c r="G561" s="8" t="inlineStr">
        <is>
          <t>REAL_MILEAGE</t>
        </is>
      </c>
      <c r="H561" s="8" t="inlineStr">
        <is>
          <t>NONE</t>
        </is>
      </c>
      <c r="I561" s="11" t="n">
        <v>0</v>
      </c>
      <c r="J561" s="8" t="inlineStr">
        <is>
          <t>2026-03-29T21:59:14+09:00</t>
        </is>
      </c>
      <c r="K561" s="14" t="inlineStr">
        <is>
          <t>ヴェルファイア 2.4 Z Gエディション 4WD メーカーナビ　バックカメラ</t>
        </is>
      </c>
      <c r="L561" s="8" t="inlineStr">
        <is>
          <t>https://page.auctions.yahoo.co.jp/jp/auction/p1222196189</t>
        </is>
      </c>
    </row>
    <row r="562">
      <c r="A562" s="13" t="inlineStr">
        <is>
          <t>ヴェルファイア</t>
        </is>
      </c>
      <c r="B562" s="13" t="n">
        <v>2012</v>
      </c>
      <c r="C562" s="13" t="inlineStr">
        <is>
          <t>20系</t>
        </is>
      </c>
      <c r="D562" s="15" t="n">
        <v>602000</v>
      </c>
      <c r="E562" s="13" t="n">
        <v>138</v>
      </c>
      <c r="F562" s="15" t="n">
        <v>163000</v>
      </c>
      <c r="G562" s="13" t="inlineStr">
        <is>
          <t>REAL_MILEAGE</t>
        </is>
      </c>
      <c r="H562" s="13" t="inlineStr">
        <is>
          <t>NONE</t>
        </is>
      </c>
      <c r="I562" s="15" t="n">
        <v>0</v>
      </c>
      <c r="J562" s="13" t="inlineStr">
        <is>
          <t>2026-03-04T21:15:13+09:00</t>
        </is>
      </c>
      <c r="K562" s="14" t="inlineStr">
        <is>
          <t>電装カスタム多数！H24ヴェルファイア240Z・ゴールデンアイズ・車検長い！R9.12月迄・修復無し・禁煙車・16.3万km・大垣市から</t>
        </is>
      </c>
      <c r="L562" s="13" t="inlineStr">
        <is>
          <t>https://page.auctions.yahoo.co.jp/jp/auction/1217120660</t>
        </is>
      </c>
    </row>
    <row r="563">
      <c r="A563" s="8" t="inlineStr">
        <is>
          <t>ヴェルファイア</t>
        </is>
      </c>
      <c r="B563" s="8" t="n">
        <v>2012</v>
      </c>
      <c r="C563" s="8" t="inlineStr">
        <is>
          <t>20系</t>
        </is>
      </c>
      <c r="D563" s="11" t="n">
        <v>309000</v>
      </c>
      <c r="E563" s="8" t="n">
        <v>70</v>
      </c>
      <c r="F563" s="11" t="n">
        <v>246000</v>
      </c>
      <c r="G563" s="8" t="inlineStr">
        <is>
          <t>REAL_MILEAGE</t>
        </is>
      </c>
      <c r="H563" s="8" t="inlineStr">
        <is>
          <t>NONE</t>
        </is>
      </c>
      <c r="I563" s="11" t="n">
        <v>0</v>
      </c>
      <c r="J563" s="8" t="inlineStr">
        <is>
          <t>2026-02-26T21:13:15+09:00</t>
        </is>
      </c>
      <c r="K563" s="14" t="inlineStr">
        <is>
          <t>ヴェルファイア H24年 検付 低燃費2.4G-Z エディション 純正オプションナビ バックモニター 両側パワースライドドア 希少4WD 整備済 法人車</t>
        </is>
      </c>
      <c r="L563" s="8" t="inlineStr">
        <is>
          <t>https://page.auctions.yahoo.co.jp/jp/auction/s1220422502</t>
        </is>
      </c>
    </row>
    <row r="564">
      <c r="A564" s="13" t="inlineStr">
        <is>
          <t>ヴェルファイア</t>
        </is>
      </c>
      <c r="B564" s="13" t="n">
        <v>2011</v>
      </c>
      <c r="C564" s="13" t="inlineStr">
        <is>
          <t>20系</t>
        </is>
      </c>
      <c r="D564" s="15" t="n">
        <v>448000</v>
      </c>
      <c r="E564" s="13" t="n">
        <v>1</v>
      </c>
      <c r="F564" s="15" t="n">
        <v>181000</v>
      </c>
      <c r="G564" s="13" t="inlineStr">
        <is>
          <t>REAL_MILEAGE</t>
        </is>
      </c>
      <c r="H564" s="13" t="inlineStr">
        <is>
          <t>NONE</t>
        </is>
      </c>
      <c r="I564" s="15" t="n">
        <v>57060</v>
      </c>
      <c r="J564" s="13" t="inlineStr">
        <is>
          <t>2026-08-21T19:05:54+09:00</t>
        </is>
      </c>
      <c r="K564" s="14" t="inlineStr">
        <is>
          <t>２３年式 ヴェルファイア 2.4Z GED車検８年１２月２１日まで！極上車両！</t>
        </is>
      </c>
      <c r="L564" s="13" t="inlineStr">
        <is>
          <t>https://page.auctions.yahoo.co.jp/jp/auction/u1240374388</t>
        </is>
      </c>
    </row>
    <row r="565">
      <c r="A565" s="8" t="inlineStr">
        <is>
          <t>ヴェルファイア</t>
        </is>
      </c>
      <c r="B565" s="8" t="n">
        <v>2011</v>
      </c>
      <c r="C565" s="8" t="inlineStr">
        <is>
          <t>20系</t>
        </is>
      </c>
      <c r="D565" s="11" t="n">
        <v>475000</v>
      </c>
      <c r="E565" s="8" t="n">
        <v>1</v>
      </c>
      <c r="F565" s="11" t="n">
        <v>141900</v>
      </c>
      <c r="G565" s="8" t="inlineStr">
        <is>
          <t>REAL_MILEAGE</t>
        </is>
      </c>
      <c r="H565" s="8" t="inlineStr">
        <is>
          <t>EXISTS</t>
        </is>
      </c>
      <c r="I565" s="11" t="n">
        <v>70590</v>
      </c>
      <c r="J565" s="8" t="inlineStr">
        <is>
          <t>2026-07-10T14:49:49+09:00</t>
        </is>
      </c>
      <c r="K565" s="14" t="inlineStr">
        <is>
          <t>ヴェルファイア*検長*社外20インチAW/マフラー*ローダウン*HID*両パワスラ*PWバックドア*フリップダウン*アルパイン8インチナビ*310527</t>
        </is>
      </c>
      <c r="L565" s="8" t="inlineStr">
        <is>
          <t>https://page.auctions.yahoo.co.jp/jp/auction/p1232195957</t>
        </is>
      </c>
    </row>
    <row r="566">
      <c r="A566" s="13" t="inlineStr">
        <is>
          <t>ヴェルファイア</t>
        </is>
      </c>
      <c r="B566" s="13" t="n">
        <v>2011</v>
      </c>
      <c r="C566" s="13" t="inlineStr">
        <is>
          <t>20系</t>
        </is>
      </c>
      <c r="D566" s="15" t="n">
        <v>500000</v>
      </c>
      <c r="E566" s="13" t="n">
        <v>1</v>
      </c>
      <c r="F566" s="15" t="n">
        <v>129000</v>
      </c>
      <c r="G566" s="13" t="inlineStr">
        <is>
          <t>REAL_MILEAGE</t>
        </is>
      </c>
      <c r="H566" s="13" t="inlineStr">
        <is>
          <t>NONE</t>
        </is>
      </c>
      <c r="I566" s="15" t="n">
        <v>0</v>
      </c>
      <c r="J566" s="13" t="inlineStr">
        <is>
          <t>2026-05-27T23:56:14+09:00</t>
        </is>
      </c>
      <c r="K566" s="14" t="inlineStr">
        <is>
          <t>車検R9年5月まて！Toyotaヴェルファイア</t>
        </is>
      </c>
      <c r="L566" s="13" t="inlineStr">
        <is>
          <t>https://page.auctions.yahoo.co.jp/jp/auction/t1231173422</t>
        </is>
      </c>
    </row>
    <row r="567">
      <c r="A567" s="8" t="inlineStr">
        <is>
          <t>ヴェルファイア</t>
        </is>
      </c>
      <c r="B567" s="8" t="n">
        <v>2011</v>
      </c>
      <c r="C567" s="8" t="inlineStr">
        <is>
          <t>20系</t>
        </is>
      </c>
      <c r="D567" s="11" t="n">
        <v>698000</v>
      </c>
      <c r="E567" s="8" t="n">
        <v>1</v>
      </c>
      <c r="F567" s="11" t="n">
        <v>166000</v>
      </c>
      <c r="G567" s="8" t="inlineStr">
        <is>
          <t>REAL_MILEAGE</t>
        </is>
      </c>
      <c r="H567" s="8" t="inlineStr">
        <is>
          <t>NONE</t>
        </is>
      </c>
      <c r="I567" s="11" t="n">
        <v>0</v>
      </c>
      <c r="J567" s="8" t="inlineStr">
        <is>
          <t>2026-05-26T16:24:28+09:00</t>
        </is>
      </c>
      <c r="K567" s="14" t="inlineStr">
        <is>
          <t>トヨタ　ヴェルファイア　Z_Gエディション　希少サンルーフ　プレミアムサウンド　白　ディーラー整備　車検あり　2400cc　20後期</t>
        </is>
      </c>
      <c r="L567" s="8" t="inlineStr">
        <is>
          <t>https://page.auctions.yahoo.co.jp/jp/auction/m1230441521</t>
        </is>
      </c>
    </row>
    <row r="568">
      <c r="A568" s="13" t="inlineStr">
        <is>
          <t>ヴェルファイア</t>
        </is>
      </c>
      <c r="B568" s="13" t="n">
        <v>2011</v>
      </c>
      <c r="C568" s="13" t="inlineStr">
        <is>
          <t>20系</t>
        </is>
      </c>
      <c r="D568" s="15" t="n">
        <v>402000</v>
      </c>
      <c r="E568" s="13" t="n">
        <v>126</v>
      </c>
      <c r="F568" s="15" t="n">
        <v>170000</v>
      </c>
      <c r="G568" s="13" t="inlineStr">
        <is>
          <t>REAL_MILEAGE</t>
        </is>
      </c>
      <c r="H568" s="13" t="inlineStr">
        <is>
          <t>NONE</t>
        </is>
      </c>
      <c r="I568" s="15" t="n">
        <v>0</v>
      </c>
      <c r="J568" s="13" t="inlineStr">
        <is>
          <t>2026-05-04T20:53:38+09:00</t>
        </is>
      </c>
      <c r="K568" s="14" t="inlineStr">
        <is>
          <t>ヴェルファイア】H23★車検2年付★埼玉発★装備充実／走行中TV／大画面モニター／美車！</t>
        </is>
      </c>
      <c r="L568" s="13" t="inlineStr">
        <is>
          <t>https://page.auctions.yahoo.co.jp/jp/auction/c1228021376</t>
        </is>
      </c>
    </row>
    <row r="569">
      <c r="A569" s="8" t="inlineStr">
        <is>
          <t>ヴェルファイア</t>
        </is>
      </c>
      <c r="B569" s="8" t="n">
        <v>2011</v>
      </c>
      <c r="C569" s="8" t="inlineStr">
        <is>
          <t>20系</t>
        </is>
      </c>
      <c r="D569" s="11" t="n">
        <v>304000</v>
      </c>
      <c r="E569" s="8" t="n">
        <v>5</v>
      </c>
      <c r="F569" s="11" t="n">
        <v>117000</v>
      </c>
      <c r="G569" s="8" t="inlineStr">
        <is>
          <t>REAL_MILEAGE</t>
        </is>
      </c>
      <c r="H569" s="8" t="inlineStr">
        <is>
          <t>NONE</t>
        </is>
      </c>
      <c r="I569" s="11" t="n">
        <v>0</v>
      </c>
      <c r="J569" s="8" t="inlineStr">
        <is>
          <t>2026-05-04T06:45:56+09:00</t>
        </is>
      </c>
      <c r="K569" s="14" t="inlineStr">
        <is>
          <t>★車検R9/12まで★ 23年式 ヴェルファイア 2.4Z 禁煙車 11.5万km 整備明細有 状態良好 20系 松山市</t>
        </is>
      </c>
      <c r="L569" s="8" t="inlineStr">
        <is>
          <t>https://page.auctions.yahoo.co.jp/jp/auction/l1228052151</t>
        </is>
      </c>
    </row>
    <row r="570">
      <c r="A570" s="13" t="inlineStr">
        <is>
          <t>ヴェルファイア</t>
        </is>
      </c>
      <c r="B570" s="13" t="n">
        <v>2011</v>
      </c>
      <c r="C570" s="13" t="inlineStr">
        <is>
          <t>20系</t>
        </is>
      </c>
      <c r="D570" s="15" t="n">
        <v>454000</v>
      </c>
      <c r="E570" s="13" t="n">
        <v>242</v>
      </c>
      <c r="F570" s="15" t="n">
        <v>128900</v>
      </c>
      <c r="G570" s="13" t="inlineStr">
        <is>
          <t>REAL_MILEAGE</t>
        </is>
      </c>
      <c r="H570" s="13" t="n"/>
      <c r="I570" s="15" t="n">
        <v>0</v>
      </c>
      <c r="J570" s="13" t="inlineStr">
        <is>
          <t>2026-04-26T21:32:12+09:00</t>
        </is>
      </c>
      <c r="K570" s="14" t="inlineStr">
        <is>
          <t>【H23年式 トヨタ ヴェルファイア 2.4Z プラチナセレクションⅡ タイプゴールド】走行距離:128,900km 車検付き(R10年4月)</t>
        </is>
      </c>
      <c r="L570" s="13" t="inlineStr">
        <is>
          <t>https://page.auctions.yahoo.co.jp/jp/auction/x1227183271</t>
        </is>
      </c>
    </row>
    <row r="571">
      <c r="A571" s="8" t="inlineStr">
        <is>
          <t>ヴェルファイア</t>
        </is>
      </c>
      <c r="B571" s="8" t="n">
        <v>2011</v>
      </c>
      <c r="C571" s="8" t="inlineStr">
        <is>
          <t>20系</t>
        </is>
      </c>
      <c r="D571" s="11" t="n">
        <v>350000</v>
      </c>
      <c r="E571" s="8" t="n">
        <v>59</v>
      </c>
      <c r="F571" s="11" t="n">
        <v>170000</v>
      </c>
      <c r="G571" s="8" t="inlineStr">
        <is>
          <t>REAL_MILEAGE</t>
        </is>
      </c>
      <c r="H571" s="8" t="inlineStr">
        <is>
          <t>NONE</t>
        </is>
      </c>
      <c r="I571" s="11" t="n">
        <v>0</v>
      </c>
      <c r="J571" s="8" t="inlineStr">
        <is>
          <t>2026-04-25T20:11:38+09:00</t>
        </is>
      </c>
      <c r="K571" s="14" t="inlineStr">
        <is>
          <t>売切り★ヴェルファイア2011★極上美車★フル装備★アルカンターラシート★車検2年可！</t>
        </is>
      </c>
      <c r="L571" s="8" t="inlineStr">
        <is>
          <t>https://page.auctions.yahoo.co.jp/jp/auction/l1226769602</t>
        </is>
      </c>
    </row>
    <row r="572">
      <c r="A572" s="13" t="inlineStr">
        <is>
          <t>ヴェルファイア</t>
        </is>
      </c>
      <c r="B572" s="13" t="n">
        <v>2011</v>
      </c>
      <c r="C572" s="13" t="inlineStr">
        <is>
          <t>20系</t>
        </is>
      </c>
      <c r="D572" s="15" t="n">
        <v>400000</v>
      </c>
      <c r="E572" s="13" t="n">
        <v>66</v>
      </c>
      <c r="F572" s="15" t="n">
        <v>170000</v>
      </c>
      <c r="G572" s="13" t="inlineStr">
        <is>
          <t>REAL_MILEAGE</t>
        </is>
      </c>
      <c r="H572" s="13" t="inlineStr">
        <is>
          <t>NONE</t>
        </is>
      </c>
      <c r="I572" s="15" t="n">
        <v>0</v>
      </c>
      <c r="J572" s="13" t="inlineStr">
        <is>
          <t>2026-04-13T20:12:21+09:00</t>
        </is>
      </c>
      <c r="K572" s="14" t="inlineStr">
        <is>
          <t>売切り★ヴェルファイア2011★極上美車★フル装備★アルカンターラシート★車検2年可！</t>
        </is>
      </c>
      <c r="L572" s="13" t="inlineStr">
        <is>
          <t>https://page.auctions.yahoo.co.jp/jp/auction/e1225672164</t>
        </is>
      </c>
    </row>
    <row r="573">
      <c r="A573" s="8" t="inlineStr">
        <is>
          <t>ヴェルファイア</t>
        </is>
      </c>
      <c r="B573" s="8" t="n">
        <v>2011</v>
      </c>
      <c r="C573" s="8" t="inlineStr">
        <is>
          <t>20系</t>
        </is>
      </c>
      <c r="D573" s="11" t="n">
        <v>600000</v>
      </c>
      <c r="E573" s="8" t="n">
        <v>91</v>
      </c>
      <c r="F573" s="11" t="n">
        <v>166000</v>
      </c>
      <c r="G573" s="8" t="inlineStr">
        <is>
          <t>REAL_MILEAGE</t>
        </is>
      </c>
      <c r="H573" s="8" t="inlineStr">
        <is>
          <t>NONE</t>
        </is>
      </c>
      <c r="I573" s="11" t="n">
        <v>0</v>
      </c>
      <c r="J573" s="8" t="inlineStr">
        <is>
          <t>2026-04-06T22:28:23+09:00</t>
        </is>
      </c>
      <c r="K573" s="14" t="inlineStr">
        <is>
          <t>H23 ヴェルファイア 2.4Z-G ED 後期型 アルパインBIG-X 10インチナビ/両側PS/パワーバックドア/エグゼクティブシート/ETC 車検R8年12月迄</t>
        </is>
      </c>
      <c r="L573" s="8" t="inlineStr">
        <is>
          <t>https://page.auctions.yahoo.co.jp/jp/auction/f1222927179</t>
        </is>
      </c>
    </row>
    <row r="574">
      <c r="A574" s="13" t="inlineStr">
        <is>
          <t>ヴェルファイア</t>
        </is>
      </c>
      <c r="B574" s="13" t="n">
        <v>2011</v>
      </c>
      <c r="C574" s="13" t="inlineStr">
        <is>
          <t>20系</t>
        </is>
      </c>
      <c r="D574" s="15" t="n">
        <v>353000</v>
      </c>
      <c r="E574" s="13" t="n">
        <v>102</v>
      </c>
      <c r="F574" s="15" t="n">
        <v>201000</v>
      </c>
      <c r="G574" s="13" t="inlineStr">
        <is>
          <t>REAL_MILEAGE</t>
        </is>
      </c>
      <c r="H574" s="13" t="n"/>
      <c r="I574" s="15" t="n">
        <v>0</v>
      </c>
      <c r="J574" s="13" t="inlineStr">
        <is>
          <t>2026-03-30T21:07:26+09:00</t>
        </is>
      </c>
      <c r="K574" s="14" t="inlineStr">
        <is>
          <t>車検付トヨタヴェルファイア 2.4Z 4WD後期</t>
        </is>
      </c>
      <c r="L574" s="13" t="inlineStr">
        <is>
          <t>https://page.auctions.yahoo.co.jp/jp/auction/g1224501815</t>
        </is>
      </c>
    </row>
    <row r="575">
      <c r="A575" s="8" t="inlineStr">
        <is>
          <t>ヴェルファイア</t>
        </is>
      </c>
      <c r="B575" s="8" t="n">
        <v>2011</v>
      </c>
      <c r="C575" s="8" t="inlineStr">
        <is>
          <t>20系</t>
        </is>
      </c>
      <c r="D575" s="11" t="n">
        <v>480000</v>
      </c>
      <c r="E575" s="8" t="n">
        <v>1</v>
      </c>
      <c r="F575" s="11" t="n">
        <v>67826</v>
      </c>
      <c r="G575" s="8" t="inlineStr">
        <is>
          <t>REAL_MILEAGE</t>
        </is>
      </c>
      <c r="H575" s="8" t="n"/>
      <c r="I575" s="11" t="n">
        <v>0</v>
      </c>
      <c r="J575" s="8" t="inlineStr">
        <is>
          <t>2026-03-30T20:19:40+09:00</t>
        </is>
      </c>
      <c r="K575" s="14" t="inlineStr">
        <is>
          <t>ヴェルファイア　走行68,000キロ　個人出品</t>
        </is>
      </c>
      <c r="L575" s="8" t="inlineStr">
        <is>
          <t>https://page.auctions.yahoo.co.jp/jp/auction/q1223618543</t>
        </is>
      </c>
    </row>
    <row r="576">
      <c r="A576" s="13" t="inlineStr">
        <is>
          <t>ヴェルファイア</t>
        </is>
      </c>
      <c r="B576" s="13" t="n">
        <v>2011</v>
      </c>
      <c r="C576" s="13" t="inlineStr">
        <is>
          <t>20系</t>
        </is>
      </c>
      <c r="D576" s="15" t="n">
        <v>303000</v>
      </c>
      <c r="E576" s="13" t="n">
        <v>41</v>
      </c>
      <c r="F576" s="15" t="n">
        <v>169900</v>
      </c>
      <c r="G576" s="13" t="inlineStr">
        <is>
          <t>REAL_MILEAGE</t>
        </is>
      </c>
      <c r="H576" s="13" t="inlineStr">
        <is>
          <t>NONE</t>
        </is>
      </c>
      <c r="I576" s="15" t="n">
        <v>0</v>
      </c>
      <c r="J576" s="13" t="inlineStr">
        <is>
          <t>2026-03-27T21:53:49+09:00</t>
        </is>
      </c>
      <c r="K576" s="14" t="inlineStr">
        <is>
          <t>20ヴェルファイア2.4 23年タイプゴールド　車検付　売り切り</t>
        </is>
      </c>
      <c r="L576" s="13" t="inlineStr">
        <is>
          <t>https://page.auctions.yahoo.co.jp/jp/auction/v1223777226</t>
        </is>
      </c>
    </row>
    <row r="577">
      <c r="A577" s="8" t="inlineStr">
        <is>
          <t>ヴェルファイア</t>
        </is>
      </c>
      <c r="B577" s="8" t="n">
        <v>2011</v>
      </c>
      <c r="C577" s="8" t="inlineStr">
        <is>
          <t>20系</t>
        </is>
      </c>
      <c r="D577" s="11" t="n">
        <v>316000</v>
      </c>
      <c r="E577" s="8" t="n">
        <v>66</v>
      </c>
      <c r="F577" s="11" t="n">
        <v>169000</v>
      </c>
      <c r="G577" s="8" t="inlineStr">
        <is>
          <t>REAL_MILEAGE</t>
        </is>
      </c>
      <c r="H577" s="8" t="inlineStr">
        <is>
          <t>NONE</t>
        </is>
      </c>
      <c r="I577" s="11" t="n">
        <v>0</v>
      </c>
      <c r="J577" s="8" t="inlineStr">
        <is>
          <t>2026-03-22T10:16:16+09:00</t>
        </is>
      </c>
      <c r="K577" s="14" t="inlineStr">
        <is>
          <t>20ヴェルファイア2.4 23年タイプゴールド　車検付　売り切り</t>
        </is>
      </c>
      <c r="L577" s="8" t="inlineStr">
        <is>
          <t>https://page.auctions.yahoo.co.jp/jp/auction/l1222435953</t>
        </is>
      </c>
    </row>
    <row r="578">
      <c r="A578" s="13" t="inlineStr">
        <is>
          <t>ヴェルファイア</t>
        </is>
      </c>
      <c r="B578" s="13" t="n">
        <v>2010</v>
      </c>
      <c r="C578" s="13" t="inlineStr">
        <is>
          <t>20系</t>
        </is>
      </c>
      <c r="D578" s="15" t="n">
        <v>307000</v>
      </c>
      <c r="E578" s="13" t="n">
        <v>10</v>
      </c>
      <c r="F578" s="15" t="n">
        <v>161000</v>
      </c>
      <c r="G578" s="13" t="inlineStr">
        <is>
          <t>REAL_MILEAGE</t>
        </is>
      </c>
      <c r="H578" s="13" t="inlineStr">
        <is>
          <t>NONE</t>
        </is>
      </c>
      <c r="I578" s="15" t="n">
        <v>66860</v>
      </c>
      <c r="J578" s="13" t="inlineStr">
        <is>
          <t>2026-07-23T22:43:46+09:00</t>
        </is>
      </c>
      <c r="K578" s="14" t="inlineStr">
        <is>
          <t>車検9年8月 22年 ヴェルファイア 4WD 2.4Z ８人乗り（７ １人のゆとり）両側パワースライドドア 　エンジンオイル消費対策済みエンジン</t>
        </is>
      </c>
      <c r="L578" s="13" t="inlineStr">
        <is>
          <t>https://page.auctions.yahoo.co.jp/jp/auction/h1236447378</t>
        </is>
      </c>
    </row>
    <row r="579">
      <c r="A579" s="8" t="inlineStr">
        <is>
          <t>ヴェルファイア</t>
        </is>
      </c>
      <c r="B579" s="8" t="n">
        <v>2010</v>
      </c>
      <c r="C579" s="8" t="inlineStr">
        <is>
          <t>20系</t>
        </is>
      </c>
      <c r="D579" s="11" t="n">
        <v>333000</v>
      </c>
      <c r="E579" s="8" t="n">
        <v>46</v>
      </c>
      <c r="F579" s="11" t="n">
        <v>168000</v>
      </c>
      <c r="G579" s="8" t="inlineStr">
        <is>
          <t>REAL_MILEAGE</t>
        </is>
      </c>
      <c r="H579" s="8" t="inlineStr">
        <is>
          <t>NONE</t>
        </is>
      </c>
      <c r="I579" s="11" t="n">
        <v>0</v>
      </c>
      <c r="J579" s="8" t="inlineStr">
        <is>
          <t>2026-07-13T19:35:25+09:00</t>
        </is>
      </c>
      <c r="K579" s="14" t="inlineStr">
        <is>
          <t>埼玉県発 H22年式 トヨタ ヴェルファイア 2.4Z プラチナセレクションⅡ 車検付き</t>
        </is>
      </c>
      <c r="L579" s="8" t="inlineStr">
        <is>
          <t>https://page.auctions.yahoo.co.jp/jp/auction/p1236245103</t>
        </is>
      </c>
    </row>
    <row r="580">
      <c r="A580" s="13" t="inlineStr">
        <is>
          <t>ヴェルファイア</t>
        </is>
      </c>
      <c r="B580" s="13" t="n">
        <v>2010</v>
      </c>
      <c r="C580" s="13" t="inlineStr">
        <is>
          <t>20系</t>
        </is>
      </c>
      <c r="D580" s="15" t="n">
        <v>252000</v>
      </c>
      <c r="E580" s="13" t="n">
        <v>27</v>
      </c>
      <c r="F580" s="15" t="n">
        <v>238000</v>
      </c>
      <c r="G580" s="13" t="inlineStr">
        <is>
          <t>REAL_MILEAGE</t>
        </is>
      </c>
      <c r="H580" s="13" t="n"/>
      <c r="I580" s="15" t="n">
        <v>0</v>
      </c>
      <c r="J580" s="13" t="inlineStr">
        <is>
          <t>2026-07-12T22:40:21+09:00</t>
        </is>
      </c>
      <c r="K580" s="14" t="inlineStr">
        <is>
          <t>トヨタ　ヴェルファイア　プラチナセレクション　整備多数　安心して乗れます</t>
        </is>
      </c>
      <c r="L580" s="13" t="inlineStr">
        <is>
          <t>https://page.auctions.yahoo.co.jp/jp/auction/w1236086965</t>
        </is>
      </c>
    </row>
    <row r="581">
      <c r="A581" s="8" t="inlineStr">
        <is>
          <t>ヴェルファイア</t>
        </is>
      </c>
      <c r="B581" s="8" t="n">
        <v>2010</v>
      </c>
      <c r="C581" s="8" t="inlineStr">
        <is>
          <t>20系</t>
        </is>
      </c>
      <c r="D581" s="11" t="n">
        <v>551000</v>
      </c>
      <c r="E581" s="8" t="n">
        <v>63</v>
      </c>
      <c r="F581" s="11" t="n">
        <v>149520</v>
      </c>
      <c r="G581" s="8" t="inlineStr">
        <is>
          <t>REAL_MILEAGE</t>
        </is>
      </c>
      <c r="H581" s="8" t="inlineStr">
        <is>
          <t>NONE</t>
        </is>
      </c>
      <c r="I581" s="11" t="n">
        <v>48290</v>
      </c>
      <c r="J581" s="8" t="inlineStr">
        <is>
          <t>2026-07-02T21:47:27+09:00</t>
        </is>
      </c>
      <c r="K581" s="14" t="inlineStr">
        <is>
          <t>すぐ乗り・大人気・ヴェルファイア・2.4Zプラチナセレクション・ワンオーナー・ナビ・ＴＶ・両側パワスラ・サンルーフ・車検令和9年3月</t>
        </is>
      </c>
      <c r="L581" s="8" t="inlineStr">
        <is>
          <t>https://page.auctions.yahoo.co.jp/jp/auction/q1234536307</t>
        </is>
      </c>
    </row>
    <row r="582">
      <c r="A582" s="13" t="inlineStr">
        <is>
          <t>ヴェルファイア</t>
        </is>
      </c>
      <c r="B582" s="13" t="n">
        <v>2010</v>
      </c>
      <c r="C582" s="13" t="inlineStr">
        <is>
          <t>20系</t>
        </is>
      </c>
      <c r="D582" s="15" t="n">
        <v>330000</v>
      </c>
      <c r="E582" s="13" t="n">
        <v>55</v>
      </c>
      <c r="F582" s="15" t="n">
        <v>131750</v>
      </c>
      <c r="G582" s="13" t="inlineStr">
        <is>
          <t>REAL_MILEAGE</t>
        </is>
      </c>
      <c r="H582" s="13" t="n"/>
      <c r="I582" s="15" t="n">
        <v>20000</v>
      </c>
      <c r="J582" s="13" t="inlineStr">
        <is>
          <t>2026-06-30T22:54:21+09:00</t>
        </is>
      </c>
      <c r="K582" s="14" t="inlineStr">
        <is>
          <t>★☆ 1円売り切り！平成22年 ヴェルファイア 131,750km 車検令和8年10月まで！即戦力ミニバン！☆★</t>
        </is>
      </c>
      <c r="L582" s="13" t="inlineStr">
        <is>
          <t>https://page.auctions.yahoo.co.jp/jp/auction/w1234878249</t>
        </is>
      </c>
    </row>
    <row r="583">
      <c r="A583" s="8" t="inlineStr">
        <is>
          <t>ヴェルファイア</t>
        </is>
      </c>
      <c r="B583" s="8" t="n">
        <v>2010</v>
      </c>
      <c r="C583" s="8" t="inlineStr">
        <is>
          <t>20系</t>
        </is>
      </c>
      <c r="D583" s="11" t="n">
        <v>358000</v>
      </c>
      <c r="E583" s="8" t="n">
        <v>1</v>
      </c>
      <c r="F583" s="11" t="n">
        <v>196000</v>
      </c>
      <c r="G583" s="8" t="inlineStr">
        <is>
          <t>REAL_MILEAGE</t>
        </is>
      </c>
      <c r="H583" s="8" t="inlineStr">
        <is>
          <t>NONE</t>
        </is>
      </c>
      <c r="I583" s="11" t="n">
        <v>0</v>
      </c>
      <c r="J583" s="8" t="inlineStr">
        <is>
          <t>2026-06-08T05:05:44+09:00</t>
        </is>
      </c>
      <c r="K583" s="14" t="inlineStr">
        <is>
          <t>ヴェルファイア 2.4 Z プラチナセレクションII 社外ナビフルセグバックカメラ両側電動スラ</t>
        </is>
      </c>
      <c r="L583" s="8" t="inlineStr">
        <is>
          <t>https://page.auctions.yahoo.co.jp/jp/auction/n1231334750</t>
        </is>
      </c>
    </row>
    <row r="584">
      <c r="A584" s="13" t="inlineStr">
        <is>
          <t>ヴェルファイア</t>
        </is>
      </c>
      <c r="B584" s="13" t="n">
        <v>2010</v>
      </c>
      <c r="C584" s="13" t="inlineStr">
        <is>
          <t>20系</t>
        </is>
      </c>
      <c r="D584" s="15" t="n">
        <v>325777</v>
      </c>
      <c r="E584" s="13" t="n">
        <v>1</v>
      </c>
      <c r="F584" s="15" t="n">
        <v>111850</v>
      </c>
      <c r="G584" s="13" t="inlineStr">
        <is>
          <t>REAL_MILEAGE</t>
        </is>
      </c>
      <c r="H584" s="13" t="n"/>
      <c r="I584" s="15" t="n">
        <v>0</v>
      </c>
      <c r="J584" s="13" t="inlineStr">
        <is>
          <t>2026-06-06T21:15:17+09:00</t>
        </is>
      </c>
      <c r="K584" s="14" t="inlineStr">
        <is>
          <t>トヨタ　ヴェルファイア　2.4Z　プラチナセレクション</t>
        </is>
      </c>
      <c r="L584" s="13" t="inlineStr">
        <is>
          <t>https://page.auctions.yahoo.co.jp/jp/auction/w1213414125</t>
        </is>
      </c>
    </row>
    <row r="585">
      <c r="A585" s="8" t="inlineStr">
        <is>
          <t>ヴェルファイア</t>
        </is>
      </c>
      <c r="B585" s="8" t="n">
        <v>2010</v>
      </c>
      <c r="C585" s="8" t="inlineStr">
        <is>
          <t>20系</t>
        </is>
      </c>
      <c r="D585" s="11" t="n">
        <v>428000</v>
      </c>
      <c r="E585" s="8" t="n">
        <v>1</v>
      </c>
      <c r="F585" s="11" t="n">
        <v>106789</v>
      </c>
      <c r="G585" s="8" t="inlineStr">
        <is>
          <t>REAL_MILEAGE</t>
        </is>
      </c>
      <c r="H585" s="8" t="inlineStr">
        <is>
          <t>EXISTS</t>
        </is>
      </c>
      <c r="I585" s="11" t="n">
        <v>0</v>
      </c>
      <c r="J585" s="8" t="inlineStr">
        <is>
          <t>2026-05-29T12:27:13+09:00</t>
        </is>
      </c>
      <c r="K585" s="14" t="inlineStr">
        <is>
          <t>◇22年ヴェルファイア・2.4Zプラチナセレ・乗り出し総額55.6万円◇実走行１０万キロ/フリップダウン/フルセグTV/両側＋バック電動ドア/ETC</t>
        </is>
      </c>
      <c r="L585" s="8" t="inlineStr">
        <is>
          <t>https://page.auctions.yahoo.co.jp/jp/auction/c1230395513</t>
        </is>
      </c>
    </row>
    <row r="586">
      <c r="A586" s="13" t="inlineStr">
        <is>
          <t>ヴェルファイア</t>
        </is>
      </c>
      <c r="B586" s="13" t="n">
        <v>2010</v>
      </c>
      <c r="C586" s="13" t="inlineStr">
        <is>
          <t>20系</t>
        </is>
      </c>
      <c r="D586" s="15" t="n">
        <v>380000</v>
      </c>
      <c r="E586" s="13" t="n">
        <v>1</v>
      </c>
      <c r="F586" s="15" t="n">
        <v>191000</v>
      </c>
      <c r="G586" s="13" t="inlineStr">
        <is>
          <t>REAL_MILEAGE</t>
        </is>
      </c>
      <c r="H586" s="13" t="inlineStr">
        <is>
          <t>NONE</t>
        </is>
      </c>
      <c r="I586" s="15" t="n">
        <v>0</v>
      </c>
      <c r="J586" s="13" t="inlineStr">
        <is>
          <t>2026-05-27T20:50:08+09:00</t>
        </is>
      </c>
      <c r="K586" s="14" t="inlineStr">
        <is>
          <t>ヴェルファイア 2.4 Z プラチナセレクションII ETC 両側電動スライドドア　電動リヤゲート</t>
        </is>
      </c>
      <c r="L586" s="13" t="inlineStr">
        <is>
          <t>https://page.auctions.yahoo.co.jp/jp/auction/k1225714626</t>
        </is>
      </c>
    </row>
    <row r="587">
      <c r="A587" s="8" t="inlineStr">
        <is>
          <t>ヴェルファイア</t>
        </is>
      </c>
      <c r="B587" s="8" t="n">
        <v>2010</v>
      </c>
      <c r="C587" s="8" t="inlineStr">
        <is>
          <t>20系</t>
        </is>
      </c>
      <c r="D587" s="11" t="n">
        <v>358000</v>
      </c>
      <c r="E587" s="8" t="n">
        <v>1</v>
      </c>
      <c r="F587" s="11" t="n">
        <v>196000</v>
      </c>
      <c r="G587" s="8" t="inlineStr">
        <is>
          <t>REAL_MILEAGE</t>
        </is>
      </c>
      <c r="H587" s="8" t="inlineStr">
        <is>
          <t>NONE</t>
        </is>
      </c>
      <c r="I587" s="11" t="n">
        <v>0</v>
      </c>
      <c r="J587" s="8" t="inlineStr">
        <is>
          <t>2026-05-21T11:21:00+09:00</t>
        </is>
      </c>
      <c r="K587" s="14" t="inlineStr">
        <is>
          <t>ヴェルファイア 2.4 Z プラチナセレクションII 社外ナビフルセグバックカメラ両側電動スラ</t>
        </is>
      </c>
      <c r="L587" s="8" t="inlineStr">
        <is>
          <t>https://page.auctions.yahoo.co.jp/jp/auction/j1222986845</t>
        </is>
      </c>
    </row>
    <row r="588">
      <c r="A588" s="13" t="inlineStr">
        <is>
          <t>ヴェルファイア</t>
        </is>
      </c>
      <c r="B588" s="13" t="n">
        <v>2010</v>
      </c>
      <c r="C588" s="13" t="inlineStr">
        <is>
          <t>20系</t>
        </is>
      </c>
      <c r="D588" s="15" t="n">
        <v>404000</v>
      </c>
      <c r="E588" s="13" t="n">
        <v>17</v>
      </c>
      <c r="F588" s="15" t="n">
        <v>129000</v>
      </c>
      <c r="G588" s="13" t="inlineStr">
        <is>
          <t>REAL_MILEAGE</t>
        </is>
      </c>
      <c r="H588" s="13" t="inlineStr">
        <is>
          <t>NONE</t>
        </is>
      </c>
      <c r="I588" s="15" t="n">
        <v>0</v>
      </c>
      <c r="J588" s="13" t="inlineStr">
        <is>
          <t>2026-05-13T19:12:46+09:00</t>
        </is>
      </c>
      <c r="K588" s="14" t="inlineStr">
        <is>
          <t>トヨタ　ヴェルファイア 2.4 高級車　綺麗車　高グレード　サンルーフ付き　ETC. バックカメラ　両方パワードア　パワートランク キー2つ</t>
        </is>
      </c>
      <c r="L588" s="13" t="inlineStr">
        <is>
          <t>https://page.auctions.yahoo.co.jp/jp/auction/d1229327603</t>
        </is>
      </c>
    </row>
    <row r="589">
      <c r="A589" s="8" t="inlineStr">
        <is>
          <t>ヴェルファイア</t>
        </is>
      </c>
      <c r="B589" s="8" t="n">
        <v>2010</v>
      </c>
      <c r="C589" s="8" t="inlineStr">
        <is>
          <t>20系</t>
        </is>
      </c>
      <c r="D589" s="11" t="n">
        <v>404000</v>
      </c>
      <c r="E589" s="8" t="n">
        <v>243</v>
      </c>
      <c r="F589" s="11" t="n">
        <v>220400</v>
      </c>
      <c r="G589" s="8" t="inlineStr">
        <is>
          <t>REAL_MILEAGE</t>
        </is>
      </c>
      <c r="H589" s="8" t="inlineStr">
        <is>
          <t>NONE</t>
        </is>
      </c>
      <c r="I589" s="11" t="n">
        <v>0</v>
      </c>
      <c r="J589" s="8" t="inlineStr">
        <is>
          <t>2026-05-07T21:18:06+09:00</t>
        </is>
      </c>
      <c r="K589" s="14" t="inlineStr">
        <is>
          <t>トヨタ　ヴェルファイア　プラチナセレクションⅡ　切り替え4WD 車検9年10月まで　ナビ　ETC バックカメラドライブレコーダー付き　7人乗り</t>
        </is>
      </c>
      <c r="L589" s="8" t="inlineStr">
        <is>
          <t>https://page.auctions.yahoo.co.jp/jp/auction/x1228755242</t>
        </is>
      </c>
    </row>
    <row r="590">
      <c r="A590" s="13" t="inlineStr">
        <is>
          <t>ヴェルファイア</t>
        </is>
      </c>
      <c r="B590" s="13" t="n">
        <v>2010</v>
      </c>
      <c r="C590" s="13" t="inlineStr">
        <is>
          <t>20系</t>
        </is>
      </c>
      <c r="D590" s="15" t="n">
        <v>428000</v>
      </c>
      <c r="E590" s="13" t="n">
        <v>50</v>
      </c>
      <c r="F590" s="15" t="n">
        <v>119591</v>
      </c>
      <c r="G590" s="13" t="inlineStr">
        <is>
          <t>REAL_MILEAGE</t>
        </is>
      </c>
      <c r="H590" s="13" t="n"/>
      <c r="I590" s="15" t="n">
        <v>0</v>
      </c>
      <c r="J590" s="13" t="inlineStr">
        <is>
          <t>2026-05-06T21:23:45+09:00</t>
        </is>
      </c>
      <c r="K590" s="14" t="inlineStr">
        <is>
          <t>TOYOTA　ヴェルファイア　グレード　2.4X 車検あり！</t>
        </is>
      </c>
      <c r="L590" s="13" t="inlineStr">
        <is>
          <t>https://page.auctions.yahoo.co.jp/jp/auction/e1228606448</t>
        </is>
      </c>
    </row>
    <row r="591">
      <c r="A591" s="8" t="inlineStr">
        <is>
          <t>ヴェルファイア</t>
        </is>
      </c>
      <c r="B591" s="8" t="n">
        <v>2010</v>
      </c>
      <c r="C591" s="8" t="inlineStr">
        <is>
          <t>20系</t>
        </is>
      </c>
      <c r="D591" s="11" t="n">
        <v>500000</v>
      </c>
      <c r="E591" s="8" t="n">
        <v>1</v>
      </c>
      <c r="F591" s="11" t="n">
        <v>137000</v>
      </c>
      <c r="G591" s="8" t="inlineStr">
        <is>
          <t>REAL_MILEAGE</t>
        </is>
      </c>
      <c r="H591" s="8" t="inlineStr">
        <is>
          <t>NONE</t>
        </is>
      </c>
      <c r="I591" s="11" t="n">
        <v>0</v>
      </c>
      <c r="J591" s="8" t="inlineStr">
        <is>
          <t>2026-04-20T11:44:32+09:00</t>
        </is>
      </c>
      <c r="K591" s="14" t="inlineStr">
        <is>
          <t>トヨタ　20 ヴェルファイアV L 3.5L 7人乗り　4WD</t>
        </is>
      </c>
      <c r="L591" s="8" t="inlineStr">
        <is>
          <t>https://page.auctions.yahoo.co.jp/jp/auction/x1224904670</t>
        </is>
      </c>
    </row>
    <row r="592">
      <c r="A592" s="13" t="inlineStr">
        <is>
          <t>ヴェルファイア</t>
        </is>
      </c>
      <c r="B592" s="13" t="n">
        <v>2010</v>
      </c>
      <c r="C592" s="13" t="inlineStr">
        <is>
          <t>20系</t>
        </is>
      </c>
      <c r="D592" s="15" t="n">
        <v>380000</v>
      </c>
      <c r="E592" s="13" t="n">
        <v>102</v>
      </c>
      <c r="F592" s="15" t="n">
        <v>124000</v>
      </c>
      <c r="G592" s="13" t="inlineStr">
        <is>
          <t>REAL_MILEAGE</t>
        </is>
      </c>
      <c r="H592" s="13" t="inlineStr">
        <is>
          <t>NONE</t>
        </is>
      </c>
      <c r="I592" s="15" t="n">
        <v>0</v>
      </c>
      <c r="J592" s="13" t="inlineStr">
        <is>
          <t>2026-03-30T22:01:55+09:00</t>
        </is>
      </c>
      <c r="K592" s="14" t="inlineStr">
        <is>
          <t>トヨタ ヴェルファイア ANH20W 2.4Z 8人乗り 車検長い 美車</t>
        </is>
      </c>
      <c r="L592" s="13" t="inlineStr">
        <is>
          <t>https://page.auctions.yahoo.co.jp/jp/auction/n1224280594</t>
        </is>
      </c>
    </row>
    <row r="593">
      <c r="A593" s="8" t="inlineStr">
        <is>
          <t>ヴェルファイア</t>
        </is>
      </c>
      <c r="B593" s="8" t="n">
        <v>2010</v>
      </c>
      <c r="C593" s="8" t="inlineStr">
        <is>
          <t>20系</t>
        </is>
      </c>
      <c r="D593" s="11" t="n">
        <v>400000</v>
      </c>
      <c r="E593" s="8" t="n">
        <v>1</v>
      </c>
      <c r="F593" s="11" t="n">
        <v>178784</v>
      </c>
      <c r="G593" s="8" t="inlineStr">
        <is>
          <t>REAL_MILEAGE</t>
        </is>
      </c>
      <c r="H593" s="8" t="inlineStr">
        <is>
          <t>NONE</t>
        </is>
      </c>
      <c r="I593" s="11" t="n">
        <v>0</v>
      </c>
      <c r="J593" s="8" t="inlineStr">
        <is>
          <t>2026-03-29T22:21:32+09:00</t>
        </is>
      </c>
      <c r="K593" s="14" t="inlineStr">
        <is>
          <t>☆H22/ヴェルファイアANH20Wの特別仕様車プラチナセレクションⅡ牽引車/車検長い・法定費用込みです。</t>
        </is>
      </c>
      <c r="L593" s="8" t="inlineStr">
        <is>
          <t>https://page.auctions.yahoo.co.jp/jp/auction/p1222998849</t>
        </is>
      </c>
    </row>
    <row r="594">
      <c r="A594" s="13" t="inlineStr">
        <is>
          <t>ヴェルファイア</t>
        </is>
      </c>
      <c r="B594" s="13" t="n">
        <v>2010</v>
      </c>
      <c r="C594" s="13" t="inlineStr">
        <is>
          <t>20系</t>
        </is>
      </c>
      <c r="D594" s="15" t="n">
        <v>500000</v>
      </c>
      <c r="E594" s="13" t="n">
        <v>1</v>
      </c>
      <c r="F594" s="15" t="n">
        <v>115000</v>
      </c>
      <c r="G594" s="13" t="inlineStr">
        <is>
          <t>REAL_MILEAGE</t>
        </is>
      </c>
      <c r="H594" s="13" t="inlineStr">
        <is>
          <t>NONE</t>
        </is>
      </c>
      <c r="I594" s="15" t="n">
        <v>0</v>
      </c>
      <c r="J594" s="13" t="inlineStr">
        <is>
          <t>2026-03-13T22:01:04+09:00</t>
        </is>
      </c>
      <c r="K594" s="14" t="inlineStr">
        <is>
          <t>最終出品！トヨタ ヴェルファイア ワンオーナー 個人 諸費用無 社外バンパー マフラー 純正パーツ有　無事故 実走行11.5万 7人乗り</t>
        </is>
      </c>
      <c r="L594" s="13" t="inlineStr">
        <is>
          <t>https://page.auctions.yahoo.co.jp/jp/auction/r1220796660</t>
        </is>
      </c>
    </row>
    <row r="595">
      <c r="A595" s="8" t="inlineStr">
        <is>
          <t>ヴェルファイア</t>
        </is>
      </c>
      <c r="B595" s="8" t="n">
        <v>2010</v>
      </c>
      <c r="C595" s="8" t="inlineStr">
        <is>
          <t>20系</t>
        </is>
      </c>
      <c r="D595" s="11" t="n">
        <v>459000</v>
      </c>
      <c r="E595" s="8" t="n">
        <v>1</v>
      </c>
      <c r="F595" s="11" t="n">
        <v>108965</v>
      </c>
      <c r="G595" s="8" t="inlineStr">
        <is>
          <t>REAL_MILEAGE</t>
        </is>
      </c>
      <c r="H595" s="8" t="inlineStr">
        <is>
          <t>NONE</t>
        </is>
      </c>
      <c r="I595" s="11" t="n">
        <v>0</v>
      </c>
      <c r="J595" s="8" t="inlineStr">
        <is>
          <t>2026-03-05T17:49:12+09:00</t>
        </is>
      </c>
      <c r="K595" s="14" t="inlineStr">
        <is>
          <t>陸送50%OFF●カーズ大阪●車検2年付●22年ヴェルファイア白2.4Zプラチナセレクション●プッシュスタート●3B1635</t>
        </is>
      </c>
      <c r="L595" s="8" t="inlineStr">
        <is>
          <t>https://page.auctions.yahoo.co.jp/jp/auction/r1221758866</t>
        </is>
      </c>
    </row>
    <row r="596">
      <c r="A596" s="13" t="inlineStr">
        <is>
          <t>ヴェルファイア</t>
        </is>
      </c>
      <c r="B596" s="13" t="n">
        <v>2009</v>
      </c>
      <c r="C596" s="13" t="inlineStr">
        <is>
          <t>20系</t>
        </is>
      </c>
      <c r="D596" s="15" t="n">
        <v>254000</v>
      </c>
      <c r="E596" s="13" t="n">
        <v>106</v>
      </c>
      <c r="F596" s="15" t="n">
        <v>149900</v>
      </c>
      <c r="G596" s="13" t="inlineStr">
        <is>
          <t>REAL_MILEAGE</t>
        </is>
      </c>
      <c r="H596" s="13" t="inlineStr">
        <is>
          <t>NONE</t>
        </is>
      </c>
      <c r="I596" s="15" t="n">
        <v>18290</v>
      </c>
      <c r="J596" s="13" t="inlineStr">
        <is>
          <t>2026-08-17T22:04:49+09:00</t>
        </is>
      </c>
      <c r="K596" s="14" t="inlineStr">
        <is>
          <t>売切 仙台発 H21 ヴェルファイア 2.4Z 4WD 7人乗り ナビTV Bカメラ パワスラ スマートキー ETC 社外グリル 黒</t>
        </is>
      </c>
      <c r="L596" s="13" t="inlineStr">
        <is>
          <t>https://page.auctions.yahoo.co.jp/jp/auction/d1240574564</t>
        </is>
      </c>
    </row>
    <row r="597">
      <c r="A597" s="8" t="inlineStr">
        <is>
          <t>ヴェルファイア</t>
        </is>
      </c>
      <c r="B597" s="8" t="n">
        <v>2009</v>
      </c>
      <c r="C597" s="8" t="inlineStr">
        <is>
          <t>20系</t>
        </is>
      </c>
      <c r="D597" s="11" t="n">
        <v>266000</v>
      </c>
      <c r="E597" s="8" t="n">
        <v>22</v>
      </c>
      <c r="F597" s="11" t="n">
        <v>148690</v>
      </c>
      <c r="G597" s="8" t="inlineStr">
        <is>
          <t>REAL_MILEAGE</t>
        </is>
      </c>
      <c r="H597" s="8" t="inlineStr">
        <is>
          <t>NONE</t>
        </is>
      </c>
      <c r="I597" s="11" t="n">
        <v>48290</v>
      </c>
      <c r="J597" s="8" t="inlineStr">
        <is>
          <t>2026-08-03T20:08:46+09:00</t>
        </is>
      </c>
      <c r="K597" s="14" t="inlineStr">
        <is>
          <t>★長野県★平成21年 トヨタ ヴェルファイア ANH20 車検Ｒ10年3月まで ※ルーフ塗装剥がれ有り 個人出品</t>
        </is>
      </c>
      <c r="L597" s="8" t="inlineStr">
        <is>
          <t>https://page.auctions.yahoo.co.jp/jp/auction/g1237766864</t>
        </is>
      </c>
    </row>
    <row r="598">
      <c r="A598" s="13" t="inlineStr">
        <is>
          <t>ヴェルファイア</t>
        </is>
      </c>
      <c r="B598" s="13" t="n">
        <v>2009</v>
      </c>
      <c r="C598" s="13" t="inlineStr">
        <is>
          <t>20系</t>
        </is>
      </c>
      <c r="D598" s="15" t="n">
        <v>226000</v>
      </c>
      <c r="E598" s="13" t="n">
        <v>69</v>
      </c>
      <c r="F598" s="15" t="n">
        <v>130260</v>
      </c>
      <c r="G598" s="13" t="inlineStr">
        <is>
          <t>REAL_MILEAGE</t>
        </is>
      </c>
      <c r="H598" s="13" t="inlineStr">
        <is>
          <t>NONE</t>
        </is>
      </c>
      <c r="I598" s="15" t="n">
        <v>28290</v>
      </c>
      <c r="J598" s="13" t="inlineStr">
        <is>
          <t>2026-07-26T21:34:51+09:00</t>
        </is>
      </c>
      <c r="K598" s="14" t="inlineStr">
        <is>
          <t>予備検査付！ヴェルファイア 3.5Z プラチナセレクション★豪華カスタムパープルインテリア 柿本マフラー KRANZE 20AW システムコンソール★</t>
        </is>
      </c>
      <c r="L598" s="13" t="inlineStr">
        <is>
          <t>https://page.auctions.yahoo.co.jp/jp/auction/e1236957873</t>
        </is>
      </c>
    </row>
    <row r="599">
      <c r="A599" s="8" t="inlineStr">
        <is>
          <t>ヴェルファイア</t>
        </is>
      </c>
      <c r="B599" s="8" t="n">
        <v>2009</v>
      </c>
      <c r="C599" s="8" t="inlineStr">
        <is>
          <t>20系</t>
        </is>
      </c>
      <c r="D599" s="11" t="n">
        <v>281000</v>
      </c>
      <c r="E599" s="8" t="n">
        <v>23</v>
      </c>
      <c r="F599" s="11" t="n">
        <v>220000</v>
      </c>
      <c r="G599" s="8" t="inlineStr">
        <is>
          <t>REAL_MILEAGE</t>
        </is>
      </c>
      <c r="H599" s="8" t="inlineStr">
        <is>
          <t>NONE</t>
        </is>
      </c>
      <c r="I599" s="11" t="n">
        <v>18290</v>
      </c>
      <c r="J599" s="8" t="inlineStr">
        <is>
          <t>2026-07-26T21:08:43+09:00</t>
        </is>
      </c>
      <c r="K599" s="14" t="inlineStr">
        <is>
          <t>ヴェルファイア　車検付き</t>
        </is>
      </c>
      <c r="L599" s="8" t="inlineStr">
        <is>
          <t>https://page.auctions.yahoo.co.jp/jp/auction/h1237049316</t>
        </is>
      </c>
    </row>
    <row r="600">
      <c r="A600" s="13" t="inlineStr">
        <is>
          <t>ヴェルファイア</t>
        </is>
      </c>
      <c r="B600" s="13" t="n">
        <v>2009</v>
      </c>
      <c r="C600" s="13" t="inlineStr">
        <is>
          <t>20系</t>
        </is>
      </c>
      <c r="D600" s="15" t="n">
        <v>340000</v>
      </c>
      <c r="E600" s="13" t="n">
        <v>1</v>
      </c>
      <c r="F600" s="15" t="n">
        <v>127100</v>
      </c>
      <c r="G600" s="13" t="inlineStr">
        <is>
          <t>REAL_MILEAGE</t>
        </is>
      </c>
      <c r="H600" s="13" t="inlineStr">
        <is>
          <t>NONE</t>
        </is>
      </c>
      <c r="I600" s="15" t="n">
        <v>128290</v>
      </c>
      <c r="J600" s="13" t="inlineStr">
        <is>
          <t>2026-07-20T20:14:27+09:00</t>
        </is>
      </c>
      <c r="K600" s="14" t="inlineStr">
        <is>
          <t>トヨタ ヴェルファイア 2.4Z プラチナセレクション 車検2年付き</t>
        </is>
      </c>
      <c r="L600" s="13" t="inlineStr">
        <is>
          <t>https://page.auctions.yahoo.co.jp/jp/auction/j1237045384</t>
        </is>
      </c>
    </row>
    <row r="601">
      <c r="A601" s="8" t="inlineStr">
        <is>
          <t>ヴェルファイア</t>
        </is>
      </c>
      <c r="B601" s="8" t="n">
        <v>2009</v>
      </c>
      <c r="C601" s="8" t="inlineStr">
        <is>
          <t>20系</t>
        </is>
      </c>
      <c r="D601" s="11" t="n">
        <v>262000</v>
      </c>
      <c r="E601" s="8" t="n">
        <v>58</v>
      </c>
      <c r="F601" s="11" t="n">
        <v>110625</v>
      </c>
      <c r="G601" s="8" t="inlineStr">
        <is>
          <t>REAL_MILEAGE</t>
        </is>
      </c>
      <c r="H601" s="8" t="inlineStr">
        <is>
          <t>NONE</t>
        </is>
      </c>
      <c r="I601" s="11" t="n">
        <v>18290</v>
      </c>
      <c r="J601" s="8" t="inlineStr">
        <is>
          <t>2026-07-19T21:38:32+09:00</t>
        </is>
      </c>
      <c r="K601" s="14" t="inlineStr">
        <is>
          <t>【1円スタート】H21年 ヴェルファイア 2.4 Z★希少8人乗り★走行11.1万km★ナビ/TV/フリップダウンM/ETC/Bカメラ/2キー/コーナーセンサー★</t>
        </is>
      </c>
      <c r="L601" s="8" t="inlineStr">
        <is>
          <t>https://page.auctions.yahoo.co.jp/jp/auction/e1236743159</t>
        </is>
      </c>
    </row>
    <row r="602">
      <c r="A602" s="13" t="inlineStr">
        <is>
          <t>ヴェルファイア</t>
        </is>
      </c>
      <c r="B602" s="13" t="n">
        <v>2009</v>
      </c>
      <c r="C602" s="13" t="inlineStr">
        <is>
          <t>20系</t>
        </is>
      </c>
      <c r="D602" s="15" t="n">
        <v>362000</v>
      </c>
      <c r="E602" s="13" t="n">
        <v>68</v>
      </c>
      <c r="F602" s="15" t="n">
        <v>80695</v>
      </c>
      <c r="G602" s="13" t="inlineStr">
        <is>
          <t>REAL_MILEAGE</t>
        </is>
      </c>
      <c r="H602" s="13" t="inlineStr">
        <is>
          <t>NONE</t>
        </is>
      </c>
      <c r="I602" s="15" t="n">
        <v>18290</v>
      </c>
      <c r="J602" s="13" t="inlineStr">
        <is>
          <t>2026-07-19T21:36:36+09:00</t>
        </is>
      </c>
      <c r="K602" s="14" t="inlineStr">
        <is>
          <t>【低走行】H21年 ヴェルファイア 2.4 Z★低走行8万km★両側パワスラ★純正ナビ/TV/後席M/Bカメラ/前後センサー/2キー/高級メッキ深リム付</t>
        </is>
      </c>
      <c r="L602" s="13" t="inlineStr">
        <is>
          <t>https://page.auctions.yahoo.co.jp/jp/auction/q1236726382</t>
        </is>
      </c>
    </row>
    <row r="603">
      <c r="A603" s="8" t="inlineStr">
        <is>
          <t>ヴェルファイア</t>
        </is>
      </c>
      <c r="B603" s="8" t="n">
        <v>2009</v>
      </c>
      <c r="C603" s="8" t="inlineStr">
        <is>
          <t>20系</t>
        </is>
      </c>
      <c r="D603" s="11" t="n">
        <v>418000</v>
      </c>
      <c r="E603" s="8" t="n">
        <v>1</v>
      </c>
      <c r="F603" s="11" t="n">
        <v>94144</v>
      </c>
      <c r="G603" s="8" t="inlineStr">
        <is>
          <t>REAL_MILEAGE</t>
        </is>
      </c>
      <c r="H603" s="8" t="inlineStr">
        <is>
          <t>EXISTS</t>
        </is>
      </c>
      <c r="I603" s="11" t="n">
        <v>18290</v>
      </c>
      <c r="J603" s="8" t="inlineStr">
        <is>
          <t>2026-07-14T21:54:50+09:00</t>
        </is>
      </c>
      <c r="K603" s="14" t="inlineStr">
        <is>
          <t>◇21年ヴェルファイア・2.4Zプラチナセレ・乗り出し総額54万円◇実走行9万キロ/ツインムーンルーフ/フリップダウン/フルセグTV/両電動ドア</t>
        </is>
      </c>
      <c r="L603" s="8" t="inlineStr">
        <is>
          <t>https://page.auctions.yahoo.co.jp/jp/auction/x1235883241</t>
        </is>
      </c>
    </row>
    <row r="604">
      <c r="A604" s="13" t="inlineStr">
        <is>
          <t>ヴェルファイア</t>
        </is>
      </c>
      <c r="B604" s="13" t="n">
        <v>2009</v>
      </c>
      <c r="C604" s="13" t="inlineStr">
        <is>
          <t>20系</t>
        </is>
      </c>
      <c r="D604" s="15" t="n">
        <v>360000</v>
      </c>
      <c r="E604" s="13" t="n">
        <v>27</v>
      </c>
      <c r="F604" s="15" t="n">
        <v>112805</v>
      </c>
      <c r="G604" s="13" t="inlineStr">
        <is>
          <t>REAL_MILEAGE</t>
        </is>
      </c>
      <c r="H604" s="13" t="inlineStr">
        <is>
          <t>NONE</t>
        </is>
      </c>
      <c r="I604" s="15" t="n">
        <v>91160</v>
      </c>
      <c r="J604" s="13" t="inlineStr">
        <is>
          <t>2026-07-09T20:46:59+09:00</t>
        </is>
      </c>
      <c r="K604" s="14" t="inlineStr">
        <is>
          <t>【売切】積雪地方必須の４WDモデル！ヴェルファイア3.5Z プラチナSE 車検有（R8/10月迄）</t>
        </is>
      </c>
      <c r="L604" s="13" t="inlineStr">
        <is>
          <t>https://page.auctions.yahoo.co.jp/jp/auction/v1235084324</t>
        </is>
      </c>
    </row>
    <row r="605">
      <c r="A605" s="8" t="inlineStr">
        <is>
          <t>ヴェルファイア</t>
        </is>
      </c>
      <c r="B605" s="8" t="n">
        <v>2009</v>
      </c>
      <c r="C605" s="8" t="inlineStr">
        <is>
          <t>20系</t>
        </is>
      </c>
      <c r="D605" s="11" t="n">
        <v>200000</v>
      </c>
      <c r="E605" s="8" t="n">
        <v>2</v>
      </c>
      <c r="F605" s="11" t="n">
        <v>130300</v>
      </c>
      <c r="G605" s="8" t="inlineStr">
        <is>
          <t>REAL_MILEAGE</t>
        </is>
      </c>
      <c r="H605" s="8" t="inlineStr">
        <is>
          <t>NONE</t>
        </is>
      </c>
      <c r="I605" s="11" t="n">
        <v>0</v>
      </c>
      <c r="J605" s="8" t="inlineStr">
        <is>
          <t>2026-07-07T22:24:37+09:00</t>
        </is>
      </c>
      <c r="K605" s="14" t="inlineStr">
        <is>
          <t>売切！好調！H21年式トヨタヴェルファイア・フリップダウンモニター・両側オートスライド・走行13万km・車検R8年11月末迄・ANH20系2.4L.DVD</t>
        </is>
      </c>
      <c r="L605" s="8" t="inlineStr">
        <is>
          <t>https://page.auctions.yahoo.co.jp/jp/auction/m1236034520</t>
        </is>
      </c>
    </row>
    <row r="606">
      <c r="A606" s="13" t="inlineStr">
        <is>
          <t>ヴェルファイア</t>
        </is>
      </c>
      <c r="B606" s="13" t="n">
        <v>2009</v>
      </c>
      <c r="C606" s="13" t="inlineStr">
        <is>
          <t>20系</t>
        </is>
      </c>
      <c r="D606" s="15" t="n">
        <v>470000</v>
      </c>
      <c r="E606" s="13" t="n">
        <v>42</v>
      </c>
      <c r="F606" s="15" t="n">
        <v>75726</v>
      </c>
      <c r="G606" s="13" t="inlineStr">
        <is>
          <t>REAL_MILEAGE</t>
        </is>
      </c>
      <c r="H606" s="13" t="inlineStr">
        <is>
          <t>NONE</t>
        </is>
      </c>
      <c r="I606" s="15" t="n">
        <v>0</v>
      </c>
      <c r="J606" s="13" t="inlineStr">
        <is>
          <t>2026-07-07T22:24:24+09:00</t>
        </is>
      </c>
      <c r="K606" s="14" t="inlineStr">
        <is>
          <t>トヨタ　ヴェルファイア　ハイパワーの3.5V Lエディション 両側電動ドア、電動リアゲート</t>
        </is>
      </c>
      <c r="L606" s="13" t="inlineStr">
        <is>
          <t>https://page.auctions.yahoo.co.jp/jp/auction/u1235452983</t>
        </is>
      </c>
    </row>
    <row r="607">
      <c r="A607" s="8" t="inlineStr">
        <is>
          <t>ヴェルファイア</t>
        </is>
      </c>
      <c r="B607" s="8" t="n">
        <v>2009</v>
      </c>
      <c r="C607" s="8" t="inlineStr">
        <is>
          <t>20系</t>
        </is>
      </c>
      <c r="D607" s="11" t="n">
        <v>240000</v>
      </c>
      <c r="E607" s="8" t="n">
        <v>1</v>
      </c>
      <c r="F607" s="11" t="n">
        <v>101265</v>
      </c>
      <c r="G607" s="8" t="inlineStr">
        <is>
          <t>REAL_MILEAGE</t>
        </is>
      </c>
      <c r="H607" s="8" t="n"/>
      <c r="I607" s="11" t="n">
        <v>18290</v>
      </c>
      <c r="J607" s="8" t="inlineStr">
        <is>
          <t>2026-06-26T21:39:00+09:00</t>
        </is>
      </c>
      <c r="K607" s="14" t="inlineStr">
        <is>
          <t>★H21年 トヨタ ヴェルファイア 2.4Z 走行距離101,265キロ バックカメラ 後席モニター 8人乗り ETC☆売切☆大阪★</t>
        </is>
      </c>
      <c r="L607" s="8" t="inlineStr">
        <is>
          <t>https://page.auctions.yahoo.co.jp/jp/auction/n1234045138</t>
        </is>
      </c>
    </row>
    <row r="608">
      <c r="A608" s="13" t="inlineStr">
        <is>
          <t>ヴェルファイア</t>
        </is>
      </c>
      <c r="B608" s="13" t="n">
        <v>2009</v>
      </c>
      <c r="C608" s="13" t="inlineStr">
        <is>
          <t>20系</t>
        </is>
      </c>
      <c r="D608" s="15" t="n">
        <v>333333</v>
      </c>
      <c r="E608" s="13" t="n">
        <v>1</v>
      </c>
      <c r="F608" s="15" t="n">
        <v>112900</v>
      </c>
      <c r="G608" s="13" t="inlineStr">
        <is>
          <t>REAL_MILEAGE</t>
        </is>
      </c>
      <c r="H608" s="13" t="inlineStr">
        <is>
          <t>NONE</t>
        </is>
      </c>
      <c r="I608" s="15" t="n">
        <v>65800</v>
      </c>
      <c r="J608" s="13" t="inlineStr">
        <is>
          <t>2026-06-21T22:05:43+09:00</t>
        </is>
      </c>
      <c r="K608" s="14" t="inlineStr">
        <is>
          <t>機関快調★車検R8年11月★ヴェルファイア2.4Zプラチナムセレクション★左右パワスラ/パワーBドア/アルミ/純正ナビ地デジ/走行中TV視聴OK</t>
        </is>
      </c>
      <c r="L608" s="13" t="inlineStr">
        <is>
          <t>https://page.auctions.yahoo.co.jp/jp/auction/v1231989967</t>
        </is>
      </c>
    </row>
    <row r="609">
      <c r="A609" s="8" t="inlineStr">
        <is>
          <t>ヴェルファイア</t>
        </is>
      </c>
      <c r="B609" s="8" t="n">
        <v>2009</v>
      </c>
      <c r="C609" s="8" t="inlineStr">
        <is>
          <t>20系</t>
        </is>
      </c>
      <c r="D609" s="11" t="n">
        <v>245000</v>
      </c>
      <c r="E609" s="8" t="n">
        <v>1</v>
      </c>
      <c r="F609" s="11" t="n">
        <v>191000</v>
      </c>
      <c r="G609" s="8" t="inlineStr">
        <is>
          <t>REAL_MILEAGE</t>
        </is>
      </c>
      <c r="H609" s="8" t="inlineStr">
        <is>
          <t>EXISTS</t>
        </is>
      </c>
      <c r="I609" s="11" t="n">
        <v>0</v>
      </c>
      <c r="J609" s="8" t="inlineStr">
        <is>
          <t>2026-06-17T11:39:12+09:00</t>
        </is>
      </c>
      <c r="K609" s="14" t="inlineStr">
        <is>
          <t>ヴェルファイア 2.4 Z プラチナセレクション</t>
        </is>
      </c>
      <c r="L609" s="8" t="inlineStr">
        <is>
          <t>https://page.auctions.yahoo.co.jp/jp/auction/u1233689241</t>
        </is>
      </c>
    </row>
    <row r="610">
      <c r="A610" s="13" t="inlineStr">
        <is>
          <t>ヴェルファイア</t>
        </is>
      </c>
      <c r="B610" s="13" t="n">
        <v>2009</v>
      </c>
      <c r="C610" s="13" t="inlineStr">
        <is>
          <t>20系</t>
        </is>
      </c>
      <c r="D610" s="15" t="n">
        <v>215000</v>
      </c>
      <c r="E610" s="13" t="n">
        <v>23</v>
      </c>
      <c r="F610" s="15" t="n">
        <v>187000</v>
      </c>
      <c r="G610" s="13" t="inlineStr">
        <is>
          <t>REAL_MILEAGE</t>
        </is>
      </c>
      <c r="H610" s="13" t="inlineStr">
        <is>
          <t>NONE</t>
        </is>
      </c>
      <c r="I610" s="15" t="n">
        <v>0</v>
      </c>
      <c r="J610" s="13" t="inlineStr">
        <is>
          <t>2026-05-06T20:56:09+09:00</t>
        </is>
      </c>
      <c r="K610" s="14" t="inlineStr">
        <is>
          <t>売り切りTOYOTA20ヴェルファイア</t>
        </is>
      </c>
      <c r="L610" s="13" t="inlineStr">
        <is>
          <t>https://page.auctions.yahoo.co.jp/jp/auction/d1228371365</t>
        </is>
      </c>
    </row>
    <row r="611">
      <c r="A611" s="8" t="inlineStr">
        <is>
          <t>ヴェルファイア</t>
        </is>
      </c>
      <c r="B611" s="8" t="n">
        <v>2009</v>
      </c>
      <c r="C611" s="8" t="inlineStr">
        <is>
          <t>20系</t>
        </is>
      </c>
      <c r="D611" s="11" t="n">
        <v>328000</v>
      </c>
      <c r="E611" s="8" t="n">
        <v>1</v>
      </c>
      <c r="F611" s="11" t="n">
        <v>191000</v>
      </c>
      <c r="G611" s="8" t="inlineStr">
        <is>
          <t>REAL_MILEAGE</t>
        </is>
      </c>
      <c r="H611" s="8" t="inlineStr">
        <is>
          <t>EXISTS</t>
        </is>
      </c>
      <c r="I611" s="11" t="n">
        <v>0</v>
      </c>
      <c r="J611" s="8" t="inlineStr">
        <is>
          <t>2026-05-04T21:08:56+09:00</t>
        </is>
      </c>
      <c r="K611" s="14" t="inlineStr">
        <is>
          <t>21年式　ヴェルファイア 2.4Zプラチナセレクション！車検8年8月20日まで！</t>
        </is>
      </c>
      <c r="L611" s="8" t="inlineStr">
        <is>
          <t>https://page.auctions.yahoo.co.jp/jp/auction/o1226153305</t>
        </is>
      </c>
    </row>
    <row r="612">
      <c r="A612" s="13" t="inlineStr">
        <is>
          <t>ヴェルファイア</t>
        </is>
      </c>
      <c r="B612" s="13" t="n">
        <v>2009</v>
      </c>
      <c r="C612" s="13" t="inlineStr">
        <is>
          <t>20系</t>
        </is>
      </c>
      <c r="D612" s="15" t="n">
        <v>482000</v>
      </c>
      <c r="E612" s="13" t="n">
        <v>1</v>
      </c>
      <c r="F612" s="15" t="n">
        <v>139700</v>
      </c>
      <c r="G612" s="13" t="inlineStr">
        <is>
          <t>REAL_MILEAGE</t>
        </is>
      </c>
      <c r="H612" s="13" t="inlineStr">
        <is>
          <t>NONE</t>
        </is>
      </c>
      <c r="I612" s="15" t="n">
        <v>0</v>
      </c>
      <c r="J612" s="13" t="inlineStr">
        <is>
          <t>2026-04-23T21:14:39+09:00</t>
        </is>
      </c>
      <c r="K612" s="14" t="inlineStr">
        <is>
          <t>ANH20W ヴェルファイア　２，４Z　４人乗り貨物登録　１ナンバー予備検付き　パワスラ/ETC/オットマン/ナビ/TV/ドラレコ　売り切り</t>
        </is>
      </c>
      <c r="L612" s="13" t="inlineStr">
        <is>
          <t>https://page.auctions.yahoo.co.jp/jp/auction/w1225975315</t>
        </is>
      </c>
    </row>
    <row r="613">
      <c r="A613" s="8" t="inlineStr">
        <is>
          <t>ヴェルファイア</t>
        </is>
      </c>
      <c r="B613" s="8" t="n">
        <v>2009</v>
      </c>
      <c r="C613" s="8" t="inlineStr">
        <is>
          <t>20系</t>
        </is>
      </c>
      <c r="D613" s="11" t="n">
        <v>478000</v>
      </c>
      <c r="E613" s="8" t="n">
        <v>1</v>
      </c>
      <c r="F613" s="11" t="n">
        <v>100959</v>
      </c>
      <c r="G613" s="8" t="inlineStr">
        <is>
          <t>REAL_MILEAGE</t>
        </is>
      </c>
      <c r="H613" s="8" t="inlineStr">
        <is>
          <t>NONE</t>
        </is>
      </c>
      <c r="I613" s="11" t="n">
        <v>0</v>
      </c>
      <c r="J613" s="8" t="inlineStr">
        <is>
          <t>2026-04-17T18:40:57+09:00</t>
        </is>
      </c>
      <c r="K613" s="14" t="inlineStr">
        <is>
          <t>◇21年ヴェルファイア・2.4Zプラチナセレ・乗り出し総額61万円◇実走行１０万キロ/フリップダウン/フルセグ/両側＋後電動ドア/修復歴無し</t>
        </is>
      </c>
      <c r="L613" s="8" t="inlineStr">
        <is>
          <t>https://page.auctions.yahoo.co.jp/jp/auction/k1226704312</t>
        </is>
      </c>
    </row>
    <row r="614">
      <c r="A614" s="13" t="inlineStr">
        <is>
          <t>ヴェルファイア</t>
        </is>
      </c>
      <c r="B614" s="13" t="n">
        <v>2009</v>
      </c>
      <c r="C614" s="13" t="inlineStr">
        <is>
          <t>20系</t>
        </is>
      </c>
      <c r="D614" s="15" t="n">
        <v>376003</v>
      </c>
      <c r="E614" s="13" t="n">
        <v>156</v>
      </c>
      <c r="F614" s="15" t="n">
        <v>182700</v>
      </c>
      <c r="G614" s="13" t="inlineStr">
        <is>
          <t>REAL_MILEAGE</t>
        </is>
      </c>
      <c r="H614" s="13" t="n"/>
      <c r="I614" s="15" t="n">
        <v>0</v>
      </c>
      <c r="J614" s="13" t="inlineStr">
        <is>
          <t>2026-04-14T20:38:04+09:00</t>
        </is>
      </c>
      <c r="K614" s="14" t="inlineStr">
        <is>
          <t>1万円スタートトヨタヴェルファイアZ 4WD</t>
        </is>
      </c>
      <c r="L614" s="13" t="inlineStr">
        <is>
          <t>https://page.auctions.yahoo.co.jp/jp/auction/o1226094895</t>
        </is>
      </c>
    </row>
    <row r="615">
      <c r="A615" s="8" t="inlineStr">
        <is>
          <t>ヴェルファイア</t>
        </is>
      </c>
      <c r="B615" s="8" t="n">
        <v>2009</v>
      </c>
      <c r="C615" s="8" t="inlineStr">
        <is>
          <t>20系</t>
        </is>
      </c>
      <c r="D615" s="11" t="n">
        <v>430000</v>
      </c>
      <c r="E615" s="8" t="n">
        <v>51</v>
      </c>
      <c r="F615" s="11" t="n">
        <v>93500</v>
      </c>
      <c r="G615" s="8" t="inlineStr">
        <is>
          <t>REAL_MILEAGE</t>
        </is>
      </c>
      <c r="H615" s="8" t="inlineStr">
        <is>
          <t>NONE</t>
        </is>
      </c>
      <c r="I615" s="11" t="n">
        <v>0</v>
      </c>
      <c r="J615" s="8" t="inlineStr">
        <is>
          <t>2026-04-11T22:11:48+09:00</t>
        </is>
      </c>
      <c r="K615" s="14" t="inlineStr">
        <is>
          <t>ヴェルファイア 20 プラチナセレクション 9万キロ代 車検付き【セルモーター・バッテリー・ハブベアリング・ベルト交換済み】</t>
        </is>
      </c>
      <c r="L615" s="8" t="inlineStr">
        <is>
          <t>https://page.auctions.yahoo.co.jp/jp/auction/d1225232295</t>
        </is>
      </c>
    </row>
    <row r="616">
      <c r="A616" s="13" t="inlineStr">
        <is>
          <t>ヴェルファイア</t>
        </is>
      </c>
      <c r="B616" s="13" t="n">
        <v>2009</v>
      </c>
      <c r="C616" s="13" t="inlineStr">
        <is>
          <t>20系</t>
        </is>
      </c>
      <c r="D616" s="15" t="n">
        <v>187000</v>
      </c>
      <c r="E616" s="13" t="n">
        <v>12</v>
      </c>
      <c r="F616" s="15" t="n">
        <v>176200</v>
      </c>
      <c r="G616" s="13" t="inlineStr">
        <is>
          <t>REAL_MILEAGE</t>
        </is>
      </c>
      <c r="H616" s="13" t="n"/>
      <c r="I616" s="15" t="n">
        <v>0</v>
      </c>
      <c r="J616" s="13" t="inlineStr">
        <is>
          <t>2026-03-29T20:47:10+09:00</t>
        </is>
      </c>
      <c r="K616" s="14" t="inlineStr">
        <is>
          <t>平成21年 ヴェルファイア 2.4V ８人乗り 車検11月まで 純正８インチ トヨタプレミアムサウンド パワーシート デイトナ ナスカー 輸出</t>
        </is>
      </c>
      <c r="L616" s="13" t="inlineStr">
        <is>
          <t>https://page.auctions.yahoo.co.jp/jp/auction/w1223732900</t>
        </is>
      </c>
    </row>
    <row r="617">
      <c r="A617" s="8" t="inlineStr">
        <is>
          <t>ヴェルファイア</t>
        </is>
      </c>
      <c r="B617" s="8" t="n">
        <v>2009</v>
      </c>
      <c r="C617" s="8" t="inlineStr">
        <is>
          <t>20系</t>
        </is>
      </c>
      <c r="D617" s="11" t="n">
        <v>880000</v>
      </c>
      <c r="E617" s="8" t="n">
        <v>1</v>
      </c>
      <c r="F617" s="11" t="n">
        <v>55000</v>
      </c>
      <c r="G617" s="8" t="inlineStr">
        <is>
          <t>REAL_MILEAGE</t>
        </is>
      </c>
      <c r="H617" s="8" t="inlineStr">
        <is>
          <t>NONE</t>
        </is>
      </c>
      <c r="I617" s="11" t="n">
        <v>0</v>
      </c>
      <c r="J617" s="8" t="inlineStr">
        <is>
          <t>2026-03-29T01:20:08+09:00</t>
        </is>
      </c>
      <c r="K617" s="14" t="inlineStr">
        <is>
          <t>ヴェルファイア 2.4 Z プラチナセレクション 両側電動スライドドア/ETC/前後ドラレコ/バ</t>
        </is>
      </c>
      <c r="L617" s="8" t="inlineStr">
        <is>
          <t>https://page.auctions.yahoo.co.jp/jp/auction/j1195063850</t>
        </is>
      </c>
    </row>
    <row r="618">
      <c r="A618" s="13" t="inlineStr">
        <is>
          <t>ヴェルファイア</t>
        </is>
      </c>
      <c r="B618" s="13" t="n">
        <v>2009</v>
      </c>
      <c r="C618" s="13" t="inlineStr">
        <is>
          <t>20系</t>
        </is>
      </c>
      <c r="D618" s="15" t="n">
        <v>400000</v>
      </c>
      <c r="E618" s="13" t="n">
        <v>1</v>
      </c>
      <c r="F618" s="15" t="n">
        <v>131796</v>
      </c>
      <c r="G618" s="13" t="inlineStr">
        <is>
          <t>REAL_MILEAGE</t>
        </is>
      </c>
      <c r="H618" s="13" t="inlineStr">
        <is>
          <t>NONE</t>
        </is>
      </c>
      <c r="I618" s="15" t="n">
        <v>0</v>
      </c>
      <c r="J618" s="13" t="inlineStr">
        <is>
          <t>2026-02-27T21:21:14+09:00</t>
        </is>
      </c>
      <c r="K618" s="14" t="inlineStr">
        <is>
          <t>【諸費用コミ】返金保証付:長野県 伊那市 中古車 平成21年 トヨタ ヴェルファイア 2.4 Z プラチナセレクション 電動スラ</t>
        </is>
      </c>
      <c r="L618" s="13" t="inlineStr">
        <is>
          <t>https://page.auctions.yahoo.co.jp/jp/auction/w1220277565</t>
        </is>
      </c>
    </row>
    <row r="619">
      <c r="A619" s="8" t="inlineStr">
        <is>
          <t>ヴェルファイア</t>
        </is>
      </c>
      <c r="B619" s="8" t="n">
        <v>2009</v>
      </c>
      <c r="C619" s="8" t="inlineStr">
        <is>
          <t>20系</t>
        </is>
      </c>
      <c r="D619" s="11" t="n">
        <v>468000</v>
      </c>
      <c r="E619" s="8" t="n">
        <v>1</v>
      </c>
      <c r="F619" s="11" t="n">
        <v>148000</v>
      </c>
      <c r="G619" s="8" t="inlineStr">
        <is>
          <t>REAL_MILEAGE</t>
        </is>
      </c>
      <c r="H619" s="8" t="inlineStr">
        <is>
          <t>NONE</t>
        </is>
      </c>
      <c r="I619" s="11" t="n">
        <v>0</v>
      </c>
      <c r="J619" s="8" t="inlineStr">
        <is>
          <t>2026-02-25T17:11:11+09:00</t>
        </is>
      </c>
      <c r="K619" s="14" t="inlineStr">
        <is>
          <t>【コミコミ総額５２.５万円】京都★車検R8年10月★ヴェルファイア2.4Z★特別仕様車★ANH20★プラチナセレクション★機関良好★修復歴無！</t>
        </is>
      </c>
      <c r="L619" s="8" t="inlineStr">
        <is>
          <t>https://page.auctions.yahoo.co.jp/jp/auction/f1216303114</t>
        </is>
      </c>
    </row>
    <row r="620">
      <c r="A620" s="13" t="inlineStr">
        <is>
          <t>ヴェルファイア</t>
        </is>
      </c>
      <c r="B620" s="13" t="n">
        <v>2009</v>
      </c>
      <c r="C620" s="13" t="inlineStr">
        <is>
          <t>20系</t>
        </is>
      </c>
      <c r="D620" s="15" t="n">
        <v>380000</v>
      </c>
      <c r="E620" s="13" t="n">
        <v>1</v>
      </c>
      <c r="F620" s="15" t="n">
        <v>110000</v>
      </c>
      <c r="G620" s="13" t="inlineStr">
        <is>
          <t>REAL_MILEAGE</t>
        </is>
      </c>
      <c r="H620" s="13" t="inlineStr">
        <is>
          <t>NONE</t>
        </is>
      </c>
      <c r="I620" s="15" t="n">
        <v>0</v>
      </c>
      <c r="J620" s="13" t="inlineStr">
        <is>
          <t>2026-02-24T18:54:08+09:00</t>
        </is>
      </c>
      <c r="K620" s="14" t="inlineStr">
        <is>
          <t>ヴェルファイア20</t>
        </is>
      </c>
      <c r="L620" s="13" t="inlineStr">
        <is>
          <t>https://page.auctions.yahoo.co.jp/jp/auction/t1220767092</t>
        </is>
      </c>
    </row>
    <row r="621">
      <c r="A621" s="8" t="inlineStr">
        <is>
          <t>ヴェルファイア</t>
        </is>
      </c>
      <c r="B621" s="8" t="n">
        <v>2009</v>
      </c>
      <c r="C621" s="8" t="inlineStr">
        <is>
          <t>20系</t>
        </is>
      </c>
      <c r="D621" s="11" t="n">
        <v>330000</v>
      </c>
      <c r="E621" s="8" t="n">
        <v>140</v>
      </c>
      <c r="F621" s="11" t="n">
        <v>179050</v>
      </c>
      <c r="G621" s="8" t="inlineStr">
        <is>
          <t>REAL_MILEAGE</t>
        </is>
      </c>
      <c r="H621" s="8" t="inlineStr">
        <is>
          <t>NONE</t>
        </is>
      </c>
      <c r="I621" s="11" t="n">
        <v>0</v>
      </c>
      <c r="J621" s="8" t="inlineStr">
        <is>
          <t>2026-02-23T22:48:35+09:00</t>
        </is>
      </c>
      <c r="K621" s="14" t="inlineStr">
        <is>
          <t>H21ヴェルファイア2.4Zプラチナセレクション　アルパイン車種別ナビリアモニター！両側パワスラ、パワーバックドア　極上車　予備検査付</t>
        </is>
      </c>
      <c r="L621" s="8" t="inlineStr">
        <is>
          <t>https://page.auctions.yahoo.co.jp/jp/auction/e1220077046</t>
        </is>
      </c>
    </row>
    <row r="622">
      <c r="A622" s="13" t="inlineStr">
        <is>
          <t>ヴェルファイア</t>
        </is>
      </c>
      <c r="B622" s="13" t="n">
        <v>2008</v>
      </c>
      <c r="C622" s="13" t="inlineStr">
        <is>
          <t>20系</t>
        </is>
      </c>
      <c r="D622" s="15" t="n">
        <v>330000</v>
      </c>
      <c r="E622" s="13" t="n">
        <v>90</v>
      </c>
      <c r="F622" s="15" t="n">
        <v>135000</v>
      </c>
      <c r="G622" s="13" t="inlineStr">
        <is>
          <t>REAL_MILEAGE</t>
        </is>
      </c>
      <c r="H622" s="13" t="inlineStr">
        <is>
          <t>NONE</t>
        </is>
      </c>
      <c r="I622" s="15" t="n">
        <v>52490</v>
      </c>
      <c r="J622" s="13" t="inlineStr">
        <is>
          <t>2026-08-21T21:02:07+09:00</t>
        </is>
      </c>
      <c r="K622" s="14" t="inlineStr">
        <is>
          <t>【即決45万/車検R10年1月】ヴェルファイア2.4★7人乗り/両側パワスラ/Bluetooth/オットマン★乗って帰れます！一宮発</t>
        </is>
      </c>
      <c r="L622" s="13" t="inlineStr">
        <is>
          <t>https://page.auctions.yahoo.co.jp/jp/auction/t1241113105</t>
        </is>
      </c>
    </row>
    <row r="623">
      <c r="A623" s="8" t="inlineStr">
        <is>
          <t>ヴェルファイア</t>
        </is>
      </c>
      <c r="B623" s="8" t="n">
        <v>2008</v>
      </c>
      <c r="C623" s="8" t="inlineStr">
        <is>
          <t>20系</t>
        </is>
      </c>
      <c r="D623" s="11" t="n">
        <v>276000</v>
      </c>
      <c r="E623" s="8" t="n">
        <v>16</v>
      </c>
      <c r="F623" s="11" t="n">
        <v>217000</v>
      </c>
      <c r="G623" s="8" t="inlineStr">
        <is>
          <t>REAL_MILEAGE</t>
        </is>
      </c>
      <c r="H623" s="8" t="n"/>
      <c r="I623" s="11" t="n">
        <v>0</v>
      </c>
      <c r="J623" s="8" t="inlineStr">
        <is>
          <t>2026-07-05T23:09:19+09:00</t>
        </is>
      </c>
      <c r="K623" s="14" t="inlineStr">
        <is>
          <t>トヨタ ヴェルファイア 2.4Z</t>
        </is>
      </c>
      <c r="L623" s="8" t="inlineStr">
        <is>
          <t>https://page.auctions.yahoo.co.jp/jp/auction/u1234598579</t>
        </is>
      </c>
    </row>
    <row r="624">
      <c r="A624" s="13" t="inlineStr">
        <is>
          <t>ヴェルファイア</t>
        </is>
      </c>
      <c r="B624" s="13" t="n">
        <v>2008</v>
      </c>
      <c r="C624" s="13" t="inlineStr">
        <is>
          <t>20系</t>
        </is>
      </c>
      <c r="D624" s="15" t="n">
        <v>489000</v>
      </c>
      <c r="E624" s="13" t="n">
        <v>5</v>
      </c>
      <c r="F624" s="15" t="n">
        <v>125200</v>
      </c>
      <c r="G624" s="13" t="inlineStr">
        <is>
          <t>REAL_MILEAGE</t>
        </is>
      </c>
      <c r="H624" s="13" t="inlineStr">
        <is>
          <t>NONE</t>
        </is>
      </c>
      <c r="I624" s="15" t="n">
        <v>71590</v>
      </c>
      <c r="J624" s="13" t="inlineStr">
        <is>
          <t>2026-06-18T20:21:55+09:00</t>
        </is>
      </c>
      <c r="K624" s="14" t="inlineStr">
        <is>
          <t xml:space="preserve">車検9年10月 ヴェルファイア 4WD 2.4Z ワンオーナー トヨタプレミアムサウンドS 18スピーカー(5.1ch) /16ch リアエンターテインメント </t>
        </is>
      </c>
      <c r="L624" s="13" t="inlineStr">
        <is>
          <t>https://page.auctions.yahoo.co.jp/jp/auction/u1233246920</t>
        </is>
      </c>
    </row>
    <row r="625">
      <c r="A625" s="8" t="inlineStr">
        <is>
          <t>ヴェルファイア</t>
        </is>
      </c>
      <c r="B625" s="8" t="n">
        <v>2008</v>
      </c>
      <c r="C625" s="8" t="inlineStr">
        <is>
          <t>20系</t>
        </is>
      </c>
      <c r="D625" s="11" t="n">
        <v>350000</v>
      </c>
      <c r="E625" s="8" t="n">
        <v>86</v>
      </c>
      <c r="F625" s="11" t="n">
        <v>111600</v>
      </c>
      <c r="G625" s="8" t="inlineStr">
        <is>
          <t>REAL_MILEAGE</t>
        </is>
      </c>
      <c r="H625" s="8" t="inlineStr">
        <is>
          <t>NONE</t>
        </is>
      </c>
      <c r="I625" s="11" t="n">
        <v>0</v>
      </c>
      <c r="J625" s="8" t="inlineStr">
        <is>
          <t>2026-04-26T17:43:54+09:00</t>
        </is>
      </c>
      <c r="K625" s="14" t="inlineStr">
        <is>
          <t>★GWのお出かけにいかがですか？★乗って帰れます★車検：令和8年12月まで★ヴェルファイア★アルパインナビ★フィリップダウンモニター★</t>
        </is>
      </c>
      <c r="L625" s="8" t="inlineStr">
        <is>
          <t>https://page.auctions.yahoo.co.jp/jp/auction/1220820265</t>
        </is>
      </c>
    </row>
    <row r="626">
      <c r="A626" s="13" t="inlineStr">
        <is>
          <t>ヴェルファイア</t>
        </is>
      </c>
      <c r="B626" s="13" t="n">
        <v>2008</v>
      </c>
      <c r="C626" s="13" t="inlineStr">
        <is>
          <t>20系</t>
        </is>
      </c>
      <c r="D626" s="15" t="n">
        <v>260000</v>
      </c>
      <c r="E626" s="13" t="n">
        <v>20</v>
      </c>
      <c r="F626" s="15" t="n">
        <v>195202</v>
      </c>
      <c r="G626" s="13" t="inlineStr">
        <is>
          <t>REAL_MILEAGE</t>
        </is>
      </c>
      <c r="H626" s="13" t="inlineStr">
        <is>
          <t>NONE</t>
        </is>
      </c>
      <c r="I626" s="15" t="n">
        <v>0</v>
      </c>
      <c r="J626" s="13" t="inlineStr">
        <is>
          <t>2026-04-25T21:47:10+09:00</t>
        </is>
      </c>
      <c r="K626" s="14" t="inlineStr">
        <is>
          <t>ヴェルファイア 20系前期 4WD 車いす移動車 現状車 車検なし エアコン故障</t>
        </is>
      </c>
      <c r="L626" s="13" t="inlineStr">
        <is>
          <t>https://page.auctions.yahoo.co.jp/jp/auction/w1227569712</t>
        </is>
      </c>
    </row>
    <row r="627">
      <c r="A627" s="8" t="inlineStr">
        <is>
          <t>ヴェルファイア</t>
        </is>
      </c>
      <c r="B627" s="8" t="n">
        <v>2008</v>
      </c>
      <c r="C627" s="8" t="inlineStr">
        <is>
          <t>20系</t>
        </is>
      </c>
      <c r="D627" s="11" t="n">
        <v>286000</v>
      </c>
      <c r="E627" s="8" t="n">
        <v>64</v>
      </c>
      <c r="F627" s="11" t="n">
        <v>112567</v>
      </c>
      <c r="G627" s="8" t="inlineStr">
        <is>
          <t>REAL_MILEAGE</t>
        </is>
      </c>
      <c r="H627" s="8" t="inlineStr">
        <is>
          <t>NONE</t>
        </is>
      </c>
      <c r="I627" s="11" t="n">
        <v>0</v>
      </c>
      <c r="J627" s="8" t="inlineStr">
        <is>
          <t>2026-03-22T22:13:08+09:00</t>
        </is>
      </c>
      <c r="K627" s="14" t="inlineStr">
        <is>
          <t xml:space="preserve">20ヴェルファイア　2.4　ワンオーナー　車検令和9年11月30日まで付き　ナビ　ETC バックモニター　</t>
        </is>
      </c>
      <c r="L627" s="8" t="inlineStr">
        <is>
          <t>https://page.auctions.yahoo.co.jp/jp/auction/g1222708158</t>
        </is>
      </c>
    </row>
    <row r="628">
      <c r="A628" s="13" t="inlineStr">
        <is>
          <t>ヴェルファイア</t>
        </is>
      </c>
      <c r="B628" s="13" t="n">
        <v>2008</v>
      </c>
      <c r="C628" s="13" t="inlineStr">
        <is>
          <t>20系</t>
        </is>
      </c>
      <c r="D628" s="15" t="n">
        <v>465000</v>
      </c>
      <c r="E628" s="13" t="n">
        <v>1</v>
      </c>
      <c r="F628" s="15" t="n">
        <v>158700</v>
      </c>
      <c r="G628" s="13" t="inlineStr">
        <is>
          <t>REAL_MILEAGE</t>
        </is>
      </c>
      <c r="H628" s="13" t="inlineStr">
        <is>
          <t>NONE</t>
        </is>
      </c>
      <c r="I628" s="15" t="n">
        <v>0</v>
      </c>
      <c r="J628" s="13" t="inlineStr">
        <is>
          <t>2026-03-19T19:18:55+09:00</t>
        </is>
      </c>
      <c r="K628" s="14" t="inlineStr">
        <is>
          <t>ヴェルファイア*検10/3迄*HID*スマートキー*両パワスラ*フリップダウン*純正ナビ*Bカメラ*DVD*CD*ETC*純正AW*340311S2</t>
        </is>
      </c>
      <c r="L628" s="13" t="inlineStr">
        <is>
          <t>https://page.auctions.yahoo.co.jp/jp/auction/o1222925616</t>
        </is>
      </c>
    </row>
    <row r="629">
      <c r="A629" s="8" t="inlineStr">
        <is>
          <t>ヴェルファイア</t>
        </is>
      </c>
      <c r="B629" s="8" t="n">
        <v>2008</v>
      </c>
      <c r="C629" s="8" t="inlineStr">
        <is>
          <t>20系</t>
        </is>
      </c>
      <c r="D629" s="11" t="n">
        <v>345000</v>
      </c>
      <c r="E629" s="8" t="n">
        <v>27</v>
      </c>
      <c r="F629" s="11" t="n">
        <v>127085</v>
      </c>
      <c r="G629" s="8" t="inlineStr">
        <is>
          <t>REAL_MILEAGE</t>
        </is>
      </c>
      <c r="H629" s="8" t="inlineStr">
        <is>
          <t>NONE</t>
        </is>
      </c>
      <c r="I629" s="11" t="n">
        <v>0</v>
      </c>
      <c r="J629" s="8" t="inlineStr">
        <is>
          <t>2026-03-14T21:30:21+09:00</t>
        </is>
      </c>
      <c r="K629" s="14" t="inlineStr">
        <is>
          <t>【現状渡し】トヨタ　ヴェルファイア　2.4Z　平成20年　12万キロ　車検令和9年8月まで　福岡県</t>
        </is>
      </c>
      <c r="L629" s="8" t="inlineStr">
        <is>
          <t>https://page.auctions.yahoo.co.jp/jp/auction/e1222291910</t>
        </is>
      </c>
    </row>
    <row r="630">
      <c r="A630" s="13" t="inlineStr">
        <is>
          <t>ヴェルファイア</t>
        </is>
      </c>
      <c r="B630" s="13" t="n">
        <v>2008</v>
      </c>
      <c r="C630" s="13" t="inlineStr">
        <is>
          <t>20系</t>
        </is>
      </c>
      <c r="D630" s="15" t="n">
        <v>390000</v>
      </c>
      <c r="E630" s="13" t="n">
        <v>1</v>
      </c>
      <c r="F630" s="15" t="n">
        <v>158000</v>
      </c>
      <c r="G630" s="13" t="inlineStr">
        <is>
          <t>REAL_MILEAGE</t>
        </is>
      </c>
      <c r="H630" s="13" t="inlineStr">
        <is>
          <t>NONE</t>
        </is>
      </c>
      <c r="I630" s="15" t="n">
        <v>0</v>
      </c>
      <c r="J630" s="13" t="inlineStr">
        <is>
          <t>2026-02-27T12:01:16+09:00</t>
        </is>
      </c>
      <c r="K630" s="14" t="inlineStr">
        <is>
          <t>返金保証付:平成20年 ヴェルファイア 2.4 Z ナビ&amp;TV&amp;後席モニター付</t>
        </is>
      </c>
      <c r="L630" s="13" t="inlineStr">
        <is>
          <t>https://page.auctions.yahoo.co.jp/jp/auction/u1218807200</t>
        </is>
      </c>
    </row>
    <row r="631">
      <c r="A631" s="8" t="inlineStr">
        <is>
          <t>ヴェルファイア</t>
        </is>
      </c>
      <c r="B631" s="8" t="n">
        <v>2008</v>
      </c>
      <c r="C631" s="8" t="inlineStr">
        <is>
          <t>20系</t>
        </is>
      </c>
      <c r="D631" s="11" t="n">
        <v>331000</v>
      </c>
      <c r="E631" s="8" t="n">
        <v>53</v>
      </c>
      <c r="F631" s="11" t="n">
        <v>110500</v>
      </c>
      <c r="G631" s="8" t="inlineStr">
        <is>
          <t>REAL_MILEAGE</t>
        </is>
      </c>
      <c r="H631" s="8" t="inlineStr">
        <is>
          <t>NONE</t>
        </is>
      </c>
      <c r="I631" s="11" t="n">
        <v>0</v>
      </c>
      <c r="J631" s="8" t="inlineStr">
        <is>
          <t>2026-02-23T21:34:31+09:00</t>
        </is>
      </c>
      <c r="K631" s="14" t="inlineStr">
        <is>
          <t>100円売切り　平成20年　ヴェルファイア　2.4Z　走行110500キロ　車検令和9年6月　両側パワースライドドア　ツインサンルーフ　修復歴無し</t>
        </is>
      </c>
      <c r="L631" s="8" t="inlineStr">
        <is>
          <t>https://page.auctions.yahoo.co.jp/jp/auction/j1219744420</t>
        </is>
      </c>
    </row>
    <row r="632">
      <c r="A632" s="13" t="inlineStr">
        <is>
          <t>ヴェルファイア</t>
        </is>
      </c>
      <c r="B632" s="13" t="n"/>
      <c r="C632" s="13" t="inlineStr"/>
      <c r="D632" s="15" t="n">
        <v>272000</v>
      </c>
      <c r="E632" s="13" t="n">
        <v>70</v>
      </c>
      <c r="F632" s="15" t="n"/>
      <c r="G632" s="13" t="n"/>
      <c r="H632" s="13" t="n"/>
      <c r="I632" s="15" t="n"/>
      <c r="J632" s="13" t="inlineStr">
        <is>
          <t>2026-08-21T00:07:04+09:00</t>
        </is>
      </c>
      <c r="K632" s="14" t="inlineStr">
        <is>
          <t>ベルファイヤ 3.5 4wd 車検付き　乗って帰れます。宮城県より　個人出品　GGH25W v6エンジン280馬力　8人乗り　アルファード　中古</t>
        </is>
      </c>
      <c r="L632" s="13" t="inlineStr">
        <is>
          <t>https://page.auctions.yahoo.co.jp/jp/auction/s1239899409</t>
        </is>
      </c>
    </row>
    <row r="633">
      <c r="A633" s="8" t="inlineStr">
        <is>
          <t>ヴェルファイア</t>
        </is>
      </c>
      <c r="B633" s="8" t="n"/>
      <c r="C633" s="8" t="inlineStr"/>
      <c r="D633" s="11" t="n">
        <v>498000</v>
      </c>
      <c r="E633" s="8" t="n">
        <v>1</v>
      </c>
      <c r="F633" s="11" t="n"/>
      <c r="G633" s="8" t="n"/>
      <c r="H633" s="8" t="n"/>
      <c r="I633" s="11" t="n"/>
      <c r="J633" s="8" t="inlineStr">
        <is>
          <t>2026-07-30T14:35:47+09:00</t>
        </is>
      </c>
      <c r="K633" s="14" t="inlineStr">
        <is>
          <t>返金保証付:4WD/クルーズコントロール/エンジンスターター/フルセグ走行中TV/DVDビデオ/両側電動ドア/スマートキー2個</t>
        </is>
      </c>
      <c r="L633" s="8" t="inlineStr">
        <is>
          <t>https://page.auctions.yahoo.co.jp/jp/auction/c1237682744</t>
        </is>
      </c>
    </row>
    <row r="634">
      <c r="A634" s="13" t="inlineStr">
        <is>
          <t>ヴェルファイア</t>
        </is>
      </c>
      <c r="B634" s="13" t="n"/>
      <c r="C634" s="13" t="inlineStr"/>
      <c r="D634" s="15" t="n">
        <v>531000</v>
      </c>
      <c r="E634" s="13" t="n">
        <v>118</v>
      </c>
      <c r="F634" s="15" t="n"/>
      <c r="G634" s="13" t="n"/>
      <c r="H634" s="13" t="n"/>
      <c r="I634" s="15" t="n"/>
      <c r="J634" s="13" t="inlineStr">
        <is>
          <t>2026-07-10T21:34:43+09:00</t>
        </is>
      </c>
      <c r="K634" s="14" t="inlineStr">
        <is>
          <t>平成22年12月登録！後期仕様！サンルーフ付き！パワーバックドア！８型メーカーナビ！車検令和9年2月！！</t>
        </is>
      </c>
      <c r="L634" s="13" t="inlineStr">
        <is>
          <t>https://page.auctions.yahoo.co.jp/jp/auction/c1235654013</t>
        </is>
      </c>
    </row>
    <row r="635">
      <c r="A635" s="8" t="inlineStr">
        <is>
          <t>ヴェルファイア</t>
        </is>
      </c>
      <c r="B635" s="8" t="n"/>
      <c r="C635" s="8" t="inlineStr"/>
      <c r="D635" s="11" t="n">
        <v>461000</v>
      </c>
      <c r="E635" s="8" t="n">
        <v>54</v>
      </c>
      <c r="F635" s="11" t="n"/>
      <c r="G635" s="8" t="n"/>
      <c r="H635" s="8" t="n"/>
      <c r="I635" s="11" t="n"/>
      <c r="J635" s="8" t="inlineStr">
        <is>
          <t>2026-06-13T21:00:39+09:00</t>
        </is>
      </c>
      <c r="K635" s="14" t="inlineStr">
        <is>
          <t>V6！H26登録！Golden Eyes 2！即決全込み！</t>
        </is>
      </c>
      <c r="L635" s="8" t="inlineStr">
        <is>
          <t>https://page.auctions.yahoo.co.jp/jp/auction/l1232043127</t>
        </is>
      </c>
    </row>
    <row r="636">
      <c r="A636" s="13" t="inlineStr">
        <is>
          <t>ヴェルファイア</t>
        </is>
      </c>
      <c r="B636" s="13" t="n"/>
      <c r="C636" s="13" t="inlineStr"/>
      <c r="D636" s="15" t="n">
        <v>498000</v>
      </c>
      <c r="E636" s="13" t="n">
        <v>1</v>
      </c>
      <c r="F636" s="15" t="n"/>
      <c r="G636" s="13" t="n"/>
      <c r="H636" s="13" t="n"/>
      <c r="I636" s="15" t="n"/>
      <c r="J636" s="13" t="inlineStr">
        <is>
          <t>2026-06-13T12:26:06+09:00</t>
        </is>
      </c>
      <c r="K636" s="14" t="inlineStr">
        <is>
          <t>返金保証付:パワーバックドア/両側電動ドア/スマートキー2個/フルセグTV/Bluetoothオーディオ/バックカメラ/ドラレコ</t>
        </is>
      </c>
      <c r="L636" s="13" t="inlineStr">
        <is>
          <t>https://page.auctions.yahoo.co.jp/jp/auction/d1231034783</t>
        </is>
      </c>
    </row>
    <row r="637">
      <c r="A637" s="8" t="inlineStr">
        <is>
          <t>ヴェルファイア</t>
        </is>
      </c>
      <c r="B637" s="8" t="n"/>
      <c r="C637" s="8" t="inlineStr"/>
      <c r="D637" s="11" t="n">
        <v>391000</v>
      </c>
      <c r="E637" s="8" t="n">
        <v>65</v>
      </c>
      <c r="F637" s="11" t="n"/>
      <c r="G637" s="8" t="n"/>
      <c r="H637" s="8" t="n"/>
      <c r="I637" s="11" t="n"/>
      <c r="J637" s="8" t="inlineStr">
        <is>
          <t>2026-06-07T21:03:02+09:00</t>
        </is>
      </c>
      <c r="K637" s="14" t="inlineStr">
        <is>
          <t>H24年後期型！車検R9年3月！リアモニター！ナビ・ETC！乗って帰れます！</t>
        </is>
      </c>
      <c r="L637" s="8" t="inlineStr">
        <is>
          <t>https://page.auctions.yahoo.co.jp/jp/auction/v1230587756</t>
        </is>
      </c>
    </row>
    <row r="638">
      <c r="A638" s="13" t="inlineStr">
        <is>
          <t>ヴェルファイア</t>
        </is>
      </c>
      <c r="B638" s="13" t="n"/>
      <c r="C638" s="13" t="inlineStr"/>
      <c r="D638" s="15" t="n">
        <v>362000</v>
      </c>
      <c r="E638" s="13" t="n">
        <v>77</v>
      </c>
      <c r="F638" s="15" t="n"/>
      <c r="G638" s="13" t="n"/>
      <c r="H638" s="13" t="n"/>
      <c r="I638" s="15" t="n"/>
      <c r="J638" s="13" t="inlineStr">
        <is>
          <t>2026-06-07T20:46:05+09:00</t>
        </is>
      </c>
      <c r="K638" s="14" t="inlineStr">
        <is>
          <t>1円～ ☆ 美車　アドミレーションフルエアロ　上級グレード　プラチナセレクション　人気の黒　修復歴無　R9年2月迄　豪華装備!! ☆ 売切♪</t>
        </is>
      </c>
      <c r="L638" s="13" t="inlineStr">
        <is>
          <t>https://page.auctions.yahoo.co.jp/jp/auction/l1231856178</t>
        </is>
      </c>
    </row>
    <row r="639">
      <c r="A639" s="8" t="inlineStr">
        <is>
          <t>ヴェルファイア</t>
        </is>
      </c>
      <c r="B639" s="8" t="n"/>
      <c r="C639" s="8" t="inlineStr"/>
      <c r="D639" s="11" t="n">
        <v>650000</v>
      </c>
      <c r="E639" s="8" t="n">
        <v>17</v>
      </c>
      <c r="F639" s="11" t="n"/>
      <c r="G639" s="8" t="n"/>
      <c r="H639" s="8" t="n"/>
      <c r="I639" s="11" t="n"/>
      <c r="J639" s="8" t="inlineStr">
        <is>
          <t>2026-06-01T15:20:02+09:00</t>
        </is>
      </c>
      <c r="K639" s="14" t="inlineStr">
        <is>
          <t>2012年式、一番上のグレードウェルファイア、両側パーワスライドドア、ナビ、テレビ、バックカメラ、サンルーフ、クリップダウンモニター</t>
        </is>
      </c>
      <c r="L639" s="8" t="inlineStr">
        <is>
          <t>https://page.auctions.yahoo.co.jp/jp/auction/1231696327</t>
        </is>
      </c>
    </row>
    <row r="640">
      <c r="A640" s="13" t="inlineStr">
        <is>
          <t>ヴェルファイア</t>
        </is>
      </c>
      <c r="B640" s="13" t="n"/>
      <c r="C640" s="13" t="inlineStr"/>
      <c r="D640" s="15" t="n">
        <v>500000</v>
      </c>
      <c r="E640" s="13" t="n">
        <v>1</v>
      </c>
      <c r="F640" s="15" t="n"/>
      <c r="G640" s="13" t="n"/>
      <c r="H640" s="13" t="n"/>
      <c r="I640" s="15" t="n"/>
      <c r="J640" s="13" t="inlineStr">
        <is>
          <t>2026-05-30T18:23:28+09:00</t>
        </is>
      </c>
      <c r="K640" s="14" t="inlineStr">
        <is>
          <t>返金保証付:タイプゴールド/電動リアゲート/フリップダウンモニター/フルセグTV走行中OK/Bluetothオーディオ/ローダウン</t>
        </is>
      </c>
      <c r="L640" s="13" t="inlineStr">
        <is>
          <t>https://page.auctions.yahoo.co.jp/jp/auction/c1229530202</t>
        </is>
      </c>
    </row>
    <row r="641">
      <c r="A641" s="8" t="inlineStr">
        <is>
          <t>ヴェルファイア</t>
        </is>
      </c>
      <c r="B641" s="8" t="n"/>
      <c r="C641" s="8" t="inlineStr"/>
      <c r="D641" s="11" t="n">
        <v>1597000</v>
      </c>
      <c r="E641" s="8" t="n">
        <v>128</v>
      </c>
      <c r="F641" s="11" t="n"/>
      <c r="G641" s="8" t="n"/>
      <c r="H641" s="8" t="n"/>
      <c r="I641" s="11" t="n"/>
      <c r="J641" s="8" t="inlineStr">
        <is>
          <t>2026-05-26T12:42:02+09:00</t>
        </is>
      </c>
      <c r="K641" s="14" t="inlineStr">
        <is>
          <t>ヴェルファイア30！V6！ダブルサンルーフ！7人乗り</t>
        </is>
      </c>
      <c r="L641" s="8" t="inlineStr">
        <is>
          <t>https://page.auctions.yahoo.co.jp/jp/auction/s1231037125</t>
        </is>
      </c>
    </row>
    <row r="642">
      <c r="A642" s="13" t="inlineStr">
        <is>
          <t>ヴェルファイア</t>
        </is>
      </c>
      <c r="B642" s="13" t="n"/>
      <c r="C642" s="13" t="inlineStr"/>
      <c r="D642" s="15" t="n">
        <v>436000</v>
      </c>
      <c r="E642" s="13" t="n">
        <v>126</v>
      </c>
      <c r="F642" s="15" t="n"/>
      <c r="G642" s="13" t="n"/>
      <c r="H642" s="13" t="n"/>
      <c r="I642" s="15" t="n"/>
      <c r="J642" s="13" t="inlineStr">
        <is>
          <t>2026-05-20T23:56:31+09:00</t>
        </is>
      </c>
      <c r="K642" s="14" t="inlineStr">
        <is>
          <t>栃木発★車検R9年4月/152000km★ヴェルファイア2.4Z4WD7人乗り★ヒッチメンバー/20inアルミ/TEIN車高調EDFC付/アルパインナビ/リアモニター</t>
        </is>
      </c>
      <c r="L642" s="13" t="inlineStr">
        <is>
          <t>https://page.auctions.yahoo.co.jp/jp/auction/l1229667651</t>
        </is>
      </c>
    </row>
    <row r="643">
      <c r="A643" s="8" t="inlineStr">
        <is>
          <t>ヴェルファイア</t>
        </is>
      </c>
      <c r="B643" s="8" t="n"/>
      <c r="C643" s="8" t="inlineStr"/>
      <c r="D643" s="11" t="n">
        <v>480000</v>
      </c>
      <c r="E643" s="8" t="n">
        <v>1</v>
      </c>
      <c r="F643" s="11" t="n"/>
      <c r="G643" s="8" t="n"/>
      <c r="H643" s="8" t="n"/>
      <c r="I643" s="11" t="n"/>
      <c r="J643" s="8" t="inlineStr">
        <is>
          <t>2026-05-18T22:59:55+09:00</t>
        </is>
      </c>
      <c r="K643" s="14" t="inlineStr">
        <is>
          <t>返金保証付:対策済みエンジン/フリップダウンモニター/フルセグTV/冷温庫付システムコンソール/Bカメラ/電動バックドア</t>
        </is>
      </c>
      <c r="L643" s="8" t="inlineStr">
        <is>
          <t>https://page.auctions.yahoo.co.jp/jp/auction/t1228865882</t>
        </is>
      </c>
    </row>
    <row r="644">
      <c r="A644" s="13" t="inlineStr">
        <is>
          <t>ヴェルファイア</t>
        </is>
      </c>
      <c r="B644" s="13" t="n"/>
      <c r="C644" s="13" t="inlineStr"/>
      <c r="D644" s="15" t="n">
        <v>501000</v>
      </c>
      <c r="E644" s="13" t="n">
        <v>91</v>
      </c>
      <c r="F644" s="15" t="n"/>
      <c r="G644" s="13" t="n"/>
      <c r="H644" s="13" t="n"/>
      <c r="I644" s="15" t="n"/>
      <c r="J644" s="13" t="inlineStr">
        <is>
          <t>2026-05-10T22:40:48+09:00</t>
        </is>
      </c>
      <c r="K644" s="14" t="inlineStr">
        <is>
          <t>H26年最終型！車検R9年5月！ワンオーナー車！ディーラー記録簿多数有！リアモニター！ナビ・ETC！乗って帰れます！</t>
        </is>
      </c>
      <c r="L644" s="13" t="inlineStr">
        <is>
          <t>https://page.auctions.yahoo.co.jp/jp/auction/v1228372537</t>
        </is>
      </c>
    </row>
    <row r="645">
      <c r="A645" s="8" t="inlineStr">
        <is>
          <t>ヴェルファイア</t>
        </is>
      </c>
      <c r="B645" s="8" t="n"/>
      <c r="C645" s="8" t="inlineStr"/>
      <c r="D645" s="11" t="n">
        <v>251001</v>
      </c>
      <c r="E645" s="8" t="n">
        <v>77</v>
      </c>
      <c r="F645" s="11" t="n"/>
      <c r="G645" s="8" t="n"/>
      <c r="H645" s="8" t="n"/>
      <c r="I645" s="11" t="n"/>
      <c r="J645" s="8" t="inlineStr">
        <is>
          <t>2026-05-10T21:48:36+09:00</t>
        </is>
      </c>
      <c r="K645" s="14" t="inlineStr">
        <is>
          <t>車検R9年4月！希少4WD！！H22年！ナビ・ETC！乗って帰れます！</t>
        </is>
      </c>
      <c r="L645" s="8" t="inlineStr">
        <is>
          <t>https://page.auctions.yahoo.co.jp/jp/auction/c1228276322</t>
        </is>
      </c>
    </row>
    <row r="646">
      <c r="A646" s="13" t="inlineStr">
        <is>
          <t>ヴェルファイア</t>
        </is>
      </c>
      <c r="B646" s="13" t="n"/>
      <c r="C646" s="13" t="inlineStr"/>
      <c r="D646" s="15" t="n">
        <v>403000</v>
      </c>
      <c r="E646" s="13" t="n">
        <v>124</v>
      </c>
      <c r="F646" s="15" t="n"/>
      <c r="G646" s="13" t="n"/>
      <c r="H646" s="13" t="n"/>
      <c r="I646" s="15" t="n"/>
      <c r="J646" s="13" t="inlineStr">
        <is>
          <t>2026-05-05T21:52:45+09:00</t>
        </is>
      </c>
      <c r="K646" s="14" t="inlineStr">
        <is>
          <t>350Z/フル装備　Wサンルーフ　フルタップ式車高調　外品フルエアロ＆ステンレス製4本出しマフラー　エンジン機関絶好調　修復歴無しの美車</t>
        </is>
      </c>
      <c r="L646" s="13" t="inlineStr">
        <is>
          <t>https://page.auctions.yahoo.co.jp/jp/auction/p1227006608</t>
        </is>
      </c>
    </row>
    <row r="647">
      <c r="A647" s="8" t="inlineStr">
        <is>
          <t>ヴェルファイア</t>
        </is>
      </c>
      <c r="B647" s="8" t="n"/>
      <c r="C647" s="8" t="inlineStr"/>
      <c r="D647" s="11" t="n">
        <v>380000</v>
      </c>
      <c r="E647" s="8" t="n">
        <v>1</v>
      </c>
      <c r="F647" s="11" t="n"/>
      <c r="G647" s="8" t="n"/>
      <c r="H647" s="8" t="n"/>
      <c r="I647" s="11" t="n"/>
      <c r="J647" s="8" t="inlineStr">
        <is>
          <t>2026-04-26T22:37:32+09:00</t>
        </is>
      </c>
      <c r="K647" s="14" t="inlineStr">
        <is>
          <t>トヨタ　☆ゥェルファイア☆　2.4 平成20年7月登録　☆車検令和9年7月まで☆　走行距離　約15万km</t>
        </is>
      </c>
      <c r="L647" s="8" t="inlineStr">
        <is>
          <t>https://page.auctions.yahoo.co.jp/jp/auction/1227108225</t>
        </is>
      </c>
    </row>
    <row r="648">
      <c r="A648" s="13" t="inlineStr">
        <is>
          <t>ヴェルファイア</t>
        </is>
      </c>
      <c r="B648" s="13" t="n"/>
      <c r="C648" s="13" t="inlineStr"/>
      <c r="D648" s="15" t="n">
        <v>380000</v>
      </c>
      <c r="E648" s="13" t="n">
        <v>1</v>
      </c>
      <c r="F648" s="15" t="n"/>
      <c r="G648" s="13" t="n"/>
      <c r="H648" s="13" t="n"/>
      <c r="I648" s="15" t="n"/>
      <c r="J648" s="13" t="inlineStr">
        <is>
          <t>2026-04-25T05:59:36+09:00</t>
        </is>
      </c>
      <c r="K648" s="14" t="inlineStr">
        <is>
          <t>個人出品！ヴェルファイヤＺプラチナセレクションⅡタイプゴールド走行１３９，０００ｋｍ 車検R８年６月 ナビ フルセグTV ETCバックカメラ</t>
        </is>
      </c>
      <c r="L648" s="13" t="inlineStr">
        <is>
          <t>https://page.auctions.yahoo.co.jp/jp/auction/v1227607951</t>
        </is>
      </c>
    </row>
    <row r="649">
      <c r="A649" s="8" t="inlineStr">
        <is>
          <t>ヴェルファイア</t>
        </is>
      </c>
      <c r="B649" s="8" t="n"/>
      <c r="C649" s="8" t="inlineStr"/>
      <c r="D649" s="11" t="n">
        <v>481000</v>
      </c>
      <c r="E649" s="8" t="n">
        <v>5</v>
      </c>
      <c r="F649" s="11" t="n"/>
      <c r="G649" s="8" t="n"/>
      <c r="H649" s="8" t="n"/>
      <c r="I649" s="11" t="n"/>
      <c r="J649" s="8" t="inlineStr">
        <is>
          <t>2026-04-19T22:16:56+09:00</t>
        </is>
      </c>
      <c r="K649" s="14" t="inlineStr">
        <is>
          <t>ヴェルファイアー　GGH20　3.5　HKSスーパーチャージャー！</t>
        </is>
      </c>
      <c r="L649" s="8" t="inlineStr">
        <is>
          <t>https://page.auctions.yahoo.co.jp/jp/auction/v1225549619</t>
        </is>
      </c>
    </row>
    <row r="650">
      <c r="A650" s="13" t="inlineStr">
        <is>
          <t>ヴェルファイア</t>
        </is>
      </c>
      <c r="B650" s="13" t="n"/>
      <c r="C650" s="13" t="inlineStr"/>
      <c r="D650" s="15" t="n">
        <v>385000</v>
      </c>
      <c r="E650" s="13" t="n">
        <v>121</v>
      </c>
      <c r="F650" s="15" t="n"/>
      <c r="G650" s="13" t="n"/>
      <c r="H650" s="13" t="n"/>
      <c r="I650" s="15" t="n"/>
      <c r="J650" s="13" t="inlineStr">
        <is>
          <t>2026-04-15T22:50:06+09:00</t>
        </is>
      </c>
      <c r="K650" s="14" t="inlineStr">
        <is>
          <t>美車☆ベルファイア2.4Z☆4WD☆輝くパール白★８人乗り☆両側パワスラ☆ナビ＋地デジTV★豪華装備★検満タン☆禁煙車☆格安販売☆陸送無料</t>
        </is>
      </c>
      <c r="L650" s="13" t="inlineStr">
        <is>
          <t>https://page.auctions.yahoo.co.jp/jp/auction/d1224967621</t>
        </is>
      </c>
    </row>
    <row r="651">
      <c r="A651" s="8" t="inlineStr">
        <is>
          <t>ヴェルファイア</t>
        </is>
      </c>
      <c r="B651" s="8" t="n"/>
      <c r="C651" s="8" t="inlineStr"/>
      <c r="D651" s="11" t="n">
        <v>470000</v>
      </c>
      <c r="E651" s="8" t="n">
        <v>1</v>
      </c>
      <c r="F651" s="11" t="n"/>
      <c r="G651" s="8" t="n"/>
      <c r="H651" s="8" t="n"/>
      <c r="I651" s="11" t="n"/>
      <c r="J651" s="8" t="inlineStr">
        <is>
          <t>2026-04-08T19:45:49+09:00</t>
        </is>
      </c>
      <c r="K651" s="14" t="inlineStr">
        <is>
          <t>返金保証付:プラチナ7人乗り/フリップダウン/フルセグTV/電動リアゲート/スマートキー2個/Bluetoothオーディオ/クルコン</t>
        </is>
      </c>
      <c r="L651" s="8" t="inlineStr">
        <is>
          <t>https://page.auctions.yahoo.co.jp/jp/auction/d1225428438</t>
        </is>
      </c>
    </row>
    <row r="652">
      <c r="A652" s="13" t="inlineStr">
        <is>
          <t>ヴェルファイア</t>
        </is>
      </c>
      <c r="B652" s="13" t="n"/>
      <c r="C652" s="13" t="inlineStr"/>
      <c r="D652" s="15" t="n">
        <v>650001</v>
      </c>
      <c r="E652" s="13" t="n">
        <v>123</v>
      </c>
      <c r="F652" s="15" t="n"/>
      <c r="G652" s="13" t="n"/>
      <c r="H652" s="13" t="n"/>
      <c r="I652" s="15" t="n"/>
      <c r="J652" s="13" t="inlineStr">
        <is>
          <t>2026-04-05T22:27:58+09:00</t>
        </is>
      </c>
      <c r="K652" s="14" t="inlineStr">
        <is>
          <t>Gエディション！H25後期型！豪華リアシートなど充実装備！車検R8年12月まで！希少車！乗って帰れます！</t>
        </is>
      </c>
      <c r="L652" s="13" t="inlineStr">
        <is>
          <t>https://page.auctions.yahoo.co.jp/jp/auction/r1222115325</t>
        </is>
      </c>
    </row>
    <row r="653">
      <c r="A653" s="8" t="inlineStr">
        <is>
          <t>ヴェルファイア</t>
        </is>
      </c>
      <c r="B653" s="8" t="n"/>
      <c r="C653" s="8" t="inlineStr"/>
      <c r="D653" s="11" t="n">
        <v>440000</v>
      </c>
      <c r="E653" s="8" t="n">
        <v>39</v>
      </c>
      <c r="F653" s="11" t="n"/>
      <c r="G653" s="8" t="n"/>
      <c r="H653" s="8" t="n"/>
      <c r="I653" s="11" t="n"/>
      <c r="J653" s="8" t="inlineStr">
        <is>
          <t>2026-03-29T21:01:03+09:00</t>
        </is>
      </c>
      <c r="K653" s="14" t="inlineStr">
        <is>
          <t>◎トヨタ・ベルファイア・X◎寝台車・患者輸送車◎民間救急車◎霊柩車◎葬儀業◎美車・修復歴無し◎ナビ・バックカメラ◎予備車検/陸送無料</t>
        </is>
      </c>
      <c r="L653" s="8" t="inlineStr">
        <is>
          <t>https://page.auctions.yahoo.co.jp/jp/auction/j1216451956</t>
        </is>
      </c>
    </row>
    <row r="654">
      <c r="A654" s="13" t="inlineStr">
        <is>
          <t>ヴェルファイア</t>
        </is>
      </c>
      <c r="B654" s="13" t="n"/>
      <c r="C654" s="13" t="inlineStr"/>
      <c r="D654" s="15" t="n">
        <v>295000</v>
      </c>
      <c r="E654" s="13" t="n">
        <v>28</v>
      </c>
      <c r="F654" s="15" t="n"/>
      <c r="G654" s="13" t="n"/>
      <c r="H654" s="13" t="n"/>
      <c r="I654" s="15" t="n"/>
      <c r="J654" s="13" t="inlineStr">
        <is>
          <t>2026-03-22T23:05:36+09:00</t>
        </is>
      </c>
      <c r="K654" s="14" t="inlineStr">
        <is>
          <t>ヴェルファイア　H21.10　車検1年以上残　2.4Z</t>
        </is>
      </c>
      <c r="L654" s="13" t="inlineStr">
        <is>
          <t>https://page.auctions.yahoo.co.jp/jp/auction/b1222737439</t>
        </is>
      </c>
    </row>
    <row r="655">
      <c r="A655" s="8" t="inlineStr">
        <is>
          <t>ヴェルファイア</t>
        </is>
      </c>
      <c r="B655" s="8" t="n"/>
      <c r="C655" s="8" t="inlineStr"/>
      <c r="D655" s="11" t="n">
        <v>321000</v>
      </c>
      <c r="E655" s="8" t="n">
        <v>8</v>
      </c>
      <c r="F655" s="11" t="n"/>
      <c r="G655" s="8" t="n"/>
      <c r="H655" s="8" t="n"/>
      <c r="I655" s="11" t="n"/>
      <c r="J655" s="8" t="inlineStr">
        <is>
          <t>2026-03-15T22:03:32+09:00</t>
        </is>
      </c>
      <c r="K655" s="14" t="inlineStr">
        <is>
          <t>【CVT・エンジン対策済】車検R8/7 H23 ヴェルファイア 2.4プラチナⅡ 7人乗り</t>
        </is>
      </c>
      <c r="L655" s="8" t="inlineStr">
        <is>
          <t>https://page.auctions.yahoo.co.jp/jp/auction/x1222288730</t>
        </is>
      </c>
    </row>
    <row r="656">
      <c r="A656" s="13" t="inlineStr">
        <is>
          <t>ヴェルファイア</t>
        </is>
      </c>
      <c r="B656" s="13" t="n"/>
      <c r="C656" s="13" t="inlineStr"/>
      <c r="D656" s="15" t="n">
        <v>361000</v>
      </c>
      <c r="E656" s="13" t="n">
        <v>67</v>
      </c>
      <c r="F656" s="15" t="n"/>
      <c r="G656" s="13" t="n"/>
      <c r="H656" s="13" t="n"/>
      <c r="I656" s="15" t="n"/>
      <c r="J656" s="13" t="inlineStr">
        <is>
          <t>2026-03-01T19:28:51+09:00</t>
        </is>
      </c>
      <c r="K656" s="14" t="inlineStr">
        <is>
          <t>【全てコミコミ】*平成20年*車検付き*ウェルファイア*2.4Z*右左パワースライドドア*バックカメラ*システムヒータコンソール*ローダウン*</t>
        </is>
      </c>
      <c r="L656" s="13" t="inlineStr">
        <is>
          <t>https://page.auctions.yahoo.co.jp/jp/auction/p1220802874</t>
        </is>
      </c>
    </row>
    <row r="657">
      <c r="A657" s="8" t="inlineStr">
        <is>
          <t>ヴォクシー</t>
        </is>
      </c>
      <c r="B657" s="8" t="n">
        <v>2024</v>
      </c>
      <c r="C657" s="8" t="inlineStr">
        <is>
          <t>90系</t>
        </is>
      </c>
      <c r="D657" s="11" t="n">
        <v>3403000</v>
      </c>
      <c r="E657" s="8" t="n">
        <v>152</v>
      </c>
      <c r="F657" s="11" t="n">
        <v>3930</v>
      </c>
      <c r="G657" s="8" t="inlineStr">
        <is>
          <t>REAL_MILEAGE</t>
        </is>
      </c>
      <c r="H657" s="8" t="inlineStr">
        <is>
          <t>NONE</t>
        </is>
      </c>
      <c r="I657" s="11" t="n">
        <v>0</v>
      </c>
      <c r="J657" s="8" t="inlineStr">
        <is>
          <t>2026-05-19T18:54:07+09:00</t>
        </is>
      </c>
      <c r="K657" s="14" t="inlineStr">
        <is>
          <t>★令和6年 トヨタ ヴォクシー S-Z 両面電動スライドドア ETC2.0 走行3900km 車検9年7月★</t>
        </is>
      </c>
      <c r="L657" s="8" t="inlineStr">
        <is>
          <t>https://page.auctions.yahoo.co.jp/jp/auction/k1229697258</t>
        </is>
      </c>
    </row>
    <row r="658">
      <c r="A658" s="13" t="inlineStr">
        <is>
          <t>ヴォクシー</t>
        </is>
      </c>
      <c r="B658" s="13" t="n">
        <v>2023</v>
      </c>
      <c r="C658" s="13" t="inlineStr">
        <is>
          <t>90系</t>
        </is>
      </c>
      <c r="D658" s="15" t="n">
        <v>2680000</v>
      </c>
      <c r="E658" s="13" t="n">
        <v>1</v>
      </c>
      <c r="F658" s="15" t="n">
        <v>8000</v>
      </c>
      <c r="G658" s="13" t="inlineStr">
        <is>
          <t>REAL_MILEAGE</t>
        </is>
      </c>
      <c r="H658" s="13" t="inlineStr">
        <is>
          <t>NONE</t>
        </is>
      </c>
      <c r="I658" s="15" t="n">
        <v>0</v>
      </c>
      <c r="J658" s="13" t="inlineStr">
        <is>
          <t>2026-07-16T12:49:54+09:00</t>
        </is>
      </c>
      <c r="K658" s="14" t="inlineStr">
        <is>
          <t>ヴォクシー 2.0 S-G 4WD トヨタセーフティセンス</t>
        </is>
      </c>
      <c r="L658" s="13" t="inlineStr">
        <is>
          <t>https://page.auctions.yahoo.co.jp/jp/auction/b1237066480</t>
        </is>
      </c>
    </row>
    <row r="659">
      <c r="A659" s="8" t="inlineStr">
        <is>
          <t>ヴォクシー</t>
        </is>
      </c>
      <c r="B659" s="8" t="n">
        <v>2023</v>
      </c>
      <c r="C659" s="8" t="inlineStr">
        <is>
          <t>90系</t>
        </is>
      </c>
      <c r="D659" s="11" t="n">
        <v>2012000</v>
      </c>
      <c r="E659" s="8" t="n">
        <v>282</v>
      </c>
      <c r="F659" s="11" t="n">
        <v>70800</v>
      </c>
      <c r="G659" s="8" t="inlineStr">
        <is>
          <t>REAL_MILEAGE</t>
        </is>
      </c>
      <c r="H659" s="8" t="inlineStr">
        <is>
          <t>NONE</t>
        </is>
      </c>
      <c r="I659" s="11" t="n">
        <v>14040</v>
      </c>
      <c r="J659" s="8" t="inlineStr">
        <is>
          <t>2026-07-05T22:43:10+09:00</t>
        </is>
      </c>
      <c r="K659" s="14" t="inlineStr">
        <is>
          <t>令和5年　ヴォクシー S-G 売切り!【ディスプレイオーディオ“アップルカープレイ”・トヨタセーフティセンス・ACC・パワースライドドア】</t>
        </is>
      </c>
      <c r="L659" s="8" t="inlineStr">
        <is>
          <t>https://page.auctions.yahoo.co.jp/jp/auction/t1235105616</t>
        </is>
      </c>
    </row>
    <row r="660">
      <c r="A660" s="13" t="inlineStr">
        <is>
          <t>ヴォクシー</t>
        </is>
      </c>
      <c r="B660" s="13" t="n">
        <v>2023</v>
      </c>
      <c r="C660" s="13" t="inlineStr">
        <is>
          <t>90系</t>
        </is>
      </c>
      <c r="D660" s="15" t="n">
        <v>2000000</v>
      </c>
      <c r="E660" s="13" t="n">
        <v>1</v>
      </c>
      <c r="F660" s="15" t="n">
        <v>25500</v>
      </c>
      <c r="G660" s="13" t="inlineStr">
        <is>
          <t>REAL_MILEAGE</t>
        </is>
      </c>
      <c r="H660" s="13" t="inlineStr">
        <is>
          <t>EXISTS</t>
        </is>
      </c>
      <c r="I660" s="15" t="n">
        <v>0</v>
      </c>
      <c r="J660" s="13" t="inlineStr">
        <is>
          <t>2026-06-19T21:26:53+09:00</t>
        </is>
      </c>
      <c r="K660" s="14" t="inlineStr">
        <is>
          <t>令和5年 ヴォクシー S-G クルコン 両側電動スライド シートヒーター ユニバーサルステップ ETC2.0 ?ローン可能 売切</t>
        </is>
      </c>
      <c r="L660" s="13" t="inlineStr">
        <is>
          <t>https://page.auctions.yahoo.co.jp/jp/auction/c1233632504</t>
        </is>
      </c>
    </row>
    <row r="661">
      <c r="A661" s="8" t="inlineStr">
        <is>
          <t>ヴォクシー</t>
        </is>
      </c>
      <c r="B661" s="8" t="n">
        <v>2023</v>
      </c>
      <c r="C661" s="8" t="inlineStr">
        <is>
          <t>90系</t>
        </is>
      </c>
      <c r="D661" s="11" t="n">
        <v>3250000</v>
      </c>
      <c r="E661" s="8" t="n">
        <v>26</v>
      </c>
      <c r="F661" s="11" t="n">
        <v>21000</v>
      </c>
      <c r="G661" s="8" t="inlineStr">
        <is>
          <t>REAL_MILEAGE</t>
        </is>
      </c>
      <c r="H661" s="8" t="n"/>
      <c r="I661" s="11" t="n">
        <v>0</v>
      </c>
      <c r="J661" s="8" t="inlineStr">
        <is>
          <t>2026-04-03T16:52:46+09:00</t>
        </is>
      </c>
      <c r="K661" s="14" t="inlineStr">
        <is>
          <t>トヨタ ヴォクシー S-Z 令和5年式 19,200キロ GRエアロ 大型モニターなど充実装備 スペアキーもあります。コミコミ価格 車検ほぼ2年付 綺麗</t>
        </is>
      </c>
      <c r="L661" s="8" t="inlineStr">
        <is>
          <t>https://page.auctions.yahoo.co.jp/jp/auction/f1224402844</t>
        </is>
      </c>
    </row>
    <row r="662">
      <c r="A662" s="13" t="inlineStr">
        <is>
          <t>ヴォクシー</t>
        </is>
      </c>
      <c r="B662" s="13" t="n">
        <v>2021</v>
      </c>
      <c r="C662" s="13" t="inlineStr">
        <is>
          <t>80系</t>
        </is>
      </c>
      <c r="D662" s="15" t="n">
        <v>1780000</v>
      </c>
      <c r="E662" s="13" t="n">
        <v>1</v>
      </c>
      <c r="F662" s="15" t="n">
        <v>58124</v>
      </c>
      <c r="G662" s="13" t="inlineStr">
        <is>
          <t>REAL_MILEAGE</t>
        </is>
      </c>
      <c r="H662" s="13" t="inlineStr">
        <is>
          <t>NONE</t>
        </is>
      </c>
      <c r="I662" s="15" t="n">
        <v>0</v>
      </c>
      <c r="J662" s="13" t="inlineStr">
        <is>
          <t>2026-06-03T20:05:03+09:00</t>
        </is>
      </c>
      <c r="K662" s="14" t="inlineStr">
        <is>
          <t>【中古品現状即決】令和３年 トヨタ ヴォクシー TOYOTA VOXY ZS 2.0</t>
        </is>
      </c>
      <c r="L662" s="13" t="inlineStr">
        <is>
          <t>https://page.auctions.yahoo.co.jp/jp/auction/r1231415174</t>
        </is>
      </c>
    </row>
    <row r="663">
      <c r="A663" s="8" t="inlineStr">
        <is>
          <t>ヴォクシー</t>
        </is>
      </c>
      <c r="B663" s="8" t="n">
        <v>2019</v>
      </c>
      <c r="C663" s="8" t="inlineStr">
        <is>
          <t>80系</t>
        </is>
      </c>
      <c r="D663" s="11" t="n">
        <v>1674000</v>
      </c>
      <c r="E663" s="8" t="n">
        <v>128</v>
      </c>
      <c r="F663" s="11" t="n">
        <v>46000</v>
      </c>
      <c r="G663" s="8" t="inlineStr">
        <is>
          <t>REAL_MILEAGE</t>
        </is>
      </c>
      <c r="H663" s="8" t="inlineStr">
        <is>
          <t>NONE</t>
        </is>
      </c>
      <c r="I663" s="11" t="n">
        <v>12470</v>
      </c>
      <c r="J663" s="8" t="inlineStr">
        <is>
          <t>2026-07-17T21:12:32+09:00</t>
        </is>
      </c>
      <c r="K663" s="14" t="inlineStr">
        <is>
          <t>トヨタ ヴォクシー ZS煌Ⅱ 令和1年式 DBA-ZRR80W 4.6万キロ 両側パワースライドドア 9インチナビTVブルートゥース バックカメラ 7人乗り</t>
        </is>
      </c>
      <c r="L663" s="8" t="inlineStr">
        <is>
          <t>https://page.auctions.yahoo.co.jp/jp/auction/j1236813440</t>
        </is>
      </c>
    </row>
    <row r="664">
      <c r="A664" s="13" t="inlineStr">
        <is>
          <t>ヴォクシー</t>
        </is>
      </c>
      <c r="B664" s="13" t="n">
        <v>2019</v>
      </c>
      <c r="C664" s="13" t="inlineStr">
        <is>
          <t>80系</t>
        </is>
      </c>
      <c r="D664" s="15" t="n">
        <v>1350000</v>
      </c>
      <c r="E664" s="13" t="n">
        <v>1</v>
      </c>
      <c r="F664" s="15" t="n">
        <v>108800</v>
      </c>
      <c r="G664" s="13" t="inlineStr">
        <is>
          <t>REAL_MILEAGE</t>
        </is>
      </c>
      <c r="H664" s="13" t="inlineStr">
        <is>
          <t>NONE</t>
        </is>
      </c>
      <c r="I664" s="15" t="n">
        <v>0</v>
      </c>
      <c r="J664" s="13" t="inlineStr">
        <is>
          <t>2026-04-03T20:27:16+09:00</t>
        </is>
      </c>
      <c r="K664" s="14" t="inlineStr">
        <is>
          <t>【4WD車検残あり！】トヨタ ヴォクシー 4WD ZS 煌Ⅱ 7人乗り 1オーナー 108,800km 両側パワースライドドア 9インチナビ 寒冷地仕様</t>
        </is>
      </c>
      <c r="L664" s="13" t="inlineStr">
        <is>
          <t>https://page.auctions.yahoo.co.jp/jp/auction/g1220188119</t>
        </is>
      </c>
    </row>
    <row r="665">
      <c r="A665" s="8" t="inlineStr">
        <is>
          <t>ヴォクシー</t>
        </is>
      </c>
      <c r="B665" s="8" t="n">
        <v>2018</v>
      </c>
      <c r="C665" s="8" t="inlineStr">
        <is>
          <t>80系</t>
        </is>
      </c>
      <c r="D665" s="11" t="n">
        <v>1450000</v>
      </c>
      <c r="E665" s="8" t="n">
        <v>1</v>
      </c>
      <c r="F665" s="11" t="n">
        <v>105000</v>
      </c>
      <c r="G665" s="8" t="inlineStr">
        <is>
          <t>REAL_MILEAGE</t>
        </is>
      </c>
      <c r="H665" s="8" t="inlineStr">
        <is>
          <t>EXISTS</t>
        </is>
      </c>
      <c r="I665" s="11" t="n">
        <v>0</v>
      </c>
      <c r="J665" s="8" t="inlineStr">
        <is>
          <t>2026-08-21T20:59:17+09:00</t>
        </is>
      </c>
      <c r="K665" s="14" t="inlineStr">
        <is>
          <t>ヴォクシー 1.8 ハイブリッド ZS 煌 モデリスタエアロ　アルパインナビ</t>
        </is>
      </c>
      <c r="L665" s="8" t="inlineStr">
        <is>
          <t>https://page.auctions.yahoo.co.jp/jp/auction/e1240193937</t>
        </is>
      </c>
    </row>
    <row r="666">
      <c r="A666" s="13" t="inlineStr">
        <is>
          <t>ヴォクシー</t>
        </is>
      </c>
      <c r="B666" s="13" t="n">
        <v>2018</v>
      </c>
      <c r="C666" s="13" t="inlineStr">
        <is>
          <t>80系</t>
        </is>
      </c>
      <c r="D666" s="15" t="n">
        <v>1670000</v>
      </c>
      <c r="E666" s="13" t="n">
        <v>1</v>
      </c>
      <c r="F666" s="15" t="n">
        <v>102000</v>
      </c>
      <c r="G666" s="13" t="inlineStr">
        <is>
          <t>REAL_MILEAGE</t>
        </is>
      </c>
      <c r="H666" s="13" t="inlineStr">
        <is>
          <t>NONE</t>
        </is>
      </c>
      <c r="I666" s="15" t="n">
        <v>0</v>
      </c>
      <c r="J666" s="13" t="inlineStr">
        <is>
          <t>2026-08-08T19:53:22+09:00</t>
        </is>
      </c>
      <c r="K666" s="14" t="inlineStr">
        <is>
          <t>H30 VOXY ハイブリッド ZS煌 後期 10.2万km 車検R9.9 両側パワスラ LED 9インチナビ</t>
        </is>
      </c>
      <c r="L666" s="13" t="inlineStr">
        <is>
          <t>https://page.auctions.yahoo.co.jp/jp/auction/e1236547597</t>
        </is>
      </c>
    </row>
    <row r="667">
      <c r="A667" s="8" t="inlineStr">
        <is>
          <t>ヴォクシー</t>
        </is>
      </c>
      <c r="B667" s="8" t="n">
        <v>2018</v>
      </c>
      <c r="C667" s="8" t="inlineStr">
        <is>
          <t>80系</t>
        </is>
      </c>
      <c r="D667" s="11" t="n">
        <v>1203000</v>
      </c>
      <c r="E667" s="8" t="n">
        <v>82</v>
      </c>
      <c r="F667" s="11" t="n">
        <v>97491</v>
      </c>
      <c r="G667" s="8" t="inlineStr">
        <is>
          <t>REAL_MILEAGE</t>
        </is>
      </c>
      <c r="H667" s="8" t="n"/>
      <c r="I667" s="11" t="n">
        <v>0</v>
      </c>
      <c r="J667" s="8" t="inlineStr">
        <is>
          <t>2026-06-04T20:33:36+09:00</t>
        </is>
      </c>
      <c r="K667" s="14" t="inlineStr">
        <is>
          <t>【人気のZS煌】トヨタ ヴォクシー80 8人乗り 両側パワスラ ナビTV Bカメラ ETC トヨタセーフティセンス 車検あり</t>
        </is>
      </c>
      <c r="L667" s="8" t="inlineStr">
        <is>
          <t>https://page.auctions.yahoo.co.jp/jp/auction/b1232006660</t>
        </is>
      </c>
    </row>
    <row r="668">
      <c r="A668" s="13" t="inlineStr">
        <is>
          <t>ヴォクシー</t>
        </is>
      </c>
      <c r="B668" s="13" t="n">
        <v>2017</v>
      </c>
      <c r="C668" s="13" t="inlineStr">
        <is>
          <t>80系</t>
        </is>
      </c>
      <c r="D668" s="15" t="n">
        <v>1000000</v>
      </c>
      <c r="E668" s="13" t="n">
        <v>85</v>
      </c>
      <c r="F668" s="15" t="n">
        <v>56316</v>
      </c>
      <c r="G668" s="13" t="inlineStr">
        <is>
          <t>REAL_MILEAGE</t>
        </is>
      </c>
      <c r="H668" s="13" t="n"/>
      <c r="I668" s="15" t="n">
        <v>50000</v>
      </c>
      <c r="J668" s="13" t="inlineStr">
        <is>
          <t>2026-07-11T20:36:22+09:00</t>
        </is>
      </c>
      <c r="K668" s="14" t="inlineStr">
        <is>
          <t>【1円スタート!!】平成29年式 トヨタ ヴォクシー ZS 煌Ⅱ（キラメキ2）★実走行56,316km★大人気パールホワイト★売り切り!!★ 7人乗り</t>
        </is>
      </c>
      <c r="L668" s="13" t="inlineStr">
        <is>
          <t>https://page.auctions.yahoo.co.jp/jp/auction/v1236029095</t>
        </is>
      </c>
    </row>
    <row r="669">
      <c r="A669" s="8" t="inlineStr">
        <is>
          <t>ヴォクシー</t>
        </is>
      </c>
      <c r="B669" s="8" t="n">
        <v>2017</v>
      </c>
      <c r="C669" s="8" t="inlineStr">
        <is>
          <t>80系</t>
        </is>
      </c>
      <c r="D669" s="11" t="n">
        <v>1467000</v>
      </c>
      <c r="E669" s="8" t="n">
        <v>125</v>
      </c>
      <c r="F669" s="11" t="n">
        <v>63000</v>
      </c>
      <c r="G669" s="8" t="inlineStr">
        <is>
          <t>REAL_MILEAGE</t>
        </is>
      </c>
      <c r="H669" s="8" t="n"/>
      <c r="I669" s="11" t="n">
        <v>0</v>
      </c>
      <c r="J669" s="8" t="inlineStr">
        <is>
          <t>2026-06-01T16:47:00+09:00</t>
        </is>
      </c>
      <c r="K669" s="14" t="inlineStr">
        <is>
          <t>★☆☆ トヨタ　ヴォクシー　ZS 　低　平成29年10月　車検2年付　両面電動スライドドア　代理出品　ブラック☆☆★</t>
        </is>
      </c>
      <c r="L669" s="8" t="inlineStr">
        <is>
          <t>https://page.auctions.yahoo.co.jp/jp/auction/s1231536122</t>
        </is>
      </c>
    </row>
    <row r="670">
      <c r="A670" s="13" t="inlineStr">
        <is>
          <t>ヴォクシー</t>
        </is>
      </c>
      <c r="B670" s="13" t="n">
        <v>2016</v>
      </c>
      <c r="C670" s="13" t="inlineStr">
        <is>
          <t>80系</t>
        </is>
      </c>
      <c r="D670" s="15" t="n">
        <v>880000</v>
      </c>
      <c r="E670" s="13" t="n">
        <v>27</v>
      </c>
      <c r="F670" s="15" t="n">
        <v>153000</v>
      </c>
      <c r="G670" s="13" t="inlineStr">
        <is>
          <t>REAL_MILEAGE</t>
        </is>
      </c>
      <c r="H670" s="13" t="inlineStr">
        <is>
          <t>NONE</t>
        </is>
      </c>
      <c r="I670" s="15" t="n">
        <v>45030</v>
      </c>
      <c r="J670" s="13" t="inlineStr">
        <is>
          <t>2026-08-10T13:26:26+09:00</t>
        </is>
      </c>
      <c r="K670" s="14" t="inlineStr">
        <is>
          <t xml:space="preserve">売切り　平成28年式　ヴォクシー　ハイブリッド　ZS　煌　無事故　実走行　車検令和9年2月　ZRW80　ノア　エスクァイア　</t>
        </is>
      </c>
      <c r="L670" s="13" t="inlineStr">
        <is>
          <t>https://page.auctions.yahoo.co.jp/jp/auction/e1240202271</t>
        </is>
      </c>
    </row>
    <row r="671">
      <c r="A671" s="8" t="inlineStr">
        <is>
          <t>ヴォクシー</t>
        </is>
      </c>
      <c r="B671" s="8" t="n">
        <v>2016</v>
      </c>
      <c r="C671" s="8" t="inlineStr">
        <is>
          <t>80系</t>
        </is>
      </c>
      <c r="D671" s="11" t="n">
        <v>601000</v>
      </c>
      <c r="E671" s="8" t="n">
        <v>67</v>
      </c>
      <c r="F671" s="11" t="n">
        <v>139746</v>
      </c>
      <c r="G671" s="8" t="inlineStr">
        <is>
          <t>REAL_MILEAGE</t>
        </is>
      </c>
      <c r="H671" s="8" t="n"/>
      <c r="I671" s="11" t="n">
        <v>12470</v>
      </c>
      <c r="J671" s="8" t="inlineStr">
        <is>
          <t>2026-08-02T12:04:03+09:00</t>
        </is>
      </c>
      <c r="K671" s="14" t="inlineStr">
        <is>
          <t>平成28年 トヨタ ヴォクシー ZS 煌 4WD DBA-ZRR85W 139,746km</t>
        </is>
      </c>
      <c r="L671" s="8" t="inlineStr">
        <is>
          <t>https://page.auctions.yahoo.co.jp/jp/auction/b1238958933</t>
        </is>
      </c>
    </row>
    <row r="672">
      <c r="A672" s="13" t="inlineStr">
        <is>
          <t>ヴォクシー</t>
        </is>
      </c>
      <c r="B672" s="13" t="n">
        <v>2016</v>
      </c>
      <c r="C672" s="13" t="inlineStr">
        <is>
          <t>80系</t>
        </is>
      </c>
      <c r="D672" s="15" t="n">
        <v>1200000</v>
      </c>
      <c r="E672" s="13" t="n">
        <v>105</v>
      </c>
      <c r="F672" s="15" t="n">
        <v>61600</v>
      </c>
      <c r="G672" s="13" t="inlineStr">
        <is>
          <t>REAL_MILEAGE</t>
        </is>
      </c>
      <c r="H672" s="13" t="inlineStr">
        <is>
          <t>NONE</t>
        </is>
      </c>
      <c r="I672" s="15" t="n">
        <v>0</v>
      </c>
      <c r="J672" s="13" t="inlineStr">
        <is>
          <t>2026-06-07T22:39:09+09:00</t>
        </is>
      </c>
      <c r="K672" s="14" t="inlineStr">
        <is>
          <t>平成28年 トヨタ ヴォクシー グレードZS 煌 2000cc 純正ナビ,バックカメラ</t>
        </is>
      </c>
      <c r="L672" s="13" t="inlineStr">
        <is>
          <t>https://page.auctions.yahoo.co.jp/jp/auction/d1231153930</t>
        </is>
      </c>
    </row>
    <row r="673">
      <c r="A673" s="8" t="inlineStr">
        <is>
          <t>ヴォクシー</t>
        </is>
      </c>
      <c r="B673" s="8" t="n">
        <v>2016</v>
      </c>
      <c r="C673" s="8" t="inlineStr">
        <is>
          <t>80系</t>
        </is>
      </c>
      <c r="D673" s="11" t="n">
        <v>1599000</v>
      </c>
      <c r="E673" s="8" t="n">
        <v>1</v>
      </c>
      <c r="F673" s="11" t="n">
        <v>91000</v>
      </c>
      <c r="G673" s="8" t="inlineStr">
        <is>
          <t>REAL_MILEAGE</t>
        </is>
      </c>
      <c r="H673" s="8" t="inlineStr">
        <is>
          <t>NONE</t>
        </is>
      </c>
      <c r="I673" s="11" t="n">
        <v>0</v>
      </c>
      <c r="J673" s="8" t="inlineStr">
        <is>
          <t>2026-05-06T20:33:11+09:00</t>
        </is>
      </c>
      <c r="K673" s="14" t="inlineStr">
        <is>
          <t>ヴォクシー 1.8 ハイブリッド ZS 9インチナビTV　11インチ後席モニター</t>
        </is>
      </c>
      <c r="L673" s="8" t="inlineStr">
        <is>
          <t>https://page.auctions.yahoo.co.jp/jp/auction/m1225472008</t>
        </is>
      </c>
    </row>
    <row r="674">
      <c r="A674" s="13" t="inlineStr">
        <is>
          <t>ヴォクシー</t>
        </is>
      </c>
      <c r="B674" s="13" t="n">
        <v>2016</v>
      </c>
      <c r="C674" s="13" t="inlineStr">
        <is>
          <t>80系</t>
        </is>
      </c>
      <c r="D674" s="15" t="n">
        <v>1218000</v>
      </c>
      <c r="E674" s="13" t="n">
        <v>1</v>
      </c>
      <c r="F674" s="15" t="n">
        <v>75000</v>
      </c>
      <c r="G674" s="13" t="inlineStr">
        <is>
          <t>REAL_MILEAGE</t>
        </is>
      </c>
      <c r="H674" s="13" t="inlineStr">
        <is>
          <t>NONE</t>
        </is>
      </c>
      <c r="I674" s="15" t="n">
        <v>0</v>
      </c>
      <c r="J674" s="13" t="inlineStr">
        <is>
          <t>2026-05-05T20:46:40+09:00</t>
        </is>
      </c>
      <c r="K674" s="14" t="inlineStr">
        <is>
          <t>ヴォクシー 2.0 ZS 煌 メモリーナビ 両側オートスライド</t>
        </is>
      </c>
      <c r="L674" s="13" t="inlineStr">
        <is>
          <t>https://page.auctions.yahoo.co.jp/jp/auction/r1225161520</t>
        </is>
      </c>
    </row>
    <row r="675">
      <c r="A675" s="8" t="inlineStr">
        <is>
          <t>ヴォクシー</t>
        </is>
      </c>
      <c r="B675" s="8" t="n">
        <v>2016</v>
      </c>
      <c r="C675" s="8" t="inlineStr">
        <is>
          <t>80系</t>
        </is>
      </c>
      <c r="D675" s="11" t="n">
        <v>1128000</v>
      </c>
      <c r="E675" s="8" t="n">
        <v>1</v>
      </c>
      <c r="F675" s="11" t="n">
        <v>90300</v>
      </c>
      <c r="G675" s="8" t="inlineStr">
        <is>
          <t>REAL_MILEAGE</t>
        </is>
      </c>
      <c r="H675" s="8" t="inlineStr">
        <is>
          <t>EXISTS</t>
        </is>
      </c>
      <c r="I675" s="11" t="n">
        <v>0</v>
      </c>
      <c r="J675" s="8" t="inlineStr">
        <is>
          <t>2026-04-08T17:16:32+09:00</t>
        </is>
      </c>
      <c r="K675" s="14" t="inlineStr">
        <is>
          <t>車検満タン 28年式 ヴォクシー ハイブリッドV セーフティセンス 衝突軽減ブレーキ ナビTV Bluetooth Bカメラ 両側Pスラ スマキー クルコン</t>
        </is>
      </c>
      <c r="L675" s="8" t="inlineStr">
        <is>
          <t>https://page.auctions.yahoo.co.jp/jp/auction/c1222370119</t>
        </is>
      </c>
    </row>
    <row r="676">
      <c r="A676" s="13" t="inlineStr">
        <is>
          <t>ヴォクシー</t>
        </is>
      </c>
      <c r="B676" s="13" t="n">
        <v>2016</v>
      </c>
      <c r="C676" s="13" t="inlineStr">
        <is>
          <t>80系</t>
        </is>
      </c>
      <c r="D676" s="15" t="n">
        <v>1599000</v>
      </c>
      <c r="E676" s="13" t="n">
        <v>1</v>
      </c>
      <c r="F676" s="15" t="n">
        <v>91000</v>
      </c>
      <c r="G676" s="13" t="inlineStr">
        <is>
          <t>REAL_MILEAGE</t>
        </is>
      </c>
      <c r="H676" s="13" t="inlineStr">
        <is>
          <t>NONE</t>
        </is>
      </c>
      <c r="I676" s="15" t="n">
        <v>0</v>
      </c>
      <c r="J676" s="13" t="inlineStr">
        <is>
          <t>2026-03-31T21:19:43+09:00</t>
        </is>
      </c>
      <c r="K676" s="14" t="inlineStr">
        <is>
          <t>ヴォクシー 1.8 ハイブリッド ZS 9インチナビTV　11インチ後席モニター</t>
        </is>
      </c>
      <c r="L676" s="13" t="inlineStr">
        <is>
          <t>https://page.auctions.yahoo.co.jp/jp/auction/n1218442745</t>
        </is>
      </c>
    </row>
    <row r="677">
      <c r="A677" s="8" t="inlineStr">
        <is>
          <t>ヴォクシー</t>
        </is>
      </c>
      <c r="B677" s="8" t="n">
        <v>2016</v>
      </c>
      <c r="C677" s="8" t="inlineStr">
        <is>
          <t>80系</t>
        </is>
      </c>
      <c r="D677" s="11" t="n">
        <v>1098000</v>
      </c>
      <c r="E677" s="8" t="n">
        <v>2</v>
      </c>
      <c r="F677" s="11" t="n">
        <v>160900</v>
      </c>
      <c r="G677" s="8" t="inlineStr">
        <is>
          <t>REAL_MILEAGE</t>
        </is>
      </c>
      <c r="H677" s="8" t="inlineStr">
        <is>
          <t>NONE</t>
        </is>
      </c>
      <c r="I677" s="11" t="n">
        <v>0</v>
      </c>
      <c r="J677" s="8" t="inlineStr">
        <is>
          <t>2026-02-28T16:00:40+09:00</t>
        </is>
      </c>
      <c r="K677" s="14" t="inlineStr">
        <is>
          <t>福岡発,28年80ヴォクシーハイブリッドZS,検満渡R10年2月,専用エアロ16アルミ,両側電動,リアFDモニタ,大阪南港止2.9万円,東京有明港3.9万円</t>
        </is>
      </c>
      <c r="L677" s="8" t="inlineStr">
        <is>
          <t>https://page.auctions.yahoo.co.jp/jp/auction/o1219978316</t>
        </is>
      </c>
    </row>
    <row r="678">
      <c r="A678" s="13" t="inlineStr">
        <is>
          <t>ヴォクシー</t>
        </is>
      </c>
      <c r="B678" s="13" t="n">
        <v>2015</v>
      </c>
      <c r="C678" s="13" t="inlineStr">
        <is>
          <t>80系</t>
        </is>
      </c>
      <c r="D678" s="15" t="n">
        <v>951000</v>
      </c>
      <c r="E678" s="13" t="n">
        <v>87</v>
      </c>
      <c r="F678" s="15" t="n">
        <v>77300</v>
      </c>
      <c r="G678" s="13" t="inlineStr">
        <is>
          <t>REAL_MILEAGE</t>
        </is>
      </c>
      <c r="H678" s="13" t="inlineStr">
        <is>
          <t>NONE</t>
        </is>
      </c>
      <c r="I678" s="15" t="n">
        <v>121980</v>
      </c>
      <c r="J678" s="13" t="inlineStr">
        <is>
          <t>2026-08-17T21:34:09+09:00</t>
        </is>
      </c>
      <c r="K678" s="14" t="inlineStr">
        <is>
          <t>平成27（2015年）のヴォクシー2.0ZS KIRAMEKI 2WD走行距離 77,300km</t>
        </is>
      </c>
      <c r="L678" s="13" t="inlineStr">
        <is>
          <t>https://page.auctions.yahoo.co.jp/jp/auction/n1240736500</t>
        </is>
      </c>
    </row>
    <row r="679">
      <c r="A679" s="8" t="inlineStr">
        <is>
          <t>ヴォクシー</t>
        </is>
      </c>
      <c r="B679" s="8" t="n">
        <v>2015</v>
      </c>
      <c r="C679" s="8" t="inlineStr">
        <is>
          <t>80系</t>
        </is>
      </c>
      <c r="D679" s="11" t="n">
        <v>451000</v>
      </c>
      <c r="E679" s="8" t="n">
        <v>69</v>
      </c>
      <c r="F679" s="11" t="n">
        <v>161900</v>
      </c>
      <c r="G679" s="8" t="inlineStr">
        <is>
          <t>REAL_MILEAGE</t>
        </is>
      </c>
      <c r="H679" s="8" t="n"/>
      <c r="I679" s="11" t="n">
        <v>0</v>
      </c>
      <c r="J679" s="8" t="inlineStr">
        <is>
          <t>2026-07-12T20:23:35+09:00</t>
        </is>
      </c>
      <c r="K679" s="14" t="inlineStr">
        <is>
          <t>H27 トヨタ VOXY X 2WD 161,900km</t>
        </is>
      </c>
      <c r="L679" s="8" t="inlineStr">
        <is>
          <t>https://page.auctions.yahoo.co.jp/jp/auction/h1236431737</t>
        </is>
      </c>
    </row>
    <row r="680">
      <c r="A680" s="13" t="inlineStr">
        <is>
          <t>ヴォクシー</t>
        </is>
      </c>
      <c r="B680" s="13" t="n">
        <v>2015</v>
      </c>
      <c r="C680" s="13" t="inlineStr">
        <is>
          <t>80系</t>
        </is>
      </c>
      <c r="D680" s="15" t="n">
        <v>600000</v>
      </c>
      <c r="E680" s="13" t="n">
        <v>113</v>
      </c>
      <c r="F680" s="15" t="n">
        <v>118800</v>
      </c>
      <c r="G680" s="13" t="inlineStr">
        <is>
          <t>REAL_MILEAGE</t>
        </is>
      </c>
      <c r="H680" s="13" t="inlineStr">
        <is>
          <t>NONE</t>
        </is>
      </c>
      <c r="I680" s="15" t="n">
        <v>12470</v>
      </c>
      <c r="J680" s="13" t="inlineStr">
        <is>
          <t>2026-07-12T19:50:31+09:00</t>
        </is>
      </c>
      <c r="K680" s="14" t="inlineStr">
        <is>
          <t>トヨタ ヴォクシーX 平成 27年 2月 8人乗り【売り切り スタート】</t>
        </is>
      </c>
      <c r="L680" s="13" t="inlineStr">
        <is>
          <t>https://page.auctions.yahoo.co.jp/jp/auction/1236385898</t>
        </is>
      </c>
    </row>
    <row r="681">
      <c r="A681" s="8" t="inlineStr">
        <is>
          <t>ヴォクシー</t>
        </is>
      </c>
      <c r="B681" s="8" t="n">
        <v>2015</v>
      </c>
      <c r="C681" s="8" t="inlineStr">
        <is>
          <t>80系</t>
        </is>
      </c>
      <c r="D681" s="11" t="n">
        <v>898000</v>
      </c>
      <c r="E681" s="8" t="n">
        <v>1</v>
      </c>
      <c r="F681" s="11" t="n">
        <v>103000</v>
      </c>
      <c r="G681" s="8" t="inlineStr">
        <is>
          <t>REAL_MILEAGE</t>
        </is>
      </c>
      <c r="H681" s="8" t="inlineStr">
        <is>
          <t>NONE</t>
        </is>
      </c>
      <c r="I681" s="11" t="n">
        <v>0</v>
      </c>
      <c r="J681" s="8" t="inlineStr">
        <is>
          <t>2026-07-11T00:04:24+09:00</t>
        </is>
      </c>
      <c r="K681" s="14" t="inlineStr">
        <is>
          <t>ヴォクシー 1.8 ハイブリッド V ナビTVブルートゥース接続Bカメラ/両側パワ</t>
        </is>
      </c>
      <c r="L681" s="8" t="inlineStr">
        <is>
          <t>https://page.auctions.yahoo.co.jp/jp/auction/m1232690452</t>
        </is>
      </c>
    </row>
    <row r="682">
      <c r="A682" s="13" t="inlineStr">
        <is>
          <t>ヴォクシー</t>
        </is>
      </c>
      <c r="B682" s="13" t="n">
        <v>2015</v>
      </c>
      <c r="C682" s="13" t="inlineStr">
        <is>
          <t>80系</t>
        </is>
      </c>
      <c r="D682" s="15" t="n">
        <v>904000</v>
      </c>
      <c r="E682" s="13" t="n">
        <v>166</v>
      </c>
      <c r="F682" s="15" t="n">
        <v>130350</v>
      </c>
      <c r="G682" s="13" t="inlineStr">
        <is>
          <t>REAL_MILEAGE</t>
        </is>
      </c>
      <c r="H682" s="13" t="inlineStr">
        <is>
          <t>NONE</t>
        </is>
      </c>
      <c r="I682" s="15" t="n">
        <v>38770</v>
      </c>
      <c r="J682" s="13" t="inlineStr">
        <is>
          <t>2026-07-10T21:50:08+09:00</t>
        </is>
      </c>
      <c r="K682" s="14" t="inlineStr">
        <is>
          <t>★ヴォクシーハイブリッドV★車検10年7月1日★フリップモニター★両側パワースラ★10インチナビ★クルコン★リアオートエアコン★アルミ★</t>
        </is>
      </c>
      <c r="L682" s="13" t="inlineStr">
        <is>
          <t>https://page.auctions.yahoo.co.jp/jp/auction/d1235917701</t>
        </is>
      </c>
    </row>
    <row r="683">
      <c r="A683" s="8" t="inlineStr">
        <is>
          <t>ヴォクシー</t>
        </is>
      </c>
      <c r="B683" s="8" t="n">
        <v>2015</v>
      </c>
      <c r="C683" s="8" t="inlineStr">
        <is>
          <t>80系</t>
        </is>
      </c>
      <c r="D683" s="11" t="n">
        <v>748000</v>
      </c>
      <c r="E683" s="8" t="n">
        <v>1</v>
      </c>
      <c r="F683" s="11" t="n">
        <v>133500</v>
      </c>
      <c r="G683" s="8" t="inlineStr">
        <is>
          <t>REAL_MILEAGE</t>
        </is>
      </c>
      <c r="H683" s="8" t="inlineStr">
        <is>
          <t>NONE</t>
        </is>
      </c>
      <c r="I683" s="11" t="n">
        <v>42070</v>
      </c>
      <c r="J683" s="8" t="inlineStr">
        <is>
          <t>2026-06-20T16:00:05+09:00</t>
        </is>
      </c>
      <c r="K683" s="14" t="inlineStr">
        <is>
          <t>☆27年ヴォクシー・ZS煌 4WD☆車検10年2月☆乗り出し総額79万円☆修復歴無し☆7人乗り☆両側パワスラ☆スマートキー☆フリップダウン☆</t>
        </is>
      </c>
      <c r="L683" s="8" t="inlineStr">
        <is>
          <t>https://page.auctions.yahoo.co.jp/jp/auction/p1233431329</t>
        </is>
      </c>
    </row>
    <row r="684">
      <c r="A684" s="13" t="inlineStr">
        <is>
          <t>ヴォクシー</t>
        </is>
      </c>
      <c r="B684" s="13" t="n">
        <v>2015</v>
      </c>
      <c r="C684" s="13" t="inlineStr">
        <is>
          <t>80系</t>
        </is>
      </c>
      <c r="D684" s="15" t="n">
        <v>536000</v>
      </c>
      <c r="E684" s="13" t="n">
        <v>9</v>
      </c>
      <c r="F684" s="15" t="n">
        <v>152000</v>
      </c>
      <c r="G684" s="13" t="inlineStr">
        <is>
          <t>REAL_MILEAGE</t>
        </is>
      </c>
      <c r="H684" s="13" t="inlineStr">
        <is>
          <t>EXISTS</t>
        </is>
      </c>
      <c r="I684" s="15" t="n">
        <v>12470</v>
      </c>
      <c r="J684" s="13" t="inlineStr">
        <is>
          <t>2026-06-14T21:36:28+09:00</t>
        </is>
      </c>
      <c r="K684" s="14" t="inlineStr">
        <is>
          <t>H27 ハイブリッド 80系ヴォクシー【上級グレード V】LED★シートヒーター★スマートキー★ナビ/TV/Bカメラ/ETC★23年製国産タイヤ4本溝深い</t>
        </is>
      </c>
      <c r="L684" s="13" t="inlineStr">
        <is>
          <t>https://page.auctions.yahoo.co.jp/jp/auction/o1233136271</t>
        </is>
      </c>
    </row>
    <row r="685">
      <c r="A685" s="8" t="inlineStr">
        <is>
          <t>ヴォクシー</t>
        </is>
      </c>
      <c r="B685" s="8" t="n">
        <v>2015</v>
      </c>
      <c r="C685" s="8" t="inlineStr">
        <is>
          <t>80系</t>
        </is>
      </c>
      <c r="D685" s="11" t="n">
        <v>570000</v>
      </c>
      <c r="E685" s="8" t="n">
        <v>25</v>
      </c>
      <c r="F685" s="11" t="n">
        <v>165000</v>
      </c>
      <c r="G685" s="8" t="inlineStr">
        <is>
          <t>REAL_MILEAGE</t>
        </is>
      </c>
      <c r="H685" s="8" t="n"/>
      <c r="I685" s="11" t="n">
        <v>0</v>
      </c>
      <c r="J685" s="8" t="inlineStr">
        <is>
          <t>2026-05-31T07:16:51+09:00</t>
        </is>
      </c>
      <c r="K685" s="14" t="inlineStr">
        <is>
          <t>ヴォクシー・ハイブリッド</t>
        </is>
      </c>
      <c r="L685" s="8" t="inlineStr">
        <is>
          <t>https://page.auctions.yahoo.co.jp/jp/auction/s1231284631</t>
        </is>
      </c>
    </row>
    <row r="686">
      <c r="A686" s="13" t="inlineStr">
        <is>
          <t>ヴォクシー</t>
        </is>
      </c>
      <c r="B686" s="13" t="n">
        <v>2015</v>
      </c>
      <c r="C686" s="13" t="inlineStr">
        <is>
          <t>80系</t>
        </is>
      </c>
      <c r="D686" s="15" t="n">
        <v>739000</v>
      </c>
      <c r="E686" s="13" t="n">
        <v>1</v>
      </c>
      <c r="F686" s="15" t="n">
        <v>187000</v>
      </c>
      <c r="G686" s="13" t="inlineStr">
        <is>
          <t>REAL_MILEAGE</t>
        </is>
      </c>
      <c r="H686" s="13" t="inlineStr">
        <is>
          <t>NONE</t>
        </is>
      </c>
      <c r="I686" s="15" t="n">
        <v>0</v>
      </c>
      <c r="J686" s="13" t="inlineStr">
        <is>
          <t>2026-05-26T02:00:50+09:00</t>
        </is>
      </c>
      <c r="K686" s="14" t="inlineStr">
        <is>
          <t>福岡発,80ヴォクシーハイブリッドV,車検満タン渡しR10年5月,クルコン,両側電動,リアFDモニタ,大阪南港止2.9万円,東京有明港3.9万円</t>
        </is>
      </c>
      <c r="L686" s="13" t="inlineStr">
        <is>
          <t>https://page.auctions.yahoo.co.jp/jp/auction/s1231172571</t>
        </is>
      </c>
    </row>
    <row r="687">
      <c r="A687" s="8" t="inlineStr">
        <is>
          <t>ヴォクシー</t>
        </is>
      </c>
      <c r="B687" s="8" t="n">
        <v>2015</v>
      </c>
      <c r="C687" s="8" t="inlineStr">
        <is>
          <t>80系</t>
        </is>
      </c>
      <c r="D687" s="11" t="n">
        <v>490000</v>
      </c>
      <c r="E687" s="8" t="n">
        <v>62</v>
      </c>
      <c r="F687" s="11" t="n">
        <v>280000</v>
      </c>
      <c r="G687" s="8" t="inlineStr">
        <is>
          <t>REAL_MILEAGE</t>
        </is>
      </c>
      <c r="H687" s="8" t="n"/>
      <c r="I687" s="11" t="n">
        <v>0</v>
      </c>
      <c r="J687" s="8" t="inlineStr">
        <is>
          <t>2026-05-04T00:01:22+09:00</t>
        </is>
      </c>
      <c r="K687" s="14" t="inlineStr">
        <is>
          <t>ヴォクシー・ハイブリッド</t>
        </is>
      </c>
      <c r="L687" s="8" t="inlineStr">
        <is>
          <t>https://page.auctions.yahoo.co.jp/jp/auction/m1227818189</t>
        </is>
      </c>
    </row>
    <row r="688">
      <c r="A688" s="13" t="inlineStr">
        <is>
          <t>ヴォクシー</t>
        </is>
      </c>
      <c r="B688" s="13" t="n">
        <v>2015</v>
      </c>
      <c r="C688" s="13" t="inlineStr">
        <is>
          <t>80系</t>
        </is>
      </c>
      <c r="D688" s="15" t="n">
        <v>622000</v>
      </c>
      <c r="E688" s="13" t="n">
        <v>73</v>
      </c>
      <c r="F688" s="15" t="n">
        <v>160950</v>
      </c>
      <c r="G688" s="13" t="inlineStr">
        <is>
          <t>REAL_MILEAGE</t>
        </is>
      </c>
      <c r="H688" s="13" t="inlineStr">
        <is>
          <t>NONE</t>
        </is>
      </c>
      <c r="I688" s="15" t="n">
        <v>0</v>
      </c>
      <c r="J688" s="13" t="inlineStr">
        <is>
          <t>2026-04-27T22:59:36+09:00</t>
        </is>
      </c>
      <c r="K688" s="14" t="inlineStr">
        <is>
          <t>【美品】トヨタヴォクシーHVブラック（202）社外フルエアロ純正9インチナビバックカメラ後席モニター禁煙</t>
        </is>
      </c>
      <c r="L688" s="13" t="inlineStr">
        <is>
          <t>https://page.auctions.yahoo.co.jp/jp/auction/t1227703251</t>
        </is>
      </c>
    </row>
    <row r="689">
      <c r="A689" s="8" t="inlineStr">
        <is>
          <t>ヴォクシー</t>
        </is>
      </c>
      <c r="B689" s="8" t="n">
        <v>2015</v>
      </c>
      <c r="C689" s="8" t="inlineStr">
        <is>
          <t>80系</t>
        </is>
      </c>
      <c r="D689" s="11" t="n">
        <v>490000</v>
      </c>
      <c r="E689" s="8" t="n">
        <v>9</v>
      </c>
      <c r="F689" s="11" t="n">
        <v>280000</v>
      </c>
      <c r="G689" s="8" t="inlineStr">
        <is>
          <t>REAL_MILEAGE</t>
        </is>
      </c>
      <c r="H689" s="8" t="inlineStr">
        <is>
          <t>NONE</t>
        </is>
      </c>
      <c r="I689" s="11" t="n">
        <v>0</v>
      </c>
      <c r="J689" s="8" t="inlineStr">
        <is>
          <t>2026-04-24T20:00:05+09:00</t>
        </is>
      </c>
      <c r="K689" s="14" t="inlineStr">
        <is>
          <t>ヴォクシー・ハイブリッド</t>
        </is>
      </c>
      <c r="L689" s="8" t="inlineStr">
        <is>
          <t>https://page.auctions.yahoo.co.jp/jp/auction/g1227621318</t>
        </is>
      </c>
    </row>
    <row r="690">
      <c r="A690" s="13" t="inlineStr">
        <is>
          <t>ヴォクシー</t>
        </is>
      </c>
      <c r="B690" s="13" t="n">
        <v>2015</v>
      </c>
      <c r="C690" s="13" t="inlineStr">
        <is>
          <t>80系</t>
        </is>
      </c>
      <c r="D690" s="15" t="n">
        <v>683000</v>
      </c>
      <c r="E690" s="13" t="n">
        <v>120</v>
      </c>
      <c r="F690" s="15" t="n">
        <v>133303</v>
      </c>
      <c r="G690" s="13" t="inlineStr">
        <is>
          <t>REAL_MILEAGE</t>
        </is>
      </c>
      <c r="H690" s="13" t="n"/>
      <c r="I690" s="15" t="n">
        <v>0</v>
      </c>
      <c r="J690" s="13" t="inlineStr">
        <is>
          <t>2026-04-22T21:06:22+09:00</t>
        </is>
      </c>
      <c r="K690" s="14" t="inlineStr">
        <is>
          <t>トヨタ＊ヴォクシー80系ハイブリッドX＊車検満タン納車＊両側パワースライドドア＊美車＊純正ナビ＊Ｂカメラ＊ＥＴＣ＊純正冬タイヤ付</t>
        </is>
      </c>
      <c r="L690" s="13" t="inlineStr">
        <is>
          <t>https://page.auctions.yahoo.co.jp/jp/auction/f1226917082</t>
        </is>
      </c>
    </row>
    <row r="691">
      <c r="A691" s="8" t="inlineStr">
        <is>
          <t>ヴォクシー</t>
        </is>
      </c>
      <c r="B691" s="8" t="n">
        <v>2015</v>
      </c>
      <c r="C691" s="8" t="inlineStr">
        <is>
          <t>80系</t>
        </is>
      </c>
      <c r="D691" s="11" t="n">
        <v>798000</v>
      </c>
      <c r="E691" s="8" t="n">
        <v>1</v>
      </c>
      <c r="F691" s="11" t="n">
        <v>145500</v>
      </c>
      <c r="G691" s="8" t="inlineStr">
        <is>
          <t>REAL_MILEAGE</t>
        </is>
      </c>
      <c r="H691" s="8" t="inlineStr">
        <is>
          <t>EXISTS</t>
        </is>
      </c>
      <c r="I691" s="11" t="n">
        <v>0</v>
      </c>
      <c r="J691" s="8" t="inlineStr">
        <is>
          <t>2026-03-30T09:21:41+09:00</t>
        </is>
      </c>
      <c r="K691" s="14" t="inlineStr">
        <is>
          <t>車検満タン ヴォクシー ハイブリッドV ナビ TV Bluetooth バックカメラ 両側パワスラ スマートキー シートヒーター クルコン LEDライト ETC</t>
        </is>
      </c>
      <c r="L691" s="8" t="inlineStr">
        <is>
          <t>https://page.auctions.yahoo.co.jp/jp/auction/b1224464545</t>
        </is>
      </c>
    </row>
    <row r="692">
      <c r="A692" s="13" t="inlineStr">
        <is>
          <t>ヴォクシー</t>
        </is>
      </c>
      <c r="B692" s="13" t="n">
        <v>2015</v>
      </c>
      <c r="C692" s="13" t="inlineStr">
        <is>
          <t>80系</t>
        </is>
      </c>
      <c r="D692" s="15" t="n">
        <v>1328000</v>
      </c>
      <c r="E692" s="13" t="n">
        <v>1</v>
      </c>
      <c r="F692" s="15" t="n">
        <v>50800</v>
      </c>
      <c r="G692" s="13" t="inlineStr">
        <is>
          <t>REAL_MILEAGE</t>
        </is>
      </c>
      <c r="H692" s="13" t="inlineStr">
        <is>
          <t>EXISTS</t>
        </is>
      </c>
      <c r="I692" s="15" t="n">
        <v>0</v>
      </c>
      <c r="J692" s="13" t="inlineStr">
        <is>
          <t>2026-03-26T16:52:07+09:00</t>
        </is>
      </c>
      <c r="K692" s="14" t="inlineStr">
        <is>
          <t>ヴォクシー ハイブリッドV 実走行 1オーナー ナビ TV Bluetooth バックモニター 両側パワスラ スマキー シートヒーター クルコン LED ETC</t>
        </is>
      </c>
      <c r="L692" s="13" t="inlineStr">
        <is>
          <t>https://page.auctions.yahoo.co.jp/jp/auction/k1218792374</t>
        </is>
      </c>
    </row>
    <row r="693">
      <c r="A693" s="8" t="inlineStr">
        <is>
          <t>ヴォクシー</t>
        </is>
      </c>
      <c r="B693" s="8" t="n">
        <v>2015</v>
      </c>
      <c r="C693" s="8" t="inlineStr">
        <is>
          <t>80系</t>
        </is>
      </c>
      <c r="D693" s="11" t="n">
        <v>576000</v>
      </c>
      <c r="E693" s="8" t="n">
        <v>63</v>
      </c>
      <c r="F693" s="11" t="n">
        <v>191000</v>
      </c>
      <c r="G693" s="8" t="inlineStr">
        <is>
          <t>REAL_MILEAGE</t>
        </is>
      </c>
      <c r="H693" s="8" t="inlineStr">
        <is>
          <t>NONE</t>
        </is>
      </c>
      <c r="I693" s="11" t="n">
        <v>0</v>
      </c>
      <c r="J693" s="8" t="inlineStr">
        <is>
          <t>2026-03-23T23:02:30+09:00</t>
        </is>
      </c>
      <c r="K693" s="14" t="inlineStr">
        <is>
          <t>トヨタ ヴォクシーハイブリッド★ディーラー整備車★不具合一切なし★シートヒーター、置型充電等オプション多数</t>
        </is>
      </c>
      <c r="L693" s="8" t="inlineStr">
        <is>
          <t>https://page.auctions.yahoo.co.jp/jp/auction/w1223322463</t>
        </is>
      </c>
    </row>
    <row r="694">
      <c r="A694" s="13" t="inlineStr">
        <is>
          <t>ヴォクシー</t>
        </is>
      </c>
      <c r="B694" s="13" t="n">
        <v>2015</v>
      </c>
      <c r="C694" s="13" t="inlineStr">
        <is>
          <t>80系</t>
        </is>
      </c>
      <c r="D694" s="15" t="n">
        <v>958001</v>
      </c>
      <c r="E694" s="13" t="n">
        <v>1</v>
      </c>
      <c r="F694" s="15" t="n">
        <v>103000</v>
      </c>
      <c r="G694" s="13" t="inlineStr">
        <is>
          <t>REAL_MILEAGE</t>
        </is>
      </c>
      <c r="H694" s="13" t="inlineStr">
        <is>
          <t>NONE</t>
        </is>
      </c>
      <c r="I694" s="15" t="n">
        <v>0</v>
      </c>
      <c r="J694" s="13" t="inlineStr">
        <is>
          <t>2026-03-18T22:25:33+09:00</t>
        </is>
      </c>
      <c r="K694" s="14" t="inlineStr">
        <is>
          <t>ヴォクシー 1.8 ハイブリッド V ナビTVブルートゥース接続Bカメラ/両側パワ</t>
        </is>
      </c>
      <c r="L694" s="13" t="inlineStr">
        <is>
          <t>https://page.auctions.yahoo.co.jp/jp/auction/h1219213515</t>
        </is>
      </c>
    </row>
    <row r="695">
      <c r="A695" s="8" t="inlineStr">
        <is>
          <t>ヴォクシー</t>
        </is>
      </c>
      <c r="B695" s="8" t="n">
        <v>2015</v>
      </c>
      <c r="C695" s="8" t="inlineStr">
        <is>
          <t>80系</t>
        </is>
      </c>
      <c r="D695" s="11" t="n">
        <v>678000</v>
      </c>
      <c r="E695" s="8" t="n">
        <v>77</v>
      </c>
      <c r="F695" s="11" t="n">
        <v>152300</v>
      </c>
      <c r="G695" s="8" t="inlineStr">
        <is>
          <t>REAL_MILEAGE</t>
        </is>
      </c>
      <c r="H695" s="8" t="n"/>
      <c r="I695" s="11" t="n">
        <v>0</v>
      </c>
      <c r="J695" s="8" t="inlineStr">
        <is>
          <t>2026-03-13T21:53:19+09:00</t>
        </is>
      </c>
      <c r="K695" s="14" t="inlineStr">
        <is>
          <t>愛知発/平成27年 トヨタ ヴォクシー 1.8 ハイブリッド V★車検R8年7月迄※諸経費込み※落札料のみ※ETC/クルコン/スマートキー/WAC</t>
        </is>
      </c>
      <c r="L695" s="8" t="inlineStr">
        <is>
          <t>https://page.auctions.yahoo.co.jp/jp/auction/c1222209861</t>
        </is>
      </c>
    </row>
    <row r="696">
      <c r="A696" s="13" t="inlineStr">
        <is>
          <t>ヴォクシー</t>
        </is>
      </c>
      <c r="B696" s="13" t="n">
        <v>2015</v>
      </c>
      <c r="C696" s="13" t="inlineStr">
        <is>
          <t>80系</t>
        </is>
      </c>
      <c r="D696" s="15" t="n">
        <v>749000</v>
      </c>
      <c r="E696" s="13" t="n">
        <v>42</v>
      </c>
      <c r="F696" s="15" t="n">
        <v>152300</v>
      </c>
      <c r="G696" s="13" t="inlineStr">
        <is>
          <t>REAL_MILEAGE</t>
        </is>
      </c>
      <c r="H696" s="13" t="n"/>
      <c r="I696" s="15" t="n">
        <v>0</v>
      </c>
      <c r="J696" s="13" t="inlineStr">
        <is>
          <t>2026-03-01T21:28:51+09:00</t>
        </is>
      </c>
      <c r="K696" s="14" t="inlineStr">
        <is>
          <t>平成27年 トヨタ ヴォクシー 1.8 ハイブリッド V★車検R8年7月迄※諸経費込み※落札料のみ※ETC/クルコン/スマートキー/WAC/愛知発</t>
        </is>
      </c>
      <c r="L696" s="13" t="inlineStr">
        <is>
          <t>https://page.auctions.yahoo.co.jp/jp/auction/k1220795720</t>
        </is>
      </c>
    </row>
    <row r="697">
      <c r="A697" s="8" t="inlineStr">
        <is>
          <t>ヴォクシー</t>
        </is>
      </c>
      <c r="B697" s="8" t="n">
        <v>2014</v>
      </c>
      <c r="C697" s="8" t="inlineStr">
        <is>
          <t>80系</t>
        </is>
      </c>
      <c r="D697" s="11" t="n">
        <v>551000</v>
      </c>
      <c r="E697" s="8" t="n">
        <v>171</v>
      </c>
      <c r="F697" s="11" t="n">
        <v>180020</v>
      </c>
      <c r="G697" s="8" t="inlineStr">
        <is>
          <t>REAL_MILEAGE</t>
        </is>
      </c>
      <c r="H697" s="8" t="inlineStr">
        <is>
          <t>EXISTS</t>
        </is>
      </c>
      <c r="I697" s="11" t="n">
        <v>45030</v>
      </c>
      <c r="J697" s="8" t="inlineStr">
        <is>
          <t>2026-08-19T21:58:25+09:00</t>
        </is>
      </c>
      <c r="K697" s="14" t="inlineStr">
        <is>
          <t>トヨタ ヴォクシーHV ハイブリッドV 車検R9年8月 ☆電動スライド／フリップダウン／クルコン／LEDライト／リアオートエアコン</t>
        </is>
      </c>
      <c r="L697" s="8" t="inlineStr">
        <is>
          <t>https://page.auctions.yahoo.co.jp/jp/auction/q1240496418</t>
        </is>
      </c>
    </row>
    <row r="698">
      <c r="A698" s="13" t="inlineStr">
        <is>
          <t>ヴォクシー</t>
        </is>
      </c>
      <c r="B698" s="13" t="n">
        <v>2014</v>
      </c>
      <c r="C698" s="13" t="inlineStr">
        <is>
          <t>80系</t>
        </is>
      </c>
      <c r="D698" s="15" t="n">
        <v>703888</v>
      </c>
      <c r="E698" s="13" t="n">
        <v>71</v>
      </c>
      <c r="F698" s="15" t="n">
        <v>136950</v>
      </c>
      <c r="G698" s="13" t="inlineStr">
        <is>
          <t>REAL_MILEAGE</t>
        </is>
      </c>
      <c r="H698" s="13" t="inlineStr">
        <is>
          <t>EXISTS</t>
        </is>
      </c>
      <c r="I698" s="15" t="n">
        <v>35470</v>
      </c>
      <c r="J698" s="13" t="inlineStr">
        <is>
          <t>2026-08-17T21:05:03+09:00</t>
        </is>
      </c>
      <c r="K698" s="14" t="inlineStr">
        <is>
          <t>★ヴォクシーハイブリッドV★車検10年8月9日★フリップモニター★両側パワースラ★9インチナビ★クルコン★リアオートエアコン★アルミ★</t>
        </is>
      </c>
      <c r="L698" s="13" t="inlineStr">
        <is>
          <t>https://page.auctions.yahoo.co.jp/jp/auction/p1240424656</t>
        </is>
      </c>
    </row>
    <row r="699">
      <c r="A699" s="8" t="inlineStr">
        <is>
          <t>ヴォクシー</t>
        </is>
      </c>
      <c r="B699" s="8" t="n">
        <v>2014</v>
      </c>
      <c r="C699" s="8" t="inlineStr">
        <is>
          <t>80系</t>
        </is>
      </c>
      <c r="D699" s="11" t="n">
        <v>760000</v>
      </c>
      <c r="E699" s="8" t="n">
        <v>1</v>
      </c>
      <c r="F699" s="11" t="n">
        <v>150700</v>
      </c>
      <c r="G699" s="8" t="inlineStr">
        <is>
          <t>REAL_MILEAGE</t>
        </is>
      </c>
      <c r="H699" s="8" t="inlineStr">
        <is>
          <t>NONE</t>
        </is>
      </c>
      <c r="I699" s="11" t="n">
        <v>0</v>
      </c>
      <c r="J699" s="8" t="inlineStr">
        <is>
          <t>2026-08-17T11:39:25+09:00</t>
        </is>
      </c>
      <c r="K699" s="14" t="inlineStr">
        <is>
          <t xml:space="preserve">名古屋発 VOXYハイブリッドX 人気のパール！機関良好！車検満タン！純9インチナビTV Bluetooth Bカメラ ETC 両側パワスラ 全コミ乗出価格 </t>
        </is>
      </c>
      <c r="L699" s="8" t="inlineStr">
        <is>
          <t>https://page.auctions.yahoo.co.jp/jp/auction/j1240082441</t>
        </is>
      </c>
    </row>
    <row r="700">
      <c r="A700" s="13" t="inlineStr">
        <is>
          <t>ヴォクシー</t>
        </is>
      </c>
      <c r="B700" s="13" t="n">
        <v>2014</v>
      </c>
      <c r="C700" s="13" t="inlineStr">
        <is>
          <t>80系</t>
        </is>
      </c>
      <c r="D700" s="15" t="n">
        <v>483000</v>
      </c>
      <c r="E700" s="13" t="n">
        <v>91</v>
      </c>
      <c r="F700" s="15" t="n">
        <v>177700</v>
      </c>
      <c r="G700" s="13" t="inlineStr">
        <is>
          <t>REAL_MILEAGE</t>
        </is>
      </c>
      <c r="H700" s="13" t="inlineStr">
        <is>
          <t>EXISTS</t>
        </is>
      </c>
      <c r="I700" s="15" t="n">
        <v>12470</v>
      </c>
      <c r="J700" s="13" t="inlineStr">
        <is>
          <t>2026-08-16T21:38:13+09:00</t>
        </is>
      </c>
      <c r="K700" s="14" t="inlineStr">
        <is>
          <t>80系ヴォクシー★ハイブリッド車★大型9インチナビ★フリップダウンモニター★両側パワースライドドア★シートヒーター★TV/ETC★機関良好</t>
        </is>
      </c>
      <c r="L700" s="13" t="inlineStr">
        <is>
          <t>https://page.auctions.yahoo.co.jp/jp/auction/p1240406433</t>
        </is>
      </c>
    </row>
    <row r="701">
      <c r="A701" s="8" t="inlineStr">
        <is>
          <t>ヴォクシー</t>
        </is>
      </c>
      <c r="B701" s="8" t="n">
        <v>2014</v>
      </c>
      <c r="C701" s="8" t="inlineStr">
        <is>
          <t>80系</t>
        </is>
      </c>
      <c r="D701" s="11" t="n">
        <v>571000</v>
      </c>
      <c r="E701" s="8" t="n">
        <v>97</v>
      </c>
      <c r="F701" s="11" t="n">
        <v>94500</v>
      </c>
      <c r="G701" s="8" t="inlineStr">
        <is>
          <t>REAL_MILEAGE</t>
        </is>
      </c>
      <c r="H701" s="8" t="n"/>
      <c r="I701" s="11" t="n">
        <v>10120</v>
      </c>
      <c r="J701" s="8" t="inlineStr">
        <is>
          <t>2026-08-08T22:41:12+09:00</t>
        </is>
      </c>
      <c r="K701" s="14" t="inlineStr">
        <is>
          <t>トヨタ ヴォクシー ZRR80W ZS 書類付き 自走可能 9.45万km</t>
        </is>
      </c>
      <c r="L701" s="8" t="inlineStr">
        <is>
          <t>https://page.auctions.yahoo.co.jp/jp/auction/b1239503406</t>
        </is>
      </c>
    </row>
    <row r="702">
      <c r="A702" s="13" t="inlineStr">
        <is>
          <t>ヴォクシー</t>
        </is>
      </c>
      <c r="B702" s="13" t="n">
        <v>2014</v>
      </c>
      <c r="C702" s="13" t="inlineStr">
        <is>
          <t>80系</t>
        </is>
      </c>
      <c r="D702" s="15" t="n">
        <v>730000</v>
      </c>
      <c r="E702" s="13" t="n">
        <v>1</v>
      </c>
      <c r="F702" s="15" t="n">
        <v>174666</v>
      </c>
      <c r="G702" s="13" t="inlineStr">
        <is>
          <t>REAL_MILEAGE</t>
        </is>
      </c>
      <c r="H702" s="13" t="inlineStr">
        <is>
          <t>NONE</t>
        </is>
      </c>
      <c r="I702" s="15" t="n">
        <v>0</v>
      </c>
      <c r="J702" s="13" t="inlineStr">
        <is>
          <t>2026-08-08T15:10:27+09:00</t>
        </is>
      </c>
      <c r="K702" s="14" t="inlineStr">
        <is>
          <t>【諸費用コミ】返金保証付:全込 ヴォクシー 1.8 ハイブリッド モデリスタエアロ タイヤ新品 車検付 即日乗って帰れます</t>
        </is>
      </c>
      <c r="L702" s="13" t="inlineStr">
        <is>
          <t>https://page.auctions.yahoo.co.jp/jp/auction/k1239482344</t>
        </is>
      </c>
    </row>
    <row r="703">
      <c r="A703" s="8" t="inlineStr">
        <is>
          <t>ヴォクシー</t>
        </is>
      </c>
      <c r="B703" s="8" t="n">
        <v>2014</v>
      </c>
      <c r="C703" s="8" t="inlineStr">
        <is>
          <t>80系</t>
        </is>
      </c>
      <c r="D703" s="11" t="n">
        <v>600000</v>
      </c>
      <c r="E703" s="8" t="n">
        <v>66</v>
      </c>
      <c r="F703" s="11" t="n">
        <v>94500</v>
      </c>
      <c r="G703" s="8" t="inlineStr">
        <is>
          <t>REAL_MILEAGE</t>
        </is>
      </c>
      <c r="H703" s="8" t="n"/>
      <c r="I703" s="11" t="n">
        <v>10120</v>
      </c>
      <c r="J703" s="8" t="inlineStr">
        <is>
          <t>2026-08-01T21:36:43+09:00</t>
        </is>
      </c>
      <c r="K703" s="14" t="inlineStr">
        <is>
          <t>トヨタ ヴォクシー ZRR80W ZS 書類付き 自走可能 9.45万km</t>
        </is>
      </c>
      <c r="L703" s="8" t="inlineStr">
        <is>
          <t>https://page.auctions.yahoo.co.jp/jp/auction/j1238716847</t>
        </is>
      </c>
    </row>
    <row r="704">
      <c r="A704" s="13" t="inlineStr">
        <is>
          <t>ヴォクシー</t>
        </is>
      </c>
      <c r="B704" s="13" t="n">
        <v>2014</v>
      </c>
      <c r="C704" s="13" t="inlineStr">
        <is>
          <t>80系</t>
        </is>
      </c>
      <c r="D704" s="15" t="n">
        <v>998000</v>
      </c>
      <c r="E704" s="13" t="n">
        <v>1</v>
      </c>
      <c r="F704" s="15" t="n">
        <v>72600</v>
      </c>
      <c r="G704" s="13" t="inlineStr">
        <is>
          <t>REAL_MILEAGE</t>
        </is>
      </c>
      <c r="H704" s="13" t="inlineStr">
        <is>
          <t>EXISTS</t>
        </is>
      </c>
      <c r="I704" s="15" t="n">
        <v>37770</v>
      </c>
      <c r="J704" s="13" t="inlineStr">
        <is>
          <t>2026-07-21T05:15:26+09:00</t>
        </is>
      </c>
      <c r="K704" s="14" t="inlineStr">
        <is>
          <t>ヴォクシー ハイブリッド ナビ TV DVD再生 Bluetooth フリップモニター バックモニター 電動オートスライド スマキー LED ETC 前後ドラレコ</t>
        </is>
      </c>
      <c r="L704" s="13" t="inlineStr">
        <is>
          <t>https://page.auctions.yahoo.co.jp/jp/auction/o1237669724</t>
        </is>
      </c>
    </row>
    <row r="705">
      <c r="A705" s="8" t="inlineStr">
        <is>
          <t>ヴォクシー</t>
        </is>
      </c>
      <c r="B705" s="8" t="n">
        <v>2014</v>
      </c>
      <c r="C705" s="8" t="inlineStr">
        <is>
          <t>80系</t>
        </is>
      </c>
      <c r="D705" s="11" t="n">
        <v>686000</v>
      </c>
      <c r="E705" s="8" t="n">
        <v>18</v>
      </c>
      <c r="F705" s="11" t="n">
        <v>76000</v>
      </c>
      <c r="G705" s="8" t="inlineStr">
        <is>
          <t>REAL_MILEAGE</t>
        </is>
      </c>
      <c r="H705" s="8" t="n"/>
      <c r="I705" s="11" t="n">
        <v>12470</v>
      </c>
      <c r="J705" s="8" t="inlineStr">
        <is>
          <t>2026-07-18T20:47:32+09:00</t>
        </is>
      </c>
      <c r="K705" s="14" t="inlineStr">
        <is>
          <t>トヨタヴォクシー</t>
        </is>
      </c>
      <c r="L705" s="8" t="inlineStr">
        <is>
          <t>https://page.auctions.yahoo.co.jp/jp/auction/f1236725839</t>
        </is>
      </c>
    </row>
    <row r="706">
      <c r="A706" s="13" t="inlineStr">
        <is>
          <t>ヴォクシー</t>
        </is>
      </c>
      <c r="B706" s="13" t="n">
        <v>2014</v>
      </c>
      <c r="C706" s="13" t="inlineStr">
        <is>
          <t>80系</t>
        </is>
      </c>
      <c r="D706" s="15" t="n">
        <v>880000</v>
      </c>
      <c r="E706" s="13" t="n">
        <v>1</v>
      </c>
      <c r="F706" s="15" t="n">
        <v>171507</v>
      </c>
      <c r="G706" s="13" t="inlineStr">
        <is>
          <t>REAL_MILEAGE</t>
        </is>
      </c>
      <c r="H706" s="13" t="inlineStr">
        <is>
          <t>NONE</t>
        </is>
      </c>
      <c r="I706" s="15" t="n">
        <v>12470</v>
      </c>
      <c r="J706" s="13" t="inlineStr">
        <is>
          <t>2026-07-17T15:24:41+09:00</t>
        </is>
      </c>
      <c r="K706" s="14" t="inlineStr">
        <is>
          <t>【諸費用コミ】返金保証付:ヴォクシー 1.8 ハイブリッド V モデリスタエアロ 両側電動ドア 車検付 即日乗って帰れます</t>
        </is>
      </c>
      <c r="L706" s="13" t="inlineStr">
        <is>
          <t>https://page.auctions.yahoo.co.jp/jp/auction/c1235893178</t>
        </is>
      </c>
    </row>
    <row r="707">
      <c r="A707" s="8" t="inlineStr">
        <is>
          <t>ヴォクシー</t>
        </is>
      </c>
      <c r="B707" s="8" t="n">
        <v>2014</v>
      </c>
      <c r="C707" s="8" t="inlineStr">
        <is>
          <t>80系</t>
        </is>
      </c>
      <c r="D707" s="11" t="n">
        <v>1380000</v>
      </c>
      <c r="E707" s="8" t="n">
        <v>124</v>
      </c>
      <c r="F707" s="11" t="n">
        <v>55500</v>
      </c>
      <c r="G707" s="8" t="inlineStr">
        <is>
          <t>REAL_MILEAGE</t>
        </is>
      </c>
      <c r="H707" s="8" t="inlineStr">
        <is>
          <t>NONE</t>
        </is>
      </c>
      <c r="I707" s="11" t="n">
        <v>112470</v>
      </c>
      <c r="J707" s="8" t="inlineStr">
        <is>
          <t>2026-07-01T22:06:21+09:00</t>
        </is>
      </c>
      <c r="K707" s="14" t="inlineStr">
        <is>
          <t>ヴォクシー　ハイブリッドV 低走行！</t>
        </is>
      </c>
      <c r="L707" s="8" t="inlineStr">
        <is>
          <t>https://page.auctions.yahoo.co.jp/jp/auction/c1235321150</t>
        </is>
      </c>
    </row>
    <row r="708">
      <c r="A708" s="13" t="inlineStr">
        <is>
          <t>ヴォクシー</t>
        </is>
      </c>
      <c r="B708" s="13" t="n">
        <v>2014</v>
      </c>
      <c r="C708" s="13" t="inlineStr">
        <is>
          <t>80系</t>
        </is>
      </c>
      <c r="D708" s="15" t="n">
        <v>1328000</v>
      </c>
      <c r="E708" s="13" t="n">
        <v>1</v>
      </c>
      <c r="F708" s="15" t="n">
        <v>74000</v>
      </c>
      <c r="G708" s="13" t="inlineStr">
        <is>
          <t>REAL_MILEAGE</t>
        </is>
      </c>
      <c r="H708" s="13" t="inlineStr">
        <is>
          <t>NONE</t>
        </is>
      </c>
      <c r="I708" s="15" t="n">
        <v>0</v>
      </c>
      <c r="J708" s="13" t="inlineStr">
        <is>
          <t>2026-06-12T13:57:02+09:00</t>
        </is>
      </c>
      <c r="K708" s="14" t="inlineStr">
        <is>
          <t>ヴォクシー 1.8 ハイブリッド V 両側オートスライド メモリーナビ ETC</t>
        </is>
      </c>
      <c r="L708" s="13" t="inlineStr">
        <is>
          <t>https://page.auctions.yahoo.co.jp/jp/auction/q1227097509</t>
        </is>
      </c>
    </row>
    <row r="709">
      <c r="A709" s="8" t="inlineStr">
        <is>
          <t>ヴォクシー</t>
        </is>
      </c>
      <c r="B709" s="8" t="n">
        <v>2014</v>
      </c>
      <c r="C709" s="8" t="inlineStr">
        <is>
          <t>80系</t>
        </is>
      </c>
      <c r="D709" s="11" t="n">
        <v>796000</v>
      </c>
      <c r="E709" s="8" t="n">
        <v>1</v>
      </c>
      <c r="F709" s="11" t="n">
        <v>159000</v>
      </c>
      <c r="G709" s="8" t="inlineStr">
        <is>
          <t>REAL_MILEAGE</t>
        </is>
      </c>
      <c r="H709" s="8" t="inlineStr">
        <is>
          <t>NONE</t>
        </is>
      </c>
      <c r="I709" s="11" t="n">
        <v>0</v>
      </c>
      <c r="J709" s="8" t="inlineStr">
        <is>
          <t>2026-06-01T21:58:38+09:00</t>
        </is>
      </c>
      <c r="K709" s="14" t="inlineStr">
        <is>
          <t xml:space="preserve">15.9万㌔ 検9年3月 修復無し ワンオーナー 両側パワースライド LED フリップダウンモニター オートクルーズ ヴォクシー ハイブリッド </t>
        </is>
      </c>
      <c r="L709" s="8" t="inlineStr">
        <is>
          <t>https://page.auctions.yahoo.co.jp/jp/auction/f1228770222</t>
        </is>
      </c>
    </row>
    <row r="710">
      <c r="A710" s="13" t="inlineStr">
        <is>
          <t>ヴォクシー</t>
        </is>
      </c>
      <c r="B710" s="13" t="n">
        <v>2014</v>
      </c>
      <c r="C710" s="13" t="inlineStr">
        <is>
          <t>80系</t>
        </is>
      </c>
      <c r="D710" s="15" t="n">
        <v>750000</v>
      </c>
      <c r="E710" s="13" t="n">
        <v>1</v>
      </c>
      <c r="F710" s="15" t="n">
        <v>90000</v>
      </c>
      <c r="G710" s="13" t="inlineStr">
        <is>
          <t>REAL_MILEAGE</t>
        </is>
      </c>
      <c r="H710" s="13" t="n"/>
      <c r="I710" s="15" t="n">
        <v>0</v>
      </c>
      <c r="J710" s="13" t="inlineStr">
        <is>
          <t>2026-05-31T22:27:28+09:00</t>
        </is>
      </c>
      <c r="K710" s="14" t="inlineStr">
        <is>
          <t>H26 トヨタ　ヴォクシー　ZRR80W　９万キロ</t>
        </is>
      </c>
      <c r="L710" s="13" t="inlineStr">
        <is>
          <t>https://page.auctions.yahoo.co.jp/jp/auction/u1231529971</t>
        </is>
      </c>
    </row>
    <row r="711">
      <c r="A711" s="8" t="inlineStr">
        <is>
          <t>ヴォクシー</t>
        </is>
      </c>
      <c r="B711" s="8" t="n">
        <v>2014</v>
      </c>
      <c r="C711" s="8" t="inlineStr">
        <is>
          <t>80系</t>
        </is>
      </c>
      <c r="D711" s="11" t="n">
        <v>621000</v>
      </c>
      <c r="E711" s="8" t="n">
        <v>2</v>
      </c>
      <c r="F711" s="11" t="n">
        <v>180200</v>
      </c>
      <c r="G711" s="8" t="inlineStr">
        <is>
          <t>REAL_MILEAGE</t>
        </is>
      </c>
      <c r="H711" s="8" t="inlineStr">
        <is>
          <t>NONE</t>
        </is>
      </c>
      <c r="I711" s="11" t="n">
        <v>0</v>
      </c>
      <c r="J711" s="8" t="inlineStr">
        <is>
          <t>2026-05-17T20:24:40+09:00</t>
        </is>
      </c>
      <c r="K711" s="14" t="inlineStr">
        <is>
          <t>★ヴォクシー・ハイブリッドV♪両側パワスラ</t>
        </is>
      </c>
      <c r="L711" s="8" t="inlineStr">
        <is>
          <t>https://page.auctions.yahoo.co.jp/jp/auction/p1229102398</t>
        </is>
      </c>
    </row>
    <row r="712">
      <c r="A712" s="13" t="inlineStr">
        <is>
          <t>ヴォクシー</t>
        </is>
      </c>
      <c r="B712" s="13" t="n">
        <v>2014</v>
      </c>
      <c r="C712" s="13" t="inlineStr">
        <is>
          <t>80系</t>
        </is>
      </c>
      <c r="D712" s="15" t="n">
        <v>804000</v>
      </c>
      <c r="E712" s="13" t="n">
        <v>30</v>
      </c>
      <c r="F712" s="15" t="n">
        <v>146000</v>
      </c>
      <c r="G712" s="13" t="inlineStr">
        <is>
          <t>REAL_MILEAGE</t>
        </is>
      </c>
      <c r="H712" s="13" t="inlineStr">
        <is>
          <t>EXISTS</t>
        </is>
      </c>
      <c r="I712" s="15" t="n">
        <v>0</v>
      </c>
      <c r="J712" s="13" t="inlineStr">
        <is>
          <t>2026-05-13T21:41:01+09:00</t>
        </is>
      </c>
      <c r="K712" s="14" t="inlineStr">
        <is>
          <t>福岡発　ヴォクシー８０　ZS　後期ルック</t>
        </is>
      </c>
      <c r="L712" s="13" t="inlineStr">
        <is>
          <t>https://page.auctions.yahoo.co.jp/jp/auction/f1228241855</t>
        </is>
      </c>
    </row>
    <row r="713">
      <c r="A713" s="8" t="inlineStr">
        <is>
          <t>ヴォクシー</t>
        </is>
      </c>
      <c r="B713" s="8" t="n">
        <v>2014</v>
      </c>
      <c r="C713" s="8" t="inlineStr">
        <is>
          <t>80系</t>
        </is>
      </c>
      <c r="D713" s="11" t="n">
        <v>602000</v>
      </c>
      <c r="E713" s="8" t="n">
        <v>83</v>
      </c>
      <c r="F713" s="11" t="n">
        <v>161300</v>
      </c>
      <c r="G713" s="8" t="inlineStr">
        <is>
          <t>REAL_MILEAGE</t>
        </is>
      </c>
      <c r="H713" s="8" t="n"/>
      <c r="I713" s="11" t="n">
        <v>0</v>
      </c>
      <c r="J713" s="8" t="inlineStr">
        <is>
          <t>2026-05-10T08:57:15+09:00</t>
        </is>
      </c>
      <c r="K713" s="14" t="inlineStr">
        <is>
          <t>ヴォクシー＊ハイブリッドV＊車検1年＊ALPINE＊フリップダウンモニター＊両側スライドドア＊Bカメラ＊ETC</t>
        </is>
      </c>
      <c r="L713" s="8" t="inlineStr">
        <is>
          <t>https://page.auctions.yahoo.co.jp/jp/auction/x1228452952</t>
        </is>
      </c>
    </row>
    <row r="714">
      <c r="A714" s="13" t="inlineStr">
        <is>
          <t>ヴォクシー</t>
        </is>
      </c>
      <c r="B714" s="13" t="n">
        <v>2014</v>
      </c>
      <c r="C714" s="13" t="inlineStr">
        <is>
          <t>80系</t>
        </is>
      </c>
      <c r="D714" s="15" t="n">
        <v>998000</v>
      </c>
      <c r="E714" s="13" t="n">
        <v>1</v>
      </c>
      <c r="F714" s="15" t="n">
        <v>64000</v>
      </c>
      <c r="G714" s="13" t="inlineStr">
        <is>
          <t>METER_REPLACEMENT</t>
        </is>
      </c>
      <c r="H714" s="13" t="inlineStr">
        <is>
          <t>NONE</t>
        </is>
      </c>
      <c r="I714" s="15" t="n">
        <v>0</v>
      </c>
      <c r="J714" s="13" t="inlineStr">
        <is>
          <t>2026-05-07T08:49:52+09:00</t>
        </is>
      </c>
      <c r="K714" s="14" t="inlineStr">
        <is>
          <t>ヴォクシー 2.0 X Cパッケージ メモリーナビ バックカメラ フルセグTV</t>
        </is>
      </c>
      <c r="L714" s="13" t="inlineStr">
        <is>
          <t>https://page.auctions.yahoo.co.jp/jp/auction/v1225960639</t>
        </is>
      </c>
    </row>
    <row r="715">
      <c r="A715" s="8" t="inlineStr">
        <is>
          <t>ヴォクシー</t>
        </is>
      </c>
      <c r="B715" s="8" t="n">
        <v>2014</v>
      </c>
      <c r="C715" s="8" t="inlineStr">
        <is>
          <t>80系</t>
        </is>
      </c>
      <c r="D715" s="11" t="n">
        <v>768000</v>
      </c>
      <c r="E715" s="8" t="n">
        <v>66</v>
      </c>
      <c r="F715" s="11" t="n">
        <v>181475</v>
      </c>
      <c r="G715" s="8" t="inlineStr">
        <is>
          <t>REAL_MILEAGE</t>
        </is>
      </c>
      <c r="H715" s="8" t="inlineStr">
        <is>
          <t>NONE</t>
        </is>
      </c>
      <c r="I715" s="11" t="n">
        <v>0</v>
      </c>
      <c r="J715" s="8" t="inlineStr">
        <is>
          <t>2026-04-28T16:28:22+09:00</t>
        </is>
      </c>
      <c r="K715" s="14" t="inlineStr">
        <is>
          <t>希少モデリスタH26年トヨタ ヴォクシーハイブリッドＶ【検R9年1月】純正ナビ/地デジTV/Bカメラ/パワスラ/クルコン/ETC/FDモニター/無事故</t>
        </is>
      </c>
      <c r="L715" s="8" t="inlineStr">
        <is>
          <t>https://page.auctions.yahoo.co.jp/jp/auction/n1227719097</t>
        </is>
      </c>
    </row>
    <row r="716">
      <c r="A716" s="13" t="inlineStr">
        <is>
          <t>ヴォクシー</t>
        </is>
      </c>
      <c r="B716" s="13" t="n">
        <v>2014</v>
      </c>
      <c r="C716" s="13" t="inlineStr">
        <is>
          <t>80系</t>
        </is>
      </c>
      <c r="D716" s="15" t="n">
        <v>768000</v>
      </c>
      <c r="E716" s="13" t="n">
        <v>98</v>
      </c>
      <c r="F716" s="15" t="n">
        <v>181475</v>
      </c>
      <c r="G716" s="13" t="inlineStr">
        <is>
          <t>REAL_MILEAGE</t>
        </is>
      </c>
      <c r="H716" s="13" t="inlineStr">
        <is>
          <t>NONE</t>
        </is>
      </c>
      <c r="I716" s="15" t="n">
        <v>0</v>
      </c>
      <c r="J716" s="13" t="inlineStr">
        <is>
          <t>2026-04-24T16:58:21+09:00</t>
        </is>
      </c>
      <c r="K716" s="14" t="inlineStr">
        <is>
          <t>希少モデリスタH26年トヨタ ヴォクシーハイブリッドＶ【検R9年1月】純正ナビ/地デジTV/Bカメラ/パワスラ/クルコン/ETC/FDモニター/無事故</t>
        </is>
      </c>
      <c r="L716" s="13" t="inlineStr">
        <is>
          <t>https://page.auctions.yahoo.co.jp/jp/auction/e1226995765</t>
        </is>
      </c>
    </row>
    <row r="717">
      <c r="A717" s="8" t="inlineStr">
        <is>
          <t>ヴォクシー</t>
        </is>
      </c>
      <c r="B717" s="8" t="n">
        <v>2014</v>
      </c>
      <c r="C717" s="8" t="inlineStr">
        <is>
          <t>80系</t>
        </is>
      </c>
      <c r="D717" s="11" t="n">
        <v>502000</v>
      </c>
      <c r="E717" s="8" t="n">
        <v>89</v>
      </c>
      <c r="F717" s="11" t="n">
        <v>129100</v>
      </c>
      <c r="G717" s="8" t="inlineStr">
        <is>
          <t>REAL_MILEAGE</t>
        </is>
      </c>
      <c r="H717" s="8" t="inlineStr">
        <is>
          <t>NONE</t>
        </is>
      </c>
      <c r="I717" s="11" t="n">
        <v>0</v>
      </c>
      <c r="J717" s="8" t="inlineStr">
        <is>
          <t>2026-04-17T22:42:12+09:00</t>
        </is>
      </c>
      <c r="K717" s="14" t="inlineStr">
        <is>
          <t>必見！埼玉発【26年　ヴォクシー】★5ナンバー8人乗り★電動スライドドア★ナビ★TV★BTオーディオ★フリップダウン★程度良好★売り切り！</t>
        </is>
      </c>
      <c r="L717" s="8" t="inlineStr">
        <is>
          <t>https://page.auctions.yahoo.co.jp/jp/auction/j1225245079</t>
        </is>
      </c>
    </row>
    <row r="718">
      <c r="A718" s="13" t="inlineStr">
        <is>
          <t>ヴォクシー</t>
        </is>
      </c>
      <c r="B718" s="13" t="n">
        <v>2014</v>
      </c>
      <c r="C718" s="13" t="inlineStr">
        <is>
          <t>80系</t>
        </is>
      </c>
      <c r="D718" s="15" t="n">
        <v>701000</v>
      </c>
      <c r="E718" s="13" t="n">
        <v>74</v>
      </c>
      <c r="F718" s="15" t="n">
        <v>138400</v>
      </c>
      <c r="G718" s="13" t="inlineStr">
        <is>
          <t>REAL_MILEAGE</t>
        </is>
      </c>
      <c r="H718" s="13" t="inlineStr">
        <is>
          <t>NONE</t>
        </is>
      </c>
      <c r="I718" s="15" t="n">
        <v>0</v>
      </c>
      <c r="J718" s="13" t="inlineStr">
        <is>
          <t>2026-03-25T21:14:21+09:00</t>
        </is>
      </c>
      <c r="K718" s="14" t="inlineStr">
        <is>
          <t>平成26年式 ZRR80 ヴォクシー zs 上級グレード 車検付</t>
        </is>
      </c>
      <c r="L718" s="13" t="inlineStr">
        <is>
          <t>https://page.auctions.yahoo.co.jp/jp/auction/b1223392312</t>
        </is>
      </c>
    </row>
    <row r="719">
      <c r="A719" s="8" t="inlineStr">
        <is>
          <t>ヴォクシー</t>
        </is>
      </c>
      <c r="B719" s="8" t="n">
        <v>2014</v>
      </c>
      <c r="C719" s="8" t="inlineStr">
        <is>
          <t>80系</t>
        </is>
      </c>
      <c r="D719" s="11" t="n">
        <v>878000</v>
      </c>
      <c r="E719" s="8" t="n">
        <v>1</v>
      </c>
      <c r="F719" s="11" t="n">
        <v>109000</v>
      </c>
      <c r="G719" s="8" t="inlineStr">
        <is>
          <t>REAL_MILEAGE</t>
        </is>
      </c>
      <c r="H719" s="8" t="inlineStr">
        <is>
          <t>EXISTS</t>
        </is>
      </c>
      <c r="I719" s="11" t="n">
        <v>0</v>
      </c>
      <c r="J719" s="8" t="inlineStr">
        <is>
          <t>2026-03-20T19:31:57+09:00</t>
        </is>
      </c>
      <c r="K719" s="14" t="inlineStr">
        <is>
          <t>ヴォクシー 1.8 ハイブリッド V ナビTVブルートゥース音楽Bカメラ/両側パワ</t>
        </is>
      </c>
      <c r="L719" s="8" t="inlineStr">
        <is>
          <t>https://page.auctions.yahoo.co.jp/jp/auction/r1220918012</t>
        </is>
      </c>
    </row>
    <row r="720">
      <c r="A720" s="13" t="inlineStr">
        <is>
          <t>ヴォクシー</t>
        </is>
      </c>
      <c r="B720" s="13" t="n">
        <v>2014</v>
      </c>
      <c r="C720" s="13" t="inlineStr">
        <is>
          <t>80系</t>
        </is>
      </c>
      <c r="D720" s="15" t="n">
        <v>798000</v>
      </c>
      <c r="E720" s="13" t="n">
        <v>2</v>
      </c>
      <c r="F720" s="15" t="n">
        <v>135600</v>
      </c>
      <c r="G720" s="13" t="inlineStr">
        <is>
          <t>REAL_MILEAGE</t>
        </is>
      </c>
      <c r="H720" s="13" t="inlineStr">
        <is>
          <t>EXISTS</t>
        </is>
      </c>
      <c r="I720" s="15" t="n">
        <v>0</v>
      </c>
      <c r="J720" s="13" t="inlineStr">
        <is>
          <t>2026-03-19T20:14:44+09:00</t>
        </is>
      </c>
      <c r="K720" s="14" t="inlineStr">
        <is>
          <t>福岡発,80ヴォクシーハイブリッドV,車検満タン渡しR10年3月,クルーズコントロール,リアFDモニタ,大阪南港止2.9万円,東京有明港3.9万円</t>
        </is>
      </c>
      <c r="L720" s="13" t="inlineStr">
        <is>
          <t>https://page.auctions.yahoo.co.jp/jp/auction/k1223337943</t>
        </is>
      </c>
    </row>
    <row r="721">
      <c r="A721" s="8" t="inlineStr">
        <is>
          <t>ヴォクシー</t>
        </is>
      </c>
      <c r="B721" s="8" t="n">
        <v>2014</v>
      </c>
      <c r="C721" s="8" t="inlineStr">
        <is>
          <t>80系</t>
        </is>
      </c>
      <c r="D721" s="11" t="n">
        <v>850000</v>
      </c>
      <c r="E721" s="8" t="n">
        <v>2</v>
      </c>
      <c r="F721" s="11" t="n">
        <v>165400</v>
      </c>
      <c r="G721" s="8" t="inlineStr">
        <is>
          <t>REAL_MILEAGE</t>
        </is>
      </c>
      <c r="H721" s="8" t="inlineStr">
        <is>
          <t>NONE</t>
        </is>
      </c>
      <c r="I721" s="11" t="n">
        <v>0</v>
      </c>
      <c r="J721" s="8" t="inlineStr">
        <is>
          <t>2026-03-18T11:49:25+09:00</t>
        </is>
      </c>
      <c r="K721" s="14" t="inlineStr">
        <is>
          <t>お買得落札金のみコミコミ自動車税リサ税込み トヨタ ヴォクシー ハイブリッド 人気ブラック 車高調 アルミホイール 車検令和9年2/17まで</t>
        </is>
      </c>
      <c r="L721" s="8" t="inlineStr">
        <is>
          <t>https://page.auctions.yahoo.co.jp/jp/auction/f1223065638</t>
        </is>
      </c>
    </row>
    <row r="722">
      <c r="A722" s="13" t="inlineStr">
        <is>
          <t>ヴォクシー</t>
        </is>
      </c>
      <c r="B722" s="13" t="n">
        <v>2013</v>
      </c>
      <c r="C722" s="13" t="inlineStr">
        <is>
          <t>70系</t>
        </is>
      </c>
      <c r="D722" s="15" t="n">
        <v>341000</v>
      </c>
      <c r="E722" s="13" t="n">
        <v>44</v>
      </c>
      <c r="F722" s="15" t="n">
        <v>138111</v>
      </c>
      <c r="G722" s="13" t="inlineStr">
        <is>
          <t>REAL_MILEAGE</t>
        </is>
      </c>
      <c r="H722" s="13" t="inlineStr">
        <is>
          <t>NONE</t>
        </is>
      </c>
      <c r="I722" s="15" t="n">
        <v>60460</v>
      </c>
      <c r="J722" s="13" t="inlineStr">
        <is>
          <t>2026-07-25T12:40:42+09:00</t>
        </is>
      </c>
      <c r="K722" s="14" t="inlineStr">
        <is>
          <t xml:space="preserve">トヨタ ヴォクシー2.0 特別仕様車 ZS 煌Z </t>
        </is>
      </c>
      <c r="L722" s="13" t="inlineStr">
        <is>
          <t>https://page.auctions.yahoo.co.jp/jp/auction/u1237181396</t>
        </is>
      </c>
    </row>
    <row r="723">
      <c r="A723" s="8" t="inlineStr">
        <is>
          <t>ヴォクシー</t>
        </is>
      </c>
      <c r="B723" s="8" t="n">
        <v>2013</v>
      </c>
      <c r="C723" s="8" t="inlineStr">
        <is>
          <t>70系</t>
        </is>
      </c>
      <c r="D723" s="11" t="n">
        <v>390000</v>
      </c>
      <c r="E723" s="8" t="n">
        <v>1</v>
      </c>
      <c r="F723" s="11" t="n">
        <v>143800</v>
      </c>
      <c r="G723" s="8" t="inlineStr">
        <is>
          <t>REAL_MILEAGE</t>
        </is>
      </c>
      <c r="H723" s="8" t="inlineStr">
        <is>
          <t>NONE</t>
        </is>
      </c>
      <c r="I723" s="11" t="n">
        <v>12530</v>
      </c>
      <c r="J723" s="8" t="inlineStr">
        <is>
          <t>2026-07-07T14:53:25+09:00</t>
        </is>
      </c>
      <c r="K723" s="14" t="inlineStr">
        <is>
          <t>予備検査付き☆25年1月登録☆ヴォクシーZS煌3 4WD☆両側パワスラ.HDDナビ.地デジフルセグ.バックカメラ.ETC.修復歴無し.点検整備済み</t>
        </is>
      </c>
      <c r="L723" s="8" t="inlineStr">
        <is>
          <t>https://page.auctions.yahoo.co.jp/jp/auction/s1236026673</t>
        </is>
      </c>
    </row>
    <row r="724">
      <c r="A724" s="13" t="inlineStr">
        <is>
          <t>ヴォクシー</t>
        </is>
      </c>
      <c r="B724" s="13" t="n">
        <v>2013</v>
      </c>
      <c r="C724" s="13" t="inlineStr">
        <is>
          <t>70系</t>
        </is>
      </c>
      <c r="D724" s="15" t="n">
        <v>251000</v>
      </c>
      <c r="E724" s="13" t="n">
        <v>1</v>
      </c>
      <c r="F724" s="15" t="n">
        <v>125000</v>
      </c>
      <c r="G724" s="13" t="inlineStr">
        <is>
          <t>REAL_MILEAGE</t>
        </is>
      </c>
      <c r="H724" s="13" t="inlineStr">
        <is>
          <t>NONE</t>
        </is>
      </c>
      <c r="I724" s="15" t="n">
        <v>13180</v>
      </c>
      <c r="J724" s="13" t="inlineStr">
        <is>
          <t>2026-06-14T21:20:01+09:00</t>
        </is>
      </c>
      <c r="K724" s="14" t="inlineStr">
        <is>
          <t xml:space="preserve">トヨタ ヴォクシー ベースグレード「Ｘ」のウェルキャブ車「車いす仕様車　スロープタイプ　タイプ１　車いす１脚仕様 25年 </t>
        </is>
      </c>
      <c r="L724" s="13" t="inlineStr">
        <is>
          <t>https://page.auctions.yahoo.co.jp/jp/auction/m1233021808</t>
        </is>
      </c>
    </row>
    <row r="725">
      <c r="A725" s="8" t="inlineStr">
        <is>
          <t>ヴォクシー</t>
        </is>
      </c>
      <c r="B725" s="8" t="n">
        <v>2013</v>
      </c>
      <c r="C725" s="8" t="inlineStr">
        <is>
          <t>70系</t>
        </is>
      </c>
      <c r="D725" s="11" t="n">
        <v>452000</v>
      </c>
      <c r="E725" s="8" t="n">
        <v>3</v>
      </c>
      <c r="F725" s="11" t="n">
        <v>103000</v>
      </c>
      <c r="G725" s="8" t="inlineStr">
        <is>
          <t>REAL_MILEAGE</t>
        </is>
      </c>
      <c r="H725" s="8" t="inlineStr">
        <is>
          <t>NONE</t>
        </is>
      </c>
      <c r="I725" s="11" t="n">
        <v>0</v>
      </c>
      <c r="J725" s="8" t="inlineStr">
        <is>
          <t>2026-03-15T22:05:54+09:00</t>
        </is>
      </c>
      <c r="K725" s="14" t="inlineStr">
        <is>
          <t xml:space="preserve">平成25年 トヨタ 70ヴォクシー 黒 走行11万キロ 8人乗り 車検あり </t>
        </is>
      </c>
      <c r="L725" s="8" t="inlineStr">
        <is>
          <t>https://page.auctions.yahoo.co.jp/jp/auction/w1219455273</t>
        </is>
      </c>
    </row>
    <row r="726">
      <c r="A726" s="13" t="inlineStr">
        <is>
          <t>ヴォクシー</t>
        </is>
      </c>
      <c r="B726" s="13" t="n">
        <v>2012</v>
      </c>
      <c r="C726" s="13" t="inlineStr">
        <is>
          <t>70系</t>
        </is>
      </c>
      <c r="D726" s="15" t="n">
        <v>350000</v>
      </c>
      <c r="E726" s="13" t="n">
        <v>1</v>
      </c>
      <c r="F726" s="15" t="n">
        <v>158880</v>
      </c>
      <c r="G726" s="13" t="inlineStr">
        <is>
          <t>REAL_MILEAGE</t>
        </is>
      </c>
      <c r="H726" s="13" t="n"/>
      <c r="I726" s="15" t="n">
        <v>12630</v>
      </c>
      <c r="J726" s="13" t="inlineStr">
        <is>
          <t>2026-08-17T20:39:08+09:00</t>
        </is>
      </c>
      <c r="K726" s="14" t="inlineStr">
        <is>
          <t>ヴォクシー ★ 年式 H24★ ZRR75W★ 4WD ★ ETC ★ 車検9年1月 ★ ナビ</t>
        </is>
      </c>
      <c r="L726" s="13" t="inlineStr">
        <is>
          <t>https://page.auctions.yahoo.co.jp/jp/auction/g1238300541</t>
        </is>
      </c>
    </row>
    <row r="727">
      <c r="A727" s="8" t="inlineStr">
        <is>
          <t>ヴォクシー</t>
        </is>
      </c>
      <c r="B727" s="8" t="n">
        <v>2012</v>
      </c>
      <c r="C727" s="8" t="inlineStr">
        <is>
          <t>70系</t>
        </is>
      </c>
      <c r="D727" s="11" t="n">
        <v>350000</v>
      </c>
      <c r="E727" s="8" t="n">
        <v>2</v>
      </c>
      <c r="F727" s="11" t="n">
        <v>223600</v>
      </c>
      <c r="G727" s="8" t="inlineStr">
        <is>
          <t>REAL_MILEAGE</t>
        </is>
      </c>
      <c r="H727" s="8" t="n"/>
      <c r="I727" s="11" t="n">
        <v>0</v>
      </c>
      <c r="J727" s="8" t="inlineStr">
        <is>
          <t>2026-06-03T11:14:54+09:00</t>
        </is>
      </c>
      <c r="K727" s="14" t="inlineStr">
        <is>
          <t>★コミコミ価格★ヴォクシー ★平成24年式★ ZRR75G★8人乗り★4WD★ETC★8型ナビ★フリップダウンモニター★程度良好★Bカメラ★車検残1年</t>
        </is>
      </c>
      <c r="L727" s="8" t="inlineStr">
        <is>
          <t>https://page.auctions.yahoo.co.jp/jp/auction/j1230542761</t>
        </is>
      </c>
    </row>
    <row r="728">
      <c r="A728" s="13" t="inlineStr">
        <is>
          <t>ヴォクシー</t>
        </is>
      </c>
      <c r="B728" s="13" t="n">
        <v>2011</v>
      </c>
      <c r="C728" s="13" t="inlineStr">
        <is>
          <t>70系</t>
        </is>
      </c>
      <c r="D728" s="15" t="n">
        <v>356000</v>
      </c>
      <c r="E728" s="13" t="n">
        <v>1</v>
      </c>
      <c r="F728" s="15" t="n">
        <v>95000</v>
      </c>
      <c r="G728" s="13" t="inlineStr">
        <is>
          <t>REAL_MILEAGE</t>
        </is>
      </c>
      <c r="H728" s="13" t="inlineStr">
        <is>
          <t>NONE</t>
        </is>
      </c>
      <c r="I728" s="15" t="n">
        <v>26480</v>
      </c>
      <c r="J728" s="13" t="inlineStr">
        <is>
          <t>2026-08-14T20:04:23+09:00</t>
        </is>
      </c>
      <c r="K728" s="14" t="inlineStr">
        <is>
          <t xml:space="preserve">平成23年　トヨタ　70ヴォクシーZS 後期型　走行距離9万キロ代　高知県より個人出品　車検有り　格安　売り切り　乗って帰れる　</t>
        </is>
      </c>
      <c r="L728" s="13" t="inlineStr">
        <is>
          <t>https://page.auctions.yahoo.co.jp/jp/auction/v1239176084</t>
        </is>
      </c>
    </row>
    <row r="729">
      <c r="A729" s="8" t="inlineStr">
        <is>
          <t>ヴォクシー</t>
        </is>
      </c>
      <c r="B729" s="8" t="n">
        <v>2011</v>
      </c>
      <c r="C729" s="8" t="inlineStr">
        <is>
          <t>70系</t>
        </is>
      </c>
      <c r="D729" s="11" t="n">
        <v>153000</v>
      </c>
      <c r="E729" s="8" t="n">
        <v>25</v>
      </c>
      <c r="F729" s="11" t="n">
        <v>200000</v>
      </c>
      <c r="G729" s="8" t="inlineStr">
        <is>
          <t>REAL_MILEAGE</t>
        </is>
      </c>
      <c r="H729" s="8" t="inlineStr">
        <is>
          <t>EXISTS</t>
        </is>
      </c>
      <c r="I729" s="11" t="n">
        <v>34050</v>
      </c>
      <c r="J729" s="8" t="inlineStr">
        <is>
          <t>2026-06-30T21:48:18+09:00</t>
        </is>
      </c>
      <c r="K729" s="14" t="inlineStr">
        <is>
          <t xml:space="preserve">平成23年　トヨタ70ヴォクシーZS煌 後期型　8人乗りオプション多数　HDD フリップダウン　社外マフラー　RSRサス　モデリスタ　ドラレコ　</t>
        </is>
      </c>
      <c r="L729" s="8" t="inlineStr">
        <is>
          <t>https://page.auctions.yahoo.co.jp/jp/auction/q1233793156</t>
        </is>
      </c>
    </row>
    <row r="730">
      <c r="A730" s="13" t="inlineStr">
        <is>
          <t>ヴォクシー</t>
        </is>
      </c>
      <c r="B730" s="13" t="n">
        <v>2011</v>
      </c>
      <c r="C730" s="13" t="inlineStr">
        <is>
          <t>70系</t>
        </is>
      </c>
      <c r="D730" s="15" t="n">
        <v>301000</v>
      </c>
      <c r="E730" s="13" t="n">
        <v>41</v>
      </c>
      <c r="F730" s="15" t="n">
        <v>123400</v>
      </c>
      <c r="G730" s="13" t="inlineStr">
        <is>
          <t>REAL_MILEAGE</t>
        </is>
      </c>
      <c r="H730" s="13" t="inlineStr">
        <is>
          <t>NONE</t>
        </is>
      </c>
      <c r="I730" s="15" t="n">
        <v>13000</v>
      </c>
      <c r="J730" s="13" t="inlineStr">
        <is>
          <t>2026-06-28T21:46:19+09:00</t>
        </is>
      </c>
      <c r="K730" s="14" t="inlineStr">
        <is>
          <t xml:space="preserve">激安！ヴォクシー　煌　美車　車検あり　</t>
        </is>
      </c>
      <c r="L730" s="13" t="inlineStr">
        <is>
          <t>https://page.auctions.yahoo.co.jp/jp/auction/n1233677652</t>
        </is>
      </c>
    </row>
    <row r="731">
      <c r="A731" s="8" t="inlineStr">
        <is>
          <t>ヴォクシー</t>
        </is>
      </c>
      <c r="B731" s="8" t="n">
        <v>2011</v>
      </c>
      <c r="C731" s="8" t="inlineStr">
        <is>
          <t>70系</t>
        </is>
      </c>
      <c r="D731" s="11" t="n">
        <v>221000</v>
      </c>
      <c r="E731" s="8" t="n">
        <v>69</v>
      </c>
      <c r="F731" s="11" t="n">
        <v>171932</v>
      </c>
      <c r="G731" s="8" t="inlineStr">
        <is>
          <t>REAL_MILEAGE</t>
        </is>
      </c>
      <c r="H731" s="8" t="inlineStr">
        <is>
          <t>NONE</t>
        </is>
      </c>
      <c r="I731" s="11" t="n">
        <v>0</v>
      </c>
      <c r="J731" s="8" t="inlineStr">
        <is>
          <t>2026-04-26T21:31:45+09:00</t>
        </is>
      </c>
      <c r="K731" s="14" t="inlineStr">
        <is>
          <t>★トヨタ　ヴォクシー ★ 平成23年式★ ZRR 75G　★XL エディション ★7人乗り★4WD★</t>
        </is>
      </c>
      <c r="L731" s="8" t="inlineStr">
        <is>
          <t>https://page.auctions.yahoo.co.jp/jp/auction/k1226926403</t>
        </is>
      </c>
    </row>
    <row r="732">
      <c r="A732" s="13" t="inlineStr">
        <is>
          <t>ヴォクシー</t>
        </is>
      </c>
      <c r="B732" s="13" t="n">
        <v>2010</v>
      </c>
      <c r="C732" s="13" t="inlineStr">
        <is>
          <t>70系</t>
        </is>
      </c>
      <c r="D732" s="15" t="n">
        <v>250000</v>
      </c>
      <c r="E732" s="13" t="n">
        <v>1</v>
      </c>
      <c r="F732" s="15" t="n">
        <v>107600</v>
      </c>
      <c r="G732" s="13" t="inlineStr">
        <is>
          <t>REAL_MILEAGE</t>
        </is>
      </c>
      <c r="H732" s="13" t="inlineStr">
        <is>
          <t>NONE</t>
        </is>
      </c>
      <c r="I732" s="15" t="n">
        <v>0</v>
      </c>
      <c r="J732" s="13" t="inlineStr">
        <is>
          <t>2026-08-17T09:06:59+09:00</t>
        </is>
      </c>
      <c r="K732" s="14" t="inlineStr">
        <is>
          <t>返金保証付:神奈川県厚木市 平成22年 ヴォクシー 2.0 X Lエディション ナビ</t>
        </is>
      </c>
      <c r="L732" s="13" t="inlineStr">
        <is>
          <t>https://page.auctions.yahoo.co.jp/jp/auction/s1240735655</t>
        </is>
      </c>
    </row>
    <row r="733">
      <c r="A733" s="8" t="inlineStr">
        <is>
          <t>ヴォクシー</t>
        </is>
      </c>
      <c r="B733" s="8" t="n">
        <v>2010</v>
      </c>
      <c r="C733" s="8" t="inlineStr">
        <is>
          <t>70系</t>
        </is>
      </c>
      <c r="D733" s="11" t="n">
        <v>448000</v>
      </c>
      <c r="E733" s="8" t="n">
        <v>1</v>
      </c>
      <c r="F733" s="11" t="n">
        <v>89000</v>
      </c>
      <c r="G733" s="8" t="inlineStr">
        <is>
          <t>REAL_MILEAGE</t>
        </is>
      </c>
      <c r="H733" s="8" t="inlineStr">
        <is>
          <t>NONE</t>
        </is>
      </c>
      <c r="I733" s="11" t="n">
        <v>0</v>
      </c>
      <c r="J733" s="8" t="inlineStr">
        <is>
          <t>2026-08-08T23:42:58+09:00</t>
        </is>
      </c>
      <c r="K733" s="14" t="inlineStr">
        <is>
          <t>ヴォクシー 2.0 ZS 左オートスライド バックカメラ ETC</t>
        </is>
      </c>
      <c r="L733" s="8" t="inlineStr">
        <is>
          <t>https://page.auctions.yahoo.co.jp/jp/auction/t1238296993</t>
        </is>
      </c>
    </row>
    <row r="734">
      <c r="A734" s="13" t="inlineStr">
        <is>
          <t>ヴォクシー</t>
        </is>
      </c>
      <c r="B734" s="13" t="n">
        <v>2010</v>
      </c>
      <c r="C734" s="13" t="inlineStr">
        <is>
          <t>70系</t>
        </is>
      </c>
      <c r="D734" s="15" t="n">
        <v>253000</v>
      </c>
      <c r="E734" s="13" t="n">
        <v>24</v>
      </c>
      <c r="F734" s="15" t="n">
        <v>100811</v>
      </c>
      <c r="G734" s="13" t="inlineStr">
        <is>
          <t>REAL_MILEAGE</t>
        </is>
      </c>
      <c r="H734" s="13" t="n"/>
      <c r="I734" s="15" t="n">
        <v>0</v>
      </c>
      <c r="J734" s="13" t="inlineStr">
        <is>
          <t>2026-06-14T20:06:16+09:00</t>
        </is>
      </c>
      <c r="K734" s="14" t="inlineStr">
        <is>
          <t>岩手発!! H22 トヨタ ヴォクシー X Lエディション ZRR75G 4WD AT 走行100,811km 車検令和9年3/24迄 名変渡し 売切!!</t>
        </is>
      </c>
      <c r="L734" s="13" t="inlineStr">
        <is>
          <t>https://page.auctions.yahoo.co.jp/jp/auction/g1232907322</t>
        </is>
      </c>
    </row>
    <row r="735">
      <c r="A735" s="8" t="inlineStr">
        <is>
          <t>ヴォクシー</t>
        </is>
      </c>
      <c r="B735" s="8" t="n">
        <v>2010</v>
      </c>
      <c r="C735" s="8" t="inlineStr">
        <is>
          <t>70系</t>
        </is>
      </c>
      <c r="D735" s="11" t="n">
        <v>202000</v>
      </c>
      <c r="E735" s="8" t="n">
        <v>3</v>
      </c>
      <c r="F735" s="11" t="n">
        <v>217495</v>
      </c>
      <c r="G735" s="8" t="inlineStr">
        <is>
          <t>REAL_MILEAGE</t>
        </is>
      </c>
      <c r="H735" s="8" t="n"/>
      <c r="I735" s="11" t="n">
        <v>0</v>
      </c>
      <c r="J735" s="8" t="inlineStr">
        <is>
          <t>2026-04-14T20:14:24+09:00</t>
        </is>
      </c>
      <c r="K735" s="14" t="inlineStr">
        <is>
          <t>トヨタ　ヴォクシー　22年式　両側パワスラ　黒</t>
        </is>
      </c>
      <c r="L735" s="8" t="inlineStr">
        <is>
          <t>https://page.auctions.yahoo.co.jp/jp/auction/j1226061813</t>
        </is>
      </c>
    </row>
    <row r="736">
      <c r="A736" s="13" t="inlineStr">
        <is>
          <t>ヴォクシー</t>
        </is>
      </c>
      <c r="B736" s="13" t="n">
        <v>2009</v>
      </c>
      <c r="C736" s="13" t="inlineStr">
        <is>
          <t>70系</t>
        </is>
      </c>
      <c r="D736" s="15" t="n">
        <v>400000</v>
      </c>
      <c r="E736" s="13" t="n">
        <v>2</v>
      </c>
      <c r="F736" s="15" t="n">
        <v>133724</v>
      </c>
      <c r="G736" s="13" t="inlineStr">
        <is>
          <t>REAL_MILEAGE</t>
        </is>
      </c>
      <c r="H736" s="13" t="inlineStr">
        <is>
          <t>NONE</t>
        </is>
      </c>
      <c r="I736" s="15" t="n">
        <v>0</v>
      </c>
      <c r="J736" s="13" t="inlineStr">
        <is>
          <t>2026-08-20T17:28:32+09:00</t>
        </is>
      </c>
      <c r="K736" s="14" t="inlineStr">
        <is>
          <t>【予備検査付】ヴォクシー ZSサイドリフトアップ装着車 ウェルキャブ 介護車両 車椅子</t>
        </is>
      </c>
      <c r="L736" s="13" t="inlineStr">
        <is>
          <t>https://page.auctions.yahoo.co.jp/jp/auction/h1240503962</t>
        </is>
      </c>
    </row>
    <row r="737">
      <c r="A737" s="8" t="inlineStr">
        <is>
          <t>ヴォクシー</t>
        </is>
      </c>
      <c r="B737" s="8" t="n">
        <v>2009</v>
      </c>
      <c r="C737" s="8" t="inlineStr">
        <is>
          <t>70系</t>
        </is>
      </c>
      <c r="D737" s="11" t="n">
        <v>141000</v>
      </c>
      <c r="E737" s="8" t="n">
        <v>65</v>
      </c>
      <c r="F737" s="11" t="n">
        <v>159900</v>
      </c>
      <c r="G737" s="8" t="inlineStr">
        <is>
          <t>REAL_MILEAGE</t>
        </is>
      </c>
      <c r="H737" s="8" t="inlineStr">
        <is>
          <t>NONE</t>
        </is>
      </c>
      <c r="I737" s="11" t="n">
        <v>43530</v>
      </c>
      <c r="J737" s="8" t="inlineStr">
        <is>
          <t>2026-07-18T20:51:07+09:00</t>
        </is>
      </c>
      <c r="K737" s="14" t="inlineStr">
        <is>
          <t>【トヨタ　ヴォクシー】8人乗り/純正HDDナビ/バックカメラ/スライドドア/社外18インチアルミホイール</t>
        </is>
      </c>
      <c r="L737" s="8" t="inlineStr">
        <is>
          <t>https://page.auctions.yahoo.co.jp/jp/auction/j1236590838</t>
        </is>
      </c>
    </row>
    <row r="738">
      <c r="A738" s="13" t="inlineStr">
        <is>
          <t>ヴォクシー</t>
        </is>
      </c>
      <c r="B738" s="13" t="n">
        <v>2009</v>
      </c>
      <c r="C738" s="13" t="inlineStr">
        <is>
          <t>70系</t>
        </is>
      </c>
      <c r="D738" s="15" t="n">
        <v>234000</v>
      </c>
      <c r="E738" s="13" t="n">
        <v>43</v>
      </c>
      <c r="F738" s="15" t="n">
        <v>144200</v>
      </c>
      <c r="G738" s="13" t="inlineStr">
        <is>
          <t>REAL_MILEAGE</t>
        </is>
      </c>
      <c r="H738" s="13" t="inlineStr">
        <is>
          <t>NONE</t>
        </is>
      </c>
      <c r="I738" s="15" t="n">
        <v>0</v>
      </c>
      <c r="J738" s="13" t="inlineStr">
        <is>
          <t>2026-05-24T22:44:54+09:00</t>
        </is>
      </c>
      <c r="K738" s="14" t="inlineStr">
        <is>
          <t>売切★仕事に遊びに大活躍！流行りの車中泊車ベースにも★H21年式VOXYトランス-X★機関快調/内外装掃除済キレイ★ナビ地デジ走行中TV視聴OK</t>
        </is>
      </c>
      <c r="L738" s="13" t="inlineStr">
        <is>
          <t>https://page.auctions.yahoo.co.jp/jp/auction/m1230338345</t>
        </is>
      </c>
    </row>
    <row r="739">
      <c r="A739" s="8" t="inlineStr">
        <is>
          <t>ヴォクシー</t>
        </is>
      </c>
      <c r="B739" s="8" t="n">
        <v>2009</v>
      </c>
      <c r="C739" s="8" t="inlineStr">
        <is>
          <t>70系</t>
        </is>
      </c>
      <c r="D739" s="11" t="n">
        <v>441000</v>
      </c>
      <c r="E739" s="8" t="n">
        <v>163</v>
      </c>
      <c r="F739" s="11" t="n">
        <v>76700</v>
      </c>
      <c r="G739" s="8" t="inlineStr">
        <is>
          <t>REAL_MILEAGE</t>
        </is>
      </c>
      <c r="H739" s="8" t="inlineStr">
        <is>
          <t>NONE</t>
        </is>
      </c>
      <c r="I739" s="11" t="n">
        <v>0</v>
      </c>
      <c r="J739" s="8" t="inlineStr">
        <is>
          <t>2026-03-21T22:02:56+09:00</t>
        </is>
      </c>
      <c r="K739" s="14" t="inlineStr">
        <is>
          <t xml:space="preserve">1円売り切り　70ヴォクシーZS煌めき2　両側パワースライド　プッシュスタート　フルセグTV　Bluetooth　新品タイヤ装備　ETC　8人乗り　</t>
        </is>
      </c>
      <c r="L739" s="8" t="inlineStr">
        <is>
          <t>https://page.auctions.yahoo.co.jp/jp/auction/t1222831197</t>
        </is>
      </c>
    </row>
    <row r="740">
      <c r="A740" s="13" t="inlineStr">
        <is>
          <t>ヴォクシー</t>
        </is>
      </c>
      <c r="B740" s="13" t="n">
        <v>2008</v>
      </c>
      <c r="C740" s="13" t="inlineStr">
        <is>
          <t>70系</t>
        </is>
      </c>
      <c r="D740" s="15" t="n">
        <v>335000</v>
      </c>
      <c r="E740" s="13" t="n">
        <v>54</v>
      </c>
      <c r="F740" s="15" t="n">
        <v>83590</v>
      </c>
      <c r="G740" s="13" t="inlineStr">
        <is>
          <t>REAL_MILEAGE</t>
        </is>
      </c>
      <c r="H740" s="13" t="inlineStr">
        <is>
          <t>NONE</t>
        </is>
      </c>
      <c r="I740" s="15" t="n">
        <v>13300</v>
      </c>
      <c r="J740" s="13" t="inlineStr">
        <is>
          <t>2026-07-18T22:19:57+09:00</t>
        </is>
      </c>
      <c r="K740" s="14" t="inlineStr">
        <is>
          <t>トヨタ　ヴォクシー　車中泊仕様　キャンピングカー風　ルーフキャリア　ソーラーパネル付き</t>
        </is>
      </c>
      <c r="L740" s="13" t="inlineStr">
        <is>
          <t>https://page.auctions.yahoo.co.jp/jp/auction/d1231852272</t>
        </is>
      </c>
    </row>
    <row r="741">
      <c r="A741" s="8" t="inlineStr">
        <is>
          <t>ヴォクシー</t>
        </is>
      </c>
      <c r="B741" s="8" t="n">
        <v>2008</v>
      </c>
      <c r="C741" s="8" t="inlineStr">
        <is>
          <t>70系</t>
        </is>
      </c>
      <c r="D741" s="11" t="n">
        <v>228000</v>
      </c>
      <c r="E741" s="8" t="n">
        <v>1</v>
      </c>
      <c r="F741" s="11" t="n">
        <v>101000</v>
      </c>
      <c r="G741" s="8" t="inlineStr">
        <is>
          <t>REAL_MILEAGE</t>
        </is>
      </c>
      <c r="H741" s="8" t="inlineStr">
        <is>
          <t>EXISTS</t>
        </is>
      </c>
      <c r="I741" s="11" t="n">
        <v>0</v>
      </c>
      <c r="J741" s="8" t="inlineStr">
        <is>
          <t>2026-06-20T01:07:47+09:00</t>
        </is>
      </c>
      <c r="K741" s="14" t="inlineStr">
        <is>
          <t>ヴォクシー 2.0 ZS 煌 4WD 両側オートスライド メモリーナビ</t>
        </is>
      </c>
      <c r="L741" s="8" t="inlineStr">
        <is>
          <t>https://page.auctions.yahoo.co.jp/jp/auction/g1233387496</t>
        </is>
      </c>
    </row>
    <row r="742">
      <c r="A742" s="13" t="inlineStr">
        <is>
          <t>ヴォクシー</t>
        </is>
      </c>
      <c r="B742" s="13" t="n">
        <v>2008</v>
      </c>
      <c r="C742" s="13" t="inlineStr">
        <is>
          <t>70系</t>
        </is>
      </c>
      <c r="D742" s="15" t="n">
        <v>275000</v>
      </c>
      <c r="E742" s="13" t="n">
        <v>36</v>
      </c>
      <c r="F742" s="15" t="n">
        <v>107993</v>
      </c>
      <c r="G742" s="13" t="inlineStr">
        <is>
          <t>REAL_MILEAGE</t>
        </is>
      </c>
      <c r="H742" s="13" t="n"/>
      <c r="I742" s="15" t="n">
        <v>0</v>
      </c>
      <c r="J742" s="13" t="inlineStr">
        <is>
          <t>2026-06-14T21:39:08+09:00</t>
        </is>
      </c>
      <c r="K742" s="14" t="inlineStr">
        <is>
          <t>【売切り】ヴォクシー X 車検付 実走10.8万km 両側電動スライド・ナビ・バックカメラ 乗って帰れます!! 車検令和8年9月</t>
        </is>
      </c>
      <c r="L742" s="13" t="inlineStr">
        <is>
          <t>https://page.auctions.yahoo.co.jp/jp/auction/b1232820410</t>
        </is>
      </c>
    </row>
    <row r="743">
      <c r="A743" s="8" t="inlineStr">
        <is>
          <t>ヴォクシー</t>
        </is>
      </c>
      <c r="B743" s="8" t="n">
        <v>2008</v>
      </c>
      <c r="C743" s="8" t="inlineStr">
        <is>
          <t>70系</t>
        </is>
      </c>
      <c r="D743" s="11" t="n">
        <v>300000</v>
      </c>
      <c r="E743" s="8" t="n">
        <v>50</v>
      </c>
      <c r="F743" s="11" t="n">
        <v>151360</v>
      </c>
      <c r="G743" s="8" t="inlineStr">
        <is>
          <t>REAL_MILEAGE</t>
        </is>
      </c>
      <c r="H743" s="8" t="n"/>
      <c r="I743" s="11" t="n">
        <v>0</v>
      </c>
      <c r="J743" s="8" t="inlineStr">
        <is>
          <t>2026-06-08T21:07:50+09:00</t>
        </is>
      </c>
      <c r="K743" s="14" t="inlineStr">
        <is>
          <t>【売切】お財布に優しい車税+維持費節減の４ナンバー仕様（貨物登録/構造変更）ヴォクシー４WD （ノア） 車検取得渡（R9/6月迄）75</t>
        </is>
      </c>
      <c r="L743" s="8" t="inlineStr">
        <is>
          <t>https://page.auctions.yahoo.co.jp/jp/auction/m1231142374</t>
        </is>
      </c>
    </row>
    <row r="744">
      <c r="A744" s="13" t="inlineStr">
        <is>
          <t>ヴォクシー</t>
        </is>
      </c>
      <c r="B744" s="13" t="n">
        <v>2008</v>
      </c>
      <c r="C744" s="13" t="inlineStr">
        <is>
          <t>70系</t>
        </is>
      </c>
      <c r="D744" s="15" t="n">
        <v>181000</v>
      </c>
      <c r="E744" s="13" t="n">
        <v>73</v>
      </c>
      <c r="F744" s="15" t="n">
        <v>67100</v>
      </c>
      <c r="G744" s="13" t="inlineStr">
        <is>
          <t>METER_REPLACEMENT</t>
        </is>
      </c>
      <c r="H744" s="13" t="n"/>
      <c r="I744" s="15" t="n">
        <v>0</v>
      </c>
      <c r="J744" s="13" t="inlineStr">
        <is>
          <t>2026-05-10T22:46:23+09:00</t>
        </is>
      </c>
      <c r="K744" s="14" t="inlineStr">
        <is>
          <t>再出品1円～売切り[悪戯購入意思のない入札辞めて下さい]★ヴォクシーZS パワスラ ナビBカメラ 予備検査取得済み 車検2年付き即乗り可能★</t>
        </is>
      </c>
      <c r="L744" s="13" t="inlineStr">
        <is>
          <t>https://page.auctions.yahoo.co.jp/jp/auction/e1228249742</t>
        </is>
      </c>
    </row>
    <row r="745">
      <c r="A745" s="8" t="inlineStr">
        <is>
          <t>ヴォクシー</t>
        </is>
      </c>
      <c r="B745" s="8" t="n">
        <v>2008</v>
      </c>
      <c r="C745" s="8" t="inlineStr">
        <is>
          <t>70系</t>
        </is>
      </c>
      <c r="D745" s="11" t="n">
        <v>285000</v>
      </c>
      <c r="E745" s="8" t="n">
        <v>30</v>
      </c>
      <c r="F745" s="11" t="n">
        <v>67100</v>
      </c>
      <c r="G745" s="8" t="inlineStr">
        <is>
          <t>METER_REPLACEMENT</t>
        </is>
      </c>
      <c r="H745" s="8" t="n"/>
      <c r="I745" s="11" t="n">
        <v>0</v>
      </c>
      <c r="J745" s="8" t="inlineStr">
        <is>
          <t>2026-04-19T10:33:32+09:00</t>
        </is>
      </c>
      <c r="K745" s="14" t="inlineStr">
        <is>
          <t>★再出品1円～売切り★ヴォクシーZS★8人乗り★パワスラ ナビBカメラ 地デジTV Bluetooth★予備検査取得合格済み 車検2年付き即乗り可能★</t>
        </is>
      </c>
      <c r="L745" s="8" t="inlineStr">
        <is>
          <t>https://page.auctions.yahoo.co.jp/jp/auction/1226283465</t>
        </is>
      </c>
    </row>
    <row r="746">
      <c r="A746" s="13" t="inlineStr">
        <is>
          <t>ヴォクシー</t>
        </is>
      </c>
      <c r="B746" s="13" t="n">
        <v>2008</v>
      </c>
      <c r="C746" s="13" t="inlineStr">
        <is>
          <t>70系</t>
        </is>
      </c>
      <c r="D746" s="15" t="n">
        <v>203000</v>
      </c>
      <c r="E746" s="13" t="n">
        <v>13</v>
      </c>
      <c r="F746" s="15" t="n">
        <v>84303</v>
      </c>
      <c r="G746" s="13" t="inlineStr">
        <is>
          <t>REAL_MILEAGE</t>
        </is>
      </c>
      <c r="H746" s="13" t="inlineStr">
        <is>
          <t>NONE</t>
        </is>
      </c>
      <c r="I746" s="15" t="n">
        <v>0</v>
      </c>
      <c r="J746" s="13" t="inlineStr">
        <is>
          <t>2026-04-12T12:15:58+09:00</t>
        </is>
      </c>
      <c r="K746" s="14" t="inlineStr">
        <is>
          <t>トヨタ ヴォクシー 距離8万キロ★不具合なし★サイドカメラ付き</t>
        </is>
      </c>
      <c r="L746" s="13" t="inlineStr">
        <is>
          <t>https://page.auctions.yahoo.co.jp/jp/auction/h1225405415</t>
        </is>
      </c>
    </row>
    <row r="747">
      <c r="A747" s="8" t="inlineStr">
        <is>
          <t>ヴォクシー</t>
        </is>
      </c>
      <c r="B747" s="8" t="n">
        <v>2008</v>
      </c>
      <c r="C747" s="8" t="inlineStr">
        <is>
          <t>70系</t>
        </is>
      </c>
      <c r="D747" s="11" t="n">
        <v>157000</v>
      </c>
      <c r="E747" s="8" t="n">
        <v>47</v>
      </c>
      <c r="F747" s="11" t="n">
        <v>67100</v>
      </c>
      <c r="G747" s="8" t="inlineStr">
        <is>
          <t>METER_REPLACEMENT</t>
        </is>
      </c>
      <c r="H747" s="8" t="n"/>
      <c r="I747" s="11" t="n">
        <v>0</v>
      </c>
      <c r="J747" s="8" t="inlineStr">
        <is>
          <t>2026-04-05T21:43:21+09:00</t>
        </is>
      </c>
      <c r="K747" s="14" t="inlineStr">
        <is>
          <t>★美車★1円～売切り★ヴォクシーZS★8人乗り★パワスラ ナビBカメラ 地デジTV Bluetooth★予備検査取得合格済み 車検2年付き即乗り可能★</t>
        </is>
      </c>
      <c r="L747" s="8" t="inlineStr">
        <is>
          <t>https://page.auctions.yahoo.co.jp/jp/auction/p1223830196</t>
        </is>
      </c>
    </row>
    <row r="748">
      <c r="A748" s="13" t="inlineStr">
        <is>
          <t>ヴォクシー</t>
        </is>
      </c>
      <c r="B748" s="13" t="n">
        <v>2008</v>
      </c>
      <c r="C748" s="13" t="inlineStr">
        <is>
          <t>70系</t>
        </is>
      </c>
      <c r="D748" s="15" t="n">
        <v>157000</v>
      </c>
      <c r="E748" s="13" t="n">
        <v>63</v>
      </c>
      <c r="F748" s="15" t="n">
        <v>177000</v>
      </c>
      <c r="G748" s="13" t="inlineStr">
        <is>
          <t>REAL_MILEAGE</t>
        </is>
      </c>
      <c r="H748" s="13" t="n"/>
      <c r="I748" s="15" t="n">
        <v>0</v>
      </c>
      <c r="J748" s="13" t="inlineStr">
        <is>
          <t>2026-03-29T20:23:56+09:00</t>
        </is>
      </c>
      <c r="K748" s="14" t="inlineStr">
        <is>
          <t>【個人】トヨタヴォクシーZガソリン4WD</t>
        </is>
      </c>
      <c r="L748" s="13" t="inlineStr">
        <is>
          <t>https://page.auctions.yahoo.co.jp/jp/auction/n1223658853</t>
        </is>
      </c>
    </row>
    <row r="749">
      <c r="A749" s="8" t="inlineStr">
        <is>
          <t>ヴォクシー</t>
        </is>
      </c>
      <c r="B749" s="8" t="n">
        <v>2008</v>
      </c>
      <c r="C749" s="8" t="inlineStr">
        <is>
          <t>70系</t>
        </is>
      </c>
      <c r="D749" s="11" t="n">
        <v>200000</v>
      </c>
      <c r="E749" s="8" t="n">
        <v>26</v>
      </c>
      <c r="F749" s="11" t="n">
        <v>145000</v>
      </c>
      <c r="G749" s="8" t="inlineStr">
        <is>
          <t>REAL_MILEAGE</t>
        </is>
      </c>
      <c r="H749" s="8" t="inlineStr">
        <is>
          <t>NONE</t>
        </is>
      </c>
      <c r="I749" s="11" t="n">
        <v>0</v>
      </c>
      <c r="J749" s="8" t="inlineStr">
        <is>
          <t>2026-03-26T22:50:07+09:00</t>
        </is>
      </c>
      <c r="K749" s="14" t="inlineStr">
        <is>
          <t xml:space="preserve">トヨタ　ヴォクシー　ZS　車検 令和9年10月　左電動スライド　8人乗り　一週間のみ出品　　旅行に　仕事に　送迎に　お役に立ちます！　</t>
        </is>
      </c>
      <c r="L749" s="8" t="inlineStr">
        <is>
          <t>https://page.auctions.yahoo.co.jp/jp/auction/r1223623438</t>
        </is>
      </c>
    </row>
    <row r="750">
      <c r="A750" s="13" t="inlineStr">
        <is>
          <t>ヴォクシー</t>
        </is>
      </c>
      <c r="B750" s="13" t="n">
        <v>2007</v>
      </c>
      <c r="C750" s="13" t="inlineStr"/>
      <c r="D750" s="15" t="n">
        <v>150000</v>
      </c>
      <c r="E750" s="13" t="n">
        <v>11</v>
      </c>
      <c r="F750" s="15" t="n">
        <v>130000</v>
      </c>
      <c r="G750" s="13" t="inlineStr">
        <is>
          <t>REAL_MILEAGE</t>
        </is>
      </c>
      <c r="H750" s="13" t="inlineStr">
        <is>
          <t>NONE</t>
        </is>
      </c>
      <c r="I750" s="15" t="n">
        <v>92820</v>
      </c>
      <c r="J750" s="13" t="inlineStr">
        <is>
          <t>2026-07-13T18:38:02+09:00</t>
        </is>
      </c>
      <c r="K750" s="14" t="inlineStr">
        <is>
          <t>トヨタ ヴォクシー X グレード 4WD 年式平成 19年3月 車検が長い　令和10年3月まで</t>
        </is>
      </c>
      <c r="L750" s="13" t="inlineStr">
        <is>
          <t>https://page.auctions.yahoo.co.jp/jp/auction/s1236019614</t>
        </is>
      </c>
    </row>
    <row r="751">
      <c r="A751" s="8" t="inlineStr">
        <is>
          <t>ヴォクシー</t>
        </is>
      </c>
      <c r="B751" s="8" t="n">
        <v>2007</v>
      </c>
      <c r="C751" s="8" t="inlineStr">
        <is>
          <t>70系</t>
        </is>
      </c>
      <c r="D751" s="11" t="n">
        <v>198000</v>
      </c>
      <c r="E751" s="8" t="n">
        <v>26</v>
      </c>
      <c r="F751" s="11" t="n">
        <v>110800</v>
      </c>
      <c r="G751" s="8" t="inlineStr">
        <is>
          <t>REAL_MILEAGE</t>
        </is>
      </c>
      <c r="H751" s="8" t="inlineStr">
        <is>
          <t>NONE</t>
        </is>
      </c>
      <c r="I751" s="11" t="n">
        <v>0</v>
      </c>
      <c r="J751" s="8" t="inlineStr">
        <is>
          <t>2026-06-07T22:21:27+09:00</t>
        </is>
      </c>
      <c r="K751" s="14" t="inlineStr">
        <is>
          <t xml:space="preserve">ヴォクシー　ZRR70G　検査9年5月まで　</t>
        </is>
      </c>
      <c r="L751" s="8" t="inlineStr">
        <is>
          <t>https://page.auctions.yahoo.co.jp/jp/auction/c1228897454</t>
        </is>
      </c>
    </row>
    <row r="752">
      <c r="A752" s="13" t="inlineStr">
        <is>
          <t>ヴォクシー</t>
        </is>
      </c>
      <c r="B752" s="13" t="n">
        <v>2007</v>
      </c>
      <c r="C752" s="13" t="inlineStr">
        <is>
          <t>70系</t>
        </is>
      </c>
      <c r="D752" s="15" t="n">
        <v>522000</v>
      </c>
      <c r="E752" s="13" t="n">
        <v>36</v>
      </c>
      <c r="F752" s="15" t="n">
        <v>110503</v>
      </c>
      <c r="G752" s="13" t="inlineStr">
        <is>
          <t>REAL_MILEAGE</t>
        </is>
      </c>
      <c r="H752" s="13" t="inlineStr">
        <is>
          <t>NONE</t>
        </is>
      </c>
      <c r="I752" s="15" t="n">
        <v>0</v>
      </c>
      <c r="J752" s="13" t="inlineStr">
        <is>
          <t>2026-05-28T21:08:00+09:00</t>
        </is>
      </c>
      <c r="K752" s="14" t="inlineStr">
        <is>
          <t>8ナンバーOK★トヨタ・ヴォクシー★福祉車両★全自動スローパー★車いす固定電動ウインチ★パワースライドドア★7人乗り★ナビ・地デジTV★</t>
        </is>
      </c>
      <c r="L752" s="13" t="inlineStr">
        <is>
          <t>https://page.auctions.yahoo.co.jp/jp/auction/q1229862226</t>
        </is>
      </c>
    </row>
    <row r="753">
      <c r="A753" s="8" t="inlineStr">
        <is>
          <t>ヴォクシー</t>
        </is>
      </c>
      <c r="B753" s="8" t="n">
        <v>2007</v>
      </c>
      <c r="C753" s="8" t="inlineStr">
        <is>
          <t>70系</t>
        </is>
      </c>
      <c r="D753" s="11" t="n">
        <v>350000</v>
      </c>
      <c r="E753" s="8" t="n">
        <v>1</v>
      </c>
      <c r="F753" s="11" t="n">
        <v>122440</v>
      </c>
      <c r="G753" s="8" t="inlineStr">
        <is>
          <t>REAL_MILEAGE</t>
        </is>
      </c>
      <c r="H753" s="8" t="inlineStr">
        <is>
          <t>NONE</t>
        </is>
      </c>
      <c r="I753" s="11" t="n">
        <v>0</v>
      </c>
      <c r="J753" s="8" t="inlineStr">
        <is>
          <t>2026-05-19T21:11:53+09:00</t>
        </is>
      </c>
      <c r="K753" s="14" t="inlineStr">
        <is>
          <t>トヨタ VOXY ヴォクシー 70 平成19年 12万キロ トランポ 5人乗り 水回り オルタネーター タイヤ 交換済み</t>
        </is>
      </c>
      <c r="L753" s="8" t="inlineStr">
        <is>
          <t>https://page.auctions.yahoo.co.jp/jp/auction/o1230228481</t>
        </is>
      </c>
    </row>
    <row r="754">
      <c r="A754" s="13" t="inlineStr">
        <is>
          <t>ヴォクシー</t>
        </is>
      </c>
      <c r="B754" s="13" t="n">
        <v>2007</v>
      </c>
      <c r="C754" s="13" t="inlineStr">
        <is>
          <t>70系</t>
        </is>
      </c>
      <c r="D754" s="15" t="n">
        <v>147000</v>
      </c>
      <c r="E754" s="13" t="n">
        <v>56</v>
      </c>
      <c r="F754" s="15" t="n">
        <v>178052</v>
      </c>
      <c r="G754" s="13" t="inlineStr">
        <is>
          <t>REAL_MILEAGE</t>
        </is>
      </c>
      <c r="H754" s="13" t="n"/>
      <c r="I754" s="15" t="n">
        <v>0</v>
      </c>
      <c r="J754" s="13" t="inlineStr">
        <is>
          <t>2026-04-19T22:18:20+09:00</t>
        </is>
      </c>
      <c r="K754" s="14" t="inlineStr">
        <is>
          <t>売り切り！1円スタート　今回のみ出品　トヨタ　ヴォクシー　8人乗り　社外ホイール　etcフルセグ車検あり乗って帰れます</t>
        </is>
      </c>
      <c r="L754" s="13" t="inlineStr">
        <is>
          <t>https://page.auctions.yahoo.co.jp/jp/auction/1226538221</t>
        </is>
      </c>
    </row>
    <row r="755">
      <c r="A755" s="8" t="inlineStr">
        <is>
          <t>ヴォクシー</t>
        </is>
      </c>
      <c r="B755" s="8" t="n">
        <v>2006</v>
      </c>
      <c r="C755" s="8" t="inlineStr"/>
      <c r="D755" s="11" t="n">
        <v>198000</v>
      </c>
      <c r="E755" s="8" t="n">
        <v>1</v>
      </c>
      <c r="F755" s="11" t="n">
        <v>135000</v>
      </c>
      <c r="G755" s="8" t="inlineStr">
        <is>
          <t>REAL_MILEAGE</t>
        </is>
      </c>
      <c r="H755" s="8" t="inlineStr">
        <is>
          <t>NONE</t>
        </is>
      </c>
      <c r="I755" s="11" t="n">
        <v>0</v>
      </c>
      <c r="J755" s="8" t="inlineStr">
        <is>
          <t>2026-03-23T23:55:44+09:00</t>
        </is>
      </c>
      <c r="K755" s="14" t="inlineStr">
        <is>
          <t>ヴォクシー 2.0 Z 煌 エアコン　パワステ　パワーウインドウ　エ</t>
        </is>
      </c>
      <c r="L755" s="8" t="inlineStr">
        <is>
          <t>https://page.auctions.yahoo.co.jp/jp/auction/s1209721898</t>
        </is>
      </c>
    </row>
    <row r="756">
      <c r="A756" s="13" t="inlineStr">
        <is>
          <t>ヴォクシー</t>
        </is>
      </c>
      <c r="B756" s="13" t="n">
        <v>2006</v>
      </c>
      <c r="C756" s="13" t="inlineStr"/>
      <c r="D756" s="15" t="n">
        <v>153000</v>
      </c>
      <c r="E756" s="13" t="n">
        <v>52</v>
      </c>
      <c r="F756" s="15" t="n">
        <v>137329</v>
      </c>
      <c r="G756" s="13" t="inlineStr">
        <is>
          <t>REAL_MILEAGE</t>
        </is>
      </c>
      <c r="H756" s="13" t="n"/>
      <c r="I756" s="15" t="n">
        <v>0</v>
      </c>
      <c r="J756" s="13" t="inlineStr">
        <is>
          <t>2026-03-08T20:59:33+09:00</t>
        </is>
      </c>
      <c r="K756" s="14" t="inlineStr">
        <is>
          <t>ヴォクシー☆トヨタ☆AZR60☆　平成18年　８人乗り　スライドドア　ETC 掃除済み　埼玉　1729</t>
        </is>
      </c>
      <c r="L756" s="13" t="inlineStr">
        <is>
          <t>https://page.auctions.yahoo.co.jp/jp/auction/u1220945648</t>
        </is>
      </c>
    </row>
    <row r="757">
      <c r="A757" s="8" t="inlineStr">
        <is>
          <t>ヴォクシー</t>
        </is>
      </c>
      <c r="B757" s="8" t="n">
        <v>2005</v>
      </c>
      <c r="C757" s="8" t="inlineStr"/>
      <c r="D757" s="11" t="n">
        <v>147000</v>
      </c>
      <c r="E757" s="8" t="n">
        <v>4</v>
      </c>
      <c r="F757" s="11" t="n">
        <v>102432</v>
      </c>
      <c r="G757" s="8" t="inlineStr">
        <is>
          <t>REAL_MILEAGE</t>
        </is>
      </c>
      <c r="H757" s="8" t="inlineStr">
        <is>
          <t>NONE</t>
        </is>
      </c>
      <c r="I757" s="11" t="n">
        <v>0</v>
      </c>
      <c r="J757" s="8" t="inlineStr">
        <is>
          <t>2026-04-19T17:39:08+09:00</t>
        </is>
      </c>
      <c r="K757" s="14" t="inlineStr">
        <is>
          <t>再出品！！　値下げ！車検２月に取り立て！！　程度良好、格安ミニバンをお探しの方必見！！　平成17年式ヴォクシー・X 譲ります。</t>
        </is>
      </c>
      <c r="L757" s="8" t="inlineStr">
        <is>
          <t>https://page.auctions.yahoo.co.jp/jp/auction/r1226811072</t>
        </is>
      </c>
    </row>
    <row r="758">
      <c r="A758" s="13" t="inlineStr">
        <is>
          <t>ヴォクシー</t>
        </is>
      </c>
      <c r="B758" s="13" t="n">
        <v>2005</v>
      </c>
      <c r="C758" s="13" t="inlineStr"/>
      <c r="D758" s="15" t="n">
        <v>168700</v>
      </c>
      <c r="E758" s="13" t="n">
        <v>61</v>
      </c>
      <c r="F758" s="15" t="n">
        <v>137710</v>
      </c>
      <c r="G758" s="13" t="inlineStr">
        <is>
          <t>REAL_MILEAGE</t>
        </is>
      </c>
      <c r="H758" s="13" t="inlineStr">
        <is>
          <t>NONE</t>
        </is>
      </c>
      <c r="I758" s="15" t="n">
        <v>0</v>
      </c>
      <c r="J758" s="13" t="inlineStr">
        <is>
          <t>2026-04-04T23:37:12+09:00</t>
        </is>
      </c>
      <c r="K758" s="14" t="inlineStr">
        <is>
          <t xml:space="preserve">トヨタ ヴォクシー Z煌 後期型 8人乗り 車検残R8年8月乗って帰れます 両側パワースライドドア バックカメラ 後席天井モニタ ETC </t>
        </is>
      </c>
      <c r="L758" s="13" t="inlineStr">
        <is>
          <t>https://page.auctions.yahoo.co.jp/jp/auction/q1223732608</t>
        </is>
      </c>
    </row>
    <row r="759">
      <c r="A759" s="8" t="inlineStr">
        <is>
          <t>ヴォクシー</t>
        </is>
      </c>
      <c r="B759" s="8" t="n">
        <v>2004</v>
      </c>
      <c r="C759" s="8" t="inlineStr"/>
      <c r="D759" s="11" t="n">
        <v>154500</v>
      </c>
      <c r="E759" s="8" t="n">
        <v>28</v>
      </c>
      <c r="F759" s="11" t="n">
        <v>185641</v>
      </c>
      <c r="G759" s="8" t="inlineStr">
        <is>
          <t>REAL_MILEAGE</t>
        </is>
      </c>
      <c r="H759" s="8" t="n"/>
      <c r="I759" s="11" t="n">
        <v>0</v>
      </c>
      <c r="J759" s="8" t="inlineStr">
        <is>
          <t>2026-03-18T04:02:38+09:00</t>
        </is>
      </c>
      <c r="K759" s="14" t="inlineStr">
        <is>
          <t>1円スタート 60 ヴォクシー ノア 車検有り 3列シート 8人乗り 車検令和9年6月26まで 走行距離185,641km 乗って帰れます♪</t>
        </is>
      </c>
      <c r="L759" s="8" t="inlineStr">
        <is>
          <t>https://page.auctions.yahoo.co.jp/jp/auction/j1221607832</t>
        </is>
      </c>
    </row>
    <row r="760">
      <c r="A760" s="13" t="inlineStr">
        <is>
          <t>ヴォクシー</t>
        </is>
      </c>
      <c r="B760" s="13" t="n">
        <v>2002</v>
      </c>
      <c r="C760" s="13" t="inlineStr"/>
      <c r="D760" s="15" t="n">
        <v>440000</v>
      </c>
      <c r="E760" s="13" t="n">
        <v>1</v>
      </c>
      <c r="F760" s="15" t="n">
        <v>140000</v>
      </c>
      <c r="G760" s="13" t="inlineStr">
        <is>
          <t>REAL_MILEAGE</t>
        </is>
      </c>
      <c r="H760" s="13" t="inlineStr">
        <is>
          <t>NONE</t>
        </is>
      </c>
      <c r="I760" s="15" t="n">
        <v>0</v>
      </c>
      <c r="J760" s="13" t="inlineStr">
        <is>
          <t>2026-04-02T17:34:30+09:00</t>
        </is>
      </c>
      <c r="K760" s="14" t="inlineStr">
        <is>
          <t>ヴォクシー80</t>
        </is>
      </c>
      <c r="L760" s="13" t="inlineStr">
        <is>
          <t>https://page.auctions.yahoo.co.jp/jp/auction/b1225108459</t>
        </is>
      </c>
    </row>
    <row r="761">
      <c r="A761" s="8" t="inlineStr">
        <is>
          <t>ヴォクシー</t>
        </is>
      </c>
      <c r="B761" s="8" t="n"/>
      <c r="C761" s="8" t="inlineStr"/>
      <c r="D761" s="11" t="n">
        <v>140000</v>
      </c>
      <c r="E761" s="8" t="n">
        <v>49</v>
      </c>
      <c r="F761" s="11" t="n"/>
      <c r="G761" s="8" t="n"/>
      <c r="H761" s="8" t="n"/>
      <c r="I761" s="11" t="n"/>
      <c r="J761" s="8" t="inlineStr">
        <is>
          <t>2026-08-13T22:20:26+09:00</t>
        </is>
      </c>
      <c r="K761" s="14" t="inlineStr">
        <is>
          <t>福島発!! 完全売切!! 車検付!! トヨタ ヴォクシー ボクシー ZS 70 ZRR70W パール ナビ フリップダウン 現状車 全てコミコミ ノア セレナ</t>
        </is>
      </c>
      <c r="L761" s="8" t="inlineStr">
        <is>
          <t>https://page.auctions.yahoo.co.jp/jp/auction/v1238991584</t>
        </is>
      </c>
    </row>
    <row r="762">
      <c r="A762" s="13" t="inlineStr">
        <is>
          <t>ヴォクシー</t>
        </is>
      </c>
      <c r="B762" s="13" t="n"/>
      <c r="C762" s="13" t="inlineStr"/>
      <c r="D762" s="15" t="n">
        <v>703000</v>
      </c>
      <c r="E762" s="13" t="n">
        <v>183</v>
      </c>
      <c r="F762" s="15" t="n"/>
      <c r="G762" s="13" t="n"/>
      <c r="H762" s="13" t="n"/>
      <c r="I762" s="15" t="n"/>
      <c r="J762" s="13" t="inlineStr">
        <is>
          <t>2026-07-18T22:40:37+09:00</t>
        </is>
      </c>
      <c r="K762" s="14" t="inlineStr">
        <is>
          <t>【売り切り！】平成26年 ヴォクシー ハイブリッド X 7人乗り｜車検2年付き｜すぐ乗れます！</t>
        </is>
      </c>
      <c r="L762" s="13" t="inlineStr">
        <is>
          <t>https://page.auctions.yahoo.co.jp/jp/auction/n1236397413</t>
        </is>
      </c>
    </row>
    <row r="763">
      <c r="A763" s="8" t="inlineStr">
        <is>
          <t>ヴォクシー</t>
        </is>
      </c>
      <c r="B763" s="8" t="n"/>
      <c r="C763" s="8" t="inlineStr"/>
      <c r="D763" s="11" t="n">
        <v>135000</v>
      </c>
      <c r="E763" s="8" t="n">
        <v>52</v>
      </c>
      <c r="F763" s="11" t="n"/>
      <c r="G763" s="8" t="n"/>
      <c r="H763" s="8" t="n"/>
      <c r="I763" s="11" t="n"/>
      <c r="J763" s="8" t="inlineStr">
        <is>
          <t>2026-07-18T21:49:37+09:00</t>
        </is>
      </c>
      <c r="K763" s="14" t="inlineStr">
        <is>
          <t>超超超訳あり！！格安出品、売り切り！維持費格安！ZSですが4ナンバー登録！7/14まで検査有り！</t>
        </is>
      </c>
      <c r="L763" s="8" t="inlineStr">
        <is>
          <t>https://page.auctions.yahoo.co.jp/jp/auction/l1236369154</t>
        </is>
      </c>
    </row>
    <row r="764">
      <c r="A764" s="13" t="inlineStr">
        <is>
          <t>ヴォクシー</t>
        </is>
      </c>
      <c r="B764" s="13" t="n"/>
      <c r="C764" s="13" t="inlineStr"/>
      <c r="D764" s="15" t="n">
        <v>621000</v>
      </c>
      <c r="E764" s="13" t="n">
        <v>197</v>
      </c>
      <c r="F764" s="15" t="n"/>
      <c r="G764" s="13" t="n"/>
      <c r="H764" s="13" t="n"/>
      <c r="I764" s="15" t="n"/>
      <c r="J764" s="13" t="inlineStr">
        <is>
          <t>2026-07-13T21:31:35+09:00</t>
        </is>
      </c>
      <c r="K764" s="14" t="inlineStr">
        <is>
          <t>ハイブリッドＶ　車検９年３月　９インチ大画面ナビ　両側パワスラ　クルーズコントロール　シートヒーター　Ｗエアコン　ドラレコ</t>
        </is>
      </c>
      <c r="L764" s="13" t="inlineStr">
        <is>
          <t>https://page.auctions.yahoo.co.jp/jp/auction/u1236146364</t>
        </is>
      </c>
    </row>
    <row r="765">
      <c r="A765" s="8" t="inlineStr">
        <is>
          <t>ヴォクシー</t>
        </is>
      </c>
      <c r="B765" s="8" t="n"/>
      <c r="C765" s="8" t="inlineStr"/>
      <c r="D765" s="11" t="n">
        <v>801000</v>
      </c>
      <c r="E765" s="8" t="n">
        <v>108</v>
      </c>
      <c r="F765" s="11" t="n"/>
      <c r="G765" s="8" t="n"/>
      <c r="H765" s="8" t="n"/>
      <c r="I765" s="11" t="n"/>
      <c r="J765" s="8" t="inlineStr">
        <is>
          <t>2026-06-07T21:22:53+09:00</t>
        </is>
      </c>
      <c r="K765" s="14" t="inlineStr">
        <is>
          <t>本車検R10/5迄満タン☆ZS☆両側パワースライド【純正10インチナビ/フルセグ/Bモニター/アイドリングストップ/ETC】LED/アルミ</t>
        </is>
      </c>
      <c r="L765" s="8" t="inlineStr">
        <is>
          <t>https://page.auctions.yahoo.co.jp/jp/auction/d1231403990</t>
        </is>
      </c>
    </row>
    <row r="766">
      <c r="A766" s="13" t="inlineStr">
        <is>
          <t>ヴォクシー</t>
        </is>
      </c>
      <c r="B766" s="13" t="n"/>
      <c r="C766" s="13" t="inlineStr"/>
      <c r="D766" s="15" t="n">
        <v>698000</v>
      </c>
      <c r="E766" s="13" t="n">
        <v>52</v>
      </c>
      <c r="F766" s="15" t="n"/>
      <c r="G766" s="13" t="n"/>
      <c r="H766" s="13" t="n"/>
      <c r="I766" s="15" t="n"/>
      <c r="J766" s="13" t="inlineStr">
        <is>
          <t>2026-05-20T21:12:08+09:00</t>
        </is>
      </c>
      <c r="K766" s="14" t="inlineStr">
        <is>
          <t xml:space="preserve">ハイブリッドＶ　車検１０年５月　ナビ　Ｂカメラ　ＥＴＣ　パワースライド　クルコン　シートヒーター　前後ドラレコ　Ｗエアコン　</t>
        </is>
      </c>
      <c r="L766" s="13" t="inlineStr">
        <is>
          <t>https://page.auctions.yahoo.co.jp/jp/auction/o1228200508</t>
        </is>
      </c>
    </row>
    <row r="767">
      <c r="A767" s="8" t="inlineStr">
        <is>
          <t>ヴォクシー</t>
        </is>
      </c>
      <c r="B767" s="8" t="n"/>
      <c r="C767" s="8" t="inlineStr"/>
      <c r="D767" s="11" t="n">
        <v>571000</v>
      </c>
      <c r="E767" s="8" t="n">
        <v>46</v>
      </c>
      <c r="F767" s="11" t="n"/>
      <c r="G767" s="8" t="n"/>
      <c r="H767" s="8" t="n"/>
      <c r="I767" s="11" t="n"/>
      <c r="J767" s="8" t="inlineStr">
        <is>
          <t>2026-05-16T20:52:08+09:00</t>
        </is>
      </c>
      <c r="K767" s="14" t="inlineStr">
        <is>
          <t>ハイブリッドＶ　車検９年９月　修復なし　フリップダウンモニター　両側パワスラ　純正ナビ　Ｂカメラ　ＥＴＣ　ダブルエアコン　クルコン</t>
        </is>
      </c>
      <c r="L767" s="8" t="inlineStr">
        <is>
          <t>https://page.auctions.yahoo.co.jp/jp/auction/m1229310612</t>
        </is>
      </c>
    </row>
    <row r="768">
      <c r="A768" s="13" t="inlineStr">
        <is>
          <t>ヴォクシー</t>
        </is>
      </c>
      <c r="B768" s="13" t="n"/>
      <c r="C768" s="13" t="inlineStr"/>
      <c r="D768" s="15" t="n">
        <v>702000</v>
      </c>
      <c r="E768" s="13" t="n">
        <v>97</v>
      </c>
      <c r="F768" s="15" t="n"/>
      <c r="G768" s="13" t="n"/>
      <c r="H768" s="13" t="n"/>
      <c r="I768" s="15" t="n"/>
      <c r="J768" s="13" t="inlineStr">
        <is>
          <t>2026-05-13T22:08:24+09:00</t>
        </is>
      </c>
      <c r="K768" s="14" t="inlineStr">
        <is>
          <t>『陸送30％off』車検満タン10/5☆Fダウンモニタ-☆ハイブリットX♪【両パワスラ/ナビ/フルセグ走行中視聴可/Bカメラ/スマ-トキ-/ETC/LED】</t>
        </is>
      </c>
      <c r="L768" s="13" t="inlineStr">
        <is>
          <t>https://page.auctions.yahoo.co.jp/jp/auction/h1228665478</t>
        </is>
      </c>
    </row>
    <row r="769">
      <c r="A769" s="8" t="inlineStr">
        <is>
          <t>ヴォクシー</t>
        </is>
      </c>
      <c r="B769" s="8" t="n"/>
      <c r="C769" s="8" t="inlineStr"/>
      <c r="D769" s="11" t="n">
        <v>677000</v>
      </c>
      <c r="E769" s="8" t="n">
        <v>118</v>
      </c>
      <c r="F769" s="11" t="n"/>
      <c r="G769" s="8" t="n"/>
      <c r="H769" s="8" t="n"/>
      <c r="I769" s="11" t="n"/>
      <c r="J769" s="8" t="inlineStr">
        <is>
          <t>2026-05-05T22:26:18+09:00</t>
        </is>
      </c>
      <c r="K769" s="14" t="inlineStr">
        <is>
          <t xml:space="preserve">モデリスタ　ハイブリッドＶ　車検１０年５月　修復なし　フリップダウンモニター　ナビ　Ｂカメラ　ＥＴＣ　シートヒーター　クルコン　</t>
        </is>
      </c>
      <c r="L769" s="8" t="inlineStr">
        <is>
          <t>https://page.auctions.yahoo.co.jp/jp/auction/u1227775008</t>
        </is>
      </c>
    </row>
    <row r="770">
      <c r="A770" s="13" t="inlineStr">
        <is>
          <t>ヴォクシー</t>
        </is>
      </c>
      <c r="B770" s="13" t="n"/>
      <c r="C770" s="13" t="inlineStr"/>
      <c r="D770" s="15" t="n">
        <v>260000</v>
      </c>
      <c r="E770" s="13" t="n">
        <v>30</v>
      </c>
      <c r="F770" s="15" t="n"/>
      <c r="G770" s="13" t="n"/>
      <c r="H770" s="13" t="n"/>
      <c r="I770" s="15" t="n"/>
      <c r="J770" s="13" t="inlineStr">
        <is>
          <t>2026-04-18T21:18:21+09:00</t>
        </is>
      </c>
      <c r="K770" s="14" t="inlineStr">
        <is>
          <t>トヨタ　ヴォクシー平成24年　8人乗り</t>
        </is>
      </c>
      <c r="L770" s="13" t="inlineStr">
        <is>
          <t>https://page.auctions.yahoo.co.jp/jp/auction/c1226289900</t>
        </is>
      </c>
    </row>
    <row r="771">
      <c r="A771" s="8" t="inlineStr">
        <is>
          <t>ヴォクシー</t>
        </is>
      </c>
      <c r="B771" s="8" t="n"/>
      <c r="C771" s="8" t="inlineStr"/>
      <c r="D771" s="11" t="n">
        <v>641000</v>
      </c>
      <c r="E771" s="8" t="n">
        <v>53</v>
      </c>
      <c r="F771" s="11" t="n"/>
      <c r="G771" s="8" t="n"/>
      <c r="H771" s="8" t="n"/>
      <c r="I771" s="11" t="n"/>
      <c r="J771" s="8" t="inlineStr">
        <is>
          <t>2026-04-12T21:22:57+09:00</t>
        </is>
      </c>
      <c r="K771" s="14" t="inlineStr">
        <is>
          <t xml:space="preserve">ハイブリッドＶ　車検１０年４月　両側パワースライドドア　ナビ　Ｂカメラ　ＥＴＣ　クルコン　シートヒーター　コーナーセンサー　</t>
        </is>
      </c>
      <c r="L771" s="8" t="inlineStr">
        <is>
          <t>https://page.auctions.yahoo.co.jp/jp/auction/b1225386942</t>
        </is>
      </c>
    </row>
    <row r="772">
      <c r="A772" s="13" t="inlineStr">
        <is>
          <t>ヴォクシー</t>
        </is>
      </c>
      <c r="B772" s="13" t="n"/>
      <c r="C772" s="13" t="inlineStr"/>
      <c r="D772" s="15" t="n">
        <v>350000</v>
      </c>
      <c r="E772" s="13" t="n">
        <v>22</v>
      </c>
      <c r="F772" s="15" t="n"/>
      <c r="G772" s="13" t="n"/>
      <c r="H772" s="13" t="n"/>
      <c r="I772" s="15" t="n"/>
      <c r="J772" s="13" t="inlineStr">
        <is>
          <t>2026-04-12T00:03:30+09:00</t>
        </is>
      </c>
      <c r="K772" s="14" t="inlineStr">
        <is>
          <t>ヴォクシー　 113000キロ　４WD</t>
        </is>
      </c>
      <c r="L772" s="13" t="inlineStr">
        <is>
          <t>https://page.auctions.yahoo.co.jp/jp/auction/e1223874169</t>
        </is>
      </c>
    </row>
    <row r="773">
      <c r="A773" s="8" t="inlineStr">
        <is>
          <t>ヴォクシー</t>
        </is>
      </c>
      <c r="B773" s="8" t="n"/>
      <c r="C773" s="8" t="inlineStr"/>
      <c r="D773" s="11" t="n">
        <v>651000</v>
      </c>
      <c r="E773" s="8" t="n">
        <v>34</v>
      </c>
      <c r="F773" s="11" t="n"/>
      <c r="G773" s="8" t="n"/>
      <c r="H773" s="8" t="n"/>
      <c r="I773" s="11" t="n"/>
      <c r="J773" s="8" t="inlineStr">
        <is>
          <t>2026-04-11T21:25:35+09:00</t>
        </is>
      </c>
      <c r="K773" s="14" t="inlineStr">
        <is>
          <t xml:space="preserve">ＨＶバッテリー交換済み　車検９年８月　１０インチナビ　エアロ　Ｂカメラ　シートヒーター　クルコン　両側パワスラ　修正なし　</t>
        </is>
      </c>
      <c r="L773" s="8" t="inlineStr">
        <is>
          <t>https://page.auctions.yahoo.co.jp/jp/auction/s1225253942</t>
        </is>
      </c>
    </row>
    <row r="774">
      <c r="A774" s="13" t="inlineStr">
        <is>
          <t>ヴォクシー</t>
        </is>
      </c>
      <c r="B774" s="13" t="n"/>
      <c r="C774" s="13" t="inlineStr"/>
      <c r="D774" s="15" t="n">
        <v>788000</v>
      </c>
      <c r="E774" s="13" t="n">
        <v>2</v>
      </c>
      <c r="F774" s="15" t="n"/>
      <c r="G774" s="13" t="n"/>
      <c r="H774" s="13" t="n"/>
      <c r="I774" s="15" t="n"/>
      <c r="J774" s="13" t="inlineStr">
        <is>
          <t>2026-03-27T10:59:50+09:00</t>
        </is>
      </c>
      <c r="K774" s="14" t="inlineStr">
        <is>
          <t>ハイブリッド　車検１０年４月　修復なし　両側パワースライドドア　ナビ　Ｂカメラ　ＥＴＣ　ステアスイッチ　ＬＥＤヘッドライト</t>
        </is>
      </c>
      <c r="L774" s="13" t="inlineStr">
        <is>
          <t>https://page.auctions.yahoo.co.jp/jp/auction/c1224204859</t>
        </is>
      </c>
    </row>
    <row r="775">
      <c r="A775" s="8" t="inlineStr">
        <is>
          <t>ヴォクシー</t>
        </is>
      </c>
      <c r="B775" s="8" t="n"/>
      <c r="C775" s="8" t="inlineStr"/>
      <c r="D775" s="11" t="n">
        <v>848000</v>
      </c>
      <c r="E775" s="8" t="n">
        <v>146</v>
      </c>
      <c r="F775" s="11" t="n"/>
      <c r="G775" s="8" t="n"/>
      <c r="H775" s="8" t="n"/>
      <c r="I775" s="11" t="n"/>
      <c r="J775" s="8" t="inlineStr">
        <is>
          <t>2026-03-18T21:03:22+09:00</t>
        </is>
      </c>
      <c r="K775" s="14" t="inlineStr">
        <is>
          <t>ハイブリッド　車検１０年３月　修復なし　フリップダウンモニター　両側パワースライド　純正ナビ　Ｂカメラ　ＥＴＣ　オートエアコン</t>
        </is>
      </c>
      <c r="L775" s="8" t="inlineStr">
        <is>
          <t>https://page.auctions.yahoo.co.jp/jp/auction/t1221873077</t>
        </is>
      </c>
    </row>
    <row r="776">
      <c r="A776" s="13" t="inlineStr">
        <is>
          <t>ヴォクシー</t>
        </is>
      </c>
      <c r="B776" s="13" t="n"/>
      <c r="C776" s="13" t="inlineStr"/>
      <c r="D776" s="15" t="n">
        <v>271000</v>
      </c>
      <c r="E776" s="13" t="n">
        <v>40</v>
      </c>
      <c r="F776" s="15" t="n"/>
      <c r="G776" s="13" t="n"/>
      <c r="H776" s="13" t="n"/>
      <c r="I776" s="15" t="n"/>
      <c r="J776" s="13" t="inlineStr">
        <is>
          <t>2026-03-14T20:16:23+09:00</t>
        </is>
      </c>
      <c r="K776" s="14" t="inlineStr">
        <is>
          <t>乗って帰れます！約10.3万km TOYOTA ヴォクシー X Lエディション 諸費用込 埼玉から 個人出品　検) VOXY ノア ボクシー ミニバン</t>
        </is>
      </c>
      <c r="L776" s="13" t="inlineStr">
        <is>
          <t>https://page.auctions.yahoo.co.jp/jp/auction/w1222192015</t>
        </is>
      </c>
    </row>
    <row r="777">
      <c r="A777" s="8" t="inlineStr">
        <is>
          <t>ヴォクシー</t>
        </is>
      </c>
      <c r="B777" s="8" t="n"/>
      <c r="C777" s="8" t="inlineStr"/>
      <c r="D777" s="11" t="n">
        <v>798000</v>
      </c>
      <c r="E777" s="8" t="n">
        <v>90</v>
      </c>
      <c r="F777" s="11" t="n"/>
      <c r="G777" s="8" t="n"/>
      <c r="H777" s="8" t="n"/>
      <c r="I777" s="11" t="n"/>
      <c r="J777" s="8" t="inlineStr">
        <is>
          <t>2026-02-24T21:03:35+09:00</t>
        </is>
      </c>
      <c r="K777" s="14" t="inlineStr">
        <is>
          <t>ハイブリッドＶ　車検９年１０月　９インチナビ　Ｂカメラ　両側パワスラ　シートヒーター　クルコン　Ｗエアコン　リモコンスターター</t>
        </is>
      </c>
      <c r="L777" s="8" t="inlineStr">
        <is>
          <t>https://page.auctions.yahoo.co.jp/jp/auction/s1220083463</t>
        </is>
      </c>
    </row>
  </sheetData>
  <autoFilter ref="A1:L77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2026-08-22T02:06:14Z</dcterms:created>
  <dcterms:modified xmlns:dcterms="http://purl.org/dc/terms/" xmlns:xsi="http://www.w3.org/2001/XMLSchema-instance" xsi:type="dcterms:W3CDTF">2026-08-22T02:06:15Z</dcterms:modified>
</cp:coreProperties>
</file>