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年式比較" sheetId="2" state="visible" r:id="rId2"/>
    <sheet xmlns:r="http://schemas.openxmlformats.org/officeDocument/2006/relationships" name="グラフ_価格と走行" sheetId="3" state="visible" r:id="rId3"/>
    <sheet xmlns:r="http://schemas.openxmlformats.org/officeDocument/2006/relationships" name="候補_4WD" sheetId="4" state="visible" r:id="rId4"/>
    <sheet xmlns:r="http://schemas.openxmlformats.org/officeDocument/2006/relationships" name="他の駆動方式_2WD" sheetId="5" state="visible" r:id="rId5"/>
    <sheet xmlns:r="http://schemas.openxmlformats.org/officeDocument/2006/relationships" name="年間維持費" sheetId="6" state="visible" r:id="rId6"/>
    <sheet xmlns:r="http://schemas.openxmlformats.org/officeDocument/2006/relationships" name="ヤフオク落札" sheetId="7" state="visible" r:id="rId7"/>
    <sheet xmlns:r="http://schemas.openxmlformats.org/officeDocument/2006/relationships" name="年式別相場" sheetId="8" state="visible" r:id="rId8"/>
    <sheet xmlns:r="http://schemas.openxmlformats.org/officeDocument/2006/relationships" name="壊れやすい点" sheetId="9" state="visible" r:id="rId9"/>
    <sheet xmlns:r="http://schemas.openxmlformats.org/officeDocument/2006/relationships" name="リコール" sheetId="10" state="visible" r:id="rId10"/>
    <sheet xmlns:r="http://schemas.openxmlformats.org/officeDocument/2006/relationships" name="口コミ" sheetId="11" state="visible" r:id="rId11"/>
    <sheet xmlns:r="http://schemas.openxmlformats.org/officeDocument/2006/relationships" name="口コミ_明細" sheetId="12" state="visible" r:id="rId12"/>
  </sheets>
  <definedNames>
    <definedName name="_xlnm._FilterDatabase" localSheetId="3" hidden="1">'候補_4WD'!$A$1:$M$413</definedName>
    <definedName name="_xlnm._FilterDatabase" localSheetId="4" hidden="1">'他の駆動方式_2WD'!$A$1:$M$665</definedName>
    <definedName name="_xlnm._FilterDatabase" localSheetId="5" hidden="1">'年間維持費'!$A$1:$O$9</definedName>
    <definedName name="_xlnm._FilterDatabase" localSheetId="6" hidden="1">'ヤフオク落札'!$A$1:$I$2</definedName>
    <definedName name="_xlnm._FilterDatabase" localSheetId="7" hidden="1">'年式別相場'!$A$1:$G$9</definedName>
    <definedName name="_xlnm._FilterDatabase" localSheetId="8" hidden="1">'壊れやすい点'!$A$1:$G$12</definedName>
    <definedName name="_xlnm._FilterDatabase" localSheetId="9" hidden="1">'リコール'!$A$1:$J$10</definedName>
    <definedName name="_xlnm._FilterDatabase" localSheetId="10" hidden="1">'口コミ'!$A$1:$I$2</definedName>
    <definedName name="_xlnm._FilterDatabase" localSheetId="11" hidden="1">'口コミ_明細'!$A$1:$G$11</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5">
    <font>
      <name val="Calibri"/>
      <family val="2"/>
      <color theme="1"/>
      <sz val="11"/>
      <scheme val="minor"/>
    </font>
    <font>
      <b val="1"/>
      <sz val="14"/>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4" fillId="2" borderId="1" applyAlignment="1" pivotButton="0" quotePrefix="0" xfId="0">
      <alignment horizontal="center" vertical="center" wrapText="1"/>
    </xf>
    <xf numFmtId="1" fontId="0" fillId="0" borderId="1" pivotButton="0" quotePrefix="0" xfId="0"/>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1" fontId="0" fillId="3" borderId="1" pivotButton="0" quotePrefix="0" xfId="0"/>
    <xf numFmtId="0" fontId="0" fillId="3" borderId="1" pivotButton="0" quotePrefix="0" xfId="0"/>
    <xf numFmtId="166" fontId="0" fillId="3" borderId="1" pivotButton="0" quotePrefix="0" xfId="0"/>
    <xf numFmtId="164" fontId="0" fillId="3" borderId="1" pivotButton="0" quotePrefix="0" xfId="0"/>
    <xf numFmtId="165" fontId="0" fillId="3" borderId="1" pivotButton="0" quotePrefix="0" xfId="0"/>
    <xf numFmtId="0" fontId="0" fillId="0" borderId="1" applyAlignment="1" pivotButton="0" quotePrefix="0" xfId="0">
      <alignment vertical="top" wrapText="1"/>
    </xf>
    <xf numFmtId="166" fontId="0" fillId="0" borderId="1" pivotButton="0" quotePrefix="0" xfId="0"/>
    <xf numFmtId="3"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年式別の支払総額 中央値（4WD と 2WD）</a:t>
            </a:r>
          </a:p>
        </rich>
      </tx>
    </title>
    <plotArea>
      <barChart>
        <barDir val="col"/>
        <grouping val="clustered"/>
        <ser>
          <idx val="0"/>
          <order val="0"/>
          <tx>
            <strRef>
              <f>'年式比較'!G4</f>
            </strRef>
          </tx>
          <spPr>
            <a:ln xmlns:a="http://schemas.openxmlformats.org/drawingml/2006/main">
              <a:prstDash val="solid"/>
            </a:ln>
          </spPr>
          <cat>
            <numRef>
              <f>'年式比較'!$A$5:$A$12</f>
            </numRef>
          </cat>
          <val>
            <numRef>
              <f>'年式比較'!$G$5:$G$12</f>
            </numRef>
          </val>
        </ser>
        <ser>
          <idx val="1"/>
          <order val="1"/>
          <tx>
            <strRef>
              <f>'年式比較'!L4</f>
            </strRef>
          </tx>
          <spPr>
            <a:ln xmlns:a="http://schemas.openxmlformats.org/drawingml/2006/main">
              <a:prstDash val="solid"/>
            </a:ln>
          </spPr>
          <cat>
            <numRef>
              <f>'年式比較'!$A$5:$A$12</f>
            </numRef>
          </cat>
          <val>
            <numRef>
              <f>'年式比較'!$L$5:$L$12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年式別の価格帯（万円）</a:t>
            </a:r>
          </a:p>
        </rich>
      </tx>
    </title>
    <plotArea>
      <barChart>
        <barDir val="bar"/>
        <grouping val="clustered"/>
        <ser>
          <idx val="0"/>
          <order val="0"/>
          <tx>
            <strRef>
              <f>'グラフ_価格と走行'!D4</f>
            </strRef>
          </tx>
          <spPr>
            <a:ln xmlns:a="http://schemas.openxmlformats.org/drawingml/2006/main">
              <a:prstDash val="solid"/>
            </a:ln>
          </spPr>
          <cat>
            <numRef>
              <f>'グラフ_価格と走行'!$B$5:$B$20</f>
            </numRef>
          </cat>
          <val>
            <numRef>
              <f>'グラフ_価格と走行'!$D$5:$D$20</f>
            </numRef>
          </val>
        </ser>
        <ser>
          <idx val="1"/>
          <order val="1"/>
          <tx>
            <strRef>
              <f>'グラフ_価格と走行'!E4</f>
            </strRef>
          </tx>
          <spPr>
            <a:ln xmlns:a="http://schemas.openxmlformats.org/drawingml/2006/main">
              <a:prstDash val="solid"/>
            </a:ln>
          </spPr>
          <cat>
            <numRef>
              <f>'グラフ_価格と走行'!$B$5:$B$20</f>
            </numRef>
          </cat>
          <val>
            <numRef>
              <f>'グラフ_価格と走行'!$E$5:$E$20</f>
            </numRef>
          </val>
        </ser>
        <ser>
          <idx val="2"/>
          <order val="2"/>
          <tx>
            <strRef>
              <f>'グラフ_価格と走行'!F4</f>
            </strRef>
          </tx>
          <spPr>
            <a:ln xmlns:a="http://schemas.openxmlformats.org/drawingml/2006/main">
              <a:prstDash val="solid"/>
            </a:ln>
          </spPr>
          <cat>
            <numRef>
              <f>'グラフ_価格と走行'!$B$5:$B$20</f>
            </numRef>
          </cat>
          <val>
            <numRef>
              <f>'グラフ_価格と走行'!$F$5:$F$20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14</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4" customWidth="1" min="1" max="1"/>
    <col width="104" customWidth="1" min="2" max="2"/>
  </cols>
  <sheetData>
    <row r="1">
      <c r="A1" s="1" t="inlineStr">
        <is>
          <t>マツダ CX-8 4WD（2017〜2024年式）を探す</t>
        </is>
      </c>
    </row>
    <row r="3">
      <c r="A3" t="inlineStr">
        <is>
          <t>生成日時</t>
        </is>
      </c>
      <c r="B3" s="2" t="inlineStr">
        <is>
          <t>2026-10-26 18:18</t>
        </is>
      </c>
    </row>
    <row r="4">
      <c r="A4" t="inlineStr">
        <is>
          <t>対象</t>
        </is>
      </c>
      <c r="B4" s="2" t="inlineStr">
        <is>
          <t>2017〜2024年式 / 4WD / 全国</t>
        </is>
      </c>
    </row>
    <row r="5">
      <c r="A5" t="inlineStr">
        <is>
          <t>狙い</t>
        </is>
      </c>
      <c r="B5" s="2" t="inlineStr">
        <is>
          <t>412台（109〜446万円 / 走行 0.8〜14.3万km）</t>
        </is>
      </c>
    </row>
    <row r="6">
      <c r="A6" t="inlineStr">
        <is>
          <t>比較対象（2WD）</t>
        </is>
      </c>
      <c r="B6" s="2" t="inlineStr">
        <is>
          <t>664台</t>
        </is>
      </c>
    </row>
    <row r="7">
      <c r="A7" t="inlineStr">
        <is>
          <t>排気量</t>
        </is>
      </c>
      <c r="B7" s="2" t="inlineStr">
        <is>
          <t>2.2L（自動車税・重量税・燃費はこれで決まる）</t>
        </is>
      </c>
    </row>
    <row r="8">
      <c r="A8" t="inlineStr"/>
      <c r="B8" s="2" t="inlineStr"/>
    </row>
    <row r="9">
      <c r="A9" s="1" t="inlineStr">
        <is>
          <t>■ シート</t>
        </is>
      </c>
      <c r="B9" s="2" t="inlineStr"/>
    </row>
    <row r="10">
      <c r="A10" t="inlineStr">
        <is>
          <t>年式比較</t>
        </is>
      </c>
      <c r="B10" s="2" t="inlineStr">
        <is>
          <t>**まずここ。** 年式を1行にして全年式を横並びで比較する。台数・価格帯・走行距離・1年新しくするのに要る上乗せ額。</t>
        </is>
      </c>
    </row>
    <row r="11">
      <c r="A11" t="inlineStr">
        <is>
          <t>候補_4WD</t>
        </is>
      </c>
      <c r="B11" s="2" t="inlineStr">
        <is>
          <t>狙いの在庫を1台ずつ。状態スコア順。走行距離・修復歴・車検残・保証で採点している。</t>
        </is>
      </c>
    </row>
    <row r="12">
      <c r="A12" t="inlineStr">
        <is>
          <t>他の駆動方式_2WD</t>
        </is>
      </c>
      <c r="B12" s="2" t="inlineStr">
        <is>
          <t>同じ車種・同じ年式の 2WD。狙いの在庫が薄い年式で、そちらに回る価値があるかを見るための比較用。</t>
        </is>
      </c>
    </row>
    <row r="13">
      <c r="A13" t="inlineStr">
        <is>
          <t>グラフ_価格と走行</t>
        </is>
      </c>
      <c r="B13" s="2" t="inlineStr">
        <is>
          <t>年式ごとの価格帯と走行距離。比較区分との差も並べてある。</t>
        </is>
      </c>
    </row>
    <row r="14">
      <c r="A14" t="inlineStr">
        <is>
          <t>年間維持費</t>
        </is>
      </c>
      <c r="B14" s="2" t="inlineStr">
        <is>
          <t>税・保険・車検・燃料・整備予備費の年額。</t>
        </is>
      </c>
    </row>
    <row r="15">
      <c r="A15" t="inlineStr">
        <is>
          <t>ヤフオク落札</t>
        </is>
      </c>
      <c r="B15" s="2" t="inlineStr">
        <is>
          <t>過去180日の落札実績。**この価格帯の車はほとんど出てこない**ので件数は期待できない。</t>
        </is>
      </c>
    </row>
    <row r="16">
      <c r="A16" t="inlineStr">
        <is>
          <t>年式別相場</t>
        </is>
      </c>
      <c r="B16" s="2" t="inlineStr">
        <is>
          <t>カーセンサー掲載の年式別価格分布（全グレード込み）。</t>
        </is>
      </c>
    </row>
    <row r="17">
      <c r="A17" t="inlineStr">
        <is>
          <t>壊れやすい点</t>
        </is>
      </c>
      <c r="B17" s="2" t="inlineStr">
        <is>
          <t>国交省の不具合通報を装置別に。発生時の走行距離つき。</t>
        </is>
      </c>
    </row>
    <row r="18">
      <c r="A18" t="inlineStr">
        <is>
          <t>リコール</t>
        </is>
      </c>
      <c r="B18" s="2" t="inlineStr">
        <is>
          <t>国交省リコール届出。**対象の通称名**の列を見て、自分のグレードが入っているか確認する。リコールはメーカー負担の無償修理なので費用はかからないが、未対策のまま流通していることがあるので購入前に販売店に聞くこと。</t>
        </is>
      </c>
    </row>
    <row r="19">
      <c r="A19" t="inlineStr">
        <is>
          <t>口コミ</t>
        </is>
      </c>
      <c r="B19" s="2" t="inlineStr">
        <is>
          <t>みんカラのレビュー集計と個票。</t>
        </is>
      </c>
    </row>
    <row r="20">
      <c r="A20" t="inlineStr"/>
      <c r="B20" s="2" t="inlineStr"/>
    </row>
    <row r="21">
      <c r="A21" s="1" t="inlineStr">
        <is>
          <t>■ 絞り込みの方法</t>
        </is>
      </c>
      <c r="B21" s="2" t="inlineStr"/>
    </row>
    <row r="22">
      <c r="A22" t="inlineStr">
        <is>
          <t>やり方</t>
        </is>
      </c>
      <c r="B22" s="2" t="inlineStr">
        <is>
          <t>カーセンサーの駆動方式フィルタ（KUDO）で 4WD と 2WD を別々に引き、どちらで取れたかを各行に残している。**検索側で絞っているので取りこぼしが無い。**</t>
        </is>
      </c>
    </row>
    <row r="23">
      <c r="A23" t="inlineStr">
        <is>
          <t>なぜタイトルで見ないか</t>
        </is>
      </c>
      <c r="B23" s="2" t="inlineStr">
        <is>
          <t>出品タイトルの「4WD」で数えると実数の93%しか拾えなかった（CX-8 の2018年式以降でタイトル判定 363台 / 公式フィルタ 391台）。販売店がタイトルに書いていないだけの4WDが7%ある。</t>
        </is>
      </c>
    </row>
    <row r="24">
      <c r="A24" t="inlineStr"/>
      <c r="B24" s="2" t="inlineStr"/>
    </row>
    <row r="25">
      <c r="A25" s="1" t="inlineStr">
        <is>
          <t>■ 数字の注意</t>
        </is>
      </c>
      <c r="B25" s="2" t="inlineStr"/>
    </row>
    <row r="26">
      <c r="A26" t="inlineStr">
        <is>
          <t>維持費</t>
        </is>
      </c>
      <c r="B26" s="2" t="inlineStr">
        <is>
          <t>税・自賠責は法定。任意保険60,000円・車検基本料60,000円/2年・整備30,000円・160円/L・駐車場0円を仮定。輸入車は部品代と工賃が国産より高いので、**整備費は多めに見ておくこと**。</t>
        </is>
      </c>
    </row>
    <row r="27">
      <c r="A27" t="inlineStr">
        <is>
          <t>走行距離</t>
        </is>
      </c>
      <c r="B27" s="2" t="inlineStr">
        <is>
          <t>在庫の走行距離中央値を車齢で割って年間走行としている。この価格帯は落札実績がほとんど無いので、落札側からは取れない。</t>
        </is>
      </c>
    </row>
    <row r="28">
      <c r="A28" t="inlineStr">
        <is>
          <t>整備予備費</t>
        </is>
      </c>
      <c r="B28" s="2" t="inlineStr">
        <is>
          <t>国交省の不具合情報にある「装置ごとの発生時走行距離」を保有5年で通過するかで見積もったもの。**通報件数から発生確率は出せない**ので、通過する装置の修理費を全部足して 0.5 を掛けている。この 0.5 は素の仮定。この車種の通報は全部で60件で、母数が小さいぶん装置の並びもぶれる。</t>
        </is>
      </c>
    </row>
    <row r="29">
      <c r="A29" t="inlineStr">
        <is>
          <t>値落ち</t>
        </is>
      </c>
      <c r="B29" s="2" t="inlineStr">
        <is>
          <t>この本には入れていない。年式ごとの落札実績が無く、掲載価格だけでは1年でいくら落ちるかを出せないため。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7" customWidth="1" min="3" max="3"/>
    <col width="8" customWidth="1" min="4" max="4"/>
    <col width="11" customWidth="1" min="5" max="5"/>
    <col width="11" customWidth="1" min="6" max="6"/>
    <col width="12" customWidth="1" min="7" max="7"/>
    <col width="11" customWidth="1" min="8" max="8"/>
    <col width="11" customWidth="1" min="9" max="9"/>
    <col width="12" customWidth="1" min="10" max="10"/>
    <col width="12" customWidth="1" min="11" max="11"/>
    <col width="14" customWidth="1" min="12" max="12"/>
    <col width="14" customWidth="1" min="13" max="13"/>
  </cols>
  <sheetData>
    <row r="1">
      <c r="A1" s="3" t="inlineStr">
        <is>
          <t>4WD の年式比較（全412台）</t>
        </is>
      </c>
    </row>
    <row r="2">
      <c r="A2" s="4" t="inlineStr">
        <is>
          <t>年式ごとの支払総額と在庫の厚み。`1年の差` は隣の年式との中央値の差で、1年新しくするのに要る上乗せ額。`2WDとの差` が小さい年式は、4WD を選ぶコストが安い年式。</t>
        </is>
      </c>
    </row>
    <row r="4">
      <c r="A4" s="5" t="inlineStr">
        <is>
          <t>年式</t>
        </is>
      </c>
      <c r="B4" s="5" t="inlineStr">
        <is>
          <t>和暦</t>
        </is>
      </c>
      <c r="C4" s="5" t="inlineStr">
        <is>
          <t>車齢</t>
        </is>
      </c>
      <c r="D4" s="5" t="inlineStr">
        <is>
          <t>台数</t>
        </is>
      </c>
      <c r="E4" s="5" t="inlineStr">
        <is>
          <t>最安
(万円)</t>
        </is>
      </c>
      <c r="F4" s="5" t="inlineStr">
        <is>
          <t>25%
(万円)</t>
        </is>
      </c>
      <c r="G4" s="5" t="inlineStr">
        <is>
          <t>中央値
(万円)</t>
        </is>
      </c>
      <c r="H4" s="5" t="inlineStr">
        <is>
          <t>75%
(万円)</t>
        </is>
      </c>
      <c r="I4" s="5" t="inlineStr">
        <is>
          <t>最高
(万円)</t>
        </is>
      </c>
      <c r="J4" s="5" t="inlineStr">
        <is>
          <t>走行中央
(万km)</t>
        </is>
      </c>
      <c r="K4" s="5" t="inlineStr">
        <is>
          <t>1年の差
(万円)</t>
        </is>
      </c>
      <c r="L4" s="5" t="inlineStr">
        <is>
          <t>2WD
中央値(万円)</t>
        </is>
      </c>
      <c r="M4" s="5" t="inlineStr">
        <is>
          <t>2WD
との差(万円)</t>
        </is>
      </c>
    </row>
    <row r="5">
      <c r="A5" s="6" t="n">
        <v>2017</v>
      </c>
      <c r="B5" s="7" t="inlineStr">
        <is>
          <t>H29</t>
        </is>
      </c>
      <c r="C5" s="6" t="n">
        <v>9</v>
      </c>
      <c r="D5" s="8" t="n">
        <v>20</v>
      </c>
      <c r="E5" s="9" t="n">
        <v>141</v>
      </c>
      <c r="F5" s="9" t="n">
        <v>173.8</v>
      </c>
      <c r="G5" s="9" t="n">
        <v>198.4</v>
      </c>
      <c r="H5" s="9" t="n">
        <v>219.9</v>
      </c>
      <c r="I5" s="9" t="n">
        <v>265.7</v>
      </c>
      <c r="J5" s="10" t="n">
        <v>7.5</v>
      </c>
      <c r="K5" s="9" t="n"/>
      <c r="L5" s="9" t="n">
        <v>174</v>
      </c>
      <c r="M5" s="9" t="n">
        <v>24.4</v>
      </c>
    </row>
    <row r="6">
      <c r="A6" s="6" t="n">
        <v>2018</v>
      </c>
      <c r="B6" s="7" t="inlineStr">
        <is>
          <t>H30</t>
        </is>
      </c>
      <c r="C6" s="6" t="n">
        <v>8</v>
      </c>
      <c r="D6" s="8" t="n">
        <v>126</v>
      </c>
      <c r="E6" s="9" t="n">
        <v>109.3</v>
      </c>
      <c r="F6" s="9" t="n">
        <v>179</v>
      </c>
      <c r="G6" s="9" t="n">
        <v>200.4</v>
      </c>
      <c r="H6" s="9" t="n">
        <v>229.9</v>
      </c>
      <c r="I6" s="9" t="n">
        <v>322.4</v>
      </c>
      <c r="J6" s="10" t="n">
        <v>6.7</v>
      </c>
      <c r="K6" s="9" t="n">
        <v>1.9</v>
      </c>
      <c r="L6" s="9" t="n">
        <v>192.4</v>
      </c>
      <c r="M6" s="9" t="n">
        <v>7.9</v>
      </c>
    </row>
    <row r="7">
      <c r="A7" s="6" t="n">
        <v>2019</v>
      </c>
      <c r="B7" s="7" t="inlineStr">
        <is>
          <t>R1</t>
        </is>
      </c>
      <c r="C7" s="6" t="n">
        <v>7</v>
      </c>
      <c r="D7" s="8" t="n">
        <v>49</v>
      </c>
      <c r="E7" s="9" t="n">
        <v>168.8</v>
      </c>
      <c r="F7" s="9" t="n">
        <v>219.8</v>
      </c>
      <c r="G7" s="9" t="n">
        <v>247.8</v>
      </c>
      <c r="H7" s="9" t="n">
        <v>260.6</v>
      </c>
      <c r="I7" s="9" t="n">
        <v>318.4</v>
      </c>
      <c r="J7" s="10" t="n">
        <v>6</v>
      </c>
      <c r="K7" s="9" t="n">
        <v>47.4</v>
      </c>
      <c r="L7" s="9" t="n">
        <v>227.9</v>
      </c>
      <c r="M7" s="9" t="n">
        <v>19.9</v>
      </c>
    </row>
    <row r="8">
      <c r="A8" s="6" t="n">
        <v>2020</v>
      </c>
      <c r="B8" s="7" t="inlineStr">
        <is>
          <t>R2</t>
        </is>
      </c>
      <c r="C8" s="6" t="n">
        <v>6</v>
      </c>
      <c r="D8" s="8" t="n">
        <v>43</v>
      </c>
      <c r="E8" s="9" t="n">
        <v>175</v>
      </c>
      <c r="F8" s="9" t="n">
        <v>238.8</v>
      </c>
      <c r="G8" s="9" t="n">
        <v>262.9</v>
      </c>
      <c r="H8" s="9" t="n">
        <v>284.2</v>
      </c>
      <c r="I8" s="9" t="n">
        <v>335</v>
      </c>
      <c r="J8" s="10" t="n">
        <v>4.9</v>
      </c>
      <c r="K8" s="9" t="n">
        <v>15.1</v>
      </c>
      <c r="L8" s="9" t="n">
        <v>244</v>
      </c>
      <c r="M8" s="9" t="n">
        <v>18.9</v>
      </c>
    </row>
    <row r="9">
      <c r="A9" s="6" t="n">
        <v>2021</v>
      </c>
      <c r="B9" s="7" t="inlineStr">
        <is>
          <t>R3</t>
        </is>
      </c>
      <c r="C9" s="6" t="n">
        <v>5</v>
      </c>
      <c r="D9" s="8" t="n">
        <v>49</v>
      </c>
      <c r="E9" s="9" t="n">
        <v>163</v>
      </c>
      <c r="F9" s="9" t="n">
        <v>262.9</v>
      </c>
      <c r="G9" s="9" t="n">
        <v>289.3</v>
      </c>
      <c r="H9" s="9" t="n">
        <v>311.2</v>
      </c>
      <c r="I9" s="9" t="n">
        <v>366.1</v>
      </c>
      <c r="J9" s="10" t="n">
        <v>4.4</v>
      </c>
      <c r="K9" s="9" t="n">
        <v>26.4</v>
      </c>
      <c r="L9" s="9" t="n">
        <v>268.8</v>
      </c>
      <c r="M9" s="9" t="n">
        <v>20.5</v>
      </c>
    </row>
    <row r="10">
      <c r="A10" s="6" t="n">
        <v>2022</v>
      </c>
      <c r="B10" s="7" t="inlineStr">
        <is>
          <t>R4</t>
        </is>
      </c>
      <c r="C10" s="6" t="n">
        <v>4</v>
      </c>
      <c r="D10" s="8" t="n">
        <v>42</v>
      </c>
      <c r="E10" s="9" t="n">
        <v>229.6</v>
      </c>
      <c r="F10" s="9" t="n">
        <v>290.8</v>
      </c>
      <c r="G10" s="9" t="n">
        <v>304.9</v>
      </c>
      <c r="H10" s="9" t="n">
        <v>331.7</v>
      </c>
      <c r="I10" s="9" t="n">
        <v>393.1</v>
      </c>
      <c r="J10" s="10" t="n">
        <v>3.9</v>
      </c>
      <c r="K10" s="9" t="n">
        <v>15.6</v>
      </c>
      <c r="L10" s="9" t="n">
        <v>287.4</v>
      </c>
      <c r="M10" s="9" t="n">
        <v>17.5</v>
      </c>
    </row>
    <row r="11">
      <c r="A11" s="6" t="n">
        <v>2023</v>
      </c>
      <c r="B11" s="7" t="inlineStr">
        <is>
          <t>R5</t>
        </is>
      </c>
      <c r="C11" s="6" t="n">
        <v>3</v>
      </c>
      <c r="D11" s="8" t="n">
        <v>78</v>
      </c>
      <c r="E11" s="9" t="n">
        <v>234.8</v>
      </c>
      <c r="F11" s="9" t="n">
        <v>338.9</v>
      </c>
      <c r="G11" s="9" t="n">
        <v>367.1</v>
      </c>
      <c r="H11" s="9" t="n">
        <v>389.9</v>
      </c>
      <c r="I11" s="9" t="n">
        <v>446.1</v>
      </c>
      <c r="J11" s="10" t="n">
        <v>3.4</v>
      </c>
      <c r="K11" s="9" t="n">
        <v>62.3</v>
      </c>
      <c r="L11" s="9" t="n">
        <v>335</v>
      </c>
      <c r="M11" s="9" t="n">
        <v>32.1</v>
      </c>
    </row>
    <row r="12">
      <c r="A12" s="6" t="n">
        <v>2024</v>
      </c>
      <c r="B12" s="7" t="inlineStr">
        <is>
          <t>R6</t>
        </is>
      </c>
      <c r="C12" s="6" t="n">
        <v>2</v>
      </c>
      <c r="D12" s="8" t="n">
        <v>5</v>
      </c>
      <c r="E12" s="9" t="n">
        <v>318.6</v>
      </c>
      <c r="F12" s="9" t="n">
        <v>338.9</v>
      </c>
      <c r="G12" s="9" t="n">
        <v>349</v>
      </c>
      <c r="H12" s="9" t="n">
        <v>374.2</v>
      </c>
      <c r="I12" s="9" t="n">
        <v>374.9</v>
      </c>
      <c r="J12" s="10" t="n">
        <v>2.2</v>
      </c>
      <c r="K12" s="9" t="n">
        <v>-18.1</v>
      </c>
      <c r="L12" s="9" t="n">
        <v>310.6</v>
      </c>
      <c r="M12" s="9" t="n">
        <v>38.4</v>
      </c>
    </row>
  </sheetData>
  <conditionalFormatting sqref="D5:D12">
    <cfRule type="colorScale" priority="1">
      <colorScale>
        <cfvo type="min"/>
        <cfvo type="percentile" val="50"/>
        <cfvo type="max"/>
        <color rgb="00F8696B"/>
        <color rgb="00FFEB84"/>
        <color rgb="0063BE7B"/>
      </colorScale>
    </cfRule>
  </conditionalFormatting>
  <conditionalFormatting sqref="G5:G12">
    <cfRule type="colorScale" priority="2">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s>
  <sheetData>
    <row r="1">
      <c r="A1" s="3" t="inlineStr">
        <is>
          <t>4WD の在庫（年式別）と他グレードとの差</t>
        </is>
      </c>
    </row>
    <row r="2">
      <c r="A2" s="4" t="inlineStr">
        <is>
          <t>狙いのグレードが何台あって、いくらで、どれだけ走っているか。他グレードとの価格差が大きければ、そちらも選択肢に入る。</t>
        </is>
      </c>
    </row>
    <row r="4">
      <c r="A4" s="5" t="inlineStr">
        <is>
          <t>区分</t>
        </is>
      </c>
      <c r="B4" s="5" t="inlineStr">
        <is>
          <t>年式</t>
        </is>
      </c>
      <c r="C4" s="5" t="inlineStr">
        <is>
          <t>台数</t>
        </is>
      </c>
      <c r="D4" s="5" t="inlineStr">
        <is>
          <t>最安(万円)</t>
        </is>
      </c>
      <c r="E4" s="5" t="inlineStr">
        <is>
          <t>中央値(万円)</t>
        </is>
      </c>
      <c r="F4" s="5" t="inlineStr">
        <is>
          <t>最高(万円)</t>
        </is>
      </c>
      <c r="G4" s="5" t="inlineStr">
        <is>
          <t>走行中央値(万km)</t>
        </is>
      </c>
    </row>
    <row r="5">
      <c r="A5" s="7" t="inlineStr">
        <is>
          <t>狙い: 4WD</t>
        </is>
      </c>
      <c r="B5" s="7" t="n">
        <v>2017</v>
      </c>
      <c r="C5" s="8" t="n">
        <v>20</v>
      </c>
      <c r="D5" s="9" t="n">
        <v>141</v>
      </c>
      <c r="E5" s="9" t="n">
        <v>198.4</v>
      </c>
      <c r="F5" s="9" t="n">
        <v>265.7</v>
      </c>
      <c r="G5" s="10" t="n">
        <v>7.5</v>
      </c>
    </row>
    <row r="6">
      <c r="A6" s="7" t="inlineStr">
        <is>
          <t>狙い: 4WD</t>
        </is>
      </c>
      <c r="B6" s="7" t="n">
        <v>2018</v>
      </c>
      <c r="C6" s="8" t="n">
        <v>126</v>
      </c>
      <c r="D6" s="9" t="n">
        <v>109.3</v>
      </c>
      <c r="E6" s="9" t="n">
        <v>200.4</v>
      </c>
      <c r="F6" s="9" t="n">
        <v>322.4</v>
      </c>
      <c r="G6" s="10" t="n">
        <v>6.7</v>
      </c>
    </row>
    <row r="7">
      <c r="A7" s="7" t="inlineStr">
        <is>
          <t>狙い: 4WD</t>
        </is>
      </c>
      <c r="B7" s="7" t="n">
        <v>2019</v>
      </c>
      <c r="C7" s="8" t="n">
        <v>49</v>
      </c>
      <c r="D7" s="9" t="n">
        <v>168.8</v>
      </c>
      <c r="E7" s="9" t="n">
        <v>247.8</v>
      </c>
      <c r="F7" s="9" t="n">
        <v>318.4</v>
      </c>
      <c r="G7" s="10" t="n">
        <v>6</v>
      </c>
    </row>
    <row r="8">
      <c r="A8" s="7" t="inlineStr">
        <is>
          <t>狙い: 4WD</t>
        </is>
      </c>
      <c r="B8" s="7" t="n">
        <v>2020</v>
      </c>
      <c r="C8" s="8" t="n">
        <v>43</v>
      </c>
      <c r="D8" s="9" t="n">
        <v>175</v>
      </c>
      <c r="E8" s="9" t="n">
        <v>262.9</v>
      </c>
      <c r="F8" s="9" t="n">
        <v>335</v>
      </c>
      <c r="G8" s="10" t="n">
        <v>4.9</v>
      </c>
    </row>
    <row r="9">
      <c r="A9" s="7" t="inlineStr">
        <is>
          <t>狙い: 4WD</t>
        </is>
      </c>
      <c r="B9" s="7" t="n">
        <v>2021</v>
      </c>
      <c r="C9" s="8" t="n">
        <v>49</v>
      </c>
      <c r="D9" s="9" t="n">
        <v>163</v>
      </c>
      <c r="E9" s="9" t="n">
        <v>289.3</v>
      </c>
      <c r="F9" s="9" t="n">
        <v>366.1</v>
      </c>
      <c r="G9" s="10" t="n">
        <v>4.4</v>
      </c>
    </row>
    <row r="10">
      <c r="A10" s="7" t="inlineStr">
        <is>
          <t>狙い: 4WD</t>
        </is>
      </c>
      <c r="B10" s="7" t="n">
        <v>2022</v>
      </c>
      <c r="C10" s="8" t="n">
        <v>42</v>
      </c>
      <c r="D10" s="9" t="n">
        <v>229.6</v>
      </c>
      <c r="E10" s="9" t="n">
        <v>304.9</v>
      </c>
      <c r="F10" s="9" t="n">
        <v>393.1</v>
      </c>
      <c r="G10" s="10" t="n">
        <v>3.9</v>
      </c>
    </row>
    <row r="11">
      <c r="A11" s="7" t="inlineStr">
        <is>
          <t>狙い: 4WD</t>
        </is>
      </c>
      <c r="B11" s="7" t="n">
        <v>2023</v>
      </c>
      <c r="C11" s="8" t="n">
        <v>78</v>
      </c>
      <c r="D11" s="9" t="n">
        <v>234.8</v>
      </c>
      <c r="E11" s="9" t="n">
        <v>367.1</v>
      </c>
      <c r="F11" s="9" t="n">
        <v>446.1</v>
      </c>
      <c r="G11" s="10" t="n">
        <v>3.4</v>
      </c>
    </row>
    <row r="12">
      <c r="A12" s="7" t="inlineStr">
        <is>
          <t>狙い: 4WD</t>
        </is>
      </c>
      <c r="B12" s="7" t="n">
        <v>2024</v>
      </c>
      <c r="C12" s="8" t="n">
        <v>5</v>
      </c>
      <c r="D12" s="9" t="n">
        <v>318.6</v>
      </c>
      <c r="E12" s="9" t="n">
        <v>349</v>
      </c>
      <c r="F12" s="9" t="n">
        <v>374.9</v>
      </c>
      <c r="G12" s="10" t="n">
        <v>2.2</v>
      </c>
    </row>
    <row r="13">
      <c r="A13" s="7" t="inlineStr">
        <is>
          <t>他グレード</t>
        </is>
      </c>
      <c r="B13" s="7" t="n">
        <v>2017</v>
      </c>
      <c r="C13" s="8" t="n">
        <v>41</v>
      </c>
      <c r="D13" s="9" t="n">
        <v>124.6</v>
      </c>
      <c r="E13" s="9" t="n">
        <v>174</v>
      </c>
      <c r="F13" s="9" t="n">
        <v>246.2</v>
      </c>
      <c r="G13" s="10" t="n">
        <v>7.3</v>
      </c>
    </row>
    <row r="14">
      <c r="A14" s="7" t="inlineStr">
        <is>
          <t>他グレード</t>
        </is>
      </c>
      <c r="B14" s="7" t="n">
        <v>2018</v>
      </c>
      <c r="C14" s="8" t="n">
        <v>158</v>
      </c>
      <c r="D14" s="9" t="n">
        <v>114.8</v>
      </c>
      <c r="E14" s="9" t="n">
        <v>192.4</v>
      </c>
      <c r="F14" s="9" t="n">
        <v>262.9</v>
      </c>
      <c r="G14" s="10" t="n">
        <v>6.5</v>
      </c>
    </row>
    <row r="15">
      <c r="A15" s="7" t="inlineStr">
        <is>
          <t>他グレード</t>
        </is>
      </c>
      <c r="B15" s="7" t="n">
        <v>2019</v>
      </c>
      <c r="C15" s="8" t="n">
        <v>89</v>
      </c>
      <c r="D15" s="9" t="n">
        <v>160</v>
      </c>
      <c r="E15" s="9" t="n">
        <v>227.9</v>
      </c>
      <c r="F15" s="9" t="n">
        <v>299.7</v>
      </c>
      <c r="G15" s="10" t="n">
        <v>5.5</v>
      </c>
    </row>
    <row r="16">
      <c r="A16" s="7" t="inlineStr">
        <is>
          <t>他グレード</t>
        </is>
      </c>
      <c r="B16" s="7" t="n">
        <v>2020</v>
      </c>
      <c r="C16" s="8" t="n">
        <v>68</v>
      </c>
      <c r="D16" s="9" t="n">
        <v>149.9</v>
      </c>
      <c r="E16" s="9" t="n">
        <v>244</v>
      </c>
      <c r="F16" s="9" t="n">
        <v>330</v>
      </c>
      <c r="G16" s="10" t="n">
        <v>5.2</v>
      </c>
    </row>
    <row r="17">
      <c r="A17" s="7" t="inlineStr">
        <is>
          <t>他グレード</t>
        </is>
      </c>
      <c r="B17" s="7" t="n">
        <v>2021</v>
      </c>
      <c r="C17" s="8" t="n">
        <v>106</v>
      </c>
      <c r="D17" s="9" t="n">
        <v>174.8</v>
      </c>
      <c r="E17" s="9" t="n">
        <v>268.8</v>
      </c>
      <c r="F17" s="9" t="n">
        <v>364.5</v>
      </c>
      <c r="G17" s="10" t="n">
        <v>4.8</v>
      </c>
    </row>
    <row r="18">
      <c r="A18" s="7" t="inlineStr">
        <is>
          <t>他グレード</t>
        </is>
      </c>
      <c r="B18" s="7" t="n">
        <v>2022</v>
      </c>
      <c r="C18" s="8" t="n">
        <v>100</v>
      </c>
      <c r="D18" s="9" t="n">
        <v>182.9</v>
      </c>
      <c r="E18" s="9" t="n">
        <v>287.4</v>
      </c>
      <c r="F18" s="9" t="n">
        <v>404.7</v>
      </c>
      <c r="G18" s="10" t="n">
        <v>4.2</v>
      </c>
    </row>
    <row r="19">
      <c r="A19" s="7" t="inlineStr">
        <is>
          <t>他グレード</t>
        </is>
      </c>
      <c r="B19" s="7" t="n">
        <v>2023</v>
      </c>
      <c r="C19" s="8" t="n">
        <v>100</v>
      </c>
      <c r="D19" s="9" t="n">
        <v>217.7</v>
      </c>
      <c r="E19" s="9" t="n">
        <v>335</v>
      </c>
      <c r="F19" s="9" t="n">
        <v>422.3</v>
      </c>
      <c r="G19" s="10" t="n">
        <v>2.9</v>
      </c>
    </row>
    <row r="20">
      <c r="A20" s="7" t="inlineStr">
        <is>
          <t>他グレード</t>
        </is>
      </c>
      <c r="B20" s="7" t="n">
        <v>2024</v>
      </c>
      <c r="C20" s="8" t="n">
        <v>2</v>
      </c>
      <c r="D20" s="9" t="n">
        <v>289.9</v>
      </c>
      <c r="E20" s="9" t="n">
        <v>310.6</v>
      </c>
      <c r="F20" s="9" t="n">
        <v>331.3</v>
      </c>
      <c r="G20" s="10" t="n">
        <v>1.9</v>
      </c>
    </row>
  </sheetData>
  <conditionalFormatting sqref="E5:E20">
    <cfRule type="colorScale" priority="1">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4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22" customWidth="1" min="5" max="5"/>
    <col width="22" customWidth="1" min="6" max="6"/>
    <col width="24" customWidth="1" min="7" max="7"/>
    <col width="10" customWidth="1" min="8" max="8"/>
    <col width="10" customWidth="1" min="9" max="9"/>
    <col width="10" customWidth="1" min="10" max="10"/>
    <col width="34" customWidth="1" min="11" max="11"/>
    <col width="34" customWidth="1" min="12" max="12"/>
    <col width="14" customWidth="1" min="13" max="13"/>
  </cols>
  <sheetData>
    <row r="1" ht="32" customHeight="1">
      <c r="A1" s="5" t="inlineStr">
        <is>
          <t>年式</t>
        </is>
      </c>
      <c r="B1" s="5" t="inlineStr">
        <is>
          <t>駆動</t>
        </is>
      </c>
      <c r="C1" s="5" t="inlineStr">
        <is>
          <t>グレード</t>
        </is>
      </c>
      <c r="D1" s="5" t="inlineStr">
        <is>
          <t>状態スコア</t>
        </is>
      </c>
      <c r="E1" s="5" t="inlineStr">
        <is>
          <t>支払総額
(万円)</t>
        </is>
      </c>
      <c r="F1" s="5" t="inlineStr">
        <is>
          <t>車両本体
(万円)</t>
        </is>
      </c>
      <c r="G1" s="5" t="inlineStr">
        <is>
          <t>走行距離
(万km)</t>
        </is>
      </c>
      <c r="H1" s="5" t="inlineStr">
        <is>
          <t>修復歴</t>
        </is>
      </c>
      <c r="I1" s="5" t="inlineStr">
        <is>
          <t>車検</t>
        </is>
      </c>
      <c r="J1" s="5" t="inlineStr">
        <is>
          <t>保証</t>
        </is>
      </c>
      <c r="K1" s="5" t="inlineStr">
        <is>
          <t>評価の理由</t>
        </is>
      </c>
      <c r="L1" s="5" t="inlineStr">
        <is>
          <t>装備（出品タイトル）</t>
        </is>
      </c>
      <c r="M1" s="5" t="inlineStr">
        <is>
          <t>掲載URL</t>
        </is>
      </c>
    </row>
    <row r="2">
      <c r="A2" s="11" t="n">
        <v>2021</v>
      </c>
      <c r="B2" s="12" t="inlineStr">
        <is>
          <t>4WD</t>
        </is>
      </c>
      <c r="C2" s="12" t="inlineStr">
        <is>
          <t>2.2 XD ブラックトーン</t>
        </is>
      </c>
      <c r="D2" s="13" t="n">
        <v>7.4</v>
      </c>
      <c r="E2" s="14" t="n">
        <v>298.8</v>
      </c>
      <c r="F2" s="14" t="n">
        <v>292.1</v>
      </c>
      <c r="G2" s="15" t="n">
        <v>2.2</v>
      </c>
      <c r="H2" s="12" t="inlineStr">
        <is>
          <t>なし</t>
        </is>
      </c>
      <c r="I2" s="12" t="inlineStr">
        <is>
          <t>2028(R10)年03月</t>
        </is>
      </c>
      <c r="J2" s="12" t="inlineStr">
        <is>
          <t>保証付</t>
        </is>
      </c>
      <c r="K2" s="16" t="inlineStr">
        <is>
          <t>同年式の半分以下の走行（2.2万km） / 修復歴なし / 車検 2028/03 まで（残り17ヶ月） / 保証付</t>
        </is>
      </c>
      <c r="L2" s="16" t="inlineStr">
        <is>
          <t>CX-8 2.2 XD ブラックトーン エディション ディーゼルターボ 4WD 純正SDナビ フルセグTV 全方位カメラ レーダークルーズコントロール シートヒーター ステアリングヒーター パワーバックドア 前後ドライブレコーダー LEDヘッドライト リアフォグライト ETC</t>
        </is>
      </c>
      <c r="M2" s="12" t="inlineStr">
        <is>
          <t>https://www.carsensor.net/usedcar/detail/AU7295980926/index.html</t>
        </is>
      </c>
    </row>
    <row r="3">
      <c r="A3" s="6" t="n">
        <v>2021</v>
      </c>
      <c r="B3" s="7" t="inlineStr">
        <is>
          <t>4WD</t>
        </is>
      </c>
      <c r="C3" s="7" t="inlineStr">
        <is>
          <t>2.2 XD ブラックトーン</t>
        </is>
      </c>
      <c r="D3" s="17" t="n">
        <v>7.4</v>
      </c>
      <c r="E3" s="9" t="n">
        <v>309.7</v>
      </c>
      <c r="F3" s="9" t="n">
        <v>301</v>
      </c>
      <c r="G3" s="10" t="n">
        <v>2.1</v>
      </c>
      <c r="H3" s="7" t="inlineStr">
        <is>
          <t>なし</t>
        </is>
      </c>
      <c r="I3" s="7" t="inlineStr">
        <is>
          <t>2028(R10)年03月</t>
        </is>
      </c>
      <c r="J3" s="7" t="inlineStr">
        <is>
          <t>保証付</t>
        </is>
      </c>
      <c r="K3" s="16" t="inlineStr">
        <is>
          <t>同年式の半分以下の走行（2.1万km） / 修復歴なし / 車検 2028/03 まで（残り17ヶ月） / 保証付</t>
        </is>
      </c>
      <c r="L3" s="16" t="inlineStr">
        <is>
          <t>CX-8 2.2 XD ブラックトーン エディション ディーゼルターボ 4WD ワンオーナー 純正ナビ フルセグ 全方位カメラ BOSEサウンド 純正エンジンスターター 前後ドライブレコーダー パワーシート シートヒーター スマートキー ETC LEDヘッドライト アダプティブクルーズ</t>
        </is>
      </c>
      <c r="M3" s="7" t="inlineStr">
        <is>
          <t>https://www.carsensor.net/usedcar/detail/AU7345640825/index.html</t>
        </is>
      </c>
    </row>
    <row r="4">
      <c r="A4" s="11" t="n">
        <v>2019</v>
      </c>
      <c r="B4" s="12" t="inlineStr">
        <is>
          <t>4WD</t>
        </is>
      </c>
      <c r="C4" s="12" t="inlineStr">
        <is>
          <t>2.5 25T プロアクティブ</t>
        </is>
      </c>
      <c r="D4" s="13" t="n">
        <v>7.3</v>
      </c>
      <c r="E4" s="14" t="n">
        <v>265.7</v>
      </c>
      <c r="F4" s="14" t="n">
        <v>245.8</v>
      </c>
      <c r="G4" s="15" t="n">
        <v>2.6</v>
      </c>
      <c r="H4" s="12" t="inlineStr">
        <is>
          <t>なし</t>
        </is>
      </c>
      <c r="I4" s="12" t="inlineStr">
        <is>
          <t>2028(R10)年02月</t>
        </is>
      </c>
      <c r="J4" s="12" t="inlineStr">
        <is>
          <t>保証付</t>
        </is>
      </c>
      <c r="K4" s="16" t="inlineStr">
        <is>
          <t>同年式の半分以下の走行（2.6万km） / 修復歴なし / 車検 2028/02 まで（残り16ヶ月） / 保証付</t>
        </is>
      </c>
      <c r="L4" s="16" t="inlineStr">
        <is>
          <t>CX-8 2.5 25T プロアクティブ 4WD SDナビ フルセ</t>
        </is>
      </c>
      <c r="M4" s="12" t="inlineStr">
        <is>
          <t>https://www.carsensor.net/usedcar/detail/AU7345902506/index.html</t>
        </is>
      </c>
    </row>
    <row r="5">
      <c r="A5" s="6" t="n">
        <v>2021</v>
      </c>
      <c r="B5" s="7" t="inlineStr">
        <is>
          <t>4WD</t>
        </is>
      </c>
      <c r="C5" s="7" t="inlineStr">
        <is>
          <t>2.2 XD Lパッケージ</t>
        </is>
      </c>
      <c r="D5" s="17" t="n">
        <v>7.3</v>
      </c>
      <c r="E5" s="9" t="n">
        <v>288.6</v>
      </c>
      <c r="F5" s="9" t="n">
        <v>275</v>
      </c>
      <c r="G5" s="10" t="n">
        <v>2.3</v>
      </c>
      <c r="H5" s="7" t="inlineStr">
        <is>
          <t>なし</t>
        </is>
      </c>
      <c r="I5" s="7" t="inlineStr">
        <is>
          <t>2028(R10)年02月</t>
        </is>
      </c>
      <c r="J5" s="7" t="inlineStr">
        <is>
          <t>保証付</t>
        </is>
      </c>
      <c r="K5" s="16" t="inlineStr">
        <is>
          <t>同年式の半分以下の走行（2.3万km） / 修復歴なし / 車検 2028/02 まで（残り16ヶ月） / 保証付</t>
        </is>
      </c>
      <c r="L5" s="16" t="inlineStr">
        <is>
          <t>CX-8 2.2 XD Lパッケージ ディーゼルターボ 3列6人乗/純正10型ナビTV/360°カメラ/BOSEサウンド/レッドレザーシート/追従式レダクル/衝突軽減ブレーキー/電動リアゲート/ステアリングシートヒーター/前後ドライブレコーダー/</t>
        </is>
      </c>
      <c r="M5" s="7" t="inlineStr">
        <is>
          <t>https://www.carsensor.net/usedcar/detail/AU7415669151/index.html</t>
        </is>
      </c>
    </row>
    <row r="6">
      <c r="A6" s="11" t="n">
        <v>2018</v>
      </c>
      <c r="B6" s="12" t="inlineStr">
        <is>
          <t>4WD</t>
        </is>
      </c>
      <c r="C6" s="12" t="inlineStr">
        <is>
          <t>2.2 XD Lパッケージ</t>
        </is>
      </c>
      <c r="D6" s="13" t="n">
        <v>7.2</v>
      </c>
      <c r="E6" s="14" t="n">
        <v>215.8</v>
      </c>
      <c r="F6" s="14" t="n">
        <v>207.1</v>
      </c>
      <c r="G6" s="15" t="n">
        <v>3</v>
      </c>
      <c r="H6" s="12" t="inlineStr">
        <is>
          <t>なし</t>
        </is>
      </c>
      <c r="I6" s="12" t="inlineStr">
        <is>
          <t>2028(R10)年01月</t>
        </is>
      </c>
      <c r="J6" s="12" t="inlineStr">
        <is>
          <t>保証付</t>
        </is>
      </c>
      <c r="K6" s="16" t="inlineStr">
        <is>
          <t>同年式の半分以下の走行（3.0万km） / 修復歴なし / 車検 2028/01 まで（残り15ヶ月） / 保証付</t>
        </is>
      </c>
      <c r="L6" s="16" t="inlineStr">
        <is>
          <t>CX-8 2.2 XD Lパッケージ ディーゼルターボ 4WD 追従クルコン BSM レザーシート LEDヘッド クリアランスソナー 電動リアゲート シートヒーター ディーゼル 4WD オートエアコン USBポート 6人乗 メモリー付パワーシート 全周囲カメラ オートライト</t>
        </is>
      </c>
      <c r="M6" s="12" t="inlineStr">
        <is>
          <t>https://www.carsensor.net/usedcar/detail/AU7052610665/index.html</t>
        </is>
      </c>
    </row>
    <row r="7">
      <c r="A7" s="6" t="n">
        <v>2017</v>
      </c>
      <c r="B7" s="7" t="inlineStr">
        <is>
          <t>4WD</t>
        </is>
      </c>
      <c r="C7" s="7" t="inlineStr">
        <is>
          <t>2.2 XD Lパッケージ</t>
        </is>
      </c>
      <c r="D7" s="17" t="n">
        <v>7</v>
      </c>
      <c r="E7" s="9" t="n">
        <v>265.7</v>
      </c>
      <c r="F7" s="9" t="n">
        <v>249.8</v>
      </c>
      <c r="G7" s="10" t="n">
        <v>3.1</v>
      </c>
      <c r="H7" s="7" t="inlineStr">
        <is>
          <t>なし</t>
        </is>
      </c>
      <c r="I7" s="7" t="inlineStr">
        <is>
          <t>車検整備付</t>
        </is>
      </c>
      <c r="J7" s="7" t="inlineStr">
        <is>
          <t>保証付</t>
        </is>
      </c>
      <c r="K7" s="16" t="inlineStr">
        <is>
          <t>同年式の半分以下の走行（3.1万km） / 修復歴なし / 車検整備付 / 保証付</t>
        </is>
      </c>
      <c r="L7" s="16" t="inlineStr">
        <is>
          <t>CX-8 2.2 XD Lパッケージ ディーゼルターボ 4WD 禁煙・当社下取ワンオーナー・白革レザー・6人乗り・リヤエンターモニター・360°ビューモニター・CD/DVD/地デジ/ラジオ/Bluetooth/USB・アダプティブLEDヘッドライト・MRCC・パワーリフトゲート・シートヒーター</t>
        </is>
      </c>
      <c r="M7" s="7" t="inlineStr">
        <is>
          <t>https://www.carsensor.net/usedcar/detail/AU7452923877/index.html</t>
        </is>
      </c>
    </row>
    <row r="8">
      <c r="A8" s="11" t="n">
        <v>2018</v>
      </c>
      <c r="B8" s="12" t="inlineStr">
        <is>
          <t>4WD</t>
        </is>
      </c>
      <c r="C8" s="12" t="inlineStr">
        <is>
          <t>2.2 XD プロアクティブ</t>
        </is>
      </c>
      <c r="D8" s="13" t="n">
        <v>7</v>
      </c>
      <c r="E8" s="14" t="n">
        <v>228</v>
      </c>
      <c r="F8" s="14" t="n">
        <v>217</v>
      </c>
      <c r="G8" s="15" t="n">
        <v>2.1</v>
      </c>
      <c r="H8" s="12" t="inlineStr">
        <is>
          <t>なし</t>
        </is>
      </c>
      <c r="I8" s="12" t="inlineStr">
        <is>
          <t>車検整備付</t>
        </is>
      </c>
      <c r="J8" s="12" t="inlineStr">
        <is>
          <t>保証付</t>
        </is>
      </c>
      <c r="K8" s="16" t="inlineStr">
        <is>
          <t>同年式の半分以下の走行（2.1万km） / 修復歴なし / 車検整備付 / 保証付</t>
        </is>
      </c>
      <c r="L8" s="16" t="inlineStr">
        <is>
          <t>CX-8 2.2 XD プロアクティブ ディーゼルターボ 4WD マツダコネクトナビTV/CD/DVD 360度ビューカメラ 6人乗 アドバンスドスマートシティブレーキ パワーシート シートヒーター レーダークルーズコントロール ヘッドアップディスプレイ</t>
        </is>
      </c>
      <c r="M8" s="12" t="inlineStr">
        <is>
          <t>https://www.carsensor.net/usedcar/detail/AU7443634120/index.html</t>
        </is>
      </c>
    </row>
    <row r="9">
      <c r="A9" s="6" t="n">
        <v>2018</v>
      </c>
      <c r="B9" s="7" t="inlineStr">
        <is>
          <t>4WD</t>
        </is>
      </c>
      <c r="C9" s="7" t="inlineStr">
        <is>
          <t>2.2 XD Lパッケージ</t>
        </is>
      </c>
      <c r="D9" s="17" t="n">
        <v>7</v>
      </c>
      <c r="E9" s="9" t="n">
        <v>259.9</v>
      </c>
      <c r="F9" s="9" t="n">
        <v>242.7</v>
      </c>
      <c r="G9" s="10" t="n">
        <v>2.8</v>
      </c>
      <c r="H9" s="7" t="inlineStr">
        <is>
          <t>なし</t>
        </is>
      </c>
      <c r="I9" s="7" t="inlineStr">
        <is>
          <t>車検整備付</t>
        </is>
      </c>
      <c r="J9" s="7" t="inlineStr">
        <is>
          <t>保証付</t>
        </is>
      </c>
      <c r="K9" s="16" t="inlineStr">
        <is>
          <t>同年式の半分以下の走行（2.8万km） / 修復歴なし / 車検整備付 / 保証付</t>
        </is>
      </c>
      <c r="L9" s="16" t="inlineStr">
        <is>
          <t>CX-8 2.2 XD Lパッケージ ディーゼルターボ 4WD 純正ナビ 全周囲カメラ 衝突被害軽減 禁煙車 電動リアゲート レザーシート ドラレコ コーナーセンサー スマートキー LEDヘッド ETC2.0 純正19インチアルミ</t>
        </is>
      </c>
      <c r="M9" s="7" t="inlineStr">
        <is>
          <t>https://www.carsensor.net/usedcar/detail/AU7321810773/index.html</t>
        </is>
      </c>
    </row>
    <row r="10">
      <c r="A10" s="11" t="n">
        <v>2018</v>
      </c>
      <c r="B10" s="12" t="inlineStr">
        <is>
          <t>4WD</t>
        </is>
      </c>
      <c r="C10" s="12" t="inlineStr">
        <is>
          <t>2.2 XD ディーゼルターボ</t>
        </is>
      </c>
      <c r="D10" s="13" t="n">
        <v>7</v>
      </c>
      <c r="E10" s="14" t="n">
        <v>241.8</v>
      </c>
      <c r="F10" s="14" t="n">
        <v>231.8</v>
      </c>
      <c r="G10" s="15" t="n">
        <v>2.4</v>
      </c>
      <c r="H10" s="12" t="inlineStr">
        <is>
          <t>なし</t>
        </is>
      </c>
      <c r="I10" s="12" t="inlineStr">
        <is>
          <t>車検整備付</t>
        </is>
      </c>
      <c r="J10" s="12" t="inlineStr">
        <is>
          <t>保証付</t>
        </is>
      </c>
      <c r="K10" s="16" t="inlineStr">
        <is>
          <t>同年式の半分以下の走行（2.4万km） / 修復歴なし / 車検整備付 / 保証付</t>
        </is>
      </c>
      <c r="L10" s="16" t="inlineStr">
        <is>
          <t>CX-8 2.2 XD ディーゼルターボ 4WD 純正ナビ(フルセグTV/AM・FM/CD/DVD/BT/USB/SD/AUX) バック・サイドカメラ ビルトインETC ドライブレコーダー i-ACTIVSENSE クルーズコントロール</t>
        </is>
      </c>
      <c r="M10" s="12" t="inlineStr">
        <is>
          <t>https://www.carsensor.net/usedcar/detail/AU7410836334/index.html</t>
        </is>
      </c>
    </row>
    <row r="11">
      <c r="A11" s="6" t="n">
        <v>2019</v>
      </c>
      <c r="B11" s="7" t="inlineStr">
        <is>
          <t>4WD</t>
        </is>
      </c>
      <c r="C11" s="7" t="inlineStr">
        <is>
          <t>2.5 25T Lパッケージ</t>
        </is>
      </c>
      <c r="D11" s="17" t="n">
        <v>7</v>
      </c>
      <c r="E11" s="9" t="n">
        <v>271.5</v>
      </c>
      <c r="F11" s="9" t="n">
        <v>255</v>
      </c>
      <c r="G11" s="10" t="n">
        <v>2.3</v>
      </c>
      <c r="H11" s="7" t="inlineStr">
        <is>
          <t>なし</t>
        </is>
      </c>
      <c r="I11" s="7" t="inlineStr">
        <is>
          <t>車検整備付</t>
        </is>
      </c>
      <c r="J11" s="7" t="inlineStr">
        <is>
          <t>保証付</t>
        </is>
      </c>
      <c r="K11" s="16" t="inlineStr">
        <is>
          <t>同年式の半分以下の走行（2.3万km） / 修復歴なし / 車検整備付 / 保証付</t>
        </is>
      </c>
      <c r="L11" s="16" t="inlineStr">
        <is>
          <t>CX-8 2.5 25T Lパッケージ 4WD 禁煙・ナッパレザー・360°ビューモニター(前後コーナーセンサー)・運転席10wayパワーシート&amp;助手席パワーシート・ベンチレーション・パワーリフトゲート・オートホールド機能・BOSEサウンド・地デジ/CD/DVD</t>
        </is>
      </c>
      <c r="M11" s="7" t="inlineStr">
        <is>
          <t>https://www.carsensor.net/usedcar/detail/AU7196179017/index.html</t>
        </is>
      </c>
    </row>
    <row r="12">
      <c r="A12" s="11" t="n">
        <v>2020</v>
      </c>
      <c r="B12" s="12" t="inlineStr">
        <is>
          <t>4WD</t>
        </is>
      </c>
      <c r="C12" s="12" t="inlineStr">
        <is>
          <t>2.2 XD プロアクティブ</t>
        </is>
      </c>
      <c r="D12" s="13" t="n">
        <v>7</v>
      </c>
      <c r="E12" s="14" t="n">
        <v>283.9</v>
      </c>
      <c r="F12" s="14" t="n">
        <v>269.3</v>
      </c>
      <c r="G12" s="15" t="n">
        <v>1.5</v>
      </c>
      <c r="H12" s="12" t="inlineStr">
        <is>
          <t>なし</t>
        </is>
      </c>
      <c r="I12" s="12" t="inlineStr">
        <is>
          <t>車検整備付</t>
        </is>
      </c>
      <c r="J12" s="12" t="inlineStr">
        <is>
          <t>保証付</t>
        </is>
      </c>
      <c r="K12" s="16" t="inlineStr">
        <is>
          <t>同年式の半分以下の走行（1.5万km） / 修復歴なし / 車検整備付 / 保証付</t>
        </is>
      </c>
      <c r="L12" s="16" t="inlineStr">
        <is>
          <t>CX-8 2.2 XD プロアクティブ Sパッケージ ディーゼルターボ 4WD 7人乗り</t>
        </is>
      </c>
      <c r="M12" s="12" t="inlineStr">
        <is>
          <t>https://www.carsensor.net/usedcar/detail/AU7421700278/index.html</t>
        </is>
      </c>
    </row>
    <row r="13">
      <c r="A13" s="6" t="n">
        <v>2021</v>
      </c>
      <c r="B13" s="7" t="inlineStr">
        <is>
          <t>4WD</t>
        </is>
      </c>
      <c r="C13" s="7" t="inlineStr">
        <is>
          <t>2.2 XD エクスクルーシブ</t>
        </is>
      </c>
      <c r="D13" s="17" t="n">
        <v>7</v>
      </c>
      <c r="E13" s="9" t="n">
        <v>351.8</v>
      </c>
      <c r="F13" s="9" t="n">
        <v>342.9</v>
      </c>
      <c r="G13" s="10" t="n">
        <v>2</v>
      </c>
      <c r="H13" s="7" t="inlineStr">
        <is>
          <t>なし</t>
        </is>
      </c>
      <c r="I13" s="7" t="inlineStr">
        <is>
          <t>車検整備付</t>
        </is>
      </c>
      <c r="J13" s="7" t="inlineStr">
        <is>
          <t>保証付</t>
        </is>
      </c>
      <c r="K13" s="16" t="inlineStr">
        <is>
          <t>同年式の半分以下の走行（2.0万km） / 修復歴なし / 車検整備付 / 保証付</t>
        </is>
      </c>
      <c r="L13" s="16" t="inlineStr">
        <is>
          <t>CX-8 2.2 XD エクスクルーシブ モード ディーゼルターボ サンルーフ BOSE 全周囲カメラ HUD 白革</t>
        </is>
      </c>
      <c r="M13" s="7" t="inlineStr">
        <is>
          <t>https://www.carsensor.net/usedcar/detail/AU7320804534/index.html</t>
        </is>
      </c>
    </row>
    <row r="14">
      <c r="A14" s="11" t="n">
        <v>2021</v>
      </c>
      <c r="B14" s="12" t="inlineStr">
        <is>
          <t>4WD</t>
        </is>
      </c>
      <c r="C14" s="12" t="inlineStr">
        <is>
          <t>2.5 25T エクスクルーシブ</t>
        </is>
      </c>
      <c r="D14" s="13" t="n">
        <v>7</v>
      </c>
      <c r="E14" s="14" t="n">
        <v>359.9</v>
      </c>
      <c r="F14" s="14" t="n">
        <v>347</v>
      </c>
      <c r="G14" s="15" t="n">
        <v>0.8</v>
      </c>
      <c r="H14" s="12" t="inlineStr">
        <is>
          <t>なし</t>
        </is>
      </c>
      <c r="I14" s="12" t="inlineStr">
        <is>
          <t>車検整備付</t>
        </is>
      </c>
      <c r="J14" s="12" t="inlineStr">
        <is>
          <t>保証付</t>
        </is>
      </c>
      <c r="K14" s="16" t="inlineStr">
        <is>
          <t>同年式の半分以下の走行（0.8万km） / 修復歴なし / 車検整備付 / 保証付</t>
        </is>
      </c>
      <c r="L14" s="16" t="inlineStr">
        <is>
          <t>CX-8 2.5 25T エクスクルーシブ モード 4WD 白内装 ナビ BOSEサウンド 前後ドラレコ 全方位モニター ETC</t>
        </is>
      </c>
      <c r="M14" s="12" t="inlineStr">
        <is>
          <t>https://www.carsensor.net/usedcar/detail/AU6818683386/index.html</t>
        </is>
      </c>
    </row>
    <row r="15">
      <c r="A15" s="6" t="n">
        <v>2021</v>
      </c>
      <c r="B15" s="7" t="inlineStr">
        <is>
          <t>4WD</t>
        </is>
      </c>
      <c r="C15" s="7" t="inlineStr">
        <is>
          <t>2.2 XD Lパッケージ</t>
        </is>
      </c>
      <c r="D15" s="17" t="n">
        <v>7</v>
      </c>
      <c r="E15" s="9" t="n">
        <v>343.5</v>
      </c>
      <c r="F15" s="9" t="n">
        <v>328.9</v>
      </c>
      <c r="G15" s="10" t="n">
        <v>1.9</v>
      </c>
      <c r="H15" s="7" t="inlineStr">
        <is>
          <t>なし</t>
        </is>
      </c>
      <c r="I15" s="7" t="inlineStr">
        <is>
          <t>車検整備付</t>
        </is>
      </c>
      <c r="J15" s="7" t="inlineStr">
        <is>
          <t>保証付</t>
        </is>
      </c>
      <c r="K15" s="16" t="inlineStr">
        <is>
          <t>同年式の半分以下の走行（1.9万km） / 修復歴なし / 車検整備付 / 保証付</t>
        </is>
      </c>
      <c r="L15" s="16" t="inlineStr">
        <is>
          <t>CX-8 2.2 XD Lパッケージ ディーゼルターボ 4WD BT接続 ツインターボ パワーウィンドウ</t>
        </is>
      </c>
      <c r="M15" s="7" t="inlineStr">
        <is>
          <t>https://www.carsensor.net/usedcar/detail/AU7407722483/index.html</t>
        </is>
      </c>
    </row>
    <row r="16">
      <c r="A16" s="11" t="n">
        <v>2023</v>
      </c>
      <c r="B16" s="12" t="inlineStr">
        <is>
          <t>4WD</t>
        </is>
      </c>
      <c r="C16" s="12" t="inlineStr">
        <is>
          <t>2.2 XD エクスクルーシブ</t>
        </is>
      </c>
      <c r="D16" s="13" t="n">
        <v>7</v>
      </c>
      <c r="E16" s="14" t="n">
        <v>441.8</v>
      </c>
      <c r="F16" s="14" t="n">
        <v>431.6</v>
      </c>
      <c r="G16" s="15" t="n">
        <v>1</v>
      </c>
      <c r="H16" s="12" t="inlineStr">
        <is>
          <t>なし</t>
        </is>
      </c>
      <c r="I16" s="12" t="inlineStr">
        <is>
          <t>車検整備付</t>
        </is>
      </c>
      <c r="J16" s="12" t="inlineStr">
        <is>
          <t>保証付</t>
        </is>
      </c>
      <c r="K16" s="16" t="inlineStr">
        <is>
          <t>同年式の半分以下の走行（1.0万km） / 修復歴なし / 車検整備付 / 保証付</t>
        </is>
      </c>
      <c r="L16" s="16" t="inlineStr">
        <is>
          <t>CX-8 2.2 XD エクスクルーシブ モード ディーゼルターボ 4WD サンルーフ BOSE 全方位カメラ 純正ナビ 衝突軽減B BSM HUD レーダークルコン 本革シート シートヒーター&amp;ベンチレーション ETC 電動バックドア 純正19インチAW</t>
        </is>
      </c>
      <c r="M16" s="12" t="inlineStr">
        <is>
          <t>https://www.carsensor.net/usedcar/detail/AU7307036165/index.html</t>
        </is>
      </c>
    </row>
    <row r="17">
      <c r="A17" s="6" t="n">
        <v>2023</v>
      </c>
      <c r="B17" s="7" t="inlineStr">
        <is>
          <t>4WD</t>
        </is>
      </c>
      <c r="C17" s="7" t="inlineStr">
        <is>
          <t>2.2 XD ブラックトーン</t>
        </is>
      </c>
      <c r="D17" s="17" t="n">
        <v>7</v>
      </c>
      <c r="E17" s="9" t="n">
        <v>403.7</v>
      </c>
      <c r="F17" s="9" t="n">
        <v>389.8</v>
      </c>
      <c r="G17" s="10" t="n">
        <v>0.9</v>
      </c>
      <c r="H17" s="7" t="inlineStr">
        <is>
          <t>なし</t>
        </is>
      </c>
      <c r="I17" s="7" t="inlineStr">
        <is>
          <t>車検整備付</t>
        </is>
      </c>
      <c r="J17" s="7" t="inlineStr">
        <is>
          <t>保証付</t>
        </is>
      </c>
      <c r="K17" s="16" t="inlineStr">
        <is>
          <t>同年式の半分以下の走行（0.9万km） / 修復歴なし / 車検整備付 / 保証付</t>
        </is>
      </c>
      <c r="L17" s="16" t="inlineStr">
        <is>
          <t>CX-8 2.2 XD ブラックトーン エディション ディーゼルターボ 4WD マツダ認定中古車</t>
        </is>
      </c>
      <c r="M17" s="7" t="inlineStr">
        <is>
          <t>https://www.carsensor.net/usedcar/detail/AU7366830960/index.html</t>
        </is>
      </c>
    </row>
    <row r="18">
      <c r="A18" s="11" t="n">
        <v>2023</v>
      </c>
      <c r="B18" s="12" t="inlineStr">
        <is>
          <t>4WD</t>
        </is>
      </c>
      <c r="C18" s="12" t="inlineStr">
        <is>
          <t>2.2 XD エクスクルーシブ</t>
        </is>
      </c>
      <c r="D18" s="13" t="n">
        <v>7</v>
      </c>
      <c r="E18" s="14" t="n">
        <v>444.4</v>
      </c>
      <c r="F18" s="14" t="n">
        <v>429.8</v>
      </c>
      <c r="G18" s="15" t="n">
        <v>1.3</v>
      </c>
      <c r="H18" s="12" t="inlineStr">
        <is>
          <t>なし</t>
        </is>
      </c>
      <c r="I18" s="12" t="inlineStr">
        <is>
          <t>車検整備付</t>
        </is>
      </c>
      <c r="J18" s="12" t="inlineStr">
        <is>
          <t>保証付</t>
        </is>
      </c>
      <c r="K18" s="16" t="inlineStr">
        <is>
          <t>同年式の半分以下の走行（1.3万km） / 修復歴なし / 車検整備付 / 保証付</t>
        </is>
      </c>
      <c r="L18" s="16" t="inlineStr">
        <is>
          <t>CX-8 2.2 XD エクスクルーシブ モード ディーゼルターボ 4WD ・MTモード付AT・LEDヘッドライト・オート</t>
        </is>
      </c>
      <c r="M18" s="12" t="inlineStr">
        <is>
          <t>https://www.carsensor.net/usedcar/detail/AU7398413746/index.html</t>
        </is>
      </c>
    </row>
    <row r="19">
      <c r="A19" s="6" t="n">
        <v>2023</v>
      </c>
      <c r="B19" s="7" t="inlineStr">
        <is>
          <t>4WD</t>
        </is>
      </c>
      <c r="C19" s="7" t="inlineStr">
        <is>
          <t>2.2 XD エクスクルーシブ</t>
        </is>
      </c>
      <c r="D19" s="17" t="n">
        <v>7</v>
      </c>
      <c r="E19" s="9" t="n">
        <v>446.1</v>
      </c>
      <c r="F19" s="9" t="n">
        <v>431.2</v>
      </c>
      <c r="G19" s="10" t="n">
        <v>1.4</v>
      </c>
      <c r="H19" s="7" t="inlineStr">
        <is>
          <t>なし</t>
        </is>
      </c>
      <c r="I19" s="7" t="inlineStr">
        <is>
          <t>車検整備付</t>
        </is>
      </c>
      <c r="J19" s="7" t="inlineStr">
        <is>
          <t>保証付</t>
        </is>
      </c>
      <c r="K19" s="16" t="inlineStr">
        <is>
          <t>同年式の半分以下の走行（1.4万km） / 修復歴なし / 車検整備付 / 保証付</t>
        </is>
      </c>
      <c r="L19" s="16" t="inlineStr">
        <is>
          <t>CX-8 2.2 XD エクスクルーシブ モード ディーゼルターボ 4WD 360度モニター BOSEサウンド Fベンチレーション</t>
        </is>
      </c>
      <c r="M19" s="7" t="inlineStr">
        <is>
          <t>https://www.carsensor.net/usedcar/detail/AU7406943944/index.html</t>
        </is>
      </c>
    </row>
    <row r="20">
      <c r="A20" s="11" t="n">
        <v>2023</v>
      </c>
      <c r="B20" s="12" t="inlineStr">
        <is>
          <t>4WD</t>
        </is>
      </c>
      <c r="C20" s="12" t="inlineStr">
        <is>
          <t>2.2 XD エクスクルーシブ</t>
        </is>
      </c>
      <c r="D20" s="13" t="n">
        <v>7</v>
      </c>
      <c r="E20" s="14" t="n">
        <v>430.4</v>
      </c>
      <c r="F20" s="14" t="n">
        <v>414.8</v>
      </c>
      <c r="G20" s="15" t="n">
        <v>0.9</v>
      </c>
      <c r="H20" s="12" t="inlineStr">
        <is>
          <t>なし</t>
        </is>
      </c>
      <c r="I20" s="12" t="inlineStr">
        <is>
          <t>車検整備付</t>
        </is>
      </c>
      <c r="J20" s="12" t="inlineStr">
        <is>
          <t>保証付</t>
        </is>
      </c>
      <c r="K20" s="16" t="inlineStr">
        <is>
          <t>同年式の半分以下の走行（0.9万km） / 修復歴なし / 車検整備付 / 保証付</t>
        </is>
      </c>
      <c r="L20" s="16" t="inlineStr">
        <is>
          <t>CX-8 2.2 XD エクスクルーシブ モード ディーゼルターボ 4WD ETC/360°ビューモニター/禁煙/衝突軽減装置/車線逸脱警報機能/ワンオーナー/4WD/シートヒーター/LED/純正ナビ/電動格納式ドアミラー/SUV/ドラレコ/クルーズコントロール/パワーシート/CarPlay/Bluetooth</t>
        </is>
      </c>
      <c r="M20" s="12" t="inlineStr">
        <is>
          <t>https://www.carsensor.net/usedcar/detail/AU7214708840/index.html</t>
        </is>
      </c>
    </row>
    <row r="21">
      <c r="A21" s="6" t="n">
        <v>2023</v>
      </c>
      <c r="B21" s="7" t="inlineStr">
        <is>
          <t>4WD</t>
        </is>
      </c>
      <c r="C21" s="7" t="inlineStr">
        <is>
          <t>2.5 25S グランド</t>
        </is>
      </c>
      <c r="D21" s="17" t="n">
        <v>7</v>
      </c>
      <c r="E21" s="9" t="n">
        <v>378.2</v>
      </c>
      <c r="F21" s="9" t="n">
        <v>365</v>
      </c>
      <c r="G21" s="10" t="n">
        <v>1.3</v>
      </c>
      <c r="H21" s="7" t="inlineStr">
        <is>
          <t>なし</t>
        </is>
      </c>
      <c r="I21" s="7" t="inlineStr">
        <is>
          <t>車検整備付</t>
        </is>
      </c>
      <c r="J21" s="7" t="inlineStr">
        <is>
          <t>保証付</t>
        </is>
      </c>
      <c r="K21" s="16" t="inlineStr">
        <is>
          <t>同年式の半分以下の走行（1.3万km） / 修復歴なし / 車検整備付 / 保証付</t>
        </is>
      </c>
      <c r="L21" s="16" t="inlineStr">
        <is>
          <t>CX-8 2.5 25S グランド ジャーニー 4WD</t>
        </is>
      </c>
      <c r="M21" s="7" t="inlineStr">
        <is>
          <t>https://www.carsensor.net/usedcar/detail/AU7229010481/index.html</t>
        </is>
      </c>
    </row>
    <row r="22">
      <c r="A22" s="11" t="n">
        <v>2018</v>
      </c>
      <c r="B22" s="12" t="inlineStr">
        <is>
          <t>4WD</t>
        </is>
      </c>
      <c r="C22" s="12" t="inlineStr">
        <is>
          <t>2.2 XD プロアクティブ</t>
        </is>
      </c>
      <c r="D22" s="13" t="n">
        <v>6.8</v>
      </c>
      <c r="E22" s="14" t="n">
        <v>209.2</v>
      </c>
      <c r="F22" s="14" t="n">
        <v>196</v>
      </c>
      <c r="G22" s="15" t="n">
        <v>2.6</v>
      </c>
      <c r="H22" s="12" t="inlineStr">
        <is>
          <t>なし</t>
        </is>
      </c>
      <c r="I22" s="12" t="inlineStr">
        <is>
          <t>2027(R09)年08月</t>
        </is>
      </c>
      <c r="J22" s="12" t="inlineStr">
        <is>
          <t>保証付</t>
        </is>
      </c>
      <c r="K22" s="16" t="inlineStr">
        <is>
          <t>同年式の半分以下の走行（2.6万km） / 修復歴なし / 車検 2027/08 まで（残り10ヶ月） / 保証付</t>
        </is>
      </c>
      <c r="L22" s="16" t="inlineStr">
        <is>
          <t>CX-8 2.2 XD プロアクティブ ディーゼルターボ 4WD シートヒーター パワーシート 3列シート トランクスルー フロアマット ナビ CD 音楽プレーヤー接続 Bluetooth接続 TV DVD再生 後席モニター ETC LEDヘッドライト</t>
        </is>
      </c>
      <c r="M22" s="12" t="inlineStr">
        <is>
          <t>https://www.carsensor.net/usedcar/detail/AU7322101398/index.html</t>
        </is>
      </c>
    </row>
    <row r="23">
      <c r="A23" s="6" t="n">
        <v>2022</v>
      </c>
      <c r="B23" s="7" t="inlineStr">
        <is>
          <t>4WD</t>
        </is>
      </c>
      <c r="C23" s="7" t="inlineStr">
        <is>
          <t>2.2 XD ブラックトーン</t>
        </is>
      </c>
      <c r="D23" s="17" t="n">
        <v>6.7</v>
      </c>
      <c r="E23" s="9" t="n">
        <v>321.9</v>
      </c>
      <c r="F23" s="9" t="n">
        <v>315.4</v>
      </c>
      <c r="G23" s="10" t="n">
        <v>1</v>
      </c>
      <c r="H23" s="7" t="inlineStr">
        <is>
          <t>なし</t>
        </is>
      </c>
      <c r="I23" s="7" t="inlineStr">
        <is>
          <t>2027(R09)年06月</t>
        </is>
      </c>
      <c r="J23" s="7" t="inlineStr">
        <is>
          <t>保証付</t>
        </is>
      </c>
      <c r="K23" s="16" t="inlineStr">
        <is>
          <t>同年式の半分以下の走行（1.0万km） / 修復歴なし / 車検 2027/06 まで（残り8ヶ月） / 保証付</t>
        </is>
      </c>
      <c r="L23" s="16" t="inlineStr">
        <is>
          <t>CX-8 2.2 XD ブラックトーン エディション ディーゼルターボ 4WD ディスプレイオーディオ+ナビ10インチ/衝突安全装置/シートヒーター 前席/360°ビューモニター/車線逸脱防止支援システム/シート ハーフレザー/電動バックドア</t>
        </is>
      </c>
      <c r="M23" s="7" t="inlineStr">
        <is>
          <t>https://www.carsensor.net/usedcar/detail/AU7397521862/index.html</t>
        </is>
      </c>
    </row>
    <row r="24">
      <c r="A24" s="11" t="n">
        <v>2023</v>
      </c>
      <c r="B24" s="12" t="inlineStr">
        <is>
          <t>4WD</t>
        </is>
      </c>
      <c r="C24" s="12" t="inlineStr">
        <is>
          <t>2.2 XD スポーツ</t>
        </is>
      </c>
      <c r="D24" s="13" t="n">
        <v>6.5</v>
      </c>
      <c r="E24" s="14" t="n">
        <v>389.8</v>
      </c>
      <c r="F24" s="14" t="n">
        <v>377.3</v>
      </c>
      <c r="G24" s="15" t="n">
        <v>1.8</v>
      </c>
      <c r="H24" s="12" t="inlineStr">
        <is>
          <t>なし</t>
        </is>
      </c>
      <c r="I24" s="12" t="inlineStr">
        <is>
          <t>2028(R10)年10月</t>
        </is>
      </c>
      <c r="J24" s="12" t="inlineStr">
        <is>
          <t>保証付</t>
        </is>
      </c>
      <c r="K24" s="16" t="inlineStr">
        <is>
          <t>走行が少なめ（1.8万km） / 修復歴なし / 車検 2028/10 まで（残り24ヶ月） / 保証付</t>
        </is>
      </c>
      <c r="L24" s="16" t="inlineStr">
        <is>
          <t>CX-8 2.2 XD スポーツ アピアランス ディーゼルターボ 4WD 純正10型ナビ BOSEサウンド ディーゼルターボ バックカメラ i-ACTIVESENSE 禁煙車 ドラレコ コーナーセンサー LEDヘッド ETC シートヒーター オートハイビーム 車線逸脱警報</t>
        </is>
      </c>
      <c r="M24" s="12" t="inlineStr">
        <is>
          <t>https://www.carsensor.net/usedcar/detail/AU7428739761/index.html</t>
        </is>
      </c>
    </row>
    <row r="25">
      <c r="A25" s="6" t="n">
        <v>2023</v>
      </c>
      <c r="B25" s="7" t="inlineStr">
        <is>
          <t>4WD</t>
        </is>
      </c>
      <c r="C25" s="7" t="inlineStr">
        <is>
          <t>2.5 25S グランド</t>
        </is>
      </c>
      <c r="D25" s="17" t="n">
        <v>6.5</v>
      </c>
      <c r="E25" s="9" t="n">
        <v>298.3</v>
      </c>
      <c r="F25" s="9" t="n">
        <v>282.3</v>
      </c>
      <c r="G25" s="10" t="n">
        <v>2</v>
      </c>
      <c r="H25" s="7" t="inlineStr">
        <is>
          <t>なし</t>
        </is>
      </c>
      <c r="I25" s="7" t="inlineStr">
        <is>
          <t>車検整備付</t>
        </is>
      </c>
      <c r="J25" s="7" t="inlineStr">
        <is>
          <t>保証付</t>
        </is>
      </c>
      <c r="K25" s="16" t="inlineStr">
        <is>
          <t>走行が少なめ（2.0万km） / 修復歴なし / 車検整備付 / 保証付 / 同年式より安い（中央値 348万）</t>
        </is>
      </c>
      <c r="L25" s="16" t="inlineStr">
        <is>
          <t>CX-8 2.5 25S グランド ジャーニー 4WD レーダークルーズ/360°カメラ/衝突軽減ブレーキ/コーナーセンサー/ETC/白半革シート/パワーシート/シートヒーター/ハンズフリーPバックドア/ヘッドアップD/ルーフレール/4WD/</t>
        </is>
      </c>
      <c r="M25" s="7" t="inlineStr">
        <is>
          <t>https://www.carsensor.net/usedcar/detail/AU6899746318/index.html</t>
        </is>
      </c>
    </row>
    <row r="26">
      <c r="A26" s="11" t="n">
        <v>2020</v>
      </c>
      <c r="B26" s="12" t="inlineStr">
        <is>
          <t>4WD</t>
        </is>
      </c>
      <c r="C26" s="12" t="inlineStr">
        <is>
          <t>2.2 XD プロアクティブ</t>
        </is>
      </c>
      <c r="D26" s="13" t="n">
        <v>6.4</v>
      </c>
      <c r="E26" s="14" t="n">
        <v>269.9</v>
      </c>
      <c r="F26" s="14" t="n">
        <v>258.5</v>
      </c>
      <c r="G26" s="15" t="n">
        <v>1.4</v>
      </c>
      <c r="H26" s="12" t="inlineStr">
        <is>
          <t>なし</t>
        </is>
      </c>
      <c r="I26" s="12" t="inlineStr">
        <is>
          <t>2027(R09)年03月</t>
        </is>
      </c>
      <c r="J26" s="12" t="inlineStr">
        <is>
          <t>保証付</t>
        </is>
      </c>
      <c r="K26" s="16" t="inlineStr">
        <is>
          <t>同年式の半分以下の走行（1.4万km） / 修復歴なし / 車検 2027/03 まで（残り5ヶ月） / 保証付</t>
        </is>
      </c>
      <c r="L26" s="16" t="inlineStr">
        <is>
          <t>CX-8 2.2 XD プロアクティブ Sパッケージ ディーゼルターボ 4WD 禁煙車/純正8型ナビ/全周囲カメラ/ETC/ドラレコ/電動リアゲート/衝突被害軽減システム/BSM/レーダークルーズ/レザーシート/シートエアコン/シートヒーター/パワーシート/電動パーキング</t>
        </is>
      </c>
      <c r="M26" s="12" t="inlineStr">
        <is>
          <t>https://www.carsensor.net/usedcar/detail/AU7242440406/index.html</t>
        </is>
      </c>
    </row>
    <row r="27">
      <c r="A27" s="6" t="n">
        <v>2020</v>
      </c>
      <c r="B27" s="7" t="inlineStr">
        <is>
          <t>4WD</t>
        </is>
      </c>
      <c r="C27" s="7" t="inlineStr">
        <is>
          <t>2.2 XD プロアクティブ</t>
        </is>
      </c>
      <c r="D27" s="17" t="n">
        <v>6.4</v>
      </c>
      <c r="E27" s="9" t="n">
        <v>272.8</v>
      </c>
      <c r="F27" s="9" t="n">
        <v>266.6</v>
      </c>
      <c r="G27" s="10" t="n">
        <v>2</v>
      </c>
      <c r="H27" s="7" t="inlineStr">
        <is>
          <t>なし</t>
        </is>
      </c>
      <c r="I27" s="7" t="inlineStr">
        <is>
          <t>2027(R09)年03月</t>
        </is>
      </c>
      <c r="J27" s="7" t="inlineStr">
        <is>
          <t>保証付</t>
        </is>
      </c>
      <c r="K27" s="16" t="inlineStr">
        <is>
          <t>同年式の半分以下の走行（2.0万km） / 修復歴なし / 車検 2027/03 まで（残り5ヶ月） / 保証付</t>
        </is>
      </c>
      <c r="L27" s="16" t="inlineStr">
        <is>
          <t>CX-8 2.2 XD プロアクティブ Sパッケージ ディーゼルターボ 4WD 4WD ディーゼル 1オーナー 純正ナビ/TV/DVD/CD/BT 全方位カメラ ETC 前後ドラレコ サンルーフ 黒レザー 衝突軽減 レーダークルーズ 電動バックドア シートヒーター エアシート</t>
        </is>
      </c>
      <c r="M27" s="7" t="inlineStr">
        <is>
          <t>https://www.carsensor.net/usedcar/detail/AU7435883416/index.html</t>
        </is>
      </c>
    </row>
    <row r="28">
      <c r="A28" s="11" t="n">
        <v>2020</v>
      </c>
      <c r="B28" s="12" t="inlineStr">
        <is>
          <t>4WD</t>
        </is>
      </c>
      <c r="C28" s="12" t="inlineStr">
        <is>
          <t>2.2 XD プロアクティブ</t>
        </is>
      </c>
      <c r="D28" s="13" t="n">
        <v>6.4</v>
      </c>
      <c r="E28" s="14" t="n">
        <v>292.1</v>
      </c>
      <c r="F28" s="14" t="n">
        <v>279.8</v>
      </c>
      <c r="G28" s="15" t="n">
        <v>2.2</v>
      </c>
      <c r="H28" s="12" t="inlineStr">
        <is>
          <t>なし</t>
        </is>
      </c>
      <c r="I28" s="12" t="inlineStr">
        <is>
          <t>2027(R09)年03月</t>
        </is>
      </c>
      <c r="J28" s="12" t="inlineStr">
        <is>
          <t>保証付</t>
        </is>
      </c>
      <c r="K28" s="16" t="inlineStr">
        <is>
          <t>同年式の半分以下の走行（2.2万km） / 修復歴なし / 車検 2027/03 まで（残り5ヶ月） / 保証付</t>
        </is>
      </c>
      <c r="L28" s="16" t="inlineStr">
        <is>
          <t>CX-8 2.2 XD プロアクティブ Sパッケージ ディーゼルターボ 4WD 7人乗り 全方位モニター シートヒーター・ベンチレーション 純正ナビ フルセグTV ブラックレザーシート パワーシート パワーリアゲート ステアリングヒーター レーダークルーズコントロール</t>
        </is>
      </c>
      <c r="M28" s="12" t="inlineStr">
        <is>
          <t>https://www.carsensor.net/usedcar/detail/AU7172625339/index.html</t>
        </is>
      </c>
    </row>
    <row r="29">
      <c r="A29" s="6" t="n">
        <v>2020</v>
      </c>
      <c r="B29" s="7" t="inlineStr">
        <is>
          <t>4WD</t>
        </is>
      </c>
      <c r="C29" s="7" t="inlineStr">
        <is>
          <t>2.2 XD Lパッケージ</t>
        </is>
      </c>
      <c r="D29" s="17" t="n">
        <v>6.4</v>
      </c>
      <c r="E29" s="9" t="n">
        <v>327.7</v>
      </c>
      <c r="F29" s="9" t="n">
        <v>318</v>
      </c>
      <c r="G29" s="10" t="n">
        <v>0.8</v>
      </c>
      <c r="H29" s="7" t="inlineStr">
        <is>
          <t>なし</t>
        </is>
      </c>
      <c r="I29" s="7" t="inlineStr">
        <is>
          <t>2027(R09)年03月</t>
        </is>
      </c>
      <c r="J29" s="7" t="inlineStr">
        <is>
          <t>保証付</t>
        </is>
      </c>
      <c r="K29" s="16" t="inlineStr">
        <is>
          <t>同年式の半分以下の走行（0.8万km） / 修復歴なし / 車検 2027/03 まで（残り5ヶ月） / 保証付</t>
        </is>
      </c>
      <c r="L29" s="16" t="inlineStr">
        <is>
          <t>CX-8 2.2 XD Lパッケージ ディーゼルターボ 4WD マツダ認定中古車 6人乗り ナビ ETC2.0 360度モニター BOSE 白革電動シート フォグランプ ベンチレーション キャプテンシート 19AW レーンキープアシスト MRCC 社外前後ドラレコ 下取禁煙ワンオーナー</t>
        </is>
      </c>
      <c r="M29" s="7" t="inlineStr">
        <is>
          <t>https://www.carsensor.net/usedcar/detail/AU7248444860/index.html</t>
        </is>
      </c>
    </row>
    <row r="30">
      <c r="A30" s="11" t="n">
        <v>2018</v>
      </c>
      <c r="B30" s="12" t="inlineStr">
        <is>
          <t>4WD</t>
        </is>
      </c>
      <c r="C30" s="12" t="inlineStr">
        <is>
          <t>2.2 XD Lパッケージ</t>
        </is>
      </c>
      <c r="D30" s="13" t="n">
        <v>6.2</v>
      </c>
      <c r="E30" s="14" t="n">
        <v>262.6</v>
      </c>
      <c r="F30" s="14" t="n">
        <v>249.8</v>
      </c>
      <c r="G30" s="15" t="n">
        <v>3.7</v>
      </c>
      <c r="H30" s="12" t="inlineStr">
        <is>
          <t>なし</t>
        </is>
      </c>
      <c r="I30" s="12" t="inlineStr">
        <is>
          <t>2028(R10)年06月</t>
        </is>
      </c>
      <c r="J30" s="12" t="inlineStr">
        <is>
          <t>保証付</t>
        </is>
      </c>
      <c r="K30" s="16" t="inlineStr">
        <is>
          <t>走行が少なめ（3.7万km） / 修復歴なし / 車検 2028/06 まで（残り20ヶ月） / 保証付</t>
        </is>
      </c>
      <c r="L30" s="16" t="inlineStr">
        <is>
          <t>CX-8 2.2 XD Lパッケージ ディーゼルターボ 4WD ワンオーナー 後席フリップダウンモニター 純正ナビ フルセグTV バック・サイドカメラ パワーリアゲート パワーシート シートヒーター ヘッドアップディスプレイ レーダークルーズコントロール</t>
        </is>
      </c>
      <c r="M30" s="12" t="inlineStr">
        <is>
          <t>https://www.carsensor.net/usedcar/detail/AU7340495405/index.html</t>
        </is>
      </c>
    </row>
    <row r="31">
      <c r="A31" s="6" t="n">
        <v>2018</v>
      </c>
      <c r="B31" s="7" t="inlineStr">
        <is>
          <t>4WD</t>
        </is>
      </c>
      <c r="C31" s="7" t="inlineStr">
        <is>
          <t>2.2 XD プロアクティブ</t>
        </is>
      </c>
      <c r="D31" s="17" t="n">
        <v>6.2</v>
      </c>
      <c r="E31" s="9" t="n">
        <v>249.9</v>
      </c>
      <c r="F31" s="9" t="n">
        <v>237.7</v>
      </c>
      <c r="G31" s="10" t="n">
        <v>4.3</v>
      </c>
      <c r="H31" s="7" t="inlineStr">
        <is>
          <t>なし</t>
        </is>
      </c>
      <c r="I31" s="7" t="inlineStr">
        <is>
          <t>2028(R10)年06月</t>
        </is>
      </c>
      <c r="J31" s="7" t="inlineStr">
        <is>
          <t>保証付</t>
        </is>
      </c>
      <c r="K31" s="16" t="inlineStr">
        <is>
          <t>走行が少なめ（4.3万km） / 修復歴なし / 車検 2028/06 まで（残り20ヶ月） / 保証付</t>
        </is>
      </c>
      <c r="L31" s="16" t="inlineStr">
        <is>
          <t>CX-8 2.2 XD プロアクティブ ディーゼルターボ 4WD 禁煙車 マツダコネクトナビ 全周囲カメラ 衝突軽減 BSM レーダークルーズ シートヒーター 純正19AW LEDヘッド スマートキー リアオートエアコン ステアリングヒーター コーナーセンサー</t>
        </is>
      </c>
      <c r="M31" s="7" t="inlineStr">
        <is>
          <t>https://www.carsensor.net/usedcar/detail/AU7344955462/index.html</t>
        </is>
      </c>
    </row>
    <row r="32">
      <c r="A32" s="11" t="n">
        <v>2023</v>
      </c>
      <c r="B32" s="12" t="inlineStr">
        <is>
          <t>4WD</t>
        </is>
      </c>
      <c r="C32" s="12" t="inlineStr">
        <is>
          <t>2.2 XD スポーツ</t>
        </is>
      </c>
      <c r="D32" s="13" t="n">
        <v>6.2</v>
      </c>
      <c r="E32" s="14" t="n">
        <v>399.9</v>
      </c>
      <c r="F32" s="14" t="n">
        <v>387.5</v>
      </c>
      <c r="G32" s="15" t="n">
        <v>1.8</v>
      </c>
      <c r="H32" s="12" t="inlineStr">
        <is>
          <t>なし</t>
        </is>
      </c>
      <c r="I32" s="12" t="inlineStr">
        <is>
          <t>2028(R10)年07月</t>
        </is>
      </c>
      <c r="J32" s="12" t="inlineStr">
        <is>
          <t>保証付</t>
        </is>
      </c>
      <c r="K32" s="16" t="inlineStr">
        <is>
          <t>走行が少なめ（1.8万km） / 修復歴なし / 車検 2028/07 まで（残り21ヶ月） / 保証付</t>
        </is>
      </c>
      <c r="L32" s="16" t="inlineStr">
        <is>
          <t>CX-8 2.2 XD スポーツ アピアランス ディーゼルターボ 4WD 6人乗り サンルーフ 10.25型マツダコネクトナビ 360°ビューモニター ブラインドスポットモニタリング i-ACTIVESENSE BOSEサウンド 禁煙車 電動リアゲート レザーシート</t>
        </is>
      </c>
      <c r="M32" s="12" t="inlineStr">
        <is>
          <t>https://www.carsensor.net/usedcar/detail/AU7329424722/index.html</t>
        </is>
      </c>
    </row>
    <row r="33">
      <c r="A33" s="6" t="n">
        <v>2023</v>
      </c>
      <c r="B33" s="7" t="inlineStr">
        <is>
          <t>4WD</t>
        </is>
      </c>
      <c r="C33" s="7" t="inlineStr">
        <is>
          <t>2.2 XD スポーツ</t>
        </is>
      </c>
      <c r="D33" s="17" t="n">
        <v>6.1</v>
      </c>
      <c r="E33" s="9" t="n">
        <v>398.9</v>
      </c>
      <c r="F33" s="9" t="n">
        <v>386.6</v>
      </c>
      <c r="G33" s="10" t="n">
        <v>1.9</v>
      </c>
      <c r="H33" s="7" t="inlineStr">
        <is>
          <t>なし</t>
        </is>
      </c>
      <c r="I33" s="7" t="inlineStr">
        <is>
          <t>2028(R10)年05月</t>
        </is>
      </c>
      <c r="J33" s="7" t="inlineStr">
        <is>
          <t>保証付</t>
        </is>
      </c>
      <c r="K33" s="16" t="inlineStr">
        <is>
          <t>走行が少なめ（1.9万km） / 修復歴なし / 車検 2028/05 まで（残り19ヶ月） / 保証付</t>
        </is>
      </c>
      <c r="L33" s="16" t="inlineStr">
        <is>
          <t>CX-8 2.2 XD スポーツ アピアランス ディーゼルターボ 4WD 4WD ターボ ディーゼル(軽油) 7人乗り BOSEサウンド付き純正ナビ フリップダウンモニター 全周囲カメラ 衝突被害軽減システム 禁煙車 電動リアゲート ドライブレコーダー ETC レザーシート</t>
        </is>
      </c>
      <c r="M33" s="7" t="inlineStr">
        <is>
          <t>https://www.carsensor.net/usedcar/detail/AU7371010375/index.html</t>
        </is>
      </c>
    </row>
    <row r="34">
      <c r="A34" s="11" t="n">
        <v>2019</v>
      </c>
      <c r="B34" s="12" t="inlineStr">
        <is>
          <t>4WD</t>
        </is>
      </c>
      <c r="C34" s="12" t="inlineStr">
        <is>
          <t>2.2 XD Lパッケージ</t>
        </is>
      </c>
      <c r="D34" s="13" t="n">
        <v>6</v>
      </c>
      <c r="E34" s="14" t="n">
        <v>260.6</v>
      </c>
      <c r="F34" s="14" t="n">
        <v>249.8</v>
      </c>
      <c r="G34" s="15" t="n">
        <v>3.5</v>
      </c>
      <c r="H34" s="12" t="inlineStr">
        <is>
          <t>なし</t>
        </is>
      </c>
      <c r="I34" s="12" t="inlineStr">
        <is>
          <t>2028(R10)年04月</t>
        </is>
      </c>
      <c r="J34" s="12" t="inlineStr">
        <is>
          <t>保証付</t>
        </is>
      </c>
      <c r="K34" s="16" t="inlineStr">
        <is>
          <t>走行が少なめ（3.5万km） / 修復歴なし / 車検 2028/04 まで（残り18ヶ月） / 保証付</t>
        </is>
      </c>
      <c r="L34" s="16" t="inlineStr">
        <is>
          <t>CX-8 2.2 XD Lパッケージ ディーゼルターボ 純正ナビ・バックカメラ・社外ドラレコ・ETC付</t>
        </is>
      </c>
      <c r="M34" s="12" t="inlineStr">
        <is>
          <t>https://www.carsensor.net/usedcar/detail/AU7448602748/index.html</t>
        </is>
      </c>
    </row>
    <row r="35">
      <c r="A35" s="6" t="n">
        <v>2019</v>
      </c>
      <c r="B35" s="7" t="inlineStr">
        <is>
          <t>4WD</t>
        </is>
      </c>
      <c r="C35" s="7" t="inlineStr">
        <is>
          <t>2.5 25T プロアクティブ</t>
        </is>
      </c>
      <c r="D35" s="17" t="n">
        <v>5.9</v>
      </c>
      <c r="E35" s="9" t="n">
        <v>242.7</v>
      </c>
      <c r="F35" s="9" t="n">
        <v>229.8</v>
      </c>
      <c r="G35" s="10" t="n">
        <v>4.1</v>
      </c>
      <c r="H35" s="7" t="inlineStr">
        <is>
          <t>なし</t>
        </is>
      </c>
      <c r="I35" s="7" t="inlineStr">
        <is>
          <t>2028(R10)年03月</t>
        </is>
      </c>
      <c r="J35" s="7" t="inlineStr">
        <is>
          <t>保証付</t>
        </is>
      </c>
      <c r="K35" s="16" t="inlineStr">
        <is>
          <t>走行が少なめ（4.1万km） / 修復歴なし / 車検 2028/03 まで（残り17ヶ月） / 保証付</t>
        </is>
      </c>
      <c r="L35" s="16" t="inlineStr">
        <is>
          <t>CX-8 2.5 25T プロアクティブ 4WD 7人乗 BOSEサウンド 純正ナビ フルセグTV 全方位モニター Bluetooth接続 エンジンスターター ドライブレコーダー ETC 電動リアゲート メモリ付電動シート レーダークルーズコントロール</t>
        </is>
      </c>
      <c r="M35" s="7" t="inlineStr">
        <is>
          <t>https://www.carsensor.net/usedcar/detail/AU7415453524/index.html</t>
        </is>
      </c>
    </row>
    <row r="36">
      <c r="A36" s="11" t="n">
        <v>2019</v>
      </c>
      <c r="B36" s="12" t="inlineStr">
        <is>
          <t>4WD</t>
        </is>
      </c>
      <c r="C36" s="12" t="inlineStr">
        <is>
          <t>2.5 25T Lパッケージ</t>
        </is>
      </c>
      <c r="D36" s="13" t="n">
        <v>5.9</v>
      </c>
      <c r="E36" s="14" t="n">
        <v>257.9</v>
      </c>
      <c r="F36" s="14" t="n">
        <v>251</v>
      </c>
      <c r="G36" s="15" t="n">
        <v>4</v>
      </c>
      <c r="H36" s="12" t="inlineStr">
        <is>
          <t>なし</t>
        </is>
      </c>
      <c r="I36" s="12" t="inlineStr">
        <is>
          <t>2028(R10)年03月</t>
        </is>
      </c>
      <c r="J36" s="12" t="inlineStr">
        <is>
          <t>保証付</t>
        </is>
      </c>
      <c r="K36" s="16" t="inlineStr">
        <is>
          <t>走行が少なめ（4.0万km） / 修復歴なし / 車検 2028/03 まで（残り17ヶ月） / 保証付</t>
        </is>
      </c>
      <c r="L36" s="16" t="inlineStr">
        <is>
          <t>CX-8 2.5 25T Lパッケージ 4WD SDナビ/衝突安全装置/シートヒーター/全方位モニター/車線逸脱防止支援システム/シート フルレザー/電動バックドア/ヘッドランプ LED/ETC/EBD付ABS/横滑り防止装置</t>
        </is>
      </c>
      <c r="M36" s="12" t="inlineStr">
        <is>
          <t>https://www.carsensor.net/usedcar/detail/AU7387548398/index.html</t>
        </is>
      </c>
    </row>
    <row r="37">
      <c r="A37" s="6" t="n">
        <v>2021</v>
      </c>
      <c r="B37" s="7" t="inlineStr">
        <is>
          <t>4WD</t>
        </is>
      </c>
      <c r="C37" s="7" t="inlineStr">
        <is>
          <t>2.5 25S ブラックトーン</t>
        </is>
      </c>
      <c r="D37" s="17" t="n">
        <v>5.9</v>
      </c>
      <c r="E37" s="9" t="n">
        <v>311.2</v>
      </c>
      <c r="F37" s="9" t="n">
        <v>299.8</v>
      </c>
      <c r="G37" s="10" t="n">
        <v>2.9</v>
      </c>
      <c r="H37" s="7" t="inlineStr">
        <is>
          <t>なし</t>
        </is>
      </c>
      <c r="I37" s="7" t="inlineStr">
        <is>
          <t>2028(R10)年03月</t>
        </is>
      </c>
      <c r="J37" s="7" t="inlineStr">
        <is>
          <t>保証付</t>
        </is>
      </c>
      <c r="K37" s="16" t="inlineStr">
        <is>
          <t>走行が少なめ（2.9万km） / 修復歴なし / 車検 2028/03 まで（残り17ヶ月） / 保証付</t>
        </is>
      </c>
      <c r="L37" s="16" t="inlineStr">
        <is>
          <t>CX-8 2.5 25S ブラックトーン エディション 4WD マツダ認定中古車</t>
        </is>
      </c>
      <c r="M37" s="7" t="inlineStr">
        <is>
          <t>https://www.carsensor.net/usedcar/detail/AU7048457543/index.html</t>
        </is>
      </c>
    </row>
    <row r="38">
      <c r="A38" s="11" t="n">
        <v>2021</v>
      </c>
      <c r="B38" s="12" t="inlineStr">
        <is>
          <t>4WD</t>
        </is>
      </c>
      <c r="C38" s="12" t="inlineStr">
        <is>
          <t>2.2 XD ブラックトーン</t>
        </is>
      </c>
      <c r="D38" s="13" t="n">
        <v>5.9</v>
      </c>
      <c r="E38" s="14" t="n">
        <v>364.5</v>
      </c>
      <c r="F38" s="14" t="n">
        <v>354.8</v>
      </c>
      <c r="G38" s="15" t="n">
        <v>3.1</v>
      </c>
      <c r="H38" s="12" t="inlineStr">
        <is>
          <t>なし</t>
        </is>
      </c>
      <c r="I38" s="12" t="inlineStr">
        <is>
          <t>2028(R10)年03月</t>
        </is>
      </c>
      <c r="J38" s="12" t="inlineStr">
        <is>
          <t>保証付</t>
        </is>
      </c>
      <c r="K38" s="16" t="inlineStr">
        <is>
          <t>走行が少なめ（3.1万km） / 修復歴なし / 車検 2028/03 まで（残り17ヶ月） / 保証付</t>
        </is>
      </c>
      <c r="L38" s="16" t="inlineStr">
        <is>
          <t>CX-8 2.2 XD ブラックトーン エディション ディーゼルターボ 4WD 全周囲カメラ</t>
        </is>
      </c>
      <c r="M38" s="12" t="inlineStr">
        <is>
          <t>https://www.carsensor.net/usedcar/detail/AU7073798262/index.html</t>
        </is>
      </c>
    </row>
    <row r="39">
      <c r="A39" s="6" t="n">
        <v>2021</v>
      </c>
      <c r="B39" s="7" t="inlineStr">
        <is>
          <t>4WD</t>
        </is>
      </c>
      <c r="C39" s="7" t="inlineStr">
        <is>
          <t>2.2 XD エクスクルーシブ</t>
        </is>
      </c>
      <c r="D39" s="17" t="n">
        <v>5.9</v>
      </c>
      <c r="E39" s="9" t="n">
        <v>344.4</v>
      </c>
      <c r="F39" s="9" t="n">
        <v>333.3</v>
      </c>
      <c r="G39" s="10" t="n">
        <v>2.6</v>
      </c>
      <c r="H39" s="7" t="inlineStr">
        <is>
          <t>なし</t>
        </is>
      </c>
      <c r="I39" s="7" t="inlineStr">
        <is>
          <t>2028(R10)年03月</t>
        </is>
      </c>
      <c r="J39" s="7" t="inlineStr">
        <is>
          <t>保証付</t>
        </is>
      </c>
      <c r="K39" s="16" t="inlineStr">
        <is>
          <t>走行が少なめ（2.6万km） / 修復歴なし / 車検 2028/03 まで（残り17ヶ月） / 保証付</t>
        </is>
      </c>
      <c r="L39" s="16" t="inlineStr">
        <is>
          <t>CX-8 2.2 XD エクスクルーシブ モード ディーゼルターボ 4WD 360度モニター BOSEサウンド Fベンチレー</t>
        </is>
      </c>
      <c r="M39" s="7" t="inlineStr">
        <is>
          <t>https://www.carsensor.net/usedcar/detail/AU7290342572/index.html</t>
        </is>
      </c>
    </row>
    <row r="40">
      <c r="A40" s="11" t="n">
        <v>2021</v>
      </c>
      <c r="B40" s="12" t="inlineStr">
        <is>
          <t>4WD</t>
        </is>
      </c>
      <c r="C40" s="12" t="inlineStr">
        <is>
          <t>2.2 XD Lパッケージ</t>
        </is>
      </c>
      <c r="D40" s="13" t="n">
        <v>5.9</v>
      </c>
      <c r="E40" s="14" t="n">
        <v>348</v>
      </c>
      <c r="F40" s="14" t="n">
        <v>335.5</v>
      </c>
      <c r="G40" s="15" t="n">
        <v>3.1</v>
      </c>
      <c r="H40" s="12" t="inlineStr">
        <is>
          <t>なし</t>
        </is>
      </c>
      <c r="I40" s="12" t="inlineStr">
        <is>
          <t>2028(R10)年03月</t>
        </is>
      </c>
      <c r="J40" s="12" t="inlineStr">
        <is>
          <t>保証付</t>
        </is>
      </c>
      <c r="K40" s="16" t="inlineStr">
        <is>
          <t>走行が少なめ（3.1万km） / 修復歴なし / 車検 2028/03 まで（残り17ヶ月） / 保証付</t>
        </is>
      </c>
      <c r="L40" s="16" t="inlineStr">
        <is>
          <t>CX-8 2.2 XD Lパッケージ ディーゼルターボ 4WD XD L-PKG</t>
        </is>
      </c>
      <c r="M40" s="12" t="inlineStr">
        <is>
          <t>https://www.carsensor.net/usedcar/detail/AU7169431940/index.html</t>
        </is>
      </c>
    </row>
    <row r="41">
      <c r="A41" s="6" t="n">
        <v>2021</v>
      </c>
      <c r="B41" s="7" t="inlineStr">
        <is>
          <t>4WD</t>
        </is>
      </c>
      <c r="C41" s="7" t="inlineStr">
        <is>
          <t>2.2 XD エクスクルーシブ</t>
        </is>
      </c>
      <c r="D41" s="17" t="n">
        <v>5.9</v>
      </c>
      <c r="E41" s="9" t="n">
        <v>366.1</v>
      </c>
      <c r="F41" s="9" t="n">
        <v>355.5</v>
      </c>
      <c r="G41" s="10" t="n">
        <v>2.7</v>
      </c>
      <c r="H41" s="7" t="inlineStr">
        <is>
          <t>なし</t>
        </is>
      </c>
      <c r="I41" s="7" t="inlineStr">
        <is>
          <t>2028(R10)年03月</t>
        </is>
      </c>
      <c r="J41" s="7" t="inlineStr">
        <is>
          <t>保証付</t>
        </is>
      </c>
      <c r="K41" s="16" t="inlineStr">
        <is>
          <t>走行が少なめ（2.7万km） / 修復歴なし / 車検 2028/03 まで（残り17ヶ月） / 保証付</t>
        </is>
      </c>
      <c r="L41" s="16" t="inlineStr">
        <is>
          <t>CX-8 2.2 XD エクスクルーシブ モード ディーゼルターボ 4WD ディーゼルターボ 10.25インチマツダコネ</t>
        </is>
      </c>
      <c r="M41" s="7" t="inlineStr">
        <is>
          <t>https://www.carsensor.net/usedcar/detail/AU7283770442/index.html</t>
        </is>
      </c>
    </row>
    <row r="42">
      <c r="A42" s="11" t="n">
        <v>2023</v>
      </c>
      <c r="B42" s="12" t="inlineStr">
        <is>
          <t>4WD</t>
        </is>
      </c>
      <c r="C42" s="12" t="inlineStr">
        <is>
          <t>2.2 XD エクスクルーシブ</t>
        </is>
      </c>
      <c r="D42" s="13" t="n">
        <v>5.9</v>
      </c>
      <c r="E42" s="14" t="n">
        <v>413.6</v>
      </c>
      <c r="F42" s="14" t="n">
        <v>399</v>
      </c>
      <c r="G42" s="15" t="n">
        <v>2</v>
      </c>
      <c r="H42" s="12" t="inlineStr">
        <is>
          <t>なし</t>
        </is>
      </c>
      <c r="I42" s="12" t="inlineStr">
        <is>
          <t>2028(R10)年03月</t>
        </is>
      </c>
      <c r="J42" s="12" t="inlineStr">
        <is>
          <t>保証付</t>
        </is>
      </c>
      <c r="K42" s="16" t="inlineStr">
        <is>
          <t>走行が少なめ（2.0万km） / 修復歴なし / 車検 2028/03 まで（残り17ヶ月） / 保証付</t>
        </is>
      </c>
      <c r="L42" s="16" t="inlineStr">
        <is>
          <t>CX-8 2.2 XD エクスクルーシブ モード ディーゼルターボ 4WD 電動スライドガラスルーフ BOSEスピーカー フルレザーシート 後席ベンチレーション 360°ビュー・モニター フルセグTV ETC パワーシート レーダークルーズコントロール 4WD シートヒーター ベンチレーション</t>
        </is>
      </c>
      <c r="M42" s="12" t="inlineStr">
        <is>
          <t>https://www.carsensor.net/usedcar/detail/AU7338792928/index.html</t>
        </is>
      </c>
    </row>
    <row r="43">
      <c r="A43" s="6" t="n">
        <v>2019</v>
      </c>
      <c r="B43" s="7" t="inlineStr">
        <is>
          <t>4WD</t>
        </is>
      </c>
      <c r="C43" s="7" t="inlineStr">
        <is>
          <t>2.2 XD Lパッケージ</t>
        </is>
      </c>
      <c r="D43" s="17" t="n">
        <v>5.8</v>
      </c>
      <c r="E43" s="9" t="n">
        <v>271.8</v>
      </c>
      <c r="F43" s="9" t="n">
        <v>265.4</v>
      </c>
      <c r="G43" s="10" t="n">
        <v>3.9</v>
      </c>
      <c r="H43" s="7" t="inlineStr">
        <is>
          <t>なし</t>
        </is>
      </c>
      <c r="I43" s="7" t="inlineStr">
        <is>
          <t>2028(R10)年02月</t>
        </is>
      </c>
      <c r="J43" s="7" t="inlineStr">
        <is>
          <t>保証付</t>
        </is>
      </c>
      <c r="K43" s="16" t="inlineStr">
        <is>
          <t>走行が少なめ（3.9万km） / 修復歴なし / 車検 2028/02 まで（残り16ヶ月） / 保証付</t>
        </is>
      </c>
      <c r="L43" s="16" t="inlineStr">
        <is>
          <t>CX-8 2.2 XD Lパッケージ ディーゼルターボ 4WD 純正ナビ BT BOSEサウンド 全方位モニター</t>
        </is>
      </c>
      <c r="M43" s="7" t="inlineStr">
        <is>
          <t>https://www.carsensor.net/usedcar/detail/AU7306828640/index.html</t>
        </is>
      </c>
    </row>
    <row r="44">
      <c r="A44" s="11" t="n">
        <v>2019</v>
      </c>
      <c r="B44" s="12" t="inlineStr">
        <is>
          <t>4WD</t>
        </is>
      </c>
      <c r="C44" s="12" t="inlineStr">
        <is>
          <t>2.2 XD Lパッケージ</t>
        </is>
      </c>
      <c r="D44" s="13" t="n">
        <v>5.8</v>
      </c>
      <c r="E44" s="14" t="n">
        <v>210.4</v>
      </c>
      <c r="F44" s="14" t="n">
        <v>199.5</v>
      </c>
      <c r="G44" s="15" t="n">
        <v>3.1</v>
      </c>
      <c r="H44" s="12" t="inlineStr">
        <is>
          <t>なし</t>
        </is>
      </c>
      <c r="I44" s="12" t="inlineStr">
        <is>
          <t>2028(R10)年02月</t>
        </is>
      </c>
      <c r="J44" s="12" t="inlineStr">
        <is>
          <t>保証付</t>
        </is>
      </c>
      <c r="K44" s="16" t="inlineStr">
        <is>
          <t>走行が少なめ（3.1万km） / 修復歴なし / 車検 2028/02 まで（残り16ヶ月） / 保証付</t>
        </is>
      </c>
      <c r="L44" s="16" t="inlineStr">
        <is>
          <t>CX-8 2.2 XD Lパッケージ ディーゼルターボ 4WD SDナビ フルセグTV ETC2.0 全方位カメラ 電動リヤドア ワンオーナー 禁煙車 レザーシート シートヒーター</t>
        </is>
      </c>
      <c r="M44" s="12" t="inlineStr">
        <is>
          <t>https://www.carsensor.net/usedcar/detail/AU7216730300/index.html</t>
        </is>
      </c>
    </row>
    <row r="45">
      <c r="A45" s="6" t="n">
        <v>2019</v>
      </c>
      <c r="B45" s="7" t="inlineStr">
        <is>
          <t>4WD</t>
        </is>
      </c>
      <c r="C45" s="7" t="inlineStr">
        <is>
          <t>2.5 25T Lパッケージ</t>
        </is>
      </c>
      <c r="D45" s="17" t="n">
        <v>5.8</v>
      </c>
      <c r="E45" s="9" t="n">
        <v>275.7</v>
      </c>
      <c r="F45" s="9" t="n">
        <v>266.9</v>
      </c>
      <c r="G45" s="10" t="n">
        <v>3.6</v>
      </c>
      <c r="H45" s="7" t="inlineStr">
        <is>
          <t>なし</t>
        </is>
      </c>
      <c r="I45" s="7" t="inlineStr">
        <is>
          <t>2028(R10)年02月</t>
        </is>
      </c>
      <c r="J45" s="7" t="inlineStr">
        <is>
          <t>保証付</t>
        </is>
      </c>
      <c r="K45" s="16" t="inlineStr">
        <is>
          <t>走行が少なめ（3.6万km） / 修復歴なし / 車検 2028/02 まで（残り16ヶ月） / 保証付</t>
        </is>
      </c>
      <c r="L45" s="16" t="inlineStr">
        <is>
          <t>CX-8 2.5 25T Lパッケージ 4WD 純正ナビ フルセグTV 全方位カメラ スマートシティブレーキサポート レーンキープアシスト パワーバックドア</t>
        </is>
      </c>
      <c r="M45" s="7" t="inlineStr">
        <is>
          <t>https://www.carsensor.net/usedcar/detail/AU7104239780/index.html</t>
        </is>
      </c>
    </row>
    <row r="46">
      <c r="A46" s="11" t="n">
        <v>2023</v>
      </c>
      <c r="B46" s="12" t="inlineStr">
        <is>
          <t>4WD</t>
        </is>
      </c>
      <c r="C46" s="12" t="inlineStr">
        <is>
          <t>2.2 XD スポーツ</t>
        </is>
      </c>
      <c r="D46" s="13" t="n">
        <v>5.8</v>
      </c>
      <c r="E46" s="14" t="n">
        <v>390.8</v>
      </c>
      <c r="F46" s="14" t="n">
        <v>379.9</v>
      </c>
      <c r="G46" s="15" t="n">
        <v>1.7</v>
      </c>
      <c r="H46" s="12" t="inlineStr">
        <is>
          <t>なし</t>
        </is>
      </c>
      <c r="I46" s="12" t="inlineStr">
        <is>
          <t>2028(R10)年01月</t>
        </is>
      </c>
      <c r="J46" s="12" t="inlineStr">
        <is>
          <t>保証付</t>
        </is>
      </c>
      <c r="K46" s="16" t="inlineStr">
        <is>
          <t>走行が少なめ（1.7万km） / 修復歴なし / 車検 2028/01 まで（残り15ヶ月） / 保証付</t>
        </is>
      </c>
      <c r="L46" s="16" t="inlineStr">
        <is>
          <t>CX-8 2.2 XD スポーツ アピアランス ディーゼルターボ 4WD 10.25インチマツダコネクト ETC 360°モ</t>
        </is>
      </c>
      <c r="M46" s="12" t="inlineStr">
        <is>
          <t>https://www.carsensor.net/usedcar/detail/AU7306806530/index.html</t>
        </is>
      </c>
    </row>
    <row r="47">
      <c r="A47" s="6" t="n">
        <v>2023</v>
      </c>
      <c r="B47" s="7" t="inlineStr">
        <is>
          <t>4WD</t>
        </is>
      </c>
      <c r="C47" s="7" t="inlineStr">
        <is>
          <t>2.2 XD グランド</t>
        </is>
      </c>
      <c r="D47" s="17" t="n">
        <v>5.8</v>
      </c>
      <c r="E47" s="9" t="n">
        <v>385.7</v>
      </c>
      <c r="F47" s="9" t="n">
        <v>374.8</v>
      </c>
      <c r="G47" s="10" t="n">
        <v>2</v>
      </c>
      <c r="H47" s="7" t="inlineStr">
        <is>
          <t>なし</t>
        </is>
      </c>
      <c r="I47" s="7" t="inlineStr">
        <is>
          <t>2028(R10)年01月</t>
        </is>
      </c>
      <c r="J47" s="7" t="inlineStr">
        <is>
          <t>保証付</t>
        </is>
      </c>
      <c r="K47" s="16" t="inlineStr">
        <is>
          <t>走行が少なめ（2.0万km） / 修復歴なし / 車検 2028/01 まで（残り15ヶ月） / 保証付</t>
        </is>
      </c>
      <c r="L47" s="16" t="inlineStr">
        <is>
          <t>CX-8 2.2 XD グランド ジャーニー ディーゼルターボ 4WD ・MTモード付AT・LEDヘッドライト・オート</t>
        </is>
      </c>
      <c r="M47" s="7" t="inlineStr">
        <is>
          <t>https://www.carsensor.net/usedcar/detail/AU7383048023/index.html</t>
        </is>
      </c>
    </row>
    <row r="48">
      <c r="A48" s="11" t="n">
        <v>2018</v>
      </c>
      <c r="B48" s="12" t="inlineStr">
        <is>
          <t>4WD</t>
        </is>
      </c>
      <c r="C48" s="12" t="inlineStr">
        <is>
          <t>2.2 XD プロアクティブ</t>
        </is>
      </c>
      <c r="D48" s="13" t="n">
        <v>5.7</v>
      </c>
      <c r="E48" s="14" t="n">
        <v>253.9</v>
      </c>
      <c r="F48" s="14" t="n">
        <v>241.9</v>
      </c>
      <c r="G48" s="15" t="n">
        <v>3.9</v>
      </c>
      <c r="H48" s="12" t="inlineStr">
        <is>
          <t>なし</t>
        </is>
      </c>
      <c r="I48" s="12" t="inlineStr">
        <is>
          <t>2027(R09)年12月</t>
        </is>
      </c>
      <c r="J48" s="12" t="inlineStr">
        <is>
          <t>保証付</t>
        </is>
      </c>
      <c r="K48" s="16" t="inlineStr">
        <is>
          <t>走行が少なめ（3.9万km） / 修復歴なし / 車検 2027/12 まで（残り14ヶ月） / 保証付</t>
        </is>
      </c>
      <c r="L48" s="16" t="inlineStr">
        <is>
          <t>CX-8 2.2 XD プロアクティブ ディーゼルターボ 4WD 4WD ターボ ディーゼル マツダコネクト 全周囲カメラ BOSE アドバンストスマートシティブレーキサポート 禁煙車 電動ゲート パワーシート ドラレコ コーナーセンサー スマートキー LED</t>
        </is>
      </c>
      <c r="M48" s="12" t="inlineStr">
        <is>
          <t>https://www.carsensor.net/usedcar/detail/AU7277010581/index.html</t>
        </is>
      </c>
    </row>
    <row r="49">
      <c r="A49" s="6" t="n">
        <v>2018</v>
      </c>
      <c r="B49" s="7" t="inlineStr">
        <is>
          <t>4WD</t>
        </is>
      </c>
      <c r="C49" s="7" t="inlineStr">
        <is>
          <t>2.5 25T プロアクティブ</t>
        </is>
      </c>
      <c r="D49" s="17" t="n">
        <v>5.7</v>
      </c>
      <c r="E49" s="9" t="n">
        <v>227.9</v>
      </c>
      <c r="F49" s="9" t="n">
        <v>221.2</v>
      </c>
      <c r="G49" s="10" t="n">
        <v>4.3</v>
      </c>
      <c r="H49" s="7" t="inlineStr">
        <is>
          <t>なし</t>
        </is>
      </c>
      <c r="I49" s="7" t="inlineStr">
        <is>
          <t>2027(R09)年12月</t>
        </is>
      </c>
      <c r="J49" s="7" t="inlineStr">
        <is>
          <t>保証付</t>
        </is>
      </c>
      <c r="K49" s="16" t="inlineStr">
        <is>
          <t>走行が少なめ（4.3万km） / 修復歴なし / 車検 2027/12 まで（残り14ヶ月） / 保証付</t>
        </is>
      </c>
      <c r="L49" s="16" t="inlineStr">
        <is>
          <t>CX-8 2.5 25T プロアクティブ 4WD SDナビ/衝突安全装置/シートヒーター/車線逸脱防止支援システム/ヘッドランプ LED/ETC/EBD付ABS/横滑り防止装置/アイドリングストップ/サイドモニター/バックモニター</t>
        </is>
      </c>
      <c r="M49" s="7" t="inlineStr">
        <is>
          <t>https://www.carsensor.net/usedcar/detail/AU7329683316/index.html</t>
        </is>
      </c>
    </row>
    <row r="50">
      <c r="A50" s="11" t="n">
        <v>2022</v>
      </c>
      <c r="B50" s="12" t="inlineStr">
        <is>
          <t>4WD</t>
        </is>
      </c>
      <c r="C50" s="12" t="inlineStr">
        <is>
          <t>2.2 XD グランド</t>
        </is>
      </c>
      <c r="D50" s="13" t="n">
        <v>5.7</v>
      </c>
      <c r="E50" s="14" t="n">
        <v>355</v>
      </c>
      <c r="F50" s="14" t="n">
        <v>345</v>
      </c>
      <c r="G50" s="15" t="n">
        <v>3.2</v>
      </c>
      <c r="H50" s="12" t="inlineStr">
        <is>
          <t>なし</t>
        </is>
      </c>
      <c r="I50" s="12" t="inlineStr">
        <is>
          <t>2027(R09)年12月</t>
        </is>
      </c>
      <c r="J50" s="12" t="inlineStr">
        <is>
          <t>保証付</t>
        </is>
      </c>
      <c r="K50" s="16" t="inlineStr">
        <is>
          <t>走行が少なめ（3.2万km） / 修復歴なし / 車検 2027/12 まで（残り14ヶ月） / 保証付</t>
        </is>
      </c>
      <c r="L50" s="16" t="inlineStr">
        <is>
          <t>CX-8 2.2 XD グランド ジャーニー ディーゼルターボ 4WD</t>
        </is>
      </c>
      <c r="M50" s="12" t="inlineStr">
        <is>
          <t>https://www.carsensor.net/usedcar/detail/AU7341488530/index.html</t>
        </is>
      </c>
    </row>
    <row r="51">
      <c r="A51" s="6" t="n">
        <v>2018</v>
      </c>
      <c r="B51" s="7" t="inlineStr">
        <is>
          <t>4WD</t>
        </is>
      </c>
      <c r="C51" s="7" t="inlineStr">
        <is>
          <t>2.5 25T プロアクティブ</t>
        </is>
      </c>
      <c r="D51" s="17" t="n">
        <v>5.6</v>
      </c>
      <c r="E51" s="9" t="n">
        <v>239.8</v>
      </c>
      <c r="F51" s="9" t="n">
        <v>233.5</v>
      </c>
      <c r="G51" s="10" t="n">
        <v>3.4</v>
      </c>
      <c r="H51" s="7" t="inlineStr">
        <is>
          <t>なし</t>
        </is>
      </c>
      <c r="I51" s="7" t="inlineStr">
        <is>
          <t>2027(R09)年11月</t>
        </is>
      </c>
      <c r="J51" s="7" t="inlineStr">
        <is>
          <t>保証付</t>
        </is>
      </c>
      <c r="K51" s="16" t="inlineStr">
        <is>
          <t>走行が少なめ（3.4万km） / 修復歴なし / 車検 2027/11 まで（残り13ヶ月） / 保証付</t>
        </is>
      </c>
      <c r="L51" s="16" t="inlineStr">
        <is>
          <t>CX-8 2.5 25T プロアクティブ 4WD 純正ナビ TV 全方位カメラ 衝突軽減ブレーキ 車線逸脱防止 レーダークルーズコントロール ブラインドスポット LEDヘッドライト シートヒーター ステアリングヒーター パワーバックドア パワーシート</t>
        </is>
      </c>
      <c r="M51" s="7" t="inlineStr">
        <is>
          <t>https://www.carsensor.net/usedcar/detail/AU7231741118/index.html</t>
        </is>
      </c>
    </row>
    <row r="52">
      <c r="A52" s="11" t="n">
        <v>2019</v>
      </c>
      <c r="B52" s="12" t="inlineStr">
        <is>
          <t>4WD</t>
        </is>
      </c>
      <c r="C52" s="12" t="inlineStr">
        <is>
          <t>2.2 XD プロアクティブ</t>
        </is>
      </c>
      <c r="D52" s="13" t="n">
        <v>5.6</v>
      </c>
      <c r="E52" s="14" t="n">
        <v>194.8</v>
      </c>
      <c r="F52" s="14" t="n">
        <v>187.9</v>
      </c>
      <c r="G52" s="15" t="n">
        <v>8.300000000000001</v>
      </c>
      <c r="H52" s="12" t="inlineStr">
        <is>
          <t>なし</t>
        </is>
      </c>
      <c r="I52" s="12" t="inlineStr">
        <is>
          <t>2028(R10)年05月</t>
        </is>
      </c>
      <c r="J52" s="12" t="inlineStr">
        <is>
          <t>保証付</t>
        </is>
      </c>
      <c r="K52" s="16" t="inlineStr">
        <is>
          <t>修復歴なし / 車検 2028/05 まで（残り19ヶ月） / 保証付 / 同年式より安い（中央値 231万）</t>
        </is>
      </c>
      <c r="L52" s="16" t="inlineStr">
        <is>
          <t>CX-8 2.2 XD プロアクティブ ディーゼルターボ 4WD 衝突軽減ブレーキ フリップダウンモニター 純正SDナビ 全方位カメラ レーダークルーズコントロール LEDオートライト シートヒーター 純正19インチアルミホイール ステアリングスイッチ スマートキー</t>
        </is>
      </c>
      <c r="M52" s="12" t="inlineStr">
        <is>
          <t>https://www.carsensor.net/usedcar/detail/AU7357605943/index.html</t>
        </is>
      </c>
    </row>
    <row r="53">
      <c r="A53" s="6" t="n">
        <v>2023</v>
      </c>
      <c r="B53" s="7" t="inlineStr">
        <is>
          <t>4WD</t>
        </is>
      </c>
      <c r="C53" s="7" t="inlineStr">
        <is>
          <t>2.5 25S グランド</t>
        </is>
      </c>
      <c r="D53" s="17" t="n">
        <v>5.6</v>
      </c>
      <c r="E53" s="9" t="n">
        <v>296.9</v>
      </c>
      <c r="F53" s="9" t="n">
        <v>279.9</v>
      </c>
      <c r="G53" s="10" t="n">
        <v>4.2</v>
      </c>
      <c r="H53" s="7" t="inlineStr">
        <is>
          <t>なし</t>
        </is>
      </c>
      <c r="I53" s="7" t="inlineStr">
        <is>
          <t>2028(R10)年05月</t>
        </is>
      </c>
      <c r="J53" s="7" t="inlineStr">
        <is>
          <t>保証付</t>
        </is>
      </c>
      <c r="K53" s="16" t="inlineStr">
        <is>
          <t>修復歴なし / 車検 2028/05 まで（残り19ヶ月） / 保証付 / 同年式より安い（中央値 348万）</t>
        </is>
      </c>
      <c r="L53" s="16" t="inlineStr">
        <is>
          <t>CX-8 2.5 25S グランド ジャーニー 4WD i-ACTIVSENSE・フルセグナビ・F/S/Bカメラ・BTオーディオ・パワーリアゲート・19AW・LKA・BSM・アイドリングストップ・ETC・ハーフレザーシート・シートヒーター</t>
        </is>
      </c>
      <c r="M53" s="7" t="inlineStr">
        <is>
          <t>https://www.carsensor.net/usedcar/detail/AU7360252044/index.html</t>
        </is>
      </c>
    </row>
    <row r="54">
      <c r="A54" s="11" t="n">
        <v>2017</v>
      </c>
      <c r="B54" s="12" t="inlineStr">
        <is>
          <t>4WD</t>
        </is>
      </c>
      <c r="C54" s="12" t="inlineStr">
        <is>
          <t>2.2 XD Lパッケージ</t>
        </is>
      </c>
      <c r="D54" s="13" t="n">
        <v>5.5</v>
      </c>
      <c r="E54" s="14" t="n">
        <v>262.7</v>
      </c>
      <c r="F54" s="14" t="n">
        <v>249</v>
      </c>
      <c r="G54" s="15" t="n">
        <v>3.7</v>
      </c>
      <c r="H54" s="12" t="inlineStr">
        <is>
          <t>なし</t>
        </is>
      </c>
      <c r="I54" s="12" t="inlineStr">
        <is>
          <t>車検整備付</t>
        </is>
      </c>
      <c r="J54" s="12" t="inlineStr">
        <is>
          <t>保証付</t>
        </is>
      </c>
      <c r="K54" s="16" t="inlineStr">
        <is>
          <t>走行が少なめ（3.7万km） / 修復歴なし / 車検整備付 / 保証付</t>
        </is>
      </c>
      <c r="L54" s="16" t="inlineStr">
        <is>
          <t>CX-8 2.2 XD Lパッケージ ディーゼルターボ 4WD 全周囲カメラ 電動リアゲート</t>
        </is>
      </c>
      <c r="M54" s="12" t="inlineStr">
        <is>
          <t>https://www.carsensor.net/usedcar/detail/AU7256196899/index.html</t>
        </is>
      </c>
    </row>
    <row r="55">
      <c r="A55" s="6" t="n">
        <v>2017</v>
      </c>
      <c r="B55" s="7" t="inlineStr">
        <is>
          <t>4WD</t>
        </is>
      </c>
      <c r="C55" s="7" t="inlineStr">
        <is>
          <t>2.2 XD Lパッケージ</t>
        </is>
      </c>
      <c r="D55" s="17" t="n">
        <v>5.5</v>
      </c>
      <c r="E55" s="9" t="n">
        <v>230.3</v>
      </c>
      <c r="F55" s="9" t="n">
        <v>211.8</v>
      </c>
      <c r="G55" s="10" t="n">
        <v>4.2</v>
      </c>
      <c r="H55" s="7" t="inlineStr">
        <is>
          <t>なし</t>
        </is>
      </c>
      <c r="I55" s="7" t="inlineStr">
        <is>
          <t>車検整備付</t>
        </is>
      </c>
      <c r="J55" s="7" t="inlineStr">
        <is>
          <t>保証付</t>
        </is>
      </c>
      <c r="K55" s="16" t="inlineStr">
        <is>
          <t>走行が少なめ（4.2万km） / 修復歴なし / 車検整備付 / 保証付</t>
        </is>
      </c>
      <c r="L55" s="16" t="inlineStr">
        <is>
          <t>CX-8 2.2 XD Lパッケージ ディーゼルターボ ETC・360°ビューカメラ</t>
        </is>
      </c>
      <c r="M55" s="7" t="inlineStr">
        <is>
          <t>https://www.carsensor.net/usedcar/detail/AU7036751997/index.html</t>
        </is>
      </c>
    </row>
    <row r="56">
      <c r="A56" s="11" t="n">
        <v>2018</v>
      </c>
      <c r="B56" s="12" t="inlineStr">
        <is>
          <t>4WD</t>
        </is>
      </c>
      <c r="C56" s="12" t="inlineStr">
        <is>
          <t>2.2 XD Lパッケージ</t>
        </is>
      </c>
      <c r="D56" s="13" t="n">
        <v>5.5</v>
      </c>
      <c r="E56" s="14" t="n">
        <v>229.8</v>
      </c>
      <c r="F56" s="14" t="n">
        <v>219.8</v>
      </c>
      <c r="G56" s="15" t="n">
        <v>4</v>
      </c>
      <c r="H56" s="12" t="inlineStr">
        <is>
          <t>なし</t>
        </is>
      </c>
      <c r="I56" s="12" t="inlineStr">
        <is>
          <t>車検整備付</t>
        </is>
      </c>
      <c r="J56" s="12" t="inlineStr">
        <is>
          <t>保証付</t>
        </is>
      </c>
      <c r="K56" s="16" t="inlineStr">
        <is>
          <t>走行が少なめ（4.0万km） / 修復歴なし / 車検整備付 / 保証付</t>
        </is>
      </c>
      <c r="L56" s="16" t="inlineStr">
        <is>
          <t>CX-8 2.2 XD Lパッケージ ディーゼルターボ 4WD 純正ナビ 茶革 全周囲カメラ パワーバックドア パワーシート シートヒーター レーダークルーズ ヘッドアップディスプレイ ステアリングヒーター 衝突軽減ブレーキ スマホ連携 フルセグTV ETC</t>
        </is>
      </c>
      <c r="M56" s="12" t="inlineStr">
        <is>
          <t>https://www.carsensor.net/usedcar/detail/AU7348628564/index.html</t>
        </is>
      </c>
    </row>
    <row r="57">
      <c r="A57" s="6" t="n">
        <v>2018</v>
      </c>
      <c r="B57" s="7" t="inlineStr">
        <is>
          <t>4WD</t>
        </is>
      </c>
      <c r="C57" s="7" t="inlineStr">
        <is>
          <t>2.2 XD Lパッケージ</t>
        </is>
      </c>
      <c r="D57" s="17" t="n">
        <v>5.5</v>
      </c>
      <c r="E57" s="9" t="n">
        <v>258.5</v>
      </c>
      <c r="F57" s="9" t="n">
        <v>239.8</v>
      </c>
      <c r="G57" s="10" t="n">
        <v>3.8</v>
      </c>
      <c r="H57" s="7" t="inlineStr">
        <is>
          <t>なし</t>
        </is>
      </c>
      <c r="I57" s="7" t="inlineStr">
        <is>
          <t>車検整備付</t>
        </is>
      </c>
      <c r="J57" s="7" t="inlineStr">
        <is>
          <t>保証付</t>
        </is>
      </c>
      <c r="K57" s="16" t="inlineStr">
        <is>
          <t>走行が少なめ（3.8万km） / 修復歴なし / 車検整備付 / 保証付</t>
        </is>
      </c>
      <c r="L57" s="16" t="inlineStr">
        <is>
          <t>CX-8 2.2 XD Lパッケージ ディーゼルターボ 4WD 黒革シート 全周囲カメラ フルセグTV</t>
        </is>
      </c>
      <c r="M57" s="7" t="inlineStr">
        <is>
          <t>https://www.carsensor.net/usedcar/detail/AU6094131117/index.html</t>
        </is>
      </c>
    </row>
    <row r="58">
      <c r="A58" s="11" t="n">
        <v>2018</v>
      </c>
      <c r="B58" s="12" t="inlineStr">
        <is>
          <t>4WD</t>
        </is>
      </c>
      <c r="C58" s="12" t="inlineStr">
        <is>
          <t>2.2 XD Lパッケージ</t>
        </is>
      </c>
      <c r="D58" s="13" t="n">
        <v>5.5</v>
      </c>
      <c r="E58" s="14" t="n">
        <v>295.4</v>
      </c>
      <c r="F58" s="14" t="n">
        <v>279.8</v>
      </c>
      <c r="G58" s="15" t="n">
        <v>4</v>
      </c>
      <c r="H58" s="12" t="inlineStr">
        <is>
          <t>なし</t>
        </is>
      </c>
      <c r="I58" s="12" t="inlineStr">
        <is>
          <t>車検整備付</t>
        </is>
      </c>
      <c r="J58" s="12" t="inlineStr">
        <is>
          <t>保証付</t>
        </is>
      </c>
      <c r="K58" s="16" t="inlineStr">
        <is>
          <t>走行が少なめ（4.0万km） / 修復歴なし / 車検整備付 / 保証付</t>
        </is>
      </c>
      <c r="L58" s="16" t="inlineStr">
        <is>
          <t>CX-8 2.2 XD Lパッケージ ディーゼルターボ 4WD ETC安全装備付き</t>
        </is>
      </c>
      <c r="M58" s="12" t="inlineStr">
        <is>
          <t>https://www.carsensor.net/usedcar/detail/AU5888184445/index.html</t>
        </is>
      </c>
    </row>
    <row r="59">
      <c r="A59" s="6" t="n">
        <v>2018</v>
      </c>
      <c r="B59" s="7" t="inlineStr">
        <is>
          <t>4WD</t>
        </is>
      </c>
      <c r="C59" s="7" t="inlineStr">
        <is>
          <t>2.2 XD Lパッケージ</t>
        </is>
      </c>
      <c r="D59" s="17" t="n">
        <v>5.5</v>
      </c>
      <c r="E59" s="9" t="n">
        <v>219.9</v>
      </c>
      <c r="F59" s="9" t="n">
        <v>196.4</v>
      </c>
      <c r="G59" s="10" t="n">
        <v>5.1</v>
      </c>
      <c r="H59" s="7" t="inlineStr">
        <is>
          <t>なし</t>
        </is>
      </c>
      <c r="I59" s="7" t="inlineStr">
        <is>
          <t>車検整備付</t>
        </is>
      </c>
      <c r="J59" s="7" t="inlineStr">
        <is>
          <t>保証付</t>
        </is>
      </c>
      <c r="K59" s="16" t="inlineStr">
        <is>
          <t>走行が少なめ（5.1万km） / 修復歴なし / 車検整備付 / 保証付</t>
        </is>
      </c>
      <c r="L59" s="16" t="inlineStr">
        <is>
          <t>CX-8 2.2 XD Lパッケージ ディーゼルターボ 4WD アルパイン9インチSDナビ・Bluetoothオーディオ・フルセグ・Bカメラ・フリップダウンモニター・コーナーセンサー・レーンキーピング・プリクラッシュセーフティー・両側パワースライドドア・ETC・</t>
        </is>
      </c>
      <c r="M59" s="7" t="inlineStr">
        <is>
          <t>https://www.carsensor.net/usedcar/detail/AU7212610890/index.html</t>
        </is>
      </c>
    </row>
    <row r="60">
      <c r="A60" s="11" t="n">
        <v>2018</v>
      </c>
      <c r="B60" s="12" t="inlineStr">
        <is>
          <t>4WD</t>
        </is>
      </c>
      <c r="C60" s="12" t="inlineStr">
        <is>
          <t>2.2 XD プロアクティブ</t>
        </is>
      </c>
      <c r="D60" s="13" t="n">
        <v>5.5</v>
      </c>
      <c r="E60" s="14" t="n">
        <v>219.8</v>
      </c>
      <c r="F60" s="14" t="n">
        <v>211.2</v>
      </c>
      <c r="G60" s="15" t="n">
        <v>5.1</v>
      </c>
      <c r="H60" s="12" t="inlineStr">
        <is>
          <t>なし</t>
        </is>
      </c>
      <c r="I60" s="12" t="inlineStr">
        <is>
          <t>車検整備付</t>
        </is>
      </c>
      <c r="J60" s="12" t="inlineStr">
        <is>
          <t>保証付</t>
        </is>
      </c>
      <c r="K60" s="16" t="inlineStr">
        <is>
          <t>走行が少なめ（5.1万km） / 修復歴なし / 車検整備付 / 保証付</t>
        </is>
      </c>
      <c r="L60" s="16" t="inlineStr">
        <is>
          <t>CX-8 2.2 XD プロアクティブ ディーゼルターボ 4WD 純正フルセグナビ 全方位カメラ スマートキー デジタルインナーミラー スペアキー 純正エンスタ ETC シートメモリー ステコン クルコン リアエアコン 電動リアゲート</t>
        </is>
      </c>
      <c r="M60" s="12" t="inlineStr">
        <is>
          <t>https://www.carsensor.net/usedcar/detail/AU7384161511/index.html</t>
        </is>
      </c>
    </row>
    <row r="61">
      <c r="A61" s="6" t="n">
        <v>2018</v>
      </c>
      <c r="B61" s="7" t="inlineStr">
        <is>
          <t>4WD</t>
        </is>
      </c>
      <c r="C61" s="7" t="inlineStr">
        <is>
          <t>2.2 XD Lパッケージ</t>
        </is>
      </c>
      <c r="D61" s="17" t="n">
        <v>5.5</v>
      </c>
      <c r="E61" s="9" t="n">
        <v>238</v>
      </c>
      <c r="F61" s="9" t="n">
        <v>229</v>
      </c>
      <c r="G61" s="10" t="n">
        <v>4.9</v>
      </c>
      <c r="H61" s="7" t="inlineStr">
        <is>
          <t>なし</t>
        </is>
      </c>
      <c r="I61" s="7" t="inlineStr">
        <is>
          <t>車検整備付</t>
        </is>
      </c>
      <c r="J61" s="7" t="inlineStr">
        <is>
          <t>保証付</t>
        </is>
      </c>
      <c r="K61" s="16" t="inlineStr">
        <is>
          <t>走行が少なめ（4.9万km） / 修復歴なし / 車検整備付 / 保証付</t>
        </is>
      </c>
      <c r="L61" s="16" t="inlineStr">
        <is>
          <t>CX-8 2.2 XD Lパッケージ ディーゼルターボ 4WD /フルセグナビ/全方位モニター/茶革シートヒーター/アダプティブクルコン/シティブレーキ/BSM/ETC/スマートキー/Pバックドア/オートLED/コーナーセンサー/19AW/6AT</t>
        </is>
      </c>
      <c r="M61" s="7" t="inlineStr">
        <is>
          <t>https://www.carsensor.net/usedcar/detail/AU7305608070/index.html</t>
        </is>
      </c>
    </row>
    <row r="62">
      <c r="A62" s="11" t="n">
        <v>2018</v>
      </c>
      <c r="B62" s="12" t="inlineStr">
        <is>
          <t>4WD</t>
        </is>
      </c>
      <c r="C62" s="12" t="inlineStr">
        <is>
          <t>2.2 XD プロアクティブ</t>
        </is>
      </c>
      <c r="D62" s="13" t="n">
        <v>5.5</v>
      </c>
      <c r="E62" s="14" t="n">
        <v>260.2</v>
      </c>
      <c r="F62" s="14" t="n">
        <v>245.4</v>
      </c>
      <c r="G62" s="15" t="n">
        <v>3.8</v>
      </c>
      <c r="H62" s="12" t="inlineStr">
        <is>
          <t>なし</t>
        </is>
      </c>
      <c r="I62" s="12" t="inlineStr">
        <is>
          <t>車検整備付</t>
        </is>
      </c>
      <c r="J62" s="12" t="inlineStr">
        <is>
          <t>保証付</t>
        </is>
      </c>
      <c r="K62" s="16" t="inlineStr">
        <is>
          <t>走行が少なめ（3.8万km） / 修復歴なし / 車検整備付 / 保証付</t>
        </is>
      </c>
      <c r="L62" s="16" t="inlineStr">
        <is>
          <t>CX-8 2.2 XD プロアクティブ ディーゼルターボ 4WD 6人乗り 7インチWVGAセンターディスプレイ</t>
        </is>
      </c>
      <c r="M62" s="12" t="inlineStr">
        <is>
          <t>https://www.carsensor.net/usedcar/detail/AU7386368838/index.html</t>
        </is>
      </c>
    </row>
    <row r="63">
      <c r="A63" s="6" t="n">
        <v>2018</v>
      </c>
      <c r="B63" s="7" t="inlineStr">
        <is>
          <t>4WD</t>
        </is>
      </c>
      <c r="C63" s="7" t="inlineStr">
        <is>
          <t>2.2 XD プロアクティブ</t>
        </is>
      </c>
      <c r="D63" s="17" t="n">
        <v>5.5</v>
      </c>
      <c r="E63" s="9" t="n">
        <v>235</v>
      </c>
      <c r="F63" s="9" t="n">
        <v>220</v>
      </c>
      <c r="G63" s="10" t="n">
        <v>4.3</v>
      </c>
      <c r="H63" s="7" t="inlineStr">
        <is>
          <t>なし</t>
        </is>
      </c>
      <c r="I63" s="7" t="inlineStr">
        <is>
          <t>車検整備付</t>
        </is>
      </c>
      <c r="J63" s="7" t="inlineStr">
        <is>
          <t>保証付</t>
        </is>
      </c>
      <c r="K63" s="16" t="inlineStr">
        <is>
          <t>走行が少なめ（4.3万km） / 修復歴なし / 車検整備付 / 保証付</t>
        </is>
      </c>
      <c r="L63" s="16" t="inlineStr">
        <is>
          <t>CX-8 2.2 XD プロアクティブ ディーゼルターボ 4WD 全方位モニター LEDヘッドライト BOSEサウンドシステム アルミホイール 衝突被害軽減ブレーキ シートヒーター ETC バックカメラ フルセグTV ナビ アイドリングストップ 3列シート</t>
        </is>
      </c>
      <c r="M63" s="7" t="inlineStr">
        <is>
          <t>https://www.carsensor.net/usedcar/detail/AU7446353144/index.html</t>
        </is>
      </c>
    </row>
    <row r="64">
      <c r="A64" s="11" t="n">
        <v>2018</v>
      </c>
      <c r="B64" s="12" t="inlineStr">
        <is>
          <t>4WD</t>
        </is>
      </c>
      <c r="C64" s="12" t="inlineStr">
        <is>
          <t>2.2 XD Lパッケージ</t>
        </is>
      </c>
      <c r="D64" s="13" t="n">
        <v>5.5</v>
      </c>
      <c r="E64" s="14" t="n">
        <v>252.3</v>
      </c>
      <c r="F64" s="14" t="n">
        <v>237.8</v>
      </c>
      <c r="G64" s="15" t="n">
        <v>4.7</v>
      </c>
      <c r="H64" s="12" t="inlineStr">
        <is>
          <t>なし</t>
        </is>
      </c>
      <c r="I64" s="12" t="inlineStr">
        <is>
          <t>車検整備付</t>
        </is>
      </c>
      <c r="J64" s="12" t="inlineStr">
        <is>
          <t>保証付</t>
        </is>
      </c>
      <c r="K64" s="16" t="inlineStr">
        <is>
          <t>走行が少なめ（4.7万km） / 修復歴なし / 車検整備付 / 保証付</t>
        </is>
      </c>
      <c r="L64" s="16" t="inlineStr">
        <is>
          <t>CX-8 2.2 XD Lパッケージ ディーゼルターボ 4WD 6人乗り</t>
        </is>
      </c>
      <c r="M64" s="12" t="inlineStr">
        <is>
          <t>https://www.carsensor.net/usedcar/detail/AU7416991402/index.html</t>
        </is>
      </c>
    </row>
    <row r="65">
      <c r="A65" s="6" t="n">
        <v>2018</v>
      </c>
      <c r="B65" s="7" t="inlineStr">
        <is>
          <t>4WD</t>
        </is>
      </c>
      <c r="C65" s="7" t="inlineStr">
        <is>
          <t>2.2 XD プロアクティブ</t>
        </is>
      </c>
      <c r="D65" s="17" t="n">
        <v>5.5</v>
      </c>
      <c r="E65" s="9" t="n">
        <v>253.1</v>
      </c>
      <c r="F65" s="9" t="n">
        <v>238.3</v>
      </c>
      <c r="G65" s="10" t="n">
        <v>4.7</v>
      </c>
      <c r="H65" s="7" t="inlineStr">
        <is>
          <t>なし</t>
        </is>
      </c>
      <c r="I65" s="7" t="inlineStr">
        <is>
          <t>車検整備付</t>
        </is>
      </c>
      <c r="J65" s="7" t="inlineStr">
        <is>
          <t>保証付</t>
        </is>
      </c>
      <c r="K65" s="16" t="inlineStr">
        <is>
          <t>走行が少なめ（4.7万km） / 修復歴なし / 車検整備付 / 保証付</t>
        </is>
      </c>
      <c r="L65" s="16" t="inlineStr">
        <is>
          <t>CX-8 2.2 XD プロアクティブ ディーゼルターボ 4WD ・MTモード付AT・LEDヘッドライト・オート</t>
        </is>
      </c>
      <c r="M65" s="7" t="inlineStr">
        <is>
          <t>https://www.carsensor.net/usedcar/detail/AU7398413142/index.html</t>
        </is>
      </c>
    </row>
    <row r="66">
      <c r="A66" s="11" t="n">
        <v>2018</v>
      </c>
      <c r="B66" s="12" t="inlineStr">
        <is>
          <t>4WD</t>
        </is>
      </c>
      <c r="C66" s="12" t="inlineStr">
        <is>
          <t>2.2 XD Lパッケージ</t>
        </is>
      </c>
      <c r="D66" s="13" t="n">
        <v>5.5</v>
      </c>
      <c r="E66" s="14" t="n">
        <v>264.5</v>
      </c>
      <c r="F66" s="14" t="n">
        <v>250.2</v>
      </c>
      <c r="G66" s="15" t="n">
        <v>3.9</v>
      </c>
      <c r="H66" s="12" t="inlineStr">
        <is>
          <t>なし</t>
        </is>
      </c>
      <c r="I66" s="12" t="inlineStr">
        <is>
          <t>車検整備付</t>
        </is>
      </c>
      <c r="J66" s="12" t="inlineStr">
        <is>
          <t>保証付</t>
        </is>
      </c>
      <c r="K66" s="16" t="inlineStr">
        <is>
          <t>走行が少なめ（3.9万km） / 修復歴なし / 車検整備付 / 保証付</t>
        </is>
      </c>
      <c r="L66" s="16" t="inlineStr">
        <is>
          <t>CX-8 2.2 XD Lパッケージ ディーゼルターボ 4WD ディーゼルターボ 6人乗り</t>
        </is>
      </c>
      <c r="M66" s="12" t="inlineStr">
        <is>
          <t>https://www.carsensor.net/usedcar/detail/AU7091203045/index.html</t>
        </is>
      </c>
    </row>
    <row r="67">
      <c r="A67" s="6" t="n">
        <v>2018</v>
      </c>
      <c r="B67" s="7" t="inlineStr">
        <is>
          <t>4WD</t>
        </is>
      </c>
      <c r="C67" s="7" t="inlineStr">
        <is>
          <t>2.2 XD Lパッケージ</t>
        </is>
      </c>
      <c r="D67" s="17" t="n">
        <v>5.5</v>
      </c>
      <c r="E67" s="9" t="n">
        <v>288.4</v>
      </c>
      <c r="F67" s="9" t="n">
        <v>273.6</v>
      </c>
      <c r="G67" s="10" t="n">
        <v>3.7</v>
      </c>
      <c r="H67" s="7" t="inlineStr">
        <is>
          <t>なし</t>
        </is>
      </c>
      <c r="I67" s="7" t="inlineStr">
        <is>
          <t>車検整備付</t>
        </is>
      </c>
      <c r="J67" s="7" t="inlineStr">
        <is>
          <t>保証付</t>
        </is>
      </c>
      <c r="K67" s="16" t="inlineStr">
        <is>
          <t>走行が少なめ（3.7万km） / 修復歴なし / 車検整備付 / 保証付</t>
        </is>
      </c>
      <c r="L67" s="16" t="inlineStr">
        <is>
          <t>CX-8 2.2 XD Lパッケージ ディーゼルターボ 4WD ・MTモード付AT・LEDヘッドライト・オート</t>
        </is>
      </c>
      <c r="M67" s="7" t="inlineStr">
        <is>
          <t>https://www.carsensor.net/usedcar/detail/AU7405109204/index.html</t>
        </is>
      </c>
    </row>
    <row r="68">
      <c r="A68" s="11" t="n">
        <v>2019</v>
      </c>
      <c r="B68" s="12" t="inlineStr">
        <is>
          <t>4WD</t>
        </is>
      </c>
      <c r="C68" s="12" t="inlineStr">
        <is>
          <t>2.5 25T Lパッケージ</t>
        </is>
      </c>
      <c r="D68" s="13" t="n">
        <v>5.5</v>
      </c>
      <c r="E68" s="14" t="n">
        <v>280</v>
      </c>
      <c r="F68" s="14" t="n">
        <v>269.8</v>
      </c>
      <c r="G68" s="15" t="n">
        <v>3.7</v>
      </c>
      <c r="H68" s="12" t="inlineStr">
        <is>
          <t>なし</t>
        </is>
      </c>
      <c r="I68" s="12" t="inlineStr">
        <is>
          <t>車検整備付</t>
        </is>
      </c>
      <c r="J68" s="12" t="inlineStr">
        <is>
          <t>保証付</t>
        </is>
      </c>
      <c r="K68" s="16" t="inlineStr">
        <is>
          <t>走行が少なめ（3.7万km） / 修復歴なし / 車検整備付 / 保証付</t>
        </is>
      </c>
      <c r="L68" s="16" t="inlineStr">
        <is>
          <t>CX-8 2.5 25T Lパッケージ 4WD 7人乗り 禁煙車 マツダ整備歴 ドラレコ ETC2.0 カープレイ TV DVD Bluetooth TVキット 全方位モニター BOSE10スピーカー</t>
        </is>
      </c>
      <c r="M68" s="12" t="inlineStr">
        <is>
          <t>https://www.carsensor.net/usedcar/detail/AU7267881705/index.html</t>
        </is>
      </c>
    </row>
    <row r="69">
      <c r="A69" s="6" t="n">
        <v>2019</v>
      </c>
      <c r="B69" s="7" t="inlineStr">
        <is>
          <t>4WD</t>
        </is>
      </c>
      <c r="C69" s="7" t="inlineStr">
        <is>
          <t>2.5 25T Lパッケージ</t>
        </is>
      </c>
      <c r="D69" s="17" t="n">
        <v>5.5</v>
      </c>
      <c r="E69" s="9" t="n">
        <v>290.9</v>
      </c>
      <c r="F69" s="9" t="n">
        <v>276.1</v>
      </c>
      <c r="G69" s="10" t="n">
        <v>4</v>
      </c>
      <c r="H69" s="7" t="inlineStr">
        <is>
          <t>なし</t>
        </is>
      </c>
      <c r="I69" s="7" t="inlineStr">
        <is>
          <t>車検整備付</t>
        </is>
      </c>
      <c r="J69" s="7" t="inlineStr">
        <is>
          <t>保証付</t>
        </is>
      </c>
      <c r="K69" s="16" t="inlineStr">
        <is>
          <t>走行が少なめ（4.0万km） / 修復歴なし / 車検整備付 / 保証付</t>
        </is>
      </c>
      <c r="L69" s="16" t="inlineStr">
        <is>
          <t>CX-8 2.5 25T Lパッケージ 4WD 2列目セパレートシート6人乗り ワンオ</t>
        </is>
      </c>
      <c r="M69" s="7" t="inlineStr">
        <is>
          <t>https://www.carsensor.net/usedcar/detail/AU7178849493/index.html</t>
        </is>
      </c>
    </row>
    <row r="70">
      <c r="A70" s="11" t="n">
        <v>2019</v>
      </c>
      <c r="B70" s="12" t="inlineStr">
        <is>
          <t>4WD</t>
        </is>
      </c>
      <c r="C70" s="12" t="inlineStr">
        <is>
          <t>2.2 XD Lパッケージ</t>
        </is>
      </c>
      <c r="D70" s="13" t="n">
        <v>5.5</v>
      </c>
      <c r="E70" s="14" t="n">
        <v>294</v>
      </c>
      <c r="F70" s="14" t="n">
        <v>279.8</v>
      </c>
      <c r="G70" s="15" t="n">
        <v>2.9</v>
      </c>
      <c r="H70" s="12" t="inlineStr">
        <is>
          <t>なし</t>
        </is>
      </c>
      <c r="I70" s="12" t="inlineStr">
        <is>
          <t>車検整備付</t>
        </is>
      </c>
      <c r="J70" s="12" t="inlineStr">
        <is>
          <t>保証付</t>
        </is>
      </c>
      <c r="K70" s="16" t="inlineStr">
        <is>
          <t>走行が少なめ（2.9万km） / 修復歴なし / 車検整備付 / 保証付</t>
        </is>
      </c>
      <c r="L70" s="16" t="inlineStr">
        <is>
          <t>CX-8 2.2 XD Lパッケージ ディーゼルターボ 4WD BOSE ナビ ETC車載器 360°ビュー 運転席パワーシート オートライトシステム 衝突被害軽減ブレーキ</t>
        </is>
      </c>
      <c r="M70" s="12" t="inlineStr">
        <is>
          <t>https://www.carsensor.net/usedcar/detail/AU7397391205/index.html</t>
        </is>
      </c>
    </row>
    <row r="71">
      <c r="A71" s="6" t="n">
        <v>2020</v>
      </c>
      <c r="B71" s="7" t="inlineStr">
        <is>
          <t>4WD</t>
        </is>
      </c>
      <c r="C71" s="7" t="inlineStr">
        <is>
          <t>2.2 XD 100周年</t>
        </is>
      </c>
      <c r="D71" s="17" t="n">
        <v>5.5</v>
      </c>
      <c r="E71" s="9" t="n">
        <v>324.2</v>
      </c>
      <c r="F71" s="9" t="n">
        <v>297</v>
      </c>
      <c r="G71" s="10" t="n">
        <v>3.5</v>
      </c>
      <c r="H71" s="7" t="inlineStr">
        <is>
          <t>なし</t>
        </is>
      </c>
      <c r="I71" s="7" t="inlineStr">
        <is>
          <t>車検整備付</t>
        </is>
      </c>
      <c r="J71" s="7" t="inlineStr">
        <is>
          <t>保証付</t>
        </is>
      </c>
      <c r="K71" s="16" t="inlineStr">
        <is>
          <t>走行が少なめ（3.5万km） / 修復歴なし / 車検整備付 / 保証付</t>
        </is>
      </c>
      <c r="L71" s="16" t="inlineStr">
        <is>
          <t>CX-8 2.2 XD 100周年 特別記念車 ディーゼルターボ 4WD BOSE 追従クルコン ドラレコ ナビ フルセグ ETC 全方位カメラ 革シート シートエアコン ステアリング&amp;シートヒーター メモリーパワーシート 電動リアゲート オートLEDライト MTモード 純正アルミ</t>
        </is>
      </c>
      <c r="M71" s="7" t="inlineStr">
        <is>
          <t>https://www.carsensor.net/usedcar/detail/AU7375130317/index.html</t>
        </is>
      </c>
    </row>
    <row r="72">
      <c r="A72" s="11" t="n">
        <v>2020</v>
      </c>
      <c r="B72" s="12" t="inlineStr">
        <is>
          <t>4WD</t>
        </is>
      </c>
      <c r="C72" s="12" t="inlineStr">
        <is>
          <t>2.2 XD プロアクティブ</t>
        </is>
      </c>
      <c r="D72" s="13" t="n">
        <v>5.5</v>
      </c>
      <c r="E72" s="14" t="n">
        <v>321.4</v>
      </c>
      <c r="F72" s="14" t="n">
        <v>308</v>
      </c>
      <c r="G72" s="15" t="n">
        <v>3.3</v>
      </c>
      <c r="H72" s="12" t="inlineStr">
        <is>
          <t>なし</t>
        </is>
      </c>
      <c r="I72" s="12" t="inlineStr">
        <is>
          <t>車検整備付</t>
        </is>
      </c>
      <c r="J72" s="12" t="inlineStr">
        <is>
          <t>保証付</t>
        </is>
      </c>
      <c r="K72" s="16" t="inlineStr">
        <is>
          <t>走行が少なめ（3.3万km） / 修復歴なし / 車検整備付 / 保証付</t>
        </is>
      </c>
      <c r="L72" s="16" t="inlineStr">
        <is>
          <t>CX-8 2.2 XD プロアクティブ Sパッケージ ディーゼルターボ 4WD</t>
        </is>
      </c>
      <c r="M72" s="12" t="inlineStr">
        <is>
          <t>https://www.carsensor.net/usedcar/detail/AU6207567550/index.html</t>
        </is>
      </c>
    </row>
    <row r="73">
      <c r="A73" s="6" t="n">
        <v>2020</v>
      </c>
      <c r="B73" s="7" t="inlineStr">
        <is>
          <t>4WD</t>
        </is>
      </c>
      <c r="C73" s="7" t="inlineStr">
        <is>
          <t>2.2 XD プロアクティブ</t>
        </is>
      </c>
      <c r="D73" s="17" t="n">
        <v>5.5</v>
      </c>
      <c r="E73" s="9" t="n">
        <v>305</v>
      </c>
      <c r="F73" s="9" t="n">
        <v>291</v>
      </c>
      <c r="G73" s="10" t="n">
        <v>2.7</v>
      </c>
      <c r="H73" s="7" t="inlineStr">
        <is>
          <t>なし</t>
        </is>
      </c>
      <c r="I73" s="7" t="inlineStr">
        <is>
          <t>車検整備付</t>
        </is>
      </c>
      <c r="J73" s="7" t="inlineStr">
        <is>
          <t>保証付</t>
        </is>
      </c>
      <c r="K73" s="16" t="inlineStr">
        <is>
          <t>走行が少なめ（2.7万km） / 修復歴なし / 車検整備付 / 保証付</t>
        </is>
      </c>
      <c r="L73" s="16" t="inlineStr">
        <is>
          <t>CX-8 2.2 XD プロアクティブ Sパッケージ ディーゼルターボ 4WD</t>
        </is>
      </c>
      <c r="M73" s="7" t="inlineStr">
        <is>
          <t>https://www.carsensor.net/usedcar/detail/AU7407553984/index.html</t>
        </is>
      </c>
    </row>
    <row r="74">
      <c r="A74" s="11" t="n">
        <v>2021</v>
      </c>
      <c r="B74" s="12" t="inlineStr">
        <is>
          <t>4WD</t>
        </is>
      </c>
      <c r="C74" s="12" t="inlineStr">
        <is>
          <t>2.2 XD エクスクルーシブ</t>
        </is>
      </c>
      <c r="D74" s="13" t="n">
        <v>5.5</v>
      </c>
      <c r="E74" s="14" t="n">
        <v>352.5</v>
      </c>
      <c r="F74" s="14" t="n">
        <v>339.8</v>
      </c>
      <c r="G74" s="15" t="n">
        <v>3</v>
      </c>
      <c r="H74" s="12" t="inlineStr">
        <is>
          <t>なし</t>
        </is>
      </c>
      <c r="I74" s="12" t="inlineStr">
        <is>
          <t>車検整備付</t>
        </is>
      </c>
      <c r="J74" s="12" t="inlineStr">
        <is>
          <t>保証付</t>
        </is>
      </c>
      <c r="K74" s="16" t="inlineStr">
        <is>
          <t>走行が少なめ（3.0万km） / 修復歴なし / 車検整備付 / 保証付</t>
        </is>
      </c>
      <c r="L74" s="16" t="inlineStr">
        <is>
          <t>CX-8 2.2 XD エクスクルーシブ モード ディーゼルターボ 4WD ワンオーナー BOSE 本革シート ナビ ETC</t>
        </is>
      </c>
      <c r="M74" s="12" t="inlineStr">
        <is>
          <t>https://www.carsensor.net/usedcar/detail/AU7352699284/index.html</t>
        </is>
      </c>
    </row>
    <row r="75">
      <c r="A75" s="6" t="n">
        <v>2021</v>
      </c>
      <c r="B75" s="7" t="inlineStr">
        <is>
          <t>4WD</t>
        </is>
      </c>
      <c r="C75" s="7" t="inlineStr">
        <is>
          <t>2.2 XD エクスクルーシブ</t>
        </is>
      </c>
      <c r="D75" s="17" t="n">
        <v>5.5</v>
      </c>
      <c r="E75" s="9" t="n">
        <v>364.1</v>
      </c>
      <c r="F75" s="9" t="n">
        <v>348</v>
      </c>
      <c r="G75" s="10" t="n">
        <v>2.9</v>
      </c>
      <c r="H75" s="7" t="inlineStr">
        <is>
          <t>なし</t>
        </is>
      </c>
      <c r="I75" s="7" t="inlineStr">
        <is>
          <t>車検整備付</t>
        </is>
      </c>
      <c r="J75" s="7" t="inlineStr">
        <is>
          <t>保証付</t>
        </is>
      </c>
      <c r="K75" s="16" t="inlineStr">
        <is>
          <t>走行が少なめ（2.9万km） / 修復歴なし / 車検整備付 / 保証付</t>
        </is>
      </c>
      <c r="L75" s="16" t="inlineStr">
        <is>
          <t>CX-8 2.2 XD エクスクルーシブ モード ディーゼルターボ 4WD 4WD サンルーフ 白革シート BOSEサウンド</t>
        </is>
      </c>
      <c r="M75" s="7" t="inlineStr">
        <is>
          <t>https://www.carsensor.net/usedcar/detail/AU7049854296/index.html</t>
        </is>
      </c>
    </row>
    <row r="76">
      <c r="A76" s="11" t="n">
        <v>2021</v>
      </c>
      <c r="B76" s="12" t="inlineStr">
        <is>
          <t>4WD</t>
        </is>
      </c>
      <c r="C76" s="12" t="inlineStr">
        <is>
          <t>2.2 XD Lパッケージ</t>
        </is>
      </c>
      <c r="D76" s="13" t="n">
        <v>5.5</v>
      </c>
      <c r="E76" s="14" t="n">
        <v>322</v>
      </c>
      <c r="F76" s="14" t="n">
        <v>309.8</v>
      </c>
      <c r="G76" s="15" t="n">
        <v>2.7</v>
      </c>
      <c r="H76" s="12" t="inlineStr">
        <is>
          <t>なし</t>
        </is>
      </c>
      <c r="I76" s="12" t="inlineStr">
        <is>
          <t>車検整備付</t>
        </is>
      </c>
      <c r="J76" s="12" t="inlineStr">
        <is>
          <t>保証付</t>
        </is>
      </c>
      <c r="K76" s="16" t="inlineStr">
        <is>
          <t>走行が少なめ（2.7万km） / 修復歴なし / 車検整備付 / 保証付</t>
        </is>
      </c>
      <c r="L76" s="16" t="inlineStr">
        <is>
          <t>CX-8 2.2 XD Lパッケージ ディーゼルターボ XD Lパッケージ 360°カメラ</t>
        </is>
      </c>
      <c r="M76" s="12" t="inlineStr">
        <is>
          <t>https://www.carsensor.net/usedcar/detail/AU7409500209/index.html</t>
        </is>
      </c>
    </row>
    <row r="77">
      <c r="A77" s="6" t="n">
        <v>2021</v>
      </c>
      <c r="B77" s="7" t="inlineStr">
        <is>
          <t>4WD</t>
        </is>
      </c>
      <c r="C77" s="7" t="inlineStr">
        <is>
          <t>2.2 XD Lパッケージ</t>
        </is>
      </c>
      <c r="D77" s="17" t="n">
        <v>5.5</v>
      </c>
      <c r="E77" s="9" t="n">
        <v>301.7</v>
      </c>
      <c r="F77" s="9" t="n">
        <v>287.1</v>
      </c>
      <c r="G77" s="10" t="n">
        <v>2.9</v>
      </c>
      <c r="H77" s="7" t="inlineStr">
        <is>
          <t>なし</t>
        </is>
      </c>
      <c r="I77" s="7" t="inlineStr">
        <is>
          <t>車検整備付</t>
        </is>
      </c>
      <c r="J77" s="7" t="inlineStr">
        <is>
          <t>保証付</t>
        </is>
      </c>
      <c r="K77" s="16" t="inlineStr">
        <is>
          <t>走行が少なめ（2.9万km） / 修復歴なし / 車検整備付 / 保証付</t>
        </is>
      </c>
      <c r="L77" s="16" t="inlineStr">
        <is>
          <t>CX-8 2.2 XD Lパッケージ ディーゼルターボ 4WD 360度ビューモニター カープレー ス</t>
        </is>
      </c>
      <c r="M77" s="7" t="inlineStr">
        <is>
          <t>https://www.carsensor.net/usedcar/detail/AU7366455582/index.html</t>
        </is>
      </c>
    </row>
    <row r="78">
      <c r="A78" s="11" t="n">
        <v>2021</v>
      </c>
      <c r="B78" s="12" t="inlineStr">
        <is>
          <t>4WD</t>
        </is>
      </c>
      <c r="C78" s="12" t="inlineStr">
        <is>
          <t>2.2 XD ブラックトーン</t>
        </is>
      </c>
      <c r="D78" s="13" t="n">
        <v>5.5</v>
      </c>
      <c r="E78" s="14" t="n">
        <v>301.7</v>
      </c>
      <c r="F78" s="14" t="n">
        <v>288</v>
      </c>
      <c r="G78" s="15" t="n">
        <v>3.4</v>
      </c>
      <c r="H78" s="12" t="inlineStr">
        <is>
          <t>なし</t>
        </is>
      </c>
      <c r="I78" s="12" t="inlineStr">
        <is>
          <t>車検整備付</t>
        </is>
      </c>
      <c r="J78" s="12" t="inlineStr">
        <is>
          <t>保証付</t>
        </is>
      </c>
      <c r="K78" s="16" t="inlineStr">
        <is>
          <t>走行が少なめ（3.4万km） / 修復歴なし / 車検整備付 / 保証付</t>
        </is>
      </c>
      <c r="L78" s="16" t="inlineStr">
        <is>
          <t>CX-8 2.2 XD ブラックトーン エディション ディーゼルターボ 4WD ワンオーナー/社外フロントドライブレコーダー/ブルーミラー/ヘッドライトウォッシャー/リアフォグランプ/1列目・2列目シートヒーター</t>
        </is>
      </c>
      <c r="M78" s="12" t="inlineStr">
        <is>
          <t>https://www.carsensor.net/usedcar/detail/AU7441656982/index.html</t>
        </is>
      </c>
    </row>
    <row r="79">
      <c r="A79" s="6" t="n">
        <v>2021</v>
      </c>
      <c r="B79" s="7" t="inlineStr">
        <is>
          <t>4WD</t>
        </is>
      </c>
      <c r="C79" s="7" t="inlineStr">
        <is>
          <t>2.2 XD ブラックトーン</t>
        </is>
      </c>
      <c r="D79" s="17" t="n">
        <v>5.5</v>
      </c>
      <c r="E79" s="9" t="n">
        <v>288</v>
      </c>
      <c r="F79" s="9" t="n">
        <v>269.9</v>
      </c>
      <c r="G79" s="10" t="n">
        <v>3.6</v>
      </c>
      <c r="H79" s="7" t="inlineStr">
        <is>
          <t>なし</t>
        </is>
      </c>
      <c r="I79" s="7" t="inlineStr">
        <is>
          <t>車検整備付</t>
        </is>
      </c>
      <c r="J79" s="7" t="inlineStr">
        <is>
          <t>保証付</t>
        </is>
      </c>
      <c r="K79" s="16" t="inlineStr">
        <is>
          <t>走行が少なめ（3.6万km） / 修復歴なし / 車検整備付 / 保証付</t>
        </is>
      </c>
      <c r="L79" s="16" t="inlineStr">
        <is>
          <t>CX-8 2.2 XD ブラックトーン エディション ディーゼルターボ 半革電動シート 衝突軽減ブレーキ 1オーナー ディスプレイオーディオ アップルカープレイ Bluetooth フルセグ LEDライト 電動リアゲート ルーフレール スマートキー 純正19AW 全方位カメラ 追従クルーズコントロール</t>
        </is>
      </c>
      <c r="M79" s="7" t="inlineStr">
        <is>
          <t>https://www.carsensor.net/usedcar/detail/AU6824301828/index.html</t>
        </is>
      </c>
    </row>
    <row r="80">
      <c r="A80" s="11" t="n">
        <v>2021</v>
      </c>
      <c r="B80" s="12" t="inlineStr">
        <is>
          <t>4WD</t>
        </is>
      </c>
      <c r="C80" s="12" t="inlineStr">
        <is>
          <t>2.2 XD プロアクティブ</t>
        </is>
      </c>
      <c r="D80" s="13" t="n">
        <v>5.5</v>
      </c>
      <c r="E80" s="14" t="n">
        <v>285.8</v>
      </c>
      <c r="F80" s="14" t="n">
        <v>275</v>
      </c>
      <c r="G80" s="15" t="n">
        <v>3.7</v>
      </c>
      <c r="H80" s="12" t="inlineStr">
        <is>
          <t>なし</t>
        </is>
      </c>
      <c r="I80" s="12" t="inlineStr">
        <is>
          <t>車検整備付</t>
        </is>
      </c>
      <c r="J80" s="12" t="inlineStr">
        <is>
          <t>保証付</t>
        </is>
      </c>
      <c r="K80" s="16" t="inlineStr">
        <is>
          <t>走行が少なめ（3.7万km） / 修復歴なし / 車検整備付 / 保証付</t>
        </is>
      </c>
      <c r="L80" s="16" t="inlineStr">
        <is>
          <t>CX-8 2.2 XD プロアクティブ ディーゼルターボ 4WD 移動診察車及び搬送車 i-ACTIVESENSE LEDヘッドライト 純正19インチアルミ パワーバックドア 純正ナビ Bluetooth 全方位モニター シートヒーター ステアリングヒーター ドライブレコーダー ETC</t>
        </is>
      </c>
      <c r="M80" s="12" t="inlineStr">
        <is>
          <t>https://www.carsensor.net/usedcar/detail/AU7210232132/index.html</t>
        </is>
      </c>
    </row>
    <row r="81">
      <c r="A81" s="6" t="n">
        <v>2022</v>
      </c>
      <c r="B81" s="7" t="inlineStr">
        <is>
          <t>4WD</t>
        </is>
      </c>
      <c r="C81" s="7" t="inlineStr">
        <is>
          <t>2.2 XD Lパッケージ</t>
        </is>
      </c>
      <c r="D81" s="17" t="n">
        <v>5.5</v>
      </c>
      <c r="E81" s="9" t="n">
        <v>309.8</v>
      </c>
      <c r="F81" s="9" t="n">
        <v>293.8</v>
      </c>
      <c r="G81" s="10" t="n">
        <v>2.4</v>
      </c>
      <c r="H81" s="7" t="inlineStr">
        <is>
          <t>なし</t>
        </is>
      </c>
      <c r="I81" s="7" t="inlineStr">
        <is>
          <t>車検整備付</t>
        </is>
      </c>
      <c r="J81" s="7" t="inlineStr">
        <is>
          <t>保証付</t>
        </is>
      </c>
      <c r="K81" s="16" t="inlineStr">
        <is>
          <t>走行が少なめ（2.4万km） / 修復歴なし / 車検整備付 / 保証付</t>
        </is>
      </c>
      <c r="L81" s="16" t="inlineStr">
        <is>
          <t>CX-8 2.2 XD Lパッケージ ディーゼルターボ 4WD ディーゼルターボ/4WD/赤革シート/パワーバックドア/360°ビューカメラ/衝突軽減ブレーキ/コーナーセンサー/マツダコネクトナビ/ルーフレール/シートヒーター&amp;シートクーラー/レーダークルーズ/衝突軽減ブレーキ</t>
        </is>
      </c>
      <c r="M81" s="7" t="inlineStr">
        <is>
          <t>https://www.carsensor.net/usedcar/detail/AU7407392821/index.html</t>
        </is>
      </c>
    </row>
    <row r="82">
      <c r="A82" s="11" t="n">
        <v>2022</v>
      </c>
      <c r="B82" s="12" t="inlineStr">
        <is>
          <t>4WD</t>
        </is>
      </c>
      <c r="C82" s="12" t="inlineStr">
        <is>
          <t>2.5 25S Lパッケージ</t>
        </is>
      </c>
      <c r="D82" s="13" t="n">
        <v>5.5</v>
      </c>
      <c r="E82" s="14" t="n">
        <v>367.2</v>
      </c>
      <c r="F82" s="14" t="n">
        <v>352.3</v>
      </c>
      <c r="G82" s="15" t="n">
        <v>3</v>
      </c>
      <c r="H82" s="12" t="inlineStr">
        <is>
          <t>なし</t>
        </is>
      </c>
      <c r="I82" s="12" t="inlineStr">
        <is>
          <t>車検整備付</t>
        </is>
      </c>
      <c r="J82" s="12" t="inlineStr">
        <is>
          <t>保証付</t>
        </is>
      </c>
      <c r="K82" s="16" t="inlineStr">
        <is>
          <t>走行が少なめ（3.0万km） / 修復歴なし / 車検整備付 / 保証付</t>
        </is>
      </c>
      <c r="L82" s="16" t="inlineStr">
        <is>
          <t>CX-8 2.5 25S Lパッケージ 4WD</t>
        </is>
      </c>
      <c r="M82" s="12" t="inlineStr">
        <is>
          <t>https://www.carsensor.net/usedcar/detail/AU7327940474/index.html</t>
        </is>
      </c>
    </row>
    <row r="83">
      <c r="A83" s="6" t="n">
        <v>2023</v>
      </c>
      <c r="B83" s="7" t="inlineStr">
        <is>
          <t>4WD</t>
        </is>
      </c>
      <c r="C83" s="7" t="inlineStr">
        <is>
          <t>2.2 XD スポーツ</t>
        </is>
      </c>
      <c r="D83" s="17" t="n">
        <v>5.5</v>
      </c>
      <c r="E83" s="9" t="n">
        <v>374.8</v>
      </c>
      <c r="F83" s="9" t="n">
        <v>355.8</v>
      </c>
      <c r="G83" s="10" t="n">
        <v>1.9</v>
      </c>
      <c r="H83" s="7" t="inlineStr">
        <is>
          <t>なし</t>
        </is>
      </c>
      <c r="I83" s="7" t="inlineStr">
        <is>
          <t>車検整備付</t>
        </is>
      </c>
      <c r="J83" s="7" t="inlineStr">
        <is>
          <t>保証付</t>
        </is>
      </c>
      <c r="K83" s="16" t="inlineStr">
        <is>
          <t>走行が少なめ（1.9万km） / 修復歴なし / 車検整備付 / 保証付</t>
        </is>
      </c>
      <c r="L83" s="16" t="inlineStr">
        <is>
          <t>CX-8 2.2 XD スポーツ アピアランス ディーゼルターボ 4WD 全方位カメラ・BOSEサウンド・本州仕入・サイドガーニッシュ・ルーフレール・パワーゲート・ヘッドアップディスプレイ・ワイヤレス充電・シート&amp;ステアリングヒーター・ベンチレーション・電動シート・ETC・BSM</t>
        </is>
      </c>
      <c r="M83" s="7" t="inlineStr">
        <is>
          <t>https://www.carsensor.net/usedcar/detail/AU7391616408/index.html</t>
        </is>
      </c>
    </row>
    <row r="84">
      <c r="A84" s="11" t="n">
        <v>2023</v>
      </c>
      <c r="B84" s="12" t="inlineStr">
        <is>
          <t>4WD</t>
        </is>
      </c>
      <c r="C84" s="12" t="inlineStr">
        <is>
          <t>2.2 XD エクスクルーシブ</t>
        </is>
      </c>
      <c r="D84" s="13" t="n">
        <v>5.5</v>
      </c>
      <c r="E84" s="14" t="n">
        <v>394.8</v>
      </c>
      <c r="F84" s="14" t="n">
        <v>385.9</v>
      </c>
      <c r="G84" s="15" t="n">
        <v>2.1</v>
      </c>
      <c r="H84" s="12" t="inlineStr">
        <is>
          <t>なし</t>
        </is>
      </c>
      <c r="I84" s="12" t="inlineStr">
        <is>
          <t>車検整備付</t>
        </is>
      </c>
      <c r="J84" s="12" t="inlineStr">
        <is>
          <t>保証付</t>
        </is>
      </c>
      <c r="K84" s="16" t="inlineStr">
        <is>
          <t>走行が少なめ（2.1万km） / 修復歴なし / 車検整備付 / 保証付</t>
        </is>
      </c>
      <c r="L84" s="16" t="inlineStr">
        <is>
          <t>CX-8 2.2 XD エクスクルーシブ モード ディーゼルターボ サンルーフ BOSE 純正ナビ フルセグ 360°マルチビューモニター パワーバックドア シートヒーター シートクーラー 衝突軽減 LKA オートブレーキホールド ステアリングヒーター ETC2.0</t>
        </is>
      </c>
      <c r="M84" s="12" t="inlineStr">
        <is>
          <t>https://www.carsensor.net/usedcar/detail/AU7203763891/index.html</t>
        </is>
      </c>
    </row>
    <row r="85">
      <c r="A85" s="6" t="n">
        <v>2023</v>
      </c>
      <c r="B85" s="7" t="inlineStr">
        <is>
          <t>4WD</t>
        </is>
      </c>
      <c r="C85" s="7" t="inlineStr">
        <is>
          <t>2.5 25S スポーツ</t>
        </is>
      </c>
      <c r="D85" s="17" t="n">
        <v>5.5</v>
      </c>
      <c r="E85" s="9" t="n">
        <v>353.9</v>
      </c>
      <c r="F85" s="9" t="n">
        <v>336.6</v>
      </c>
      <c r="G85" s="10" t="n">
        <v>2.4</v>
      </c>
      <c r="H85" s="7" t="inlineStr">
        <is>
          <t>なし</t>
        </is>
      </c>
      <c r="I85" s="7" t="inlineStr">
        <is>
          <t>車検整備付</t>
        </is>
      </c>
      <c r="J85" s="7" t="inlineStr">
        <is>
          <t>保証付</t>
        </is>
      </c>
      <c r="K85" s="16" t="inlineStr">
        <is>
          <t>走行が少なめ（2.4万km） / 修復歴なし / 車検整備付 / 保証付</t>
        </is>
      </c>
      <c r="L85" s="16" t="inlineStr">
        <is>
          <t>CX-8 2.5 25S スポーツ アピアランス 4WD 10.25型マツダコネクトナビ 全周囲カメラ BOSEサウンド i-ACTIVESENSE レーダークルーズ 禁煙車 電動リアゲート 革シート 前席シートエアコン/パワーシート ドラレコ</t>
        </is>
      </c>
      <c r="M85" s="7" t="inlineStr">
        <is>
          <t>https://www.carsensor.net/usedcar/detail/AU7426788916/index.html</t>
        </is>
      </c>
    </row>
    <row r="86">
      <c r="A86" s="11" t="n">
        <v>2023</v>
      </c>
      <c r="B86" s="12" t="inlineStr">
        <is>
          <t>4WD</t>
        </is>
      </c>
      <c r="C86" s="12" t="inlineStr">
        <is>
          <t>2.5 25S スマート</t>
        </is>
      </c>
      <c r="D86" s="13" t="n">
        <v>5.5</v>
      </c>
      <c r="E86" s="14" t="n">
        <v>326.8</v>
      </c>
      <c r="F86" s="14" t="n">
        <v>316.6</v>
      </c>
      <c r="G86" s="15" t="n">
        <v>2.3</v>
      </c>
      <c r="H86" s="12" t="inlineStr">
        <is>
          <t>なし</t>
        </is>
      </c>
      <c r="I86" s="12" t="inlineStr">
        <is>
          <t>車検整備付</t>
        </is>
      </c>
      <c r="J86" s="12" t="inlineStr">
        <is>
          <t>保証付</t>
        </is>
      </c>
      <c r="K86" s="16" t="inlineStr">
        <is>
          <t>走行が少なめ（2.3万km） / 修復歴なし / 車検整備付 / 保証付</t>
        </is>
      </c>
      <c r="L86" s="16" t="inlineStr">
        <is>
          <t>CX-8 2.5 25S スマート エディション 純正ナビ レーダークルーズコントロール ドライブレコーダー ETC アラウンドビューモニター レーンキープアシスト パワーシート パワーバックドア ステアリングリモコン コーナーセンサー SOSコール</t>
        </is>
      </c>
      <c r="M86" s="12" t="inlineStr">
        <is>
          <t>https://www.carsensor.net/usedcar/detail/AU7391264983/index.html</t>
        </is>
      </c>
    </row>
    <row r="87">
      <c r="A87" s="6" t="n">
        <v>2023</v>
      </c>
      <c r="B87" s="7" t="inlineStr">
        <is>
          <t>4WD</t>
        </is>
      </c>
      <c r="C87" s="7" t="inlineStr">
        <is>
          <t>2.2 XD スポーツ</t>
        </is>
      </c>
      <c r="D87" s="17" t="n">
        <v>5.5</v>
      </c>
      <c r="E87" s="9" t="n">
        <v>389.9</v>
      </c>
      <c r="F87" s="9" t="n">
        <v>380.9</v>
      </c>
      <c r="G87" s="10" t="n">
        <v>2.3</v>
      </c>
      <c r="H87" s="7" t="inlineStr">
        <is>
          <t>なし</t>
        </is>
      </c>
      <c r="I87" s="7" t="inlineStr">
        <is>
          <t>車検整備付</t>
        </is>
      </c>
      <c r="J87" s="7" t="inlineStr">
        <is>
          <t>保証付</t>
        </is>
      </c>
      <c r="K87" s="16" t="inlineStr">
        <is>
          <t>走行が少なめ（2.3万km） / 修復歴なし / 車検整備付 / 保証付</t>
        </is>
      </c>
      <c r="L87" s="16" t="inlineStr">
        <is>
          <t>CX-8 2.2 XD スポーツ アピアランス ディーゼルターボ 4WD 4WD 純正10.25インチナビ(BT/USB/フルセグTV/FM/AM) BOSEサウンド 360°ビューモニター 黒レザーシート 衝突軽減ブレーキ レーダークルーズコントロール ETC</t>
        </is>
      </c>
      <c r="M87" s="7" t="inlineStr">
        <is>
          <t>https://www.carsensor.net/usedcar/detail/AU7389379195/index.html</t>
        </is>
      </c>
    </row>
    <row r="88">
      <c r="A88" s="11" t="n">
        <v>2023</v>
      </c>
      <c r="B88" s="12" t="inlineStr">
        <is>
          <t>4WD</t>
        </is>
      </c>
      <c r="C88" s="12" t="inlineStr">
        <is>
          <t>2.2 XD スポーツ</t>
        </is>
      </c>
      <c r="D88" s="13" t="n">
        <v>5.5</v>
      </c>
      <c r="E88" s="14" t="n">
        <v>359.8</v>
      </c>
      <c r="F88" s="14" t="n">
        <v>349.6</v>
      </c>
      <c r="G88" s="15" t="n">
        <v>2.1</v>
      </c>
      <c r="H88" s="12" t="inlineStr">
        <is>
          <t>なし</t>
        </is>
      </c>
      <c r="I88" s="12" t="inlineStr">
        <is>
          <t>車検整備付</t>
        </is>
      </c>
      <c r="J88" s="12" t="inlineStr">
        <is>
          <t>保証付</t>
        </is>
      </c>
      <c r="K88" s="16" t="inlineStr">
        <is>
          <t>走行が少なめ（2.1万km） / 修復歴なし / 車検整備付 / 保証付</t>
        </is>
      </c>
      <c r="L88" s="16" t="inlineStr">
        <is>
          <t>CX-8 2.2 XD スポーツ アピアランス ディーゼルターボ 4WD ワンオーナー 純正SDナビ 全方位カメラ</t>
        </is>
      </c>
      <c r="M88" s="12" t="inlineStr">
        <is>
          <t>https://www.carsensor.net/usedcar/detail/AU7418529289/index.html</t>
        </is>
      </c>
    </row>
    <row r="89">
      <c r="A89" s="6" t="n">
        <v>2023</v>
      </c>
      <c r="B89" s="7" t="inlineStr">
        <is>
          <t>4WD</t>
        </is>
      </c>
      <c r="C89" s="7" t="inlineStr">
        <is>
          <t>2.2 XD スマート</t>
        </is>
      </c>
      <c r="D89" s="17" t="n">
        <v>5.5</v>
      </c>
      <c r="E89" s="9" t="n">
        <v>314.7</v>
      </c>
      <c r="F89" s="9" t="n">
        <v>298</v>
      </c>
      <c r="G89" s="10" t="n">
        <v>2.3</v>
      </c>
      <c r="H89" s="7" t="inlineStr">
        <is>
          <t>なし</t>
        </is>
      </c>
      <c r="I89" s="7" t="inlineStr">
        <is>
          <t>車検整備付</t>
        </is>
      </c>
      <c r="J89" s="7" t="inlineStr">
        <is>
          <t>保証付</t>
        </is>
      </c>
      <c r="K89" s="16" t="inlineStr">
        <is>
          <t>走行が少なめ（2.3万km） / 修復歴なし / 車検整備付 / 保証付</t>
        </is>
      </c>
      <c r="L89" s="16" t="inlineStr">
        <is>
          <t>CX-8 2.2 XD スマート エディション ディーゼルターボ 4WD ナビSDカード 360°ビュー ETC2.0 フルセグTVチューナー Bluetooth機能 USB接続端子 ワイヤレス充電Qi 2カメラドライブレコーダー パワーシート シートヒーター ステアリングヒーター</t>
        </is>
      </c>
      <c r="M89" s="7" t="inlineStr">
        <is>
          <t>https://www.carsensor.net/usedcar/detail/AU7446054253/index.html</t>
        </is>
      </c>
    </row>
    <row r="90">
      <c r="A90" s="11" t="n">
        <v>2023</v>
      </c>
      <c r="B90" s="12" t="inlineStr">
        <is>
          <t>4WD</t>
        </is>
      </c>
      <c r="C90" s="12" t="inlineStr">
        <is>
          <t>2.2 XD スポーツ</t>
        </is>
      </c>
      <c r="D90" s="13" t="n">
        <v>5.5</v>
      </c>
      <c r="E90" s="14" t="n">
        <v>388.5</v>
      </c>
      <c r="F90" s="14" t="n">
        <v>375</v>
      </c>
      <c r="G90" s="15" t="n">
        <v>1.7</v>
      </c>
      <c r="H90" s="12" t="inlineStr">
        <is>
          <t>なし</t>
        </is>
      </c>
      <c r="I90" s="12" t="inlineStr">
        <is>
          <t>車検整備付</t>
        </is>
      </c>
      <c r="J90" s="12" t="inlineStr">
        <is>
          <t>保証付</t>
        </is>
      </c>
      <c r="K90" s="16" t="inlineStr">
        <is>
          <t>走行が少なめ（1.7万km） / 修復歴なし / 車検整備付 / 保証付</t>
        </is>
      </c>
      <c r="L90" s="16" t="inlineStr">
        <is>
          <t>CX-8 2.2 XD スポーツ アピアランス ディーゼルターボ 4WD ワンオーナー BOSE 純正2カメドラレコ ナビETC 360度カメラ シートヒーター&amp;シートベンチレーション ワイヤレス充電 Apple CarPlay&amp;Android Auto 6人乗りセンターウォークスルー アルミペダル</t>
        </is>
      </c>
      <c r="M90" s="12" t="inlineStr">
        <is>
          <t>https://www.carsensor.net/usedcar/detail/AU7407924739/index.html</t>
        </is>
      </c>
    </row>
    <row r="91">
      <c r="A91" s="6" t="n">
        <v>2023</v>
      </c>
      <c r="B91" s="7" t="inlineStr">
        <is>
          <t>4WD</t>
        </is>
      </c>
      <c r="C91" s="7" t="inlineStr">
        <is>
          <t>2.2 XD エクスクルーシブ</t>
        </is>
      </c>
      <c r="D91" s="17" t="n">
        <v>5.5</v>
      </c>
      <c r="E91" s="9" t="n">
        <v>403.1</v>
      </c>
      <c r="F91" s="9" t="n">
        <v>388.5</v>
      </c>
      <c r="G91" s="10" t="n">
        <v>1.8</v>
      </c>
      <c r="H91" s="7" t="inlineStr">
        <is>
          <t>なし</t>
        </is>
      </c>
      <c r="I91" s="7" t="inlineStr">
        <is>
          <t>車検整備付</t>
        </is>
      </c>
      <c r="J91" s="7" t="inlineStr">
        <is>
          <t>保証付</t>
        </is>
      </c>
      <c r="K91" s="16" t="inlineStr">
        <is>
          <t>走行が少なめ（1.8万km） / 修復歴なし / 車検整備付 / 保証付</t>
        </is>
      </c>
      <c r="L91" s="16" t="inlineStr">
        <is>
          <t>CX-8 2.2 XD エクスクルーシブ モード ディーゼルターボ 4WD 電動Rゲート ETC付き アイドリングス</t>
        </is>
      </c>
      <c r="M91" s="7" t="inlineStr">
        <is>
          <t>https://www.carsensor.net/usedcar/detail/AU7384819906/index.html</t>
        </is>
      </c>
    </row>
    <row r="92">
      <c r="A92" s="11" t="n">
        <v>2023</v>
      </c>
      <c r="B92" s="12" t="inlineStr">
        <is>
          <t>4WD</t>
        </is>
      </c>
      <c r="C92" s="12" t="inlineStr">
        <is>
          <t>2.2 XD グランド</t>
        </is>
      </c>
      <c r="D92" s="13" t="n">
        <v>5.5</v>
      </c>
      <c r="E92" s="14" t="n">
        <v>383</v>
      </c>
      <c r="F92" s="14" t="n">
        <v>369.8</v>
      </c>
      <c r="G92" s="15" t="n">
        <v>2.1</v>
      </c>
      <c r="H92" s="12" t="inlineStr">
        <is>
          <t>なし</t>
        </is>
      </c>
      <c r="I92" s="12" t="inlineStr">
        <is>
          <t>車検整備付</t>
        </is>
      </c>
      <c r="J92" s="12" t="inlineStr">
        <is>
          <t>保証付</t>
        </is>
      </c>
      <c r="K92" s="16" t="inlineStr">
        <is>
          <t>走行が少なめ（2.1万km） / 修復歴なし / 車検整備付 / 保証付</t>
        </is>
      </c>
      <c r="L92" s="16" t="inlineStr">
        <is>
          <t>CX-8 2.2 XD グランド ジャーニー ディーゼルターボ 4WD 360°ビュー・モニター 純正ナビ 前後ドライブレコーダー ETC 障害物センサー マツダ・レーダー・クルーズ・コントロール シートヒーター 電動シート 電動リアゲート ブラインド・スポット・モニタリング</t>
        </is>
      </c>
      <c r="M92" s="12" t="inlineStr">
        <is>
          <t>https://www.carsensor.net/usedcar/detail/AU7393785210/index.html</t>
        </is>
      </c>
    </row>
    <row r="93">
      <c r="A93" s="6" t="n">
        <v>2023</v>
      </c>
      <c r="B93" s="7" t="inlineStr">
        <is>
          <t>4WD</t>
        </is>
      </c>
      <c r="C93" s="7" t="inlineStr">
        <is>
          <t>2.2 XD グランド</t>
        </is>
      </c>
      <c r="D93" s="17" t="n">
        <v>5.5</v>
      </c>
      <c r="E93" s="9" t="n">
        <v>373</v>
      </c>
      <c r="F93" s="9" t="n">
        <v>359.8</v>
      </c>
      <c r="G93" s="10" t="n">
        <v>2</v>
      </c>
      <c r="H93" s="7" t="inlineStr">
        <is>
          <t>なし</t>
        </is>
      </c>
      <c r="I93" s="7" t="inlineStr">
        <is>
          <t>車検整備付</t>
        </is>
      </c>
      <c r="J93" s="7" t="inlineStr">
        <is>
          <t>保証付</t>
        </is>
      </c>
      <c r="K93" s="16" t="inlineStr">
        <is>
          <t>走行が少なめ（2.0万km） / 修復歴なし / 車検整備付 / 保証付</t>
        </is>
      </c>
      <c r="L93" s="16" t="inlineStr">
        <is>
          <t>CX-8 2.2 XD グランド ジャーニー ディーゼルターボ 4WD 360°ビュー・モニター ナビ 前後ドライブレコーダー ETC2.0 障害物センサー マツダ・レーダー・クルーズ・コントロール シートヒーター 電動シート 電動リアゲート ブラインド・スポット・モニタリング</t>
        </is>
      </c>
      <c r="M93" s="7" t="inlineStr">
        <is>
          <t>https://www.carsensor.net/usedcar/detail/AU7398251479/index.html</t>
        </is>
      </c>
    </row>
    <row r="94">
      <c r="A94" s="11" t="n">
        <v>2023</v>
      </c>
      <c r="B94" s="12" t="inlineStr">
        <is>
          <t>4WD</t>
        </is>
      </c>
      <c r="C94" s="12" t="inlineStr">
        <is>
          <t>2.2 XD エクスクルーシブ</t>
        </is>
      </c>
      <c r="D94" s="13" t="n">
        <v>5.5</v>
      </c>
      <c r="E94" s="14" t="n">
        <v>393.6</v>
      </c>
      <c r="F94" s="14" t="n">
        <v>379.9</v>
      </c>
      <c r="G94" s="15" t="n">
        <v>2.3</v>
      </c>
      <c r="H94" s="12" t="inlineStr">
        <is>
          <t>なし</t>
        </is>
      </c>
      <c r="I94" s="12" t="inlineStr">
        <is>
          <t>車検整備付</t>
        </is>
      </c>
      <c r="J94" s="12" t="inlineStr">
        <is>
          <t>保証付</t>
        </is>
      </c>
      <c r="K94" s="16" t="inlineStr">
        <is>
          <t>走行が少なめ（2.3万km） / 修復歴なし / 車検整備付 / 保証付</t>
        </is>
      </c>
      <c r="L94" s="16" t="inlineStr">
        <is>
          <t>CX-8 2.2 XD エクスクルーシブ モード ディーゼルターボ 4WD 純正10.25インチナビ 360°ビューモニター BOSE サンルーフ ETC レザー シートヒーター ベンチレーション ステアヒーター パワーリフトゲート LED アダプティブクルーズ</t>
        </is>
      </c>
      <c r="M94" s="12" t="inlineStr">
        <is>
          <t>https://www.carsensor.net/usedcar/detail/AU7122619094/index.html</t>
        </is>
      </c>
    </row>
    <row r="95">
      <c r="A95" s="6" t="n">
        <v>2023</v>
      </c>
      <c r="B95" s="7" t="inlineStr">
        <is>
          <t>4WD</t>
        </is>
      </c>
      <c r="C95" s="7" t="inlineStr">
        <is>
          <t>2.5 25S スポーツ</t>
        </is>
      </c>
      <c r="D95" s="17" t="n">
        <v>5.5</v>
      </c>
      <c r="E95" s="9" t="n">
        <v>392.1</v>
      </c>
      <c r="F95" s="9" t="n">
        <v>379.8</v>
      </c>
      <c r="G95" s="10" t="n">
        <v>1.8</v>
      </c>
      <c r="H95" s="7" t="inlineStr">
        <is>
          <t>なし</t>
        </is>
      </c>
      <c r="I95" s="7" t="inlineStr">
        <is>
          <t>車検整備付</t>
        </is>
      </c>
      <c r="J95" s="7" t="inlineStr">
        <is>
          <t>保証付</t>
        </is>
      </c>
      <c r="K95" s="16" t="inlineStr">
        <is>
          <t>走行が少なめ（1.8万km） / 修復歴なし / 車検整備付 / 保証付</t>
        </is>
      </c>
      <c r="L95" s="16" t="inlineStr">
        <is>
          <t>CX-8 2.5 25S スポーツ アピアランス 4WD BOSE・フルセグTV・ETC・ナビSD・ドライブレコーダー・ブルーミラー</t>
        </is>
      </c>
      <c r="M95" s="7" t="inlineStr">
        <is>
          <t>https://www.carsensor.net/usedcar/detail/AU7373823537/index.html</t>
        </is>
      </c>
    </row>
    <row r="96">
      <c r="A96" s="11" t="n">
        <v>2018</v>
      </c>
      <c r="B96" s="12" t="inlineStr">
        <is>
          <t>4WD</t>
        </is>
      </c>
      <c r="C96" s="12" t="inlineStr">
        <is>
          <t>2.2 XD プロアクティブ</t>
        </is>
      </c>
      <c r="D96" s="13" t="n">
        <v>5.4</v>
      </c>
      <c r="E96" s="14" t="n">
        <v>229.9</v>
      </c>
      <c r="F96" s="14" t="n">
        <v>218.2</v>
      </c>
      <c r="G96" s="15" t="n">
        <v>4.3</v>
      </c>
      <c r="H96" s="12" t="inlineStr">
        <is>
          <t>なし</t>
        </is>
      </c>
      <c r="I96" s="12" t="inlineStr">
        <is>
          <t>2027(R09)年09月</t>
        </is>
      </c>
      <c r="J96" s="12" t="inlineStr">
        <is>
          <t>保証付</t>
        </is>
      </c>
      <c r="K96" s="16" t="inlineStr">
        <is>
          <t>走行が少なめ（4.3万km） / 修復歴なし / 車検 2027/09 まで（残り11ヶ月） / 保証付</t>
        </is>
      </c>
      <c r="L96" s="16" t="inlineStr">
        <is>
          <t>CX-8 2.2 XD プロアクティブ ディーゼルターボ 4WD 純正ナビ 全周囲カメラ 衝突軽減 レーダークルーズ ブラインドスポット レーンアシスト オートハイビーム メモリー付パワーシート シートヒーター ステアリングヒーター</t>
        </is>
      </c>
      <c r="M96" s="12" t="inlineStr">
        <is>
          <t>https://www.carsensor.net/usedcar/detail/AU7349858872/index.html</t>
        </is>
      </c>
    </row>
    <row r="97">
      <c r="A97" s="6" t="n">
        <v>2018</v>
      </c>
      <c r="B97" s="7" t="inlineStr">
        <is>
          <t>4WD</t>
        </is>
      </c>
      <c r="C97" s="7" t="inlineStr">
        <is>
          <t>2.2 XD Lパッケージ</t>
        </is>
      </c>
      <c r="D97" s="17" t="n">
        <v>5.4</v>
      </c>
      <c r="E97" s="9" t="n">
        <v>261</v>
      </c>
      <c r="F97" s="9" t="n">
        <v>248</v>
      </c>
      <c r="G97" s="10" t="n">
        <v>4.4</v>
      </c>
      <c r="H97" s="7" t="inlineStr">
        <is>
          <t>なし</t>
        </is>
      </c>
      <c r="I97" s="7" t="inlineStr">
        <is>
          <t>2027(R09)年09月</t>
        </is>
      </c>
      <c r="J97" s="7" t="inlineStr">
        <is>
          <t>保証付</t>
        </is>
      </c>
      <c r="K97" s="16" t="inlineStr">
        <is>
          <t>走行が少なめ（4.4万km） / 修復歴なし / 車検 2027/09 まで（残り11ヶ月） / 保証付</t>
        </is>
      </c>
      <c r="L97" s="16" t="inlineStr">
        <is>
          <t>CX-8 2.2 XD Lパッケージ ディーゼルターボ BOSE 前後ドライブレコーダー ETC CD/DVD 360度ビューモニター シートヒーター</t>
        </is>
      </c>
      <c r="M97" s="7" t="inlineStr">
        <is>
          <t>https://www.carsensor.net/usedcar/detail/AU7361919065/index.html</t>
        </is>
      </c>
    </row>
    <row r="98">
      <c r="A98" s="11" t="n">
        <v>2018</v>
      </c>
      <c r="B98" s="12" t="inlineStr">
        <is>
          <t>4WD</t>
        </is>
      </c>
      <c r="C98" s="12" t="inlineStr">
        <is>
          <t>2.2 XD Lパッケージ</t>
        </is>
      </c>
      <c r="D98" s="13" t="n">
        <v>5.4</v>
      </c>
      <c r="E98" s="14" t="n">
        <v>227.1</v>
      </c>
      <c r="F98" s="14" t="n">
        <v>215</v>
      </c>
      <c r="G98" s="15" t="n">
        <v>3.3</v>
      </c>
      <c r="H98" s="12" t="inlineStr">
        <is>
          <t>なし</t>
        </is>
      </c>
      <c r="I98" s="12" t="inlineStr">
        <is>
          <t>2027(R09)年03月</t>
        </is>
      </c>
      <c r="J98" s="12" t="inlineStr">
        <is>
          <t>保証無</t>
        </is>
      </c>
      <c r="K98" s="16" t="inlineStr">
        <is>
          <t>同年式の半分以下の走行（3.3万km） / 修復歴なし / 車検 2027/03 まで（残り5ヶ月）</t>
        </is>
      </c>
      <c r="L98" s="16" t="inlineStr">
        <is>
          <t>CX-8 2.2 XD Lパッケージ ディーゼルターボ 4WD CD/DVDプレーヤー+地上デジタルTVチューナー 360°ビュー・モニター+フロントパーキングセンサー</t>
        </is>
      </c>
      <c r="M98" s="12" t="inlineStr">
        <is>
          <t>https://www.carsensor.net/usedcar/detail/AU7158387374/index.html</t>
        </is>
      </c>
    </row>
    <row r="99">
      <c r="A99" s="6" t="n">
        <v>2020</v>
      </c>
      <c r="B99" s="7" t="inlineStr">
        <is>
          <t>4WD</t>
        </is>
      </c>
      <c r="C99" s="7" t="inlineStr">
        <is>
          <t>2.2 XD エクスクルーシブ</t>
        </is>
      </c>
      <c r="D99" s="17" t="n">
        <v>5.4</v>
      </c>
      <c r="E99" s="9" t="n">
        <v>301.8</v>
      </c>
      <c r="F99" s="9" t="n">
        <v>295.7</v>
      </c>
      <c r="G99" s="10" t="n">
        <v>3.4</v>
      </c>
      <c r="H99" s="7" t="inlineStr">
        <is>
          <t>なし</t>
        </is>
      </c>
      <c r="I99" s="7" t="inlineStr">
        <is>
          <t>2027(R09)年09月</t>
        </is>
      </c>
      <c r="J99" s="7" t="inlineStr">
        <is>
          <t>保証付</t>
        </is>
      </c>
      <c r="K99" s="16" t="inlineStr">
        <is>
          <t>走行が少なめ（3.4万km） / 修復歴なし / 車検 2027/09 まで（残り11ヶ月） / 保証付</t>
        </is>
      </c>
      <c r="L99" s="16" t="inlineStr">
        <is>
          <t>CX-8 2.2 XD エクスクルーシブ モード ディーゼルターボ 4WD 純正ナビ アルパイン後席モニター RAYS20インチアルミ 純正19インチAW/スタッドレス車載 BOSEサウンド パワーバックドア BSM パーキングセンサー シートヒーター/ベンチレーション 追従クルーズ 禁煙車</t>
        </is>
      </c>
      <c r="M99" s="7" t="inlineStr">
        <is>
          <t>https://www.carsensor.net/usedcar/detail/AU7391095041/index.html</t>
        </is>
      </c>
    </row>
    <row r="100">
      <c r="A100" s="11" t="n">
        <v>2021</v>
      </c>
      <c r="B100" s="12" t="inlineStr">
        <is>
          <t>4WD</t>
        </is>
      </c>
      <c r="C100" s="12" t="inlineStr">
        <is>
          <t>2.2 XD プロアクティブ</t>
        </is>
      </c>
      <c r="D100" s="13" t="n">
        <v>5.4</v>
      </c>
      <c r="E100" s="14" t="n">
        <v>234.7</v>
      </c>
      <c r="F100" s="14" t="n">
        <v>232</v>
      </c>
      <c r="G100" s="15" t="n">
        <v>6.7</v>
      </c>
      <c r="H100" s="12" t="inlineStr">
        <is>
          <t>なし</t>
        </is>
      </c>
      <c r="I100" s="12" t="inlineStr">
        <is>
          <t>2028(R10)年03月</t>
        </is>
      </c>
      <c r="J100" s="12" t="inlineStr">
        <is>
          <t>保証付</t>
        </is>
      </c>
      <c r="K100" s="16" t="inlineStr">
        <is>
          <t>修復歴なし / 車検 2028/03 まで（残り17ヶ月） / 保証付 / 同年式より安い（中央値 279万）</t>
        </is>
      </c>
      <c r="L100" s="16" t="inlineStr">
        <is>
          <t>CX-8 2.2 XD プロアクティブ ディーゼルターボ 4WD ナビ TV 7人乗り バックカメラ 4WD</t>
        </is>
      </c>
      <c r="M100" s="12" t="inlineStr">
        <is>
          <t>https://www.carsensor.net/usedcar/detail/AU7338286333/index.html</t>
        </is>
      </c>
    </row>
    <row r="101">
      <c r="A101" s="6" t="n">
        <v>2022</v>
      </c>
      <c r="B101" s="7" t="inlineStr">
        <is>
          <t>4WD</t>
        </is>
      </c>
      <c r="C101" s="7" t="inlineStr">
        <is>
          <t>2.2 XD ブラックトーン</t>
        </is>
      </c>
      <c r="D101" s="17" t="n">
        <v>5.4</v>
      </c>
      <c r="E101" s="9" t="n">
        <v>309.8</v>
      </c>
      <c r="F101" s="9" t="n">
        <v>303.6</v>
      </c>
      <c r="G101" s="10" t="n">
        <v>2.4</v>
      </c>
      <c r="H101" s="7" t="inlineStr">
        <is>
          <t>なし</t>
        </is>
      </c>
      <c r="I101" s="7" t="inlineStr">
        <is>
          <t>2027(R09)年09月</t>
        </is>
      </c>
      <c r="J101" s="7" t="inlineStr">
        <is>
          <t>保証付</t>
        </is>
      </c>
      <c r="K101" s="16" t="inlineStr">
        <is>
          <t>走行が少なめ（2.4万km） / 修復歴なし / 車検 2027/09 まで（残り11ヶ月） / 保証付</t>
        </is>
      </c>
      <c r="L101" s="16" t="inlineStr">
        <is>
          <t>CX-8 2.2 XD ブラックトーン エディション ディーゼルターボ /ワンオーナー/ i‐ACTIVSENSE/360°ビューモニター/純正ナビ/フルセグTV/フリップダウンモニター/ETC/ドライブレコーダー/ワイヤレス充電/ルーフレール/ハーフレザーシート/ステアリングヒーター/パワーバックドア</t>
        </is>
      </c>
      <c r="M101" s="7" t="inlineStr">
        <is>
          <t>https://www.carsensor.net/usedcar/detail/AU7343118358/index.html</t>
        </is>
      </c>
    </row>
    <row r="102">
      <c r="A102" s="11" t="n">
        <v>2022</v>
      </c>
      <c r="B102" s="12" t="inlineStr">
        <is>
          <t>4WD</t>
        </is>
      </c>
      <c r="C102" s="12" t="inlineStr">
        <is>
          <t>2.2 XD Lパッケージ</t>
        </is>
      </c>
      <c r="D102" s="13" t="n">
        <v>5.4</v>
      </c>
      <c r="E102" s="14" t="n">
        <v>336.4</v>
      </c>
      <c r="F102" s="14" t="n">
        <v>326.3</v>
      </c>
      <c r="G102" s="15" t="n">
        <v>2.7</v>
      </c>
      <c r="H102" s="12" t="inlineStr">
        <is>
          <t>なし</t>
        </is>
      </c>
      <c r="I102" s="12" t="inlineStr">
        <is>
          <t>2027(R09)年09月</t>
        </is>
      </c>
      <c r="J102" s="12" t="inlineStr">
        <is>
          <t>保証付</t>
        </is>
      </c>
      <c r="K102" s="16" t="inlineStr">
        <is>
          <t>走行が少なめ（2.7万km） / 修復歴なし / 車検 2027/09 まで（残り11ヶ月） / 保証付</t>
        </is>
      </c>
      <c r="L102" s="16" t="inlineStr">
        <is>
          <t>CX-8 2.2 XD Lパッケージ ディーゼルターボ 4WD 禁煙車 ワンオーナー BOSE マツコネナビ 36</t>
        </is>
      </c>
      <c r="M102" s="12" t="inlineStr">
        <is>
          <t>https://www.carsensor.net/usedcar/detail/AU7005773308/index.html</t>
        </is>
      </c>
    </row>
    <row r="103">
      <c r="A103" s="6" t="n">
        <v>2022</v>
      </c>
      <c r="B103" s="7" t="inlineStr">
        <is>
          <t>4WD</t>
        </is>
      </c>
      <c r="C103" s="7" t="inlineStr">
        <is>
          <t>XD Lパッケージ 4WD</t>
        </is>
      </c>
      <c r="D103" s="17" t="n">
        <v>5.4</v>
      </c>
      <c r="E103" s="9" t="n">
        <v>370.8</v>
      </c>
      <c r="F103" s="9" t="n">
        <v>358.8</v>
      </c>
      <c r="G103" s="10" t="n">
        <v>2.5</v>
      </c>
      <c r="H103" s="7" t="inlineStr">
        <is>
          <t>なし</t>
        </is>
      </c>
      <c r="I103" s="7" t="inlineStr">
        <is>
          <t>2027(R09)年09月</t>
        </is>
      </c>
      <c r="J103" s="7" t="inlineStr">
        <is>
          <t>保証付</t>
        </is>
      </c>
      <c r="K103" s="16" t="inlineStr">
        <is>
          <t>走行が少なめ（2.5万km） / 修復歴なし / 車検 2027/09 まで（残り11ヶ月） / 保証付</t>
        </is>
      </c>
      <c r="L103" s="16" t="inlineStr">
        <is>
          <t>CX-8 XD Lパッケージ 4WD ディーゼル 3列シート ナビ 360°カメラ レーダークルーズ BOSEスピーカー シートヒーター</t>
        </is>
      </c>
      <c r="M103" s="7" t="inlineStr">
        <is>
          <t>https://www.carsensor.net/usedcar/detail/AU7298548472/index.html</t>
        </is>
      </c>
    </row>
    <row r="104">
      <c r="A104" s="11" t="n">
        <v>2018</v>
      </c>
      <c r="B104" s="12" t="inlineStr">
        <is>
          <t>4WD</t>
        </is>
      </c>
      <c r="C104" s="12" t="inlineStr">
        <is>
          <t>2.2 XD Lパッケージ</t>
        </is>
      </c>
      <c r="D104" s="13" t="n">
        <v>5.3</v>
      </c>
      <c r="E104" s="14" t="n">
        <v>229.8</v>
      </c>
      <c r="F104" s="14" t="n">
        <v>221.4</v>
      </c>
      <c r="G104" s="15" t="n">
        <v>4</v>
      </c>
      <c r="H104" s="12" t="inlineStr">
        <is>
          <t>なし</t>
        </is>
      </c>
      <c r="I104" s="12" t="inlineStr">
        <is>
          <t>2027(R09)年08月</t>
        </is>
      </c>
      <c r="J104" s="12" t="inlineStr">
        <is>
          <t>保証付</t>
        </is>
      </c>
      <c r="K104" s="16" t="inlineStr">
        <is>
          <t>走行が少なめ（4.0万km） / 修復歴なし / 車検 2027/08 まで（残り10ヶ月） / 保証付</t>
        </is>
      </c>
      <c r="L104" s="16" t="inlineStr">
        <is>
          <t>CX-8 2.2 XD Lパッケージ ディーゼルターボ 純正ナビ/全周囲モニター/BOSWサウンドシステム/ホワイトレザー/アルパインフリップダウンモニター/電動リアゲート/シートヒーター/ETC/レーダークルーズコントロール/ステアリングヒーター/クリアランスソナー</t>
        </is>
      </c>
      <c r="M104" s="12" t="inlineStr">
        <is>
          <t>https://www.carsensor.net/usedcar/detail/AU7269018658/index.html</t>
        </is>
      </c>
    </row>
    <row r="105">
      <c r="A105" s="6" t="n">
        <v>2018</v>
      </c>
      <c r="B105" s="7" t="inlineStr">
        <is>
          <t>4WD</t>
        </is>
      </c>
      <c r="C105" s="7" t="inlineStr">
        <is>
          <t>2.2 XD プロアクティブ</t>
        </is>
      </c>
      <c r="D105" s="17" t="n">
        <v>5.3</v>
      </c>
      <c r="E105" s="9" t="n">
        <v>229.8</v>
      </c>
      <c r="F105" s="9" t="n">
        <v>221.7</v>
      </c>
      <c r="G105" s="10" t="n">
        <v>3.9</v>
      </c>
      <c r="H105" s="7" t="inlineStr">
        <is>
          <t>なし</t>
        </is>
      </c>
      <c r="I105" s="7" t="inlineStr">
        <is>
          <t>2027(R09)年08月</t>
        </is>
      </c>
      <c r="J105" s="7" t="inlineStr">
        <is>
          <t>保証付</t>
        </is>
      </c>
      <c r="K105" s="16" t="inlineStr">
        <is>
          <t>走行が少なめ（3.9万km） / 修復歴なし / 車検 2027/08 まで（残り10ヶ月） / 保証付</t>
        </is>
      </c>
      <c r="L105" s="16" t="inlineStr">
        <is>
          <t>CX-8 2.2 XD プロアクティブ ディーゼルターボ 4WD フルセグナビ 全方位カメラ スマートシティブレーキ BSM HUD シートヒーター ステアヒーター Cセンサー 追従クルコン BT メモリ付Pシート ステリモ LED フォグ/Rフォグ Aライト レザー調シートカバ</t>
        </is>
      </c>
      <c r="M105" s="7" t="inlineStr">
        <is>
          <t>https://www.carsensor.net/usedcar/detail/AU7364348338/index.html</t>
        </is>
      </c>
    </row>
    <row r="106">
      <c r="A106" s="11" t="n">
        <v>2022</v>
      </c>
      <c r="B106" s="12" t="inlineStr">
        <is>
          <t>4WD</t>
        </is>
      </c>
      <c r="C106" s="12" t="inlineStr">
        <is>
          <t>2.2 XD エクスクルーシブ</t>
        </is>
      </c>
      <c r="D106" s="13" t="n">
        <v>5.3</v>
      </c>
      <c r="E106" s="14" t="n">
        <v>349.8</v>
      </c>
      <c r="F106" s="14" t="n">
        <v>345.1</v>
      </c>
      <c r="G106" s="15" t="n">
        <v>3.1</v>
      </c>
      <c r="H106" s="12" t="inlineStr">
        <is>
          <t>なし</t>
        </is>
      </c>
      <c r="I106" s="12" t="inlineStr">
        <is>
          <t>2027(R09)年08月</t>
        </is>
      </c>
      <c r="J106" s="12" t="inlineStr">
        <is>
          <t>保証付</t>
        </is>
      </c>
      <c r="K106" s="16" t="inlineStr">
        <is>
          <t>走行が少なめ（3.1万km） / 修復歴なし / 車検 2027/08 まで（残り10ヶ月） / 保証付</t>
        </is>
      </c>
      <c r="L106" s="16" t="inlineStr">
        <is>
          <t>CX-8 2.2 XD エクスクルーシブ モード ディーゼルターボ 4WD ナビTV・アルパインデジタルミラー&amp;前後ドラレコ・360°ビューモニター・ETC2.0・シートヒーター&amp;ベンチレーション・パワーシート・BOSEサウンド・パワーバックドア・スペアキー・禁煙車・メーカー保証継承</t>
        </is>
      </c>
      <c r="M106" s="12" t="inlineStr">
        <is>
          <t>https://www.carsensor.net/usedcar/detail/AU7380710809/index.html</t>
        </is>
      </c>
    </row>
    <row r="107">
      <c r="A107" s="6" t="n">
        <v>2018</v>
      </c>
      <c r="B107" s="7" t="inlineStr">
        <is>
          <t>4WD</t>
        </is>
      </c>
      <c r="C107" s="7" t="inlineStr">
        <is>
          <t>2.2 XD プロアクティブ</t>
        </is>
      </c>
      <c r="D107" s="17" t="n">
        <v>5.2</v>
      </c>
      <c r="E107" s="9" t="n">
        <v>179.9</v>
      </c>
      <c r="F107" s="9" t="n">
        <v>173</v>
      </c>
      <c r="G107" s="10" t="n">
        <v>4.2</v>
      </c>
      <c r="H107" s="7" t="inlineStr">
        <is>
          <t>なし</t>
        </is>
      </c>
      <c r="I107" s="7" t="inlineStr">
        <is>
          <t>2027(R09)年06月</t>
        </is>
      </c>
      <c r="J107" s="7" t="inlineStr">
        <is>
          <t>保証付</t>
        </is>
      </c>
      <c r="K107" s="16" t="inlineStr">
        <is>
          <t>走行が少なめ（4.2万km） / 修復歴なし / 車検 2027/06 まで（残り8ヶ月） / 保証付</t>
        </is>
      </c>
      <c r="L107" s="16" t="inlineStr">
        <is>
          <t>CX-8 2.2 XD プロアクティブ ディーゼルターボ 4WD 6ヶ月走行距離無制限保証付 純正SDナビ フルセグTV 全方位カメラ 禁煙車 ETC 4WD レーダークルーズコントロール 衝突軽減ブレーキ LEDヘッドライト コーナーセンサー パワーシート シートヒーター</t>
        </is>
      </c>
      <c r="M107" s="7" t="inlineStr">
        <is>
          <t>https://www.carsensor.net/usedcar/detail/AU7282467766/index.html</t>
        </is>
      </c>
    </row>
    <row r="108">
      <c r="A108" s="11" t="n">
        <v>2018</v>
      </c>
      <c r="B108" s="12" t="inlineStr">
        <is>
          <t>4WD</t>
        </is>
      </c>
      <c r="C108" s="12" t="inlineStr">
        <is>
          <t>2.5 25T プロアクティブ</t>
        </is>
      </c>
      <c r="D108" s="13" t="n">
        <v>5.2</v>
      </c>
      <c r="E108" s="14" t="n">
        <v>168.2</v>
      </c>
      <c r="F108" s="14" t="n">
        <v>159.8</v>
      </c>
      <c r="G108" s="15" t="n">
        <v>9.4</v>
      </c>
      <c r="H108" s="12" t="inlineStr">
        <is>
          <t>なし</t>
        </is>
      </c>
      <c r="I108" s="12" t="inlineStr">
        <is>
          <t>2027(R09)年12月</t>
        </is>
      </c>
      <c r="J108" s="12" t="inlineStr">
        <is>
          <t>保証付</t>
        </is>
      </c>
      <c r="K108" s="16" t="inlineStr">
        <is>
          <t>修復歴なし / 車検 2027/12 まで（残り14ヶ月） / 保証付 / 同年式より安い（中央値 196万）</t>
        </is>
      </c>
      <c r="L108" s="16" t="inlineStr">
        <is>
          <t>CX-8 2.5 25T プロアクティブ 4WD ETC フルセグ 360°カメラ ルーフレール</t>
        </is>
      </c>
      <c r="M108" s="12" t="inlineStr">
        <is>
          <t>https://www.carsensor.net/usedcar/detail/AU7214849589/index.html</t>
        </is>
      </c>
    </row>
    <row r="109">
      <c r="A109" s="6" t="n">
        <v>2018</v>
      </c>
      <c r="B109" s="7" t="inlineStr">
        <is>
          <t>4WD</t>
        </is>
      </c>
      <c r="C109" s="7" t="inlineStr">
        <is>
          <t>2.2 XD プロアクティブ</t>
        </is>
      </c>
      <c r="D109" s="17" t="n">
        <v>5.2</v>
      </c>
      <c r="E109" s="9" t="n">
        <v>169.8</v>
      </c>
      <c r="F109" s="9" t="n">
        <v>157.9</v>
      </c>
      <c r="G109" s="10" t="n">
        <v>9.5</v>
      </c>
      <c r="H109" s="7" t="inlineStr">
        <is>
          <t>なし</t>
        </is>
      </c>
      <c r="I109" s="7" t="inlineStr">
        <is>
          <t>2027(R09)年12月</t>
        </is>
      </c>
      <c r="J109" s="7" t="inlineStr">
        <is>
          <t>保証付</t>
        </is>
      </c>
      <c r="K109" s="16" t="inlineStr">
        <is>
          <t>修復歴なし / 車検 2027/12 まで（残り14ヶ月） / 保証付 / 同年式より安い（中央値 196万）</t>
        </is>
      </c>
      <c r="L109" s="16" t="inlineStr">
        <is>
          <t>CX-8 2.2 XD プロアクティブ ディーゼルターボ 4WD 4WD ディーゼル(軽油) 純正SDナビ 全周囲カメラ 衝突被害軽減システム 禁煙車 パワーシート コーナーセンサー スマートキー LEDヘッド ETC 純正19インチアルミ シャ線逸脱警報</t>
        </is>
      </c>
      <c r="M109" s="7" t="inlineStr">
        <is>
          <t>https://www.carsensor.net/usedcar/detail/AU7335410831/index.html</t>
        </is>
      </c>
    </row>
    <row r="110">
      <c r="A110" s="11" t="n">
        <v>2018</v>
      </c>
      <c r="B110" s="12" t="inlineStr">
        <is>
          <t>4WD</t>
        </is>
      </c>
      <c r="C110" s="12" t="inlineStr">
        <is>
          <t>2.2 XD Lパッケージ</t>
        </is>
      </c>
      <c r="D110" s="13" t="n">
        <v>5.2</v>
      </c>
      <c r="E110" s="14" t="n">
        <v>263.8</v>
      </c>
      <c r="F110" s="14" t="n">
        <v>257.8</v>
      </c>
      <c r="G110" s="15" t="n">
        <v>3.7</v>
      </c>
      <c r="H110" s="12" t="inlineStr">
        <is>
          <t>なし</t>
        </is>
      </c>
      <c r="I110" s="12" t="inlineStr">
        <is>
          <t>2027(R09)年07月</t>
        </is>
      </c>
      <c r="J110" s="12" t="inlineStr">
        <is>
          <t>保証付</t>
        </is>
      </c>
      <c r="K110" s="16" t="inlineStr">
        <is>
          <t>走行が少なめ（3.7万km） / 修復歴なし / 車検 2027/07 まで（残り9ヶ月） / 保証付</t>
        </is>
      </c>
      <c r="L110" s="16" t="inlineStr">
        <is>
          <t>CX-8 2.2 XD Lパッケージ ディーゼルターボ 4WD 4WD 純正メーカーナビ CD DVD Bluetooth フルセグアラウンドビューモニターフリップダウンモニター衝突軽減システムレーンキープアシストステアリングスイッチレザーシート シートヒーター</t>
        </is>
      </c>
      <c r="M110" s="12" t="inlineStr">
        <is>
          <t>https://www.carsensor.net/usedcar/detail/AU7410835475/index.html</t>
        </is>
      </c>
    </row>
    <row r="111">
      <c r="A111" s="6" t="n">
        <v>2018</v>
      </c>
      <c r="B111" s="7" t="inlineStr">
        <is>
          <t>4WD</t>
        </is>
      </c>
      <c r="C111" s="7" t="inlineStr">
        <is>
          <t>2.2 XD プロアクティブ</t>
        </is>
      </c>
      <c r="D111" s="17" t="n">
        <v>5.2</v>
      </c>
      <c r="E111" s="9" t="n">
        <v>228.9</v>
      </c>
      <c r="F111" s="9" t="n">
        <v>218.7</v>
      </c>
      <c r="G111" s="10" t="n">
        <v>4.6</v>
      </c>
      <c r="H111" s="7" t="inlineStr">
        <is>
          <t>なし</t>
        </is>
      </c>
      <c r="I111" s="7" t="inlineStr">
        <is>
          <t>2027(R09)年06月</t>
        </is>
      </c>
      <c r="J111" s="7" t="inlineStr">
        <is>
          <t>保証付</t>
        </is>
      </c>
      <c r="K111" s="16" t="inlineStr">
        <is>
          <t>走行が少なめ（4.6万km） / 修復歴なし / 車検 2027/06 まで（残り8ヶ月） / 保証付</t>
        </is>
      </c>
      <c r="L111" s="16" t="inlineStr">
        <is>
          <t>CX-8 2.2 XD プロアクティブ ディーゼルターボ 4WD フリップダウンモニター BOSEサウンド メーカーナビ/フルセグ/DVD/CD 360°カメラ B/S/Fカメラ パワーバックドア 全車速ACC BSM HUD 障害物センサー ルーフレール</t>
        </is>
      </c>
      <c r="M111" s="7" t="inlineStr">
        <is>
          <t>https://www.carsensor.net/usedcar/detail/AU6934092429/index.html</t>
        </is>
      </c>
    </row>
    <row r="112">
      <c r="A112" s="11" t="n">
        <v>2018</v>
      </c>
      <c r="B112" s="12" t="inlineStr">
        <is>
          <t>4WD</t>
        </is>
      </c>
      <c r="C112" s="12" t="inlineStr">
        <is>
          <t>2.2 XD Lパッケージ</t>
        </is>
      </c>
      <c r="D112" s="13" t="n">
        <v>5.2</v>
      </c>
      <c r="E112" s="14" t="n">
        <v>264.2</v>
      </c>
      <c r="F112" s="14" t="n">
        <v>253.9</v>
      </c>
      <c r="G112" s="15" t="n">
        <v>4.9</v>
      </c>
      <c r="H112" s="12" t="inlineStr">
        <is>
          <t>なし</t>
        </is>
      </c>
      <c r="I112" s="12" t="inlineStr">
        <is>
          <t>2027(R09)年07月</t>
        </is>
      </c>
      <c r="J112" s="12" t="inlineStr">
        <is>
          <t>保証付</t>
        </is>
      </c>
      <c r="K112" s="16" t="inlineStr">
        <is>
          <t>走行が少なめ（4.9万km） / 修復歴なし / 車検 2027/07 まで（残り9ヶ月） / 保証付</t>
        </is>
      </c>
      <c r="L112" s="16" t="inlineStr">
        <is>
          <t>CX-8 2.2 XD Lパッケージ ディーゼルターボ 4WD 7インチWVGAセンターディスプレイ、360℃ビ</t>
        </is>
      </c>
      <c r="M112" s="12" t="inlineStr">
        <is>
          <t>https://www.carsensor.net/usedcar/detail/AU7447940158/index.html</t>
        </is>
      </c>
    </row>
    <row r="113">
      <c r="A113" s="6" t="n">
        <v>2019</v>
      </c>
      <c r="B113" s="7" t="inlineStr">
        <is>
          <t>4WD</t>
        </is>
      </c>
      <c r="C113" s="7" t="inlineStr">
        <is>
          <t>2.2 XD プロアクティブ</t>
        </is>
      </c>
      <c r="D113" s="17" t="n">
        <v>5.2</v>
      </c>
      <c r="E113" s="9" t="n">
        <v>200.9</v>
      </c>
      <c r="F113" s="9" t="n">
        <v>194.1</v>
      </c>
      <c r="G113" s="10" t="n">
        <v>7.5</v>
      </c>
      <c r="H113" s="7" t="inlineStr">
        <is>
          <t>なし</t>
        </is>
      </c>
      <c r="I113" s="7" t="inlineStr">
        <is>
          <t>2027(R09)年12月</t>
        </is>
      </c>
      <c r="J113" s="7" t="inlineStr">
        <is>
          <t>保証付</t>
        </is>
      </c>
      <c r="K113" s="16" t="inlineStr">
        <is>
          <t>修復歴なし / 車検 2027/12 まで（残り14ヶ月） / 保証付 / 同年式より安い（中央値 231万）</t>
        </is>
      </c>
      <c r="L113" s="16" t="inlineStr">
        <is>
          <t>CX-8 2.2 XD プロアクティブ ディーゼルターボ 4WD 新品タイヤ/BOSE/SDナビ/衝突安全装置/シートヒーター/360°ビューモニター/車線逸脱防止支援システム/ドライブレコーダー 前後/ヘッドランプ LED</t>
        </is>
      </c>
      <c r="M113" s="7" t="inlineStr">
        <is>
          <t>https://www.carsensor.net/usedcar/detail/AU7064139483/index.html</t>
        </is>
      </c>
    </row>
    <row r="114">
      <c r="A114" s="11" t="n">
        <v>2020</v>
      </c>
      <c r="B114" s="12" t="inlineStr">
        <is>
          <t>4WD</t>
        </is>
      </c>
      <c r="C114" s="12" t="inlineStr">
        <is>
          <t>2.5 25S プロアクティブ</t>
        </is>
      </c>
      <c r="D114" s="13" t="n">
        <v>5.2</v>
      </c>
      <c r="E114" s="14" t="n">
        <v>259.7</v>
      </c>
      <c r="F114" s="14" t="n">
        <v>242.8</v>
      </c>
      <c r="G114" s="15" t="n">
        <v>2.7</v>
      </c>
      <c r="H114" s="12" t="inlineStr">
        <is>
          <t>なし</t>
        </is>
      </c>
      <c r="I114" s="12" t="inlineStr">
        <is>
          <t>2027(R09)年06月</t>
        </is>
      </c>
      <c r="J114" s="12" t="inlineStr">
        <is>
          <t>保証付</t>
        </is>
      </c>
      <c r="K114" s="16" t="inlineStr">
        <is>
          <t>走行が少なめ（2.7万km） / 修復歴なし / 車検 2027/06 まで（残り8ヶ月） / 保証付</t>
        </is>
      </c>
      <c r="L114" s="16" t="inlineStr">
        <is>
          <t>CX-8 2.5 25S プロアクティブ 4WD ワンオーナー 禁煙車 ETC 前後ドライブレコーダー リアモニター</t>
        </is>
      </c>
      <c r="M114" s="12" t="inlineStr">
        <is>
          <t>https://www.carsensor.net/usedcar/detail/AU7362211331/index.html</t>
        </is>
      </c>
    </row>
    <row r="115">
      <c r="A115" s="6" t="n">
        <v>2018</v>
      </c>
      <c r="B115" s="7" t="inlineStr">
        <is>
          <t>4WD</t>
        </is>
      </c>
      <c r="C115" s="7" t="inlineStr">
        <is>
          <t>2.2 XD Lパッケージ</t>
        </is>
      </c>
      <c r="D115" s="17" t="n">
        <v>5.1</v>
      </c>
      <c r="E115" s="9" t="n">
        <v>173.9</v>
      </c>
      <c r="F115" s="9" t="n">
        <v>162.6</v>
      </c>
      <c r="G115" s="10" t="n">
        <v>9.6</v>
      </c>
      <c r="H115" s="7" t="inlineStr">
        <is>
          <t>なし</t>
        </is>
      </c>
      <c r="I115" s="7" t="inlineStr">
        <is>
          <t>2027(R09)年11月</t>
        </is>
      </c>
      <c r="J115" s="7" t="inlineStr">
        <is>
          <t>保証付</t>
        </is>
      </c>
      <c r="K115" s="16" t="inlineStr">
        <is>
          <t>修復歴なし / 車検 2027/11 まで（残り13ヶ月） / 保証付 / 同年式より安い（中央値 196万）</t>
        </is>
      </c>
      <c r="L115" s="16" t="inlineStr">
        <is>
          <t>CX-8 2.2 XD Lパッケージ ディーゼルターボ 4WD 衝突軽減B 純正コネクトナビ 360℃モニター アダプティブクルーズコントロール 電子パーキング 革巻きステアリング 障害物センサー パワーバックドア 前席シートヒーター LEDヘッドライト スマートキー</t>
        </is>
      </c>
      <c r="M115" s="7" t="inlineStr">
        <is>
          <t>https://www.carsensor.net/usedcar/detail/AU7364521280/index.html</t>
        </is>
      </c>
    </row>
    <row r="116">
      <c r="A116" s="11" t="n">
        <v>2017</v>
      </c>
      <c r="B116" s="12" t="inlineStr">
        <is>
          <t>4WD</t>
        </is>
      </c>
      <c r="C116" s="12" t="inlineStr">
        <is>
          <t>2.2 XD Lパッケージ</t>
        </is>
      </c>
      <c r="D116" s="13" t="n">
        <v>5</v>
      </c>
      <c r="E116" s="14" t="n">
        <v>147.9</v>
      </c>
      <c r="F116" s="14" t="n">
        <v>135.9</v>
      </c>
      <c r="G116" s="15" t="n">
        <v>10.7</v>
      </c>
      <c r="H116" s="12" t="inlineStr">
        <is>
          <t>なし</t>
        </is>
      </c>
      <c r="I116" s="12" t="inlineStr">
        <is>
          <t>車検整備付</t>
        </is>
      </c>
      <c r="J116" s="12" t="inlineStr">
        <is>
          <t>保証付</t>
        </is>
      </c>
      <c r="K116" s="16" t="inlineStr">
        <is>
          <t>修復歴なし / 車検整備付 / 保証付 / 同年式より安い（中央値 184万）</t>
        </is>
      </c>
      <c r="L116" s="16" t="inlineStr">
        <is>
          <t>CX-8 2.2 XD Lパッケージ ディーゼルターボ 6ヶ月走行距離無制限保証付 BOSEサウンド 純正SDナビ フルセグTV 全方位カメラ 禁煙車 ETC レーダークルーズコントロール 本革シート 衝突軽減ブレーキ シートヒーター 電動リアゲート</t>
        </is>
      </c>
      <c r="M116" s="12" t="inlineStr">
        <is>
          <t>https://www.carsensor.net/usedcar/detail/AU7178250205/index.html</t>
        </is>
      </c>
    </row>
    <row r="117">
      <c r="A117" s="6" t="n">
        <v>2017</v>
      </c>
      <c r="B117" s="7" t="inlineStr">
        <is>
          <t>4WD</t>
        </is>
      </c>
      <c r="C117" s="7" t="inlineStr">
        <is>
          <t>2.2 XD プロアクティブ</t>
        </is>
      </c>
      <c r="D117" s="17" t="n">
        <v>5</v>
      </c>
      <c r="E117" s="9" t="n">
        <v>154.8</v>
      </c>
      <c r="F117" s="9" t="n">
        <v>138</v>
      </c>
      <c r="G117" s="10" t="n">
        <v>8.6</v>
      </c>
      <c r="H117" s="7" t="inlineStr">
        <is>
          <t>なし</t>
        </is>
      </c>
      <c r="I117" s="7" t="inlineStr">
        <is>
          <t>車検整備付</t>
        </is>
      </c>
      <c r="J117" s="7" t="inlineStr">
        <is>
          <t>保証付</t>
        </is>
      </c>
      <c r="K117" s="16" t="inlineStr">
        <is>
          <t>修復歴なし / 車検整備付 / 保証付 / 同年式より安い（中央値 184万）</t>
        </is>
      </c>
      <c r="L117" s="16" t="inlineStr">
        <is>
          <t>CX-8 2.2 XD プロアクティブ ディーゼルターボ 4WD 純正ナビ バックカメラ Bluetooth 衝突軽減システム レーンアシスト ヘッドアップディスプレイ レーダークルーズコントロール ブラインドスポット ETC フルセグ シートヒーター</t>
        </is>
      </c>
      <c r="M117" s="7" t="inlineStr">
        <is>
          <t>https://www.carsensor.net/usedcar/detail/AU7410838425/index.html</t>
        </is>
      </c>
    </row>
    <row r="118">
      <c r="A118" s="11" t="n">
        <v>2018</v>
      </c>
      <c r="B118" s="12" t="inlineStr">
        <is>
          <t>4WD</t>
        </is>
      </c>
      <c r="C118" s="12" t="inlineStr">
        <is>
          <t>2.2 XD プロアクティブ</t>
        </is>
      </c>
      <c r="D118" s="13" t="n">
        <v>5</v>
      </c>
      <c r="E118" s="14" t="n">
        <v>161.9</v>
      </c>
      <c r="F118" s="14" t="n">
        <v>149.9</v>
      </c>
      <c r="G118" s="15" t="n">
        <v>7.2</v>
      </c>
      <c r="H118" s="12" t="inlineStr">
        <is>
          <t>なし</t>
        </is>
      </c>
      <c r="I118" s="12" t="inlineStr">
        <is>
          <t>車検整備付</t>
        </is>
      </c>
      <c r="J118" s="12" t="inlineStr">
        <is>
          <t>保証付</t>
        </is>
      </c>
      <c r="K118" s="16" t="inlineStr">
        <is>
          <t>修復歴なし / 車検整備付 / 保証付 / 同年式より安い（中央値 196万）</t>
        </is>
      </c>
      <c r="L118" s="16" t="inlineStr">
        <is>
          <t>CX-8 2.2 XD プロアクティブ ディーゼルターボ 4WD 6ヶ月走行距離無制限保証付 純正SDナビ フルセグTV 全方位カメラ 禁煙車 ETC クリアランスソナー レーダークルーズコントロール 衝突軽減ブレーキ ブラインドスポットモニター Bluetooth 電動リアゲート</t>
        </is>
      </c>
      <c r="M118" s="12" t="inlineStr">
        <is>
          <t>https://www.carsensor.net/usedcar/detail/AU7186962409/index.html</t>
        </is>
      </c>
    </row>
    <row r="119">
      <c r="A119" s="6" t="n">
        <v>2018</v>
      </c>
      <c r="B119" s="7" t="inlineStr">
        <is>
          <t>4WD</t>
        </is>
      </c>
      <c r="C119" s="7" t="inlineStr">
        <is>
          <t>2.2 XD プロアクティブ</t>
        </is>
      </c>
      <c r="D119" s="17" t="n">
        <v>5</v>
      </c>
      <c r="E119" s="9" t="n">
        <v>166</v>
      </c>
      <c r="F119" s="9" t="n">
        <v>154</v>
      </c>
      <c r="G119" s="10" t="n">
        <v>8.6</v>
      </c>
      <c r="H119" s="7" t="inlineStr">
        <is>
          <t>なし</t>
        </is>
      </c>
      <c r="I119" s="7" t="inlineStr">
        <is>
          <t>車検整備付</t>
        </is>
      </c>
      <c r="J119" s="7" t="inlineStr">
        <is>
          <t>保証付</t>
        </is>
      </c>
      <c r="K119" s="16" t="inlineStr">
        <is>
          <t>修復歴なし / 車検整備付 / 保証付 / 同年式より安い（中央値 196万）</t>
        </is>
      </c>
      <c r="L119" s="16" t="inlineStr">
        <is>
          <t>CX-8 2.2 XD プロアクティブ ディーゼルターボ 4WD 6ヶ月走行距離無制限保証付 4WD 後席フリップダウンモニター BOSEサウンド 全方位カメラ 禁煙車 純正SDナビ 電動リアゲート レーダークルーズコントロール 衝突軽減ブレーキ シートヒーター フルセグTV</t>
        </is>
      </c>
      <c r="M119" s="7" t="inlineStr">
        <is>
          <t>https://www.carsensor.net/usedcar/detail/AU7441483463/index.html</t>
        </is>
      </c>
    </row>
    <row r="120">
      <c r="A120" s="11" t="n">
        <v>2018</v>
      </c>
      <c r="B120" s="12" t="inlineStr">
        <is>
          <t>4WD</t>
        </is>
      </c>
      <c r="C120" s="12" t="inlineStr">
        <is>
          <t>2.2 XD Lパッケージ</t>
        </is>
      </c>
      <c r="D120" s="13" t="n">
        <v>5</v>
      </c>
      <c r="E120" s="14" t="n">
        <v>171</v>
      </c>
      <c r="F120" s="14" t="n">
        <v>159</v>
      </c>
      <c r="G120" s="15" t="n">
        <v>9.300000000000001</v>
      </c>
      <c r="H120" s="12" t="inlineStr">
        <is>
          <t>なし</t>
        </is>
      </c>
      <c r="I120" s="12" t="inlineStr">
        <is>
          <t>車検整備付</t>
        </is>
      </c>
      <c r="J120" s="12" t="inlineStr">
        <is>
          <t>保証付</t>
        </is>
      </c>
      <c r="K120" s="16" t="inlineStr">
        <is>
          <t>修復歴なし / 車検整備付 / 保証付 / 同年式より安い（中央値 196万）</t>
        </is>
      </c>
      <c r="L120" s="16" t="inlineStr">
        <is>
          <t>CX-8 2.2 XD Lパッケージ ディーゼルターボ 4WD 6ヶ月走行距離無制限保証付 4WD 純正SDナビ 全方位カメラ 禁煙車 衝突軽減ブレーキ Bluetooth 電動リアゲート BOSEサウンド 本革シート ステアリングヒーター フルセグTV レーダークルーズ</t>
        </is>
      </c>
      <c r="M120" s="12" t="inlineStr">
        <is>
          <t>https://www.carsensor.net/usedcar/detail/AU7380716427/index.html</t>
        </is>
      </c>
    </row>
    <row r="121">
      <c r="A121" s="6" t="n">
        <v>2018</v>
      </c>
      <c r="B121" s="7" t="inlineStr">
        <is>
          <t>4WD</t>
        </is>
      </c>
      <c r="C121" s="7" t="inlineStr">
        <is>
          <t>2.2 XD プロアクティブ</t>
        </is>
      </c>
      <c r="D121" s="17" t="n">
        <v>5</v>
      </c>
      <c r="E121" s="9" t="n">
        <v>168.8</v>
      </c>
      <c r="F121" s="9" t="n">
        <v>162.4</v>
      </c>
      <c r="G121" s="10" t="n">
        <v>9.699999999999999</v>
      </c>
      <c r="H121" s="7" t="inlineStr">
        <is>
          <t>なし</t>
        </is>
      </c>
      <c r="I121" s="7" t="inlineStr">
        <is>
          <t>2027(R09)年10月</t>
        </is>
      </c>
      <c r="J121" s="7" t="inlineStr">
        <is>
          <t>保証付</t>
        </is>
      </c>
      <c r="K121" s="16" t="inlineStr">
        <is>
          <t>修復歴なし / 車検 2027/10 まで（残り12ヶ月） / 保証付 / 同年式より安い（中央値 196万）</t>
        </is>
      </c>
      <c r="L121" s="16" t="inlineStr">
        <is>
          <t>CX-8 2.2 XD プロアクティブ ディーゼルターボ 4WD 純正SDナビ フルセグTV/CD/DVD/Bluetooth 全方位カメラ パワーシート シートヒーター レーダークルーズコントロール コーナーセンサー BSM AVH ステアリングヒーター ステアリングリモコン フォグライト</t>
        </is>
      </c>
      <c r="M121" s="7" t="inlineStr">
        <is>
          <t>https://www.carsensor.net/usedcar/detail/AU7360077694/index.html</t>
        </is>
      </c>
    </row>
    <row r="122">
      <c r="A122" s="11" t="n">
        <v>2018</v>
      </c>
      <c r="B122" s="12" t="inlineStr">
        <is>
          <t>4WD</t>
        </is>
      </c>
      <c r="C122" s="12" t="inlineStr">
        <is>
          <t>2.2 XD プロアクティブ</t>
        </is>
      </c>
      <c r="D122" s="13" t="n">
        <v>5</v>
      </c>
      <c r="E122" s="14" t="n">
        <v>225.9</v>
      </c>
      <c r="F122" s="14" t="n">
        <v>214.5</v>
      </c>
      <c r="G122" s="15" t="n">
        <v>5.3</v>
      </c>
      <c r="H122" s="12" t="inlineStr">
        <is>
          <t>なし</t>
        </is>
      </c>
      <c r="I122" s="12" t="inlineStr">
        <is>
          <t>2027(R09)年04月</t>
        </is>
      </c>
      <c r="J122" s="12" t="inlineStr">
        <is>
          <t>保証付</t>
        </is>
      </c>
      <c r="K122" s="16" t="inlineStr">
        <is>
          <t>走行が少なめ（5.3万km） / 修復歴なし / 車検 2027/04 まで（残り6ヶ月） / 保証付</t>
        </is>
      </c>
      <c r="L122" s="16" t="inlineStr">
        <is>
          <t>CX-8 2.2 XD プロアクティブ ディーゼルターボ 4WD ディーゼル(軽油)ブラインドスポットモニター マツダコネクトナビ 全周囲カメラ BOSEサウンド 衝突被害軽減システム 禁煙車 パワーシート ドラレコ LEDヘッド リアオートエアコン</t>
        </is>
      </c>
      <c r="M122" s="12" t="inlineStr">
        <is>
          <t>https://www.carsensor.net/usedcar/detail/AU7276552832/index.html</t>
        </is>
      </c>
    </row>
    <row r="123">
      <c r="A123" s="6" t="n">
        <v>2018</v>
      </c>
      <c r="B123" s="7" t="inlineStr">
        <is>
          <t>4WD</t>
        </is>
      </c>
      <c r="C123" s="7" t="inlineStr">
        <is>
          <t>2.2 XD プロアクティブ</t>
        </is>
      </c>
      <c r="D123" s="17" t="n">
        <v>5</v>
      </c>
      <c r="E123" s="9" t="n">
        <v>229.9</v>
      </c>
      <c r="F123" s="9" t="n">
        <v>218.5</v>
      </c>
      <c r="G123" s="10" t="n">
        <v>4.6</v>
      </c>
      <c r="H123" s="7" t="inlineStr">
        <is>
          <t>なし</t>
        </is>
      </c>
      <c r="I123" s="7" t="inlineStr">
        <is>
          <t>2027(R09)年04月</t>
        </is>
      </c>
      <c r="J123" s="7" t="inlineStr">
        <is>
          <t>保証付</t>
        </is>
      </c>
      <c r="K123" s="16" t="inlineStr">
        <is>
          <t>走行が少なめ（4.6万km） / 修復歴なし / 車検 2027/04 まで（残り6ヶ月） / 保証付</t>
        </is>
      </c>
      <c r="L123" s="16" t="inlineStr">
        <is>
          <t>CX-8 2.2 XD プロアクティブ ディーゼルターボ 4WD 純正ナビ 全周囲カメラ 衝突被害軽減 禁煙車 7人乗り パワーシート コーナーセンサー ヘッドアップデイスプレイ スマートキー LEDヘッド ETC 純正19インチAW 電動格納ミラー</t>
        </is>
      </c>
      <c r="M123" s="7" t="inlineStr">
        <is>
          <t>https://www.carsensor.net/usedcar/detail/AU7368249162/index.html</t>
        </is>
      </c>
    </row>
    <row r="124">
      <c r="A124" s="11" t="n">
        <v>2018</v>
      </c>
      <c r="B124" s="12" t="inlineStr">
        <is>
          <t>4WD</t>
        </is>
      </c>
      <c r="C124" s="12" t="inlineStr">
        <is>
          <t>2.2 XD Lパッケージ</t>
        </is>
      </c>
      <c r="D124" s="13" t="n">
        <v>5</v>
      </c>
      <c r="E124" s="14" t="n">
        <v>235</v>
      </c>
      <c r="F124" s="14" t="n">
        <v>219</v>
      </c>
      <c r="G124" s="15" t="n">
        <v>5</v>
      </c>
      <c r="H124" s="12" t="inlineStr">
        <is>
          <t>なし</t>
        </is>
      </c>
      <c r="I124" s="12" t="inlineStr">
        <is>
          <t>2027(R09)年04月</t>
        </is>
      </c>
      <c r="J124" s="12" t="inlineStr">
        <is>
          <t>保証付</t>
        </is>
      </c>
      <c r="K124" s="16" t="inlineStr">
        <is>
          <t>走行が少なめ（5.0万km） / 修復歴なし / 車検 2027/04 まで（残り6ヶ月） / 保証付</t>
        </is>
      </c>
      <c r="L124" s="16" t="inlineStr">
        <is>
          <t>CX-8 2.2 XD Lパッケージ ディーゼルターボ 4WD 純正メモリーナビ CD/DVD再生 ブルートゥース フルセグ 全方位カメラ ETC BSM ヘッドアップディスプレイ レーダークルーズ 革シート シートヒーター パワーバックドア ワンオーナー</t>
        </is>
      </c>
      <c r="M124" s="12" t="inlineStr">
        <is>
          <t>https://www.carsensor.net/usedcar/detail/AU7358430925/index.html</t>
        </is>
      </c>
    </row>
    <row r="125">
      <c r="A125" s="6" t="n">
        <v>2018</v>
      </c>
      <c r="B125" s="7" t="inlineStr">
        <is>
          <t>4WD</t>
        </is>
      </c>
      <c r="C125" s="7" t="inlineStr">
        <is>
          <t>2.2 XD プロアクティブ</t>
        </is>
      </c>
      <c r="D125" s="17" t="n">
        <v>5</v>
      </c>
      <c r="E125" s="9" t="n">
        <v>155.8</v>
      </c>
      <c r="F125" s="9" t="n">
        <v>139</v>
      </c>
      <c r="G125" s="10" t="n">
        <v>9.6</v>
      </c>
      <c r="H125" s="7" t="inlineStr">
        <is>
          <t>なし</t>
        </is>
      </c>
      <c r="I125" s="7" t="inlineStr">
        <is>
          <t>車検整備付</t>
        </is>
      </c>
      <c r="J125" s="7" t="inlineStr">
        <is>
          <t>保証付</t>
        </is>
      </c>
      <c r="K125" s="16" t="inlineStr">
        <is>
          <t>修復歴なし / 車検整備付 / 保証付 / 同年式より安い（中央値 196万）</t>
        </is>
      </c>
      <c r="L125" s="16" t="inlineStr">
        <is>
          <t>CX-8 2.2 XD プロアクティブ ディーゼルターボ 4WD 純正ナビ 全方位カメラ Bluetooth 衝突軽減ブレーキ レーンアシスト レーダークルーズコントロール パワーバックドア クリアランスソナー ブラインドスポット フルセグ ビルトインETC</t>
        </is>
      </c>
      <c r="M125" s="7" t="inlineStr">
        <is>
          <t>https://www.carsensor.net/usedcar/detail/AU7301537889/index.html</t>
        </is>
      </c>
    </row>
    <row r="126">
      <c r="A126" s="11" t="n">
        <v>2018</v>
      </c>
      <c r="B126" s="12" t="inlineStr">
        <is>
          <t>4WD</t>
        </is>
      </c>
      <c r="C126" s="12" t="inlineStr">
        <is>
          <t>2.2 XD Lパッケージ</t>
        </is>
      </c>
      <c r="D126" s="13" t="n">
        <v>5</v>
      </c>
      <c r="E126" s="14" t="n">
        <v>174.3</v>
      </c>
      <c r="F126" s="14" t="n">
        <v>157.4</v>
      </c>
      <c r="G126" s="15" t="n">
        <v>8</v>
      </c>
      <c r="H126" s="12" t="inlineStr">
        <is>
          <t>なし</t>
        </is>
      </c>
      <c r="I126" s="12" t="inlineStr">
        <is>
          <t>車検整備付</t>
        </is>
      </c>
      <c r="J126" s="12" t="inlineStr">
        <is>
          <t>保証付</t>
        </is>
      </c>
      <c r="K126" s="16" t="inlineStr">
        <is>
          <t>修復歴なし / 車検整備付 / 保証付 / 同年式より安い（中央値 196万）</t>
        </is>
      </c>
      <c r="L126" s="16" t="inlineStr">
        <is>
          <t>CX-8 2.2 XD Lパッケージ ディーゼルターボ 4WD 黒革 フリップダウンモニター BOSE 360°カメラ 衝突被害軽減ブレーキ 純正ナビ Bluetooth フルセグ ブラインドスポットモニター ヘッドアップディスプレイ 電動リアゲート LEDヘッドライト ETC</t>
        </is>
      </c>
      <c r="M126" s="12" t="inlineStr">
        <is>
          <t>https://www.carsensor.net/usedcar/detail/AU7214710555/index.html</t>
        </is>
      </c>
    </row>
    <row r="127">
      <c r="A127" s="6" t="n">
        <v>2018</v>
      </c>
      <c r="B127" s="7" t="inlineStr">
        <is>
          <t>4WD</t>
        </is>
      </c>
      <c r="C127" s="7" t="inlineStr">
        <is>
          <t>2.2 XD プロアクティブ</t>
        </is>
      </c>
      <c r="D127" s="17" t="n">
        <v>5</v>
      </c>
      <c r="E127" s="9" t="n">
        <v>173.9</v>
      </c>
      <c r="F127" s="9" t="n">
        <v>156</v>
      </c>
      <c r="G127" s="10" t="n">
        <v>8.1</v>
      </c>
      <c r="H127" s="7" t="inlineStr">
        <is>
          <t>なし</t>
        </is>
      </c>
      <c r="I127" s="7" t="inlineStr">
        <is>
          <t>車検整備付</t>
        </is>
      </c>
      <c r="J127" s="7" t="inlineStr">
        <is>
          <t>保証付</t>
        </is>
      </c>
      <c r="K127" s="16" t="inlineStr">
        <is>
          <t>修復歴なし / 車検整備付 / 保証付 / 同年式より安い（中央値 196万）</t>
        </is>
      </c>
      <c r="L127" s="16" t="inlineStr">
        <is>
          <t>CX-8 2.2 XD プロアクティブ ディーゼルターボ 4WD (49)アルパインフリップダウンモニター 純正ナビ 全方位カメラ ヘッドアップディスプレイ アダプティブクルーズコントロール ハンドルヒータ- 電動リアゲート ブラインドスポットモニター LEDヘッドライト</t>
        </is>
      </c>
      <c r="M127" s="7" t="inlineStr">
        <is>
          <t>https://www.carsensor.net/usedcar/detail/AU7292804808/index.html</t>
        </is>
      </c>
    </row>
    <row r="128">
      <c r="A128" s="11" t="n">
        <v>2019</v>
      </c>
      <c r="B128" s="12" t="inlineStr">
        <is>
          <t>4WD</t>
        </is>
      </c>
      <c r="C128" s="12" t="inlineStr">
        <is>
          <t>2.2 XD Lパッケージ</t>
        </is>
      </c>
      <c r="D128" s="13" t="n">
        <v>5</v>
      </c>
      <c r="E128" s="14" t="n">
        <v>194.1</v>
      </c>
      <c r="F128" s="14" t="n">
        <v>179.9</v>
      </c>
      <c r="G128" s="15" t="n">
        <v>8.1</v>
      </c>
      <c r="H128" s="12" t="inlineStr">
        <is>
          <t>なし</t>
        </is>
      </c>
      <c r="I128" s="12" t="inlineStr">
        <is>
          <t>車検整備付</t>
        </is>
      </c>
      <c r="J128" s="12" t="inlineStr">
        <is>
          <t>保証付</t>
        </is>
      </c>
      <c r="K128" s="16" t="inlineStr">
        <is>
          <t>修復歴なし / 車検整備付 / 保証付 / 同年式より安い（中央値 231万）</t>
        </is>
      </c>
      <c r="L128" s="16" t="inlineStr">
        <is>
          <t>CX-8 2.2 XD Lパッケージ ディーゼルターボ 4WD 360度ビュー/BOSEサウンド/深赤革シート/衝突軽減ブレーキ/BSM/前後パーキングセンサー/レーダークルコン/LKA/パワーシート/シートベンチレーション/パワーバックドア/マツコネナビ/フルセグTV/DVD/BT/AppleCarPlay</t>
        </is>
      </c>
      <c r="M128" s="12" t="inlineStr">
        <is>
          <t>https://www.carsensor.net/usedcar/detail/AU7153984706/index.html</t>
        </is>
      </c>
    </row>
    <row r="129">
      <c r="A129" s="6" t="n">
        <v>2021</v>
      </c>
      <c r="B129" s="7" t="inlineStr">
        <is>
          <t>4WD</t>
        </is>
      </c>
      <c r="C129" s="7" t="inlineStr">
        <is>
          <t>2.2 XD ブラックトーン</t>
        </is>
      </c>
      <c r="D129" s="17" t="n">
        <v>5</v>
      </c>
      <c r="E129" s="9" t="n">
        <v>237.1</v>
      </c>
      <c r="F129" s="9" t="n">
        <v>224.5</v>
      </c>
      <c r="G129" s="10" t="n">
        <v>6.8</v>
      </c>
      <c r="H129" s="7" t="inlineStr">
        <is>
          <t>なし</t>
        </is>
      </c>
      <c r="I129" s="7" t="inlineStr">
        <is>
          <t>車検整備付</t>
        </is>
      </c>
      <c r="J129" s="7" t="inlineStr">
        <is>
          <t>保証付</t>
        </is>
      </c>
      <c r="K129" s="16" t="inlineStr">
        <is>
          <t>修復歴なし / 車検整備付 / 保証付 / 同年式より安い（中央値 279万）</t>
        </is>
      </c>
      <c r="L129" s="16" t="inlineStr">
        <is>
          <t>CX-8 2.2 XD ブラックトーン エディション ディーゼルターボ 4WD 4WD 純正10.25インチナビ 全周囲モニター ワイヤレス充電 ステアリングヒーター レーダークルーズコントロール 運転席 後席シートヒーター パワーシート レーンキープ ドラレコ ルーフレール BSM パワーバックドア</t>
        </is>
      </c>
      <c r="M129" s="7" t="inlineStr">
        <is>
          <t>https://www.carsensor.net/usedcar/detail/AU6954590950/index.html</t>
        </is>
      </c>
    </row>
    <row r="130">
      <c r="A130" s="11" t="n">
        <v>2021</v>
      </c>
      <c r="B130" s="12" t="inlineStr">
        <is>
          <t>4WD</t>
        </is>
      </c>
      <c r="C130" s="12" t="inlineStr">
        <is>
          <t>2.5 25S ブラックトーン</t>
        </is>
      </c>
      <c r="D130" s="13" t="n">
        <v>5</v>
      </c>
      <c r="E130" s="14" t="n">
        <v>248.3</v>
      </c>
      <c r="F130" s="14" t="n">
        <v>232.1</v>
      </c>
      <c r="G130" s="15" t="n">
        <v>5.8</v>
      </c>
      <c r="H130" s="12" t="inlineStr">
        <is>
          <t>なし</t>
        </is>
      </c>
      <c r="I130" s="12" t="inlineStr">
        <is>
          <t>車検整備付</t>
        </is>
      </c>
      <c r="J130" s="12" t="inlineStr">
        <is>
          <t>保証付</t>
        </is>
      </c>
      <c r="K130" s="16" t="inlineStr">
        <is>
          <t>修復歴なし / 車検整備付 / 保証付 / 同年式より安い（中央値 279万）</t>
        </is>
      </c>
      <c r="L130" s="16" t="inlineStr">
        <is>
          <t>CX-8 2.5 25S ブラックトーン エディション LED・マツダエマージェンシーコール・フルセグ・メモリナビ・サンルーフ・ETC</t>
        </is>
      </c>
      <c r="M130" s="12" t="inlineStr">
        <is>
          <t>https://www.carsensor.net/usedcar/detail/AU7214356974/index.html</t>
        </is>
      </c>
    </row>
    <row r="131">
      <c r="A131" s="6" t="n">
        <v>2021</v>
      </c>
      <c r="B131" s="7" t="inlineStr">
        <is>
          <t>4WD</t>
        </is>
      </c>
      <c r="C131" s="7" t="inlineStr">
        <is>
          <t>2.2 XD プロアクティブ</t>
        </is>
      </c>
      <c r="D131" s="17" t="n">
        <v>5</v>
      </c>
      <c r="E131" s="9" t="n">
        <v>248</v>
      </c>
      <c r="F131" s="9" t="n">
        <v>228</v>
      </c>
      <c r="G131" s="10" t="n">
        <v>5.6</v>
      </c>
      <c r="H131" s="7" t="inlineStr">
        <is>
          <t>なし</t>
        </is>
      </c>
      <c r="I131" s="7" t="inlineStr">
        <is>
          <t>車検整備付</t>
        </is>
      </c>
      <c r="J131" s="7" t="inlineStr">
        <is>
          <t>保証付</t>
        </is>
      </c>
      <c r="K131" s="16" t="inlineStr">
        <is>
          <t>修復歴なし / 車検整備付 / 保証付 / 同年式より安い（中央値 279万）</t>
        </is>
      </c>
      <c r="L131" s="16" t="inlineStr">
        <is>
          <t>CX-8 2.2 XD プロアクティブ ディーゼルターボ 4WD ワンオーナー 純正ナビ フルセグテレビ 全周囲カメラ エンジンスターター 純正19インチアルミホイール</t>
        </is>
      </c>
      <c r="M131" s="7" t="inlineStr">
        <is>
          <t>https://www.carsensor.net/usedcar/detail/AU7330039597/index.html</t>
        </is>
      </c>
    </row>
    <row r="132">
      <c r="A132" s="11" t="n">
        <v>2021</v>
      </c>
      <c r="B132" s="12" t="inlineStr">
        <is>
          <t>4WD</t>
        </is>
      </c>
      <c r="C132" s="12" t="inlineStr">
        <is>
          <t>2.2 XD ブラックトーン</t>
        </is>
      </c>
      <c r="D132" s="13" t="n">
        <v>5</v>
      </c>
      <c r="E132" s="14" t="n">
        <v>289.3</v>
      </c>
      <c r="F132" s="14" t="n">
        <v>278</v>
      </c>
      <c r="G132" s="15" t="n">
        <v>5</v>
      </c>
      <c r="H132" s="12" t="inlineStr">
        <is>
          <t>なし</t>
        </is>
      </c>
      <c r="I132" s="12" t="inlineStr">
        <is>
          <t>2028(R10)年11月</t>
        </is>
      </c>
      <c r="J132" s="12" t="inlineStr">
        <is>
          <t>保証付</t>
        </is>
      </c>
      <c r="K132" s="16" t="inlineStr">
        <is>
          <t>修復歴なし / 車検 2028/11 まで（残り25ヶ月） / 保証付</t>
        </is>
      </c>
      <c r="L132" s="16" t="inlineStr">
        <is>
          <t>CX-8 2.2 XD ブラックトーン エディション ディーゼルターボ 4WD ナビ ETC 360°モニター サンルーフ BOSEサウンドシステム ルーフレール ユピテル前後ドラレコ レーンキープ レーダークルーズ スマートブレーキ ワイヤレス充電 19AW</t>
        </is>
      </c>
      <c r="M132" s="12" t="inlineStr">
        <is>
          <t>https://www.carsensor.net/usedcar/detail/AU7407213386/index.html</t>
        </is>
      </c>
    </row>
    <row r="133">
      <c r="A133" s="6" t="n">
        <v>2021</v>
      </c>
      <c r="B133" s="7" t="inlineStr">
        <is>
          <t>4WD</t>
        </is>
      </c>
      <c r="C133" s="7" t="inlineStr">
        <is>
          <t>2.2 XD ブラックトーン</t>
        </is>
      </c>
      <c r="D133" s="17" t="n">
        <v>5</v>
      </c>
      <c r="E133" s="9" t="n">
        <v>275.9</v>
      </c>
      <c r="F133" s="9" t="n">
        <v>260.9</v>
      </c>
      <c r="G133" s="10" t="n">
        <v>2.1</v>
      </c>
      <c r="H133" s="7" t="inlineStr">
        <is>
          <t>なし</t>
        </is>
      </c>
      <c r="I133" s="7" t="inlineStr">
        <is>
          <t>車検整備無</t>
        </is>
      </c>
      <c r="J133" s="7" t="inlineStr">
        <is>
          <t>保証無</t>
        </is>
      </c>
      <c r="K133" s="16" t="inlineStr">
        <is>
          <t>同年式の半分以下の走行（2.1万km） / 修復歴なし</t>
        </is>
      </c>
      <c r="L133" s="16" t="inlineStr">
        <is>
          <t>CX-8 2.2 XD ブラックトーン エディション ディーゼルターボ 4WD!純正ナビ!フルセグTV!360°ビューモニター!ETC!前後ドラレコ!パワーバックドア!iーアクティブセンス!シートヒーター!ステアリングヒーター!LEDヘッドライト!OPルーフレール!禁煙車!</t>
        </is>
      </c>
      <c r="M133" s="7" t="inlineStr">
        <is>
          <t>https://www.carsensor.net/usedcar/detail/AU7231896652/index.html</t>
        </is>
      </c>
    </row>
    <row r="134">
      <c r="A134" s="11" t="n">
        <v>2022</v>
      </c>
      <c r="B134" s="12" t="inlineStr">
        <is>
          <t>4WD</t>
        </is>
      </c>
      <c r="C134" s="12" t="inlineStr">
        <is>
          <t>2.2 XD エクスクルーシブ</t>
        </is>
      </c>
      <c r="D134" s="13" t="n">
        <v>5</v>
      </c>
      <c r="E134" s="14" t="n">
        <v>331.8</v>
      </c>
      <c r="F134" s="14" t="n">
        <v>325.9</v>
      </c>
      <c r="G134" s="15" t="n">
        <v>3.1</v>
      </c>
      <c r="H134" s="12" t="inlineStr">
        <is>
          <t>なし</t>
        </is>
      </c>
      <c r="I134" s="12" t="inlineStr">
        <is>
          <t>2027(R09)年04月</t>
        </is>
      </c>
      <c r="J134" s="12" t="inlineStr">
        <is>
          <t>保証付</t>
        </is>
      </c>
      <c r="K134" s="16" t="inlineStr">
        <is>
          <t>走行が少なめ（3.1万km） / 修復歴なし / 車検 2027/04 まで（残り6ヶ月） / 保証付</t>
        </is>
      </c>
      <c r="L134" s="16" t="inlineStr">
        <is>
          <t>CX-8 2.2 XD エクスクルーシブ モード ディーゼルターボ 4WD ワンオーナー BOSE 全方位カメラ 純正ナビ 赤革シート スマートシティブレーキサポート レーダークルーズコントロール BSM パワーシート シートヒーター/クーラー 純正19インチAW</t>
        </is>
      </c>
      <c r="M134" s="12" t="inlineStr">
        <is>
          <t>https://www.carsensor.net/usedcar/detail/AU7287579241/index.html</t>
        </is>
      </c>
    </row>
    <row r="135">
      <c r="A135" s="6" t="n">
        <v>2023</v>
      </c>
      <c r="B135" s="7" t="inlineStr">
        <is>
          <t>4WD</t>
        </is>
      </c>
      <c r="C135" s="7" t="inlineStr">
        <is>
          <t>2.2 XD グランド</t>
        </is>
      </c>
      <c r="D135" s="17" t="n">
        <v>5</v>
      </c>
      <c r="E135" s="9" t="n">
        <v>376.2</v>
      </c>
      <c r="F135" s="9" t="n">
        <v>359.9</v>
      </c>
      <c r="G135" s="10" t="n">
        <v>1.2</v>
      </c>
      <c r="H135" s="7" t="inlineStr">
        <is>
          <t>なし</t>
        </is>
      </c>
      <c r="I135" s="7" t="inlineStr">
        <is>
          <t>車検整備無</t>
        </is>
      </c>
      <c r="J135" s="7" t="inlineStr">
        <is>
          <t>保証無</t>
        </is>
      </c>
      <c r="K135" s="16" t="inlineStr">
        <is>
          <t>同年式の半分以下の走行（1.2万km） / 修復歴なし</t>
        </is>
      </c>
      <c r="L135" s="16" t="inlineStr">
        <is>
          <t>CX-8 2.2 XD グランド ジャーニー ディーゼルターボ 4WD サンルーフ 360°ビュー BOSEサウンド レーダークルーズ ETC2.0 BSM HUD 純正10.25型ナビ 前後席シート・ステアヒーター パワーリフトゲート ワイヤレス充電 パーキングセンサー</t>
        </is>
      </c>
      <c r="M135" s="7" t="inlineStr">
        <is>
          <t>https://www.carsensor.net/usedcar/detail/AU7410336365/index.html</t>
        </is>
      </c>
    </row>
    <row r="136">
      <c r="A136" s="11" t="n">
        <v>2018</v>
      </c>
      <c r="B136" s="12" t="inlineStr">
        <is>
          <t>4WD</t>
        </is>
      </c>
      <c r="C136" s="12" t="inlineStr">
        <is>
          <t>2.2 XD プロアクティブ</t>
        </is>
      </c>
      <c r="D136" s="13" t="n">
        <v>4.9</v>
      </c>
      <c r="E136" s="14" t="n">
        <v>169.9</v>
      </c>
      <c r="F136" s="14" t="n">
        <v>158.2</v>
      </c>
      <c r="G136" s="15" t="n">
        <v>9.4</v>
      </c>
      <c r="H136" s="12" t="inlineStr">
        <is>
          <t>なし</t>
        </is>
      </c>
      <c r="I136" s="12" t="inlineStr">
        <is>
          <t>2027(R09)年09月</t>
        </is>
      </c>
      <c r="J136" s="12" t="inlineStr">
        <is>
          <t>保証付</t>
        </is>
      </c>
      <c r="K136" s="16" t="inlineStr">
        <is>
          <t>修復歴なし / 車検 2027/09 まで（残り11ヶ月） / 保証付 / 同年式より安い（中央値 196万）</t>
        </is>
      </c>
      <c r="L136" s="16" t="inlineStr">
        <is>
          <t>CX-8 2.2 XD プロアクティブ ディーゼルターボ 4WD 禁煙車 マツダコネクトナビ BOSEサウンド 全周囲カメラ 衝突軽減 レーダークルーズ メモリー付パワーシート ルーフレール シートヒーター パワーバックドア LEDヘッド ステアリングヒーター</t>
        </is>
      </c>
      <c r="M136" s="12" t="inlineStr">
        <is>
          <t>https://www.carsensor.net/usedcar/detail/AU6991423287/index.html</t>
        </is>
      </c>
    </row>
    <row r="137">
      <c r="A137" s="6" t="n">
        <v>2018</v>
      </c>
      <c r="B137" s="7" t="inlineStr">
        <is>
          <t>4WD</t>
        </is>
      </c>
      <c r="C137" s="7" t="inlineStr">
        <is>
          <t>2.2 XD プロアクティブ</t>
        </is>
      </c>
      <c r="D137" s="17" t="n">
        <v>4.9</v>
      </c>
      <c r="E137" s="9" t="n">
        <v>169.8</v>
      </c>
      <c r="F137" s="9" t="n">
        <v>163.7</v>
      </c>
      <c r="G137" s="10" t="n">
        <v>9</v>
      </c>
      <c r="H137" s="7" t="inlineStr">
        <is>
          <t>なし</t>
        </is>
      </c>
      <c r="I137" s="7" t="inlineStr">
        <is>
          <t>2027(R09)年09月</t>
        </is>
      </c>
      <c r="J137" s="7" t="inlineStr">
        <is>
          <t>保証付</t>
        </is>
      </c>
      <c r="K137" s="16" t="inlineStr">
        <is>
          <t>修復歴なし / 車検 2027/09 まで（残り11ヶ月） / 保証付 / 同年式より安い（中央値 196万）</t>
        </is>
      </c>
      <c r="L137" s="16" t="inlineStr">
        <is>
          <t>CX-8 2.2 XD プロアクティブ ディーゼルターボ 4WD 純正ナビ 後席モニター</t>
        </is>
      </c>
      <c r="M137" s="7" t="inlineStr">
        <is>
          <t>https://www.carsensor.net/usedcar/detail/AU7422445958/index.html</t>
        </is>
      </c>
    </row>
    <row r="138">
      <c r="A138" s="11" t="n">
        <v>2018</v>
      </c>
      <c r="B138" s="12" t="inlineStr">
        <is>
          <t>4WD</t>
        </is>
      </c>
      <c r="C138" s="12" t="inlineStr">
        <is>
          <t>2.2 XD Lパッケージ</t>
        </is>
      </c>
      <c r="D138" s="13" t="n">
        <v>4.9</v>
      </c>
      <c r="E138" s="14" t="n">
        <v>169.4</v>
      </c>
      <c r="F138" s="14" t="n">
        <v>156.9</v>
      </c>
      <c r="G138" s="15" t="n">
        <v>7.3</v>
      </c>
      <c r="H138" s="12" t="inlineStr">
        <is>
          <t>なし</t>
        </is>
      </c>
      <c r="I138" s="12" t="inlineStr">
        <is>
          <t>2028(R10)年09月</t>
        </is>
      </c>
      <c r="J138" s="12" t="inlineStr">
        <is>
          <t>保証無</t>
        </is>
      </c>
      <c r="K138" s="16" t="inlineStr">
        <is>
          <t>修復歴なし / 車検 2028/09 まで（残り23ヶ月） / 同年式より安い（中央値 196万）</t>
        </is>
      </c>
      <c r="L138" s="16" t="inlineStr">
        <is>
          <t>CX-8 2.2 XD Lパッケージ ディーゼルターボ 4WD 禁煙車 純正ナビ フルセグTV 全周囲カメラ アダプティブクルーズコントロール パワーシート シートヒーター 電動リアゲート ETC リアトラフィックアラート ブラインドスポットモニター BT接続</t>
        </is>
      </c>
      <c r="M138" s="12" t="inlineStr">
        <is>
          <t>https://www.carsensor.net/usedcar/detail/AU7443259041/index.html</t>
        </is>
      </c>
    </row>
    <row r="139">
      <c r="A139" s="6" t="n">
        <v>2018</v>
      </c>
      <c r="B139" s="7" t="inlineStr">
        <is>
          <t>4WD</t>
        </is>
      </c>
      <c r="C139" s="7" t="inlineStr">
        <is>
          <t>2.2 XD プロアクティブ</t>
        </is>
      </c>
      <c r="D139" s="17" t="n">
        <v>4.9</v>
      </c>
      <c r="E139" s="9" t="n">
        <v>175.8</v>
      </c>
      <c r="F139" s="9" t="n">
        <v>174.2</v>
      </c>
      <c r="G139" s="10" t="n">
        <v>7.7</v>
      </c>
      <c r="H139" s="7" t="inlineStr">
        <is>
          <t>なし</t>
        </is>
      </c>
      <c r="I139" s="7" t="inlineStr">
        <is>
          <t>2027(R09)年09月</t>
        </is>
      </c>
      <c r="J139" s="7" t="inlineStr">
        <is>
          <t>保証付</t>
        </is>
      </c>
      <c r="K139" s="16" t="inlineStr">
        <is>
          <t>修復歴なし / 車検 2027/09 まで（残り11ヶ月） / 保証付 / 同年式より安い（中央値 196万）</t>
        </is>
      </c>
      <c r="L139" s="16" t="inlineStr">
        <is>
          <t>CX-8 2.2 XD プロアクティブ ディーゼルターボ 4WD ユーザー様買取車 禁煙 ナビTV Bluetooth BOSEサウンドシステム ステアリングヒーター 電動リアゲート LED 全周囲カメラ ETC</t>
        </is>
      </c>
      <c r="M139" s="7" t="inlineStr">
        <is>
          <t>https://www.carsensor.net/usedcar/detail/AU7311311069/index.html</t>
        </is>
      </c>
    </row>
    <row r="140">
      <c r="A140" s="11" t="n">
        <v>2019</v>
      </c>
      <c r="B140" s="12" t="inlineStr">
        <is>
          <t>4WD</t>
        </is>
      </c>
      <c r="C140" s="12" t="inlineStr">
        <is>
          <t>2.2 XD Lパッケージ</t>
        </is>
      </c>
      <c r="D140" s="13" t="n">
        <v>4.9</v>
      </c>
      <c r="E140" s="14" t="n">
        <v>259.9</v>
      </c>
      <c r="F140" s="14" t="n">
        <v>247.4</v>
      </c>
      <c r="G140" s="15" t="n">
        <v>6.3</v>
      </c>
      <c r="H140" s="12" t="inlineStr">
        <is>
          <t>なし</t>
        </is>
      </c>
      <c r="I140" s="12" t="inlineStr">
        <is>
          <t>2028(R10)年09月</t>
        </is>
      </c>
      <c r="J140" s="12" t="inlineStr">
        <is>
          <t>保証付</t>
        </is>
      </c>
      <c r="K140" s="16" t="inlineStr">
        <is>
          <t>修復歴なし / 車検 2028/09 まで（残り23ヶ月） / 保証付</t>
        </is>
      </c>
      <c r="L140" s="16" t="inlineStr">
        <is>
          <t>CX-8 2.2 XD Lパッケージ ディーゼルターボ 4WD 4WD 禁煙車 純正ナビ 全周囲カメラ マツダコネクト BOSEサウンド レーダークルーズ BSM シートヒーター 電動リアゲート コーナーセンサー パワーシート ETC ドラレコ</t>
        </is>
      </c>
      <c r="M140" s="12" t="inlineStr">
        <is>
          <t>https://www.carsensor.net/usedcar/detail/AU7429523546/index.html</t>
        </is>
      </c>
    </row>
    <row r="141">
      <c r="A141" s="6" t="n">
        <v>2019</v>
      </c>
      <c r="B141" s="7" t="inlineStr">
        <is>
          <t>4WD</t>
        </is>
      </c>
      <c r="C141" s="7" t="inlineStr">
        <is>
          <t>2.2 XD Lパッケージ</t>
        </is>
      </c>
      <c r="D141" s="17" t="n">
        <v>4.9</v>
      </c>
      <c r="E141" s="9" t="n">
        <v>252.7</v>
      </c>
      <c r="F141" s="9" t="n">
        <v>239.9</v>
      </c>
      <c r="G141" s="10" t="n">
        <v>4.1</v>
      </c>
      <c r="H141" s="7" t="inlineStr">
        <is>
          <t>なし</t>
        </is>
      </c>
      <c r="I141" s="7" t="inlineStr">
        <is>
          <t>2028(R10)年03月</t>
        </is>
      </c>
      <c r="J141" s="7" t="inlineStr">
        <is>
          <t>保証無</t>
        </is>
      </c>
      <c r="K141" s="16" t="inlineStr">
        <is>
          <t>走行が少なめ（4.1万km） / 修復歴なし / 車検 2028/03 まで（残り17ヶ月）</t>
        </is>
      </c>
      <c r="L141" s="16" t="inlineStr">
        <is>
          <t>CX-8 2.2 XD Lパッケージ ディーゼルターボ 純正エンジンスターター 純正ナビ フルセグTV Bluetooth アラウンドビューモニター ステアリングヒーター レーダークルーズコントロール 衝突被害軽減ブレーキ フォグライト 禁煙車</t>
        </is>
      </c>
      <c r="M141" s="7" t="inlineStr">
        <is>
          <t>https://www.carsensor.net/usedcar/detail/AU7422606383/index.html</t>
        </is>
      </c>
    </row>
    <row r="142">
      <c r="A142" s="11" t="n">
        <v>2022</v>
      </c>
      <c r="B142" s="12" t="inlineStr">
        <is>
          <t>4WD</t>
        </is>
      </c>
      <c r="C142" s="12" t="inlineStr">
        <is>
          <t>2.5 25T ブラックトーン</t>
        </is>
      </c>
      <c r="D142" s="13" t="n">
        <v>4.9</v>
      </c>
      <c r="E142" s="14" t="n">
        <v>313.8</v>
      </c>
      <c r="F142" s="14" t="n">
        <v>308</v>
      </c>
      <c r="G142" s="15" t="n">
        <v>2.2</v>
      </c>
      <c r="H142" s="12" t="inlineStr">
        <is>
          <t>なし</t>
        </is>
      </c>
      <c r="I142" s="12" t="inlineStr">
        <is>
          <t>2027(R09)年03月</t>
        </is>
      </c>
      <c r="J142" s="12" t="inlineStr">
        <is>
          <t>保証付</t>
        </is>
      </c>
      <c r="K142" s="16" t="inlineStr">
        <is>
          <t>走行が少なめ（2.2万km） / 修復歴なし / 車検 2027/03 まで（残り5ヶ月） / 保証付</t>
        </is>
      </c>
      <c r="L142" s="16" t="inlineStr">
        <is>
          <t>CX-8 2.5 25T ブラックトーン エディション 4WD ターボ サンルーフ TEIN車高調 BOSEサウンドシステム 360°ビューモニター オートエグゼスポーツマフラー ルーフレール ワイヤレス充電 オフロードトラクションアシスト</t>
        </is>
      </c>
      <c r="M142" s="12" t="inlineStr">
        <is>
          <t>https://www.carsensor.net/usedcar/detail/AU7223544725/index.html</t>
        </is>
      </c>
    </row>
    <row r="143">
      <c r="A143" s="6" t="n">
        <v>2022</v>
      </c>
      <c r="B143" s="7" t="inlineStr">
        <is>
          <t>4WD</t>
        </is>
      </c>
      <c r="C143" s="7" t="inlineStr">
        <is>
          <t>2.5 25S ブラックトーン</t>
        </is>
      </c>
      <c r="D143" s="17" t="n">
        <v>4.9</v>
      </c>
      <c r="E143" s="9" t="n">
        <v>302.9</v>
      </c>
      <c r="F143" s="9" t="n">
        <v>289.8</v>
      </c>
      <c r="G143" s="10" t="n">
        <v>2.4</v>
      </c>
      <c r="H143" s="7" t="inlineStr">
        <is>
          <t>なし</t>
        </is>
      </c>
      <c r="I143" s="7" t="inlineStr">
        <is>
          <t>2027(R09)年03月</t>
        </is>
      </c>
      <c r="J143" s="7" t="inlineStr">
        <is>
          <t>保証付</t>
        </is>
      </c>
      <c r="K143" s="16" t="inlineStr">
        <is>
          <t>走行が少なめ（2.4万km） / 修復歴なし / 車検 2027/03 まで（残り5ヶ月） / 保証付</t>
        </is>
      </c>
      <c r="L143" s="16" t="inlineStr">
        <is>
          <t>CX-8 2.5 25S ブラックトーン エディション 4WD 全方位カメラ・BOSEサウンド・本州仕入・マツダコネクト・ルーフレール・パワーゲート・ヘッドアップディスプレイ・ワイヤレス充電・シート&amp;ステアリングヒーター・電動シート・純正ドラレコ・ETC・BSM・3列シート</t>
        </is>
      </c>
      <c r="M143" s="7" t="inlineStr">
        <is>
          <t>https://www.carsensor.net/usedcar/detail/AU7279018716/index.html</t>
        </is>
      </c>
    </row>
    <row r="144">
      <c r="A144" s="11" t="n">
        <v>2022</v>
      </c>
      <c r="B144" s="12" t="inlineStr">
        <is>
          <t>4WD</t>
        </is>
      </c>
      <c r="C144" s="12" t="inlineStr">
        <is>
          <t>2.2 XD ブラックトーン</t>
        </is>
      </c>
      <c r="D144" s="13" t="n">
        <v>4.9</v>
      </c>
      <c r="E144" s="14" t="n">
        <v>309.9</v>
      </c>
      <c r="F144" s="14" t="n">
        <v>304</v>
      </c>
      <c r="G144" s="15" t="n">
        <v>3.2</v>
      </c>
      <c r="H144" s="12" t="inlineStr">
        <is>
          <t>なし</t>
        </is>
      </c>
      <c r="I144" s="12" t="inlineStr">
        <is>
          <t>2027(R09)年03月</t>
        </is>
      </c>
      <c r="J144" s="12" t="inlineStr">
        <is>
          <t>保証付</t>
        </is>
      </c>
      <c r="K144" s="16" t="inlineStr">
        <is>
          <t>走行が少なめ（3.2万km） / 修復歴なし / 車検 2027/03 まで（残り5ヶ月） / 保証付</t>
        </is>
      </c>
      <c r="L144" s="16" t="inlineStr">
        <is>
          <t>CX-8 2.2 XD ブラックトーン エディション ディーゼルターボ 4WD 禁煙車 純正10.25型ナビ 全方位カメラ BSM HUD 電動リアゲート ETC ワイヤレス充電 ドラレコ 電動パーキング 茶革 衝突軽減 追従クルコン コーナーセンサー フルセグTV リアシェード</t>
        </is>
      </c>
      <c r="M144" s="12" t="inlineStr">
        <is>
          <t>https://www.carsensor.net/usedcar/detail/AU7285201850/index.html</t>
        </is>
      </c>
    </row>
    <row r="145">
      <c r="A145" s="6" t="n">
        <v>2018</v>
      </c>
      <c r="B145" s="7" t="inlineStr">
        <is>
          <t>4WD</t>
        </is>
      </c>
      <c r="C145" s="7" t="inlineStr">
        <is>
          <t>2.2 XD Lパッケージ</t>
        </is>
      </c>
      <c r="D145" s="17" t="n">
        <v>4.8</v>
      </c>
      <c r="E145" s="9" t="n">
        <v>183.9</v>
      </c>
      <c r="F145" s="9" t="n">
        <v>176.8</v>
      </c>
      <c r="G145" s="10" t="n">
        <v>9.199999999999999</v>
      </c>
      <c r="H145" s="7" t="inlineStr">
        <is>
          <t>なし</t>
        </is>
      </c>
      <c r="I145" s="7" t="inlineStr">
        <is>
          <t>2028(R10)年07月</t>
        </is>
      </c>
      <c r="J145" s="7" t="inlineStr">
        <is>
          <t>保証付</t>
        </is>
      </c>
      <c r="K145" s="16" t="inlineStr">
        <is>
          <t>修復歴なし / 車検 2028/07 まで（残り21ヶ月） / 保証付</t>
        </is>
      </c>
      <c r="L145" s="16" t="inlineStr">
        <is>
          <t>CX-8 2.2 XD Lパッケージ ディーゼルターボ 4WD 新品タイヤ/BOSE/8インチ SDナビ/フリップダウン 社外 10.1インチ/衝突安全装置/シートヒーター 前席/360°ビューモニター/車線逸脱防止支援システム</t>
        </is>
      </c>
      <c r="M145" s="7" t="inlineStr">
        <is>
          <t>https://www.carsensor.net/usedcar/detail/AU7375499435/index.html</t>
        </is>
      </c>
    </row>
    <row r="146">
      <c r="A146" s="11" t="n">
        <v>2018</v>
      </c>
      <c r="B146" s="12" t="inlineStr">
        <is>
          <t>4WD</t>
        </is>
      </c>
      <c r="C146" s="12" t="inlineStr">
        <is>
          <t>2.2 XD Lパッケージ</t>
        </is>
      </c>
      <c r="D146" s="13" t="n">
        <v>4.8</v>
      </c>
      <c r="E146" s="14" t="n">
        <v>232.9</v>
      </c>
      <c r="F146" s="14" t="n">
        <v>226.8</v>
      </c>
      <c r="G146" s="15" t="n">
        <v>4.3</v>
      </c>
      <c r="H146" s="12" t="inlineStr">
        <is>
          <t>なし</t>
        </is>
      </c>
      <c r="I146" s="12" t="inlineStr">
        <is>
          <t>2027(R09)年01月</t>
        </is>
      </c>
      <c r="J146" s="12" t="inlineStr">
        <is>
          <t>保証付</t>
        </is>
      </c>
      <c r="K146" s="16" t="inlineStr">
        <is>
          <t>走行が少なめ（4.3万km） / 修復歴なし / 車検 2027/01 まで（残り3ヶ月） / 保証付</t>
        </is>
      </c>
      <c r="L146" s="16" t="inlineStr">
        <is>
          <t>CX-8 2.2 XD Lパッケージ ディーゼルターボ 4WD 新品タイヤ/BOSE/SDナビ/シートヒーター 前席/全方位モニター/車線逸脱防止支援システム/電動バックドア/ドライブレコーダー 社外/ヘッドランプ LED/Bluetooth接続</t>
        </is>
      </c>
      <c r="M146" s="12" t="inlineStr">
        <is>
          <t>https://www.carsensor.net/usedcar/detail/AU7397522299/index.html</t>
        </is>
      </c>
    </row>
    <row r="147">
      <c r="A147" s="6" t="n">
        <v>2018</v>
      </c>
      <c r="B147" s="7" t="inlineStr">
        <is>
          <t>4WD</t>
        </is>
      </c>
      <c r="C147" s="7" t="inlineStr">
        <is>
          <t>2.2 XD プロアクティブ</t>
        </is>
      </c>
      <c r="D147" s="17" t="n">
        <v>4.8</v>
      </c>
      <c r="E147" s="9" t="n">
        <v>152.2</v>
      </c>
      <c r="F147" s="9" t="n">
        <v>139</v>
      </c>
      <c r="G147" s="10" t="n">
        <v>9.6</v>
      </c>
      <c r="H147" s="7" t="inlineStr">
        <is>
          <t>なし</t>
        </is>
      </c>
      <c r="I147" s="7" t="inlineStr">
        <is>
          <t>2027(R09)年08月</t>
        </is>
      </c>
      <c r="J147" s="7" t="inlineStr">
        <is>
          <t>保証付</t>
        </is>
      </c>
      <c r="K147" s="16" t="inlineStr">
        <is>
          <t>修復歴なし / 車検 2027/08 まで（残り10ヶ月） / 保証付 / 同年式より安い（中央値 196万）</t>
        </is>
      </c>
      <c r="L147" s="16" t="inlineStr">
        <is>
          <t>CX-8 2.2 XD プロアクティブ ディーゼルターボ 4WD BOSEサウンド 360°カメラ 純正ナビ メモリー付パワーシート ETC Bluetooth フルセグ レーダークルコン 衝突被害軽減ブレーキ Wエアコン LEDヘッドライト ドライブレコーダー</t>
        </is>
      </c>
      <c r="M147" s="7" t="inlineStr">
        <is>
          <t>https://www.carsensor.net/usedcar/detail/AU7445635493/index.html</t>
        </is>
      </c>
    </row>
    <row r="148">
      <c r="A148" s="11" t="n">
        <v>2018</v>
      </c>
      <c r="B148" s="12" t="inlineStr">
        <is>
          <t>4WD</t>
        </is>
      </c>
      <c r="C148" s="12" t="inlineStr">
        <is>
          <t>2.2 XD プロアクティブ</t>
        </is>
      </c>
      <c r="D148" s="13" t="n">
        <v>4.8</v>
      </c>
      <c r="E148" s="14" t="n">
        <v>232</v>
      </c>
      <c r="F148" s="14" t="n">
        <v>225.1</v>
      </c>
      <c r="G148" s="15" t="n">
        <v>4.5</v>
      </c>
      <c r="H148" s="12" t="inlineStr">
        <is>
          <t>なし</t>
        </is>
      </c>
      <c r="I148" s="12" t="inlineStr">
        <is>
          <t>2027(R09)年01月</t>
        </is>
      </c>
      <c r="J148" s="12" t="inlineStr">
        <is>
          <t>保証付</t>
        </is>
      </c>
      <c r="K148" s="16" t="inlineStr">
        <is>
          <t>走行が少なめ（4.5万km） / 修復歴なし / 車検 2027/01 まで（残り3ヶ月） / 保証付</t>
        </is>
      </c>
      <c r="L148" s="16" t="inlineStr">
        <is>
          <t>CX-8 2.2 XD プロアクティブ ディーゼルターボ メモリーナビ・360度ビューモニタ・AAC・SBS・フルセグTV・DVD・Biuetooth・純正19incAW・LEDライト・ETC・アダプティブクルコン・前席シートヒータ・パーキングセンサー・MRCC・電子パーキングBK・USB電源・Bフォグ</t>
        </is>
      </c>
      <c r="M148" s="12" t="inlineStr">
        <is>
          <t>https://www.carsensor.net/usedcar/detail/AU7354843372/index.html</t>
        </is>
      </c>
    </row>
    <row r="149">
      <c r="A149" s="6" t="n">
        <v>2020</v>
      </c>
      <c r="B149" s="7" t="inlineStr">
        <is>
          <t>4WD</t>
        </is>
      </c>
      <c r="C149" s="7" t="inlineStr">
        <is>
          <t>2.2 XD プロアクティブ</t>
        </is>
      </c>
      <c r="D149" s="17" t="n">
        <v>4.8</v>
      </c>
      <c r="E149" s="9" t="n">
        <v>289</v>
      </c>
      <c r="F149" s="9" t="n">
        <v>275</v>
      </c>
      <c r="G149" s="10" t="n">
        <v>3.6</v>
      </c>
      <c r="H149" s="7" t="inlineStr">
        <is>
          <t>なし</t>
        </is>
      </c>
      <c r="I149" s="7" t="inlineStr">
        <is>
          <t>2027(R09)年02月</t>
        </is>
      </c>
      <c r="J149" s="7" t="inlineStr">
        <is>
          <t>保証付</t>
        </is>
      </c>
      <c r="K149" s="16" t="inlineStr">
        <is>
          <t>走行が少なめ（3.6万km） / 修復歴なし / 車検 2027/02 まで（残り4ヶ月） / 保証付</t>
        </is>
      </c>
      <c r="L149" s="16" t="inlineStr">
        <is>
          <t>CX-8 2.2 XD プロアクティブ Sパッケージ ディーゼルターボ 4WD BOSEサウンドシステム</t>
        </is>
      </c>
      <c r="M149" s="7" t="inlineStr">
        <is>
          <t>https://www.carsensor.net/usedcar/detail/AU7068732092/index.html</t>
        </is>
      </c>
    </row>
    <row r="150">
      <c r="A150" s="11" t="n">
        <v>2020</v>
      </c>
      <c r="B150" s="12" t="inlineStr">
        <is>
          <t>4WD</t>
        </is>
      </c>
      <c r="C150" s="12" t="inlineStr">
        <is>
          <t>2.2 XD エクスクルーシブ</t>
        </is>
      </c>
      <c r="D150" s="13" t="n">
        <v>4.8</v>
      </c>
      <c r="E150" s="14" t="n">
        <v>280</v>
      </c>
      <c r="F150" s="14" t="n">
        <v>269</v>
      </c>
      <c r="G150" s="15" t="n">
        <v>3.2</v>
      </c>
      <c r="H150" s="12" t="inlineStr">
        <is>
          <t>なし</t>
        </is>
      </c>
      <c r="I150" s="12" t="inlineStr">
        <is>
          <t>2027(R09)年02月</t>
        </is>
      </c>
      <c r="J150" s="12" t="inlineStr">
        <is>
          <t>保証付</t>
        </is>
      </c>
      <c r="K150" s="16" t="inlineStr">
        <is>
          <t>走行が少なめ（3.2万km） / 修復歴なし / 車検 2027/02 まで（残り4ヶ月） / 保証付</t>
        </is>
      </c>
      <c r="L150" s="16" t="inlineStr">
        <is>
          <t>CX-8 2.2 XD エクスクルーシブ モード ディーゼルターボ 純正ナビTV 黒革パワーシートヒーター&amp;ファン 全周囲カメラ ドラレコ サンルーフ ブルートゥース クルーズコントロール 革巻きステアリング BOSEサウンド ETC スマートキー パワーテールゲート</t>
        </is>
      </c>
      <c r="M150" s="12" t="inlineStr">
        <is>
          <t>https://www.carsensor.net/usedcar/detail/AU7139434112/index.html</t>
        </is>
      </c>
    </row>
    <row r="151">
      <c r="A151" s="6" t="n">
        <v>2021</v>
      </c>
      <c r="B151" s="7" t="inlineStr">
        <is>
          <t>4WD</t>
        </is>
      </c>
      <c r="C151" s="7" t="inlineStr">
        <is>
          <t>2.2 XD ブラックトーン</t>
        </is>
      </c>
      <c r="D151" s="17" t="n">
        <v>4.8</v>
      </c>
      <c r="E151" s="9" t="n">
        <v>262.5</v>
      </c>
      <c r="F151" s="9" t="n">
        <v>253</v>
      </c>
      <c r="G151" s="10" t="n">
        <v>6.5</v>
      </c>
      <c r="H151" s="7" t="inlineStr">
        <is>
          <t>なし</t>
        </is>
      </c>
      <c r="I151" s="7" t="inlineStr">
        <is>
          <t>2028(R10)年07月</t>
        </is>
      </c>
      <c r="J151" s="7" t="inlineStr">
        <is>
          <t>保証付</t>
        </is>
      </c>
      <c r="K151" s="16" t="inlineStr">
        <is>
          <t>修復歴なし / 車検 2028/07 まで（残り21ヶ月） / 保証付</t>
        </is>
      </c>
      <c r="L151" s="16" t="inlineStr">
        <is>
          <t>CX-8 2.2 XD ブラックトーン エディション ディーゼルターボ 4WD 360°ビュー・モニター 禁煙車 ナビ 前後ドラレコ ETC マツダ・レーダー・クルーズ・コントロール ブラインドスポットモニタリング シート&amp;ステアリングヒーター ワイヤレス充電 Bluetooth 地デジTV 4WD</t>
        </is>
      </c>
      <c r="M151" s="7" t="inlineStr">
        <is>
          <t>https://www.carsensor.net/usedcar/detail/AU7441656580/index.html</t>
        </is>
      </c>
    </row>
    <row r="152">
      <c r="A152" s="11" t="n">
        <v>2022</v>
      </c>
      <c r="B152" s="12" t="inlineStr">
        <is>
          <t>4WD</t>
        </is>
      </c>
      <c r="C152" s="12" t="inlineStr">
        <is>
          <t>2.5 25S ブラックトーン</t>
        </is>
      </c>
      <c r="D152" s="13" t="n">
        <v>4.8</v>
      </c>
      <c r="E152" s="14" t="n">
        <v>302.5</v>
      </c>
      <c r="F152" s="14" t="n">
        <v>288.9</v>
      </c>
      <c r="G152" s="15" t="n">
        <v>2.9</v>
      </c>
      <c r="H152" s="12" t="inlineStr">
        <is>
          <t>なし</t>
        </is>
      </c>
      <c r="I152" s="12" t="inlineStr">
        <is>
          <t>2027(R09)年01月</t>
        </is>
      </c>
      <c r="J152" s="12" t="inlineStr">
        <is>
          <t>保証付</t>
        </is>
      </c>
      <c r="K152" s="16" t="inlineStr">
        <is>
          <t>走行が少なめ（2.9万km） / 修復歴なし / 車検 2027/01 まで（残り3ヶ月） / 保証付</t>
        </is>
      </c>
      <c r="L152" s="16" t="inlineStr">
        <is>
          <t>CX-8 2.5 25S ブラックトーン エディション 4WD 360°ビューモニター オートエアコン</t>
        </is>
      </c>
      <c r="M152" s="12" t="inlineStr">
        <is>
          <t>https://www.carsensor.net/usedcar/detail/AU7406571726/index.html</t>
        </is>
      </c>
    </row>
    <row r="153">
      <c r="A153" s="6" t="n">
        <v>2023</v>
      </c>
      <c r="B153" s="7" t="inlineStr">
        <is>
          <t>4WD</t>
        </is>
      </c>
      <c r="C153" s="7" t="inlineStr">
        <is>
          <t>2.5 25S グランド</t>
        </is>
      </c>
      <c r="D153" s="17" t="n">
        <v>4.8</v>
      </c>
      <c r="E153" s="9" t="n">
        <v>338.9</v>
      </c>
      <c r="F153" s="9" t="n">
        <v>331.7</v>
      </c>
      <c r="G153" s="10" t="n">
        <v>3.1</v>
      </c>
      <c r="H153" s="7" t="inlineStr">
        <is>
          <t>なし</t>
        </is>
      </c>
      <c r="I153" s="7" t="inlineStr">
        <is>
          <t>2028(R10)年07月</t>
        </is>
      </c>
      <c r="J153" s="7" t="inlineStr">
        <is>
          <t>保証付</t>
        </is>
      </c>
      <c r="K153" s="16" t="inlineStr">
        <is>
          <t>修復歴なし / 車検 2028/07 まで（残り21ヶ月） / 保証付</t>
        </is>
      </c>
      <c r="L153" s="16" t="inlineStr">
        <is>
          <t>CX-8 2.5 25S グランド ジャーニー 4WD 新品タイヤ/ディスプレイオーディオ10インチ/デジタルインナーミラー/アイアクティブセンス/シートヒーター 前席/全方位モニター/車線逸脱防止支援システム/シート ハーフレザー</t>
        </is>
      </c>
      <c r="M153" s="7" t="inlineStr">
        <is>
          <t>https://www.carsensor.net/usedcar/detail/AU7387544086/index.html</t>
        </is>
      </c>
    </row>
    <row r="154">
      <c r="A154" s="11" t="n">
        <v>2023</v>
      </c>
      <c r="B154" s="12" t="inlineStr">
        <is>
          <t>4WD</t>
        </is>
      </c>
      <c r="C154" s="12" t="inlineStr">
        <is>
          <t>2.5 25S スポーツ</t>
        </is>
      </c>
      <c r="D154" s="13" t="n">
        <v>4.8</v>
      </c>
      <c r="E154" s="14" t="n">
        <v>366.3</v>
      </c>
      <c r="F154" s="14" t="n">
        <v>354.9</v>
      </c>
      <c r="G154" s="15" t="n">
        <v>2.7</v>
      </c>
      <c r="H154" s="12" t="inlineStr">
        <is>
          <t>なし</t>
        </is>
      </c>
      <c r="I154" s="12" t="inlineStr">
        <is>
          <t>2028(R10)年07月</t>
        </is>
      </c>
      <c r="J154" s="12" t="inlineStr">
        <is>
          <t>保証付</t>
        </is>
      </c>
      <c r="K154" s="16" t="inlineStr">
        <is>
          <t>修復歴なし / 車検 2028/07 まで（残り21ヶ月） / 保証付</t>
        </is>
      </c>
      <c r="L154" s="16" t="inlineStr">
        <is>
          <t>CX-8 2.5 25S スポーツ アピアランス 4WD 360°ビューモニター 10.25インチセンター</t>
        </is>
      </c>
      <c r="M154" s="12" t="inlineStr">
        <is>
          <t>https://www.carsensor.net/usedcar/detail/AU7305427872/index.html</t>
        </is>
      </c>
    </row>
    <row r="155">
      <c r="A155" s="6" t="n">
        <v>2023</v>
      </c>
      <c r="B155" s="7" t="inlineStr">
        <is>
          <t>4WD</t>
        </is>
      </c>
      <c r="C155" s="7" t="inlineStr">
        <is>
          <t>2.2 XD グランド</t>
        </is>
      </c>
      <c r="D155" s="17" t="n">
        <v>4.8</v>
      </c>
      <c r="E155" s="9" t="n">
        <v>339.1</v>
      </c>
      <c r="F155" s="9" t="n">
        <v>330</v>
      </c>
      <c r="G155" s="10" t="n">
        <v>3.9</v>
      </c>
      <c r="H155" s="7" t="inlineStr">
        <is>
          <t>なし</t>
        </is>
      </c>
      <c r="I155" s="7" t="inlineStr">
        <is>
          <t>2028(R10)年07月</t>
        </is>
      </c>
      <c r="J155" s="7" t="inlineStr">
        <is>
          <t>保証付</t>
        </is>
      </c>
      <c r="K155" s="16" t="inlineStr">
        <is>
          <t>修復歴なし / 車検 2028/07 まで（残り21ヶ月） / 保証付</t>
        </is>
      </c>
      <c r="L155" s="16" t="inlineStr">
        <is>
          <t>CX-8 2.2 XD グランド ジャーニー ディーゼルターボ 4WD サンルーフ スマホ連携ナビ マルチアラウンドモニター クルーズコントロール シートヒーター</t>
        </is>
      </c>
      <c r="M155" s="7" t="inlineStr">
        <is>
          <t>https://www.carsensor.net/usedcar/detail/AU7453649128/index.html</t>
        </is>
      </c>
    </row>
    <row r="156">
      <c r="A156" s="11" t="n">
        <v>2024</v>
      </c>
      <c r="B156" s="12" t="inlineStr">
        <is>
          <t>4WD</t>
        </is>
      </c>
      <c r="C156" s="12" t="inlineStr">
        <is>
          <t>2.2 XD グランド</t>
        </is>
      </c>
      <c r="D156" s="13" t="n">
        <v>4.8</v>
      </c>
      <c r="E156" s="14" t="n">
        <v>374.2</v>
      </c>
      <c r="F156" s="14" t="n">
        <v>359.9</v>
      </c>
      <c r="G156" s="15" t="n">
        <v>1.5</v>
      </c>
      <c r="H156" s="12" t="inlineStr">
        <is>
          <t>なし</t>
        </is>
      </c>
      <c r="I156" s="12" t="inlineStr">
        <is>
          <t>2027(R09)年02月</t>
        </is>
      </c>
      <c r="J156" s="12" t="inlineStr">
        <is>
          <t>保証付</t>
        </is>
      </c>
      <c r="K156" s="16" t="inlineStr">
        <is>
          <t>走行が少なめ（1.5万km） / 修復歴なし / 車検 2027/02 まで（残り4ヶ月） / 保証付</t>
        </is>
      </c>
      <c r="L156" s="16" t="inlineStr">
        <is>
          <t>CX-8 2.2 XD グランド ジャーニー ディーゼルターボ 4WD 正規ディーラー下取車 1オーナー 最終モデル 禁煙車 純正19AW ホワイトハーフレザー LEDヘッドライト ACC レーンアシスト 前後ドラレコ フルセグTV カープレイ アンドロイドオート シートヒーター×4 3ゾーンAC</t>
        </is>
      </c>
      <c r="M156" s="12" t="inlineStr">
        <is>
          <t>https://www.carsensor.net/usedcar/detail/AU7446357988/index.html</t>
        </is>
      </c>
    </row>
    <row r="157">
      <c r="A157" s="6" t="n">
        <v>2024</v>
      </c>
      <c r="B157" s="7" t="inlineStr">
        <is>
          <t>4WD</t>
        </is>
      </c>
      <c r="C157" s="7" t="inlineStr">
        <is>
          <t>2.2 XD ブラックトーン</t>
        </is>
      </c>
      <c r="D157" s="17" t="n">
        <v>4.8</v>
      </c>
      <c r="E157" s="9" t="n">
        <v>349</v>
      </c>
      <c r="F157" s="9" t="n">
        <v>340</v>
      </c>
      <c r="G157" s="10" t="n">
        <v>1.5</v>
      </c>
      <c r="H157" s="7" t="inlineStr">
        <is>
          <t>なし</t>
        </is>
      </c>
      <c r="I157" s="7" t="inlineStr">
        <is>
          <t>2027(R09)年01月</t>
        </is>
      </c>
      <c r="J157" s="7" t="inlineStr">
        <is>
          <t>保証付</t>
        </is>
      </c>
      <c r="K157" s="16" t="inlineStr">
        <is>
          <t>走行が少なめ（1.5万km） / 修復歴なし / 車検 2027/01 まで（残り3ヶ月） / 保証付</t>
        </is>
      </c>
      <c r="L157" s="16" t="inlineStr">
        <is>
          <t>CX-8 2.2 XD ブラックトーン エディション ディーゼルターボ 4WD</t>
        </is>
      </c>
      <c r="M157" s="7" t="inlineStr">
        <is>
          <t>https://www.carsensor.net/usedcar/detail/AU7446188316/index.html</t>
        </is>
      </c>
    </row>
    <row r="158">
      <c r="A158" s="11" t="n">
        <v>2017</v>
      </c>
      <c r="B158" s="12" t="inlineStr">
        <is>
          <t>4WD</t>
        </is>
      </c>
      <c r="C158" s="12" t="inlineStr">
        <is>
          <t>2.2 XD Lパッケージ</t>
        </is>
      </c>
      <c r="D158" s="13" t="n">
        <v>4.7</v>
      </c>
      <c r="E158" s="14" t="n">
        <v>219.3</v>
      </c>
      <c r="F158" s="14" t="n">
        <v>209.8</v>
      </c>
      <c r="G158" s="15" t="n">
        <v>5.4</v>
      </c>
      <c r="H158" s="12" t="inlineStr">
        <is>
          <t>なし</t>
        </is>
      </c>
      <c r="I158" s="12" t="inlineStr">
        <is>
          <t>2026(R08)年12月</t>
        </is>
      </c>
      <c r="J158" s="12" t="inlineStr">
        <is>
          <t>保証付</t>
        </is>
      </c>
      <c r="K158" s="16" t="inlineStr">
        <is>
          <t>走行が少なめ（5.4万km） / 修復歴なし / 車検 2026/12 まで（残り2ヶ月） / 保証付</t>
        </is>
      </c>
      <c r="L158" s="16" t="inlineStr">
        <is>
          <t>CX-8 2.2 XD Lパッケージ ディーゼルターボ 4WD 焦茶革シート BOSE リアシートモニター 360°ビュー・モニター ナビ 前後ドライブレコーダー ETC 障害物センサー マツダ・レーダー・クルーズ・コントロール シートヒーター 電動シート 電動リアゲート</t>
        </is>
      </c>
      <c r="M158" s="12" t="inlineStr">
        <is>
          <t>https://www.carsensor.net/usedcar/detail/AU7049696748/index.html</t>
        </is>
      </c>
    </row>
    <row r="159">
      <c r="A159" s="6" t="n">
        <v>2018</v>
      </c>
      <c r="B159" s="7" t="inlineStr">
        <is>
          <t>4WD</t>
        </is>
      </c>
      <c r="C159" s="7" t="inlineStr">
        <is>
          <t>2.2 XD プロアクティブ</t>
        </is>
      </c>
      <c r="D159" s="17" t="n">
        <v>4.7</v>
      </c>
      <c r="E159" s="9" t="n">
        <v>169.8</v>
      </c>
      <c r="F159" s="9" t="n">
        <v>163.9</v>
      </c>
      <c r="G159" s="10" t="n">
        <v>9.4</v>
      </c>
      <c r="H159" s="7" t="inlineStr">
        <is>
          <t>なし</t>
        </is>
      </c>
      <c r="I159" s="7" t="inlineStr">
        <is>
          <t>2027(R09)年06月</t>
        </is>
      </c>
      <c r="J159" s="7" t="inlineStr">
        <is>
          <t>保証付</t>
        </is>
      </c>
      <c r="K159" s="16" t="inlineStr">
        <is>
          <t>修復歴なし / 車検 2027/06 まで（残り8ヶ月） / 保証付 / 同年式より安い（中央値 196万）</t>
        </is>
      </c>
      <c r="L159" s="16" t="inlineStr">
        <is>
          <t>CX-8 2.2 XD プロアクティブ ディーゼルターボ 4WD ワンオーナー 純正SDナビFM/AM/フルセグ Bluetooth アルパインフリップダウン レーダークルーズコントロール 全周囲バックカメラ アイドリングストップ 逸脱防止装置 スマートキー</t>
        </is>
      </c>
      <c r="M159" s="7" t="inlineStr">
        <is>
          <t>https://www.carsensor.net/usedcar/detail/AU7223849708/index.html</t>
        </is>
      </c>
    </row>
    <row r="160">
      <c r="A160" s="11" t="n">
        <v>2018</v>
      </c>
      <c r="B160" s="12" t="inlineStr">
        <is>
          <t>4WD</t>
        </is>
      </c>
      <c r="C160" s="12" t="inlineStr">
        <is>
          <t>2.2 XD Lパッケージ</t>
        </is>
      </c>
      <c r="D160" s="13" t="n">
        <v>4.7</v>
      </c>
      <c r="E160" s="14" t="n">
        <v>169.9</v>
      </c>
      <c r="F160" s="14" t="n">
        <v>158.9</v>
      </c>
      <c r="G160" s="15" t="n">
        <v>9.800000000000001</v>
      </c>
      <c r="H160" s="12" t="inlineStr">
        <is>
          <t>なし</t>
        </is>
      </c>
      <c r="I160" s="12" t="inlineStr">
        <is>
          <t>2027(R09)年06月</t>
        </is>
      </c>
      <c r="J160" s="12" t="inlineStr">
        <is>
          <t>保証付</t>
        </is>
      </c>
      <c r="K160" s="16" t="inlineStr">
        <is>
          <t>修復歴なし / 車検 2027/06 まで（残り8ヶ月） / 保証付 / 同年式より安い（中央値 196万）</t>
        </is>
      </c>
      <c r="L160" s="16" t="inlineStr">
        <is>
          <t>CX-8 2.2 XD Lパッケージ ディーゼルターボ 4WD (禁煙車)(4WD)(6人乗り)(茶本革)(メーカーナビ)(アラウンドビュー)(レーダークルーズ)(コーナーセンサ)(電動リアゲート)(シートヒータ)(ETC)(フリップダウン)(純正19インチAW)</t>
        </is>
      </c>
      <c r="M160" s="12" t="inlineStr">
        <is>
          <t>https://www.carsensor.net/usedcar/detail/AU7217043481/index.html</t>
        </is>
      </c>
    </row>
    <row r="161">
      <c r="A161" s="6" t="n">
        <v>2021</v>
      </c>
      <c r="B161" s="7" t="inlineStr">
        <is>
          <t>4WD</t>
        </is>
      </c>
      <c r="C161" s="7" t="inlineStr">
        <is>
          <t>2.5 25S スマート</t>
        </is>
      </c>
      <c r="D161" s="17" t="n">
        <v>4.7</v>
      </c>
      <c r="E161" s="9" t="n">
        <v>262.9</v>
      </c>
      <c r="F161" s="9" t="n">
        <v>256.7</v>
      </c>
      <c r="G161" s="10" t="n">
        <v>3.2</v>
      </c>
      <c r="H161" s="7" t="inlineStr">
        <is>
          <t>なし</t>
        </is>
      </c>
      <c r="I161" s="7" t="inlineStr">
        <is>
          <t>2026(R08)年12月</t>
        </is>
      </c>
      <c r="J161" s="7" t="inlineStr">
        <is>
          <t>保証付</t>
        </is>
      </c>
      <c r="K161" s="16" t="inlineStr">
        <is>
          <t>走行が少なめ（3.2万km） / 修復歴なし / 車検 2026/12 まで（残り2ヶ月） / 保証付</t>
        </is>
      </c>
      <c r="L161" s="16" t="inlineStr">
        <is>
          <t>CX-8 2.5 25S スマート エディション 4WD 新品タイヤ/8インチ SDナビ/アイアクティブセンス/全方位モニター/車線逸脱防止支援システム/ドライブレコーダー 前後/ヘッドランプ LED/Bluetooth接続</t>
        </is>
      </c>
      <c r="M161" s="7" t="inlineStr">
        <is>
          <t>https://www.carsensor.net/usedcar/detail/AU7445635512/index.html</t>
        </is>
      </c>
    </row>
    <row r="162">
      <c r="A162" s="11" t="n">
        <v>2023</v>
      </c>
      <c r="B162" s="12" t="inlineStr">
        <is>
          <t>4WD</t>
        </is>
      </c>
      <c r="C162" s="12" t="inlineStr">
        <is>
          <t>2.5 25S ブラックトーン</t>
        </is>
      </c>
      <c r="D162" s="13" t="n">
        <v>4.7</v>
      </c>
      <c r="E162" s="14" t="n">
        <v>349.9</v>
      </c>
      <c r="F162" s="14" t="n">
        <v>337.5</v>
      </c>
      <c r="G162" s="15" t="n">
        <v>2.6</v>
      </c>
      <c r="H162" s="12" t="inlineStr">
        <is>
          <t>なし</t>
        </is>
      </c>
      <c r="I162" s="12" t="inlineStr">
        <is>
          <t>2028(R10)年06月</t>
        </is>
      </c>
      <c r="J162" s="12" t="inlineStr">
        <is>
          <t>保証付</t>
        </is>
      </c>
      <c r="K162" s="16" t="inlineStr">
        <is>
          <t>修復歴なし / 車検 2028/06 まで（残り20ヶ月） / 保証付</t>
        </is>
      </c>
      <c r="L162" s="16" t="inlineStr">
        <is>
          <t>CX-8 2.5 25S ブラックトーン エディション 4WD 全周囲カメラ ブラインドスポットモニター 10型純正ナビ パワーバックドア メモリー付きパワーシート 衝突軽減装置 禁煙車 LEDヘッドライト レーダークルーズコントロール ETC フルセグ</t>
        </is>
      </c>
      <c r="M162" s="12" t="inlineStr">
        <is>
          <t>https://www.carsensor.net/usedcar/detail/AU7435058443/index.html</t>
        </is>
      </c>
    </row>
    <row r="163">
      <c r="A163" s="6" t="n">
        <v>2017</v>
      </c>
      <c r="B163" s="7" t="inlineStr">
        <is>
          <t>4WD</t>
        </is>
      </c>
      <c r="C163" s="7" t="inlineStr">
        <is>
          <t>2.2 XD Lパッケージ</t>
        </is>
      </c>
      <c r="D163" s="17" t="n">
        <v>4.6</v>
      </c>
      <c r="E163" s="9" t="n">
        <v>219.9</v>
      </c>
      <c r="F163" s="9" t="n">
        <v>214</v>
      </c>
      <c r="G163" s="10" t="n">
        <v>3.7</v>
      </c>
      <c r="H163" s="7" t="inlineStr">
        <is>
          <t>なし</t>
        </is>
      </c>
      <c r="I163" s="7" t="inlineStr">
        <is>
          <t>2026(R08)年11月</t>
        </is>
      </c>
      <c r="J163" s="7" t="inlineStr">
        <is>
          <t>保証付</t>
        </is>
      </c>
      <c r="K163" s="16" t="inlineStr">
        <is>
          <t>走行が少なめ（3.7万km） / 修復歴なし / 車検 2026/11 まで（残り1ヶ月） / 保証付</t>
        </is>
      </c>
      <c r="L163" s="16" t="inlineStr">
        <is>
          <t>CX-8 2.2 XD Lパッケージ ディーゼルターボ 寒冷地仕様 BOSEサウンドシステム 純正8インチSDマツダコネクトナビ i-ACTIVSENSE 全方位カメラ ビルトインETC ヘッドアップディスプレイ パドルシフト ステアリングスイッチ</t>
        </is>
      </c>
      <c r="M163" s="7" t="inlineStr">
        <is>
          <t>https://www.carsensor.net/usedcar/detail/AU7312097871/index.html</t>
        </is>
      </c>
    </row>
    <row r="164">
      <c r="A164" s="11" t="n">
        <v>2021</v>
      </c>
      <c r="B164" s="12" t="inlineStr">
        <is>
          <t>4WD</t>
        </is>
      </c>
      <c r="C164" s="12" t="inlineStr">
        <is>
          <t>2.5 25S ブラックトーン</t>
        </is>
      </c>
      <c r="D164" s="13" t="n">
        <v>4.6</v>
      </c>
      <c r="E164" s="14" t="n">
        <v>288.9</v>
      </c>
      <c r="F164" s="14" t="n">
        <v>281.8</v>
      </c>
      <c r="G164" s="15" t="n">
        <v>4.8</v>
      </c>
      <c r="H164" s="12" t="inlineStr">
        <is>
          <t>なし</t>
        </is>
      </c>
      <c r="I164" s="12" t="inlineStr">
        <is>
          <t>2028(R10)年05月</t>
        </is>
      </c>
      <c r="J164" s="12" t="inlineStr">
        <is>
          <t>保証付</t>
        </is>
      </c>
      <c r="K164" s="16" t="inlineStr">
        <is>
          <t>修復歴なし / 車検 2028/05 まで（残り19ヶ月） / 保証付</t>
        </is>
      </c>
      <c r="L164" s="16" t="inlineStr">
        <is>
          <t>CX-8 2.5 25S ブラックトーン エディション 4WD 新品タイヤ/BOSE/ディスプレイオーディオ/アイアクティブセンス/シートヒーター/360°ビューモニター/車線逸脱防止支援システム/シート ハーフレザー/電動バックドア</t>
        </is>
      </c>
      <c r="M164" s="12" t="inlineStr">
        <is>
          <t>https://www.carsensor.net/usedcar/detail/AU7452314046/index.html</t>
        </is>
      </c>
    </row>
    <row r="165">
      <c r="A165" s="6" t="n">
        <v>2018</v>
      </c>
      <c r="B165" s="7" t="inlineStr">
        <is>
          <t>4WD</t>
        </is>
      </c>
      <c r="C165" s="7" t="inlineStr">
        <is>
          <t>2.2 XD Lパッケージ</t>
        </is>
      </c>
      <c r="D165" s="17" t="n">
        <v>4.5</v>
      </c>
      <c r="E165" s="9" t="n">
        <v>160.7</v>
      </c>
      <c r="F165" s="9" t="n">
        <v>147.7</v>
      </c>
      <c r="G165" s="10" t="n">
        <v>8.300000000000001</v>
      </c>
      <c r="H165" s="7" t="inlineStr">
        <is>
          <t>なし</t>
        </is>
      </c>
      <c r="I165" s="7" t="inlineStr">
        <is>
          <t>2027(R09)年04月</t>
        </is>
      </c>
      <c r="J165" s="7" t="inlineStr">
        <is>
          <t>保証付</t>
        </is>
      </c>
      <c r="K165" s="16" t="inlineStr">
        <is>
          <t>修復歴なし / 車検 2027/04 まで（残り6ヶ月） / 保証付 / 同年式より安い（中央値 196万）</t>
        </is>
      </c>
      <c r="L165" s="16" t="inlineStr">
        <is>
          <t>CX-8 2.2 XD Lパッケージ ディーゼルターボ 4WD BOSEサウンド 純正ナビ 全方位カメラ 衝突軽減ブレーキ レーンアシスト レーダークルーズコントロール クリアランスソナー ブラインドスポットモニター パワーバックドア 本革シート</t>
        </is>
      </c>
      <c r="M165" s="7" t="inlineStr">
        <is>
          <t>https://www.carsensor.net/usedcar/detail/AU7212294358/index.html</t>
        </is>
      </c>
    </row>
    <row r="166">
      <c r="A166" s="11" t="n">
        <v>2021</v>
      </c>
      <c r="B166" s="12" t="inlineStr">
        <is>
          <t>4WD</t>
        </is>
      </c>
      <c r="C166" s="12" t="inlineStr">
        <is>
          <t>2.2 XD Lパッケージ</t>
        </is>
      </c>
      <c r="D166" s="13" t="n">
        <v>4.5</v>
      </c>
      <c r="E166" s="14" t="n">
        <v>299.9</v>
      </c>
      <c r="F166" s="14" t="n">
        <v>287.7</v>
      </c>
      <c r="G166" s="15" t="n">
        <v>4.4</v>
      </c>
      <c r="H166" s="12" t="inlineStr">
        <is>
          <t>なし</t>
        </is>
      </c>
      <c r="I166" s="12" t="inlineStr">
        <is>
          <t>2028(R10)年04月</t>
        </is>
      </c>
      <c r="J166" s="12" t="inlineStr">
        <is>
          <t>保証付</t>
        </is>
      </c>
      <c r="K166" s="16" t="inlineStr">
        <is>
          <t>修復歴なし / 車検 2028/04 まで（残り18ヶ月） / 保証付</t>
        </is>
      </c>
      <c r="L166" s="16" t="inlineStr">
        <is>
          <t>CX-8 2.2 XD Lパッケージ ディーゼルターボ 4WD 4WD 衝突軽減 禁煙車 純正10.25型ナビ 全周囲カメラ 黒革シート レーダークルーズ ETC Bluetooth フルセグ ドラレコ AppleCarPlay シートヒーター</t>
        </is>
      </c>
      <c r="M166" s="12" t="inlineStr">
        <is>
          <t>https://www.carsensor.net/usedcar/detail/AU7414546227/index.html</t>
        </is>
      </c>
    </row>
    <row r="167">
      <c r="A167" s="6" t="n">
        <v>2019</v>
      </c>
      <c r="B167" s="7" t="inlineStr">
        <is>
          <t>4WD</t>
        </is>
      </c>
      <c r="C167" s="7" t="inlineStr">
        <is>
          <t>2.2 XD Lパッケージ</t>
        </is>
      </c>
      <c r="D167" s="17" t="n">
        <v>4.4</v>
      </c>
      <c r="E167" s="9" t="n">
        <v>231.8</v>
      </c>
      <c r="F167" s="9" t="n">
        <v>225.4</v>
      </c>
      <c r="G167" s="10" t="n">
        <v>7.4</v>
      </c>
      <c r="H167" s="7" t="inlineStr">
        <is>
          <t>なし</t>
        </is>
      </c>
      <c r="I167" s="7" t="inlineStr">
        <is>
          <t>2028(R10)年03月</t>
        </is>
      </c>
      <c r="J167" s="7" t="inlineStr">
        <is>
          <t>保証付</t>
        </is>
      </c>
      <c r="K167" s="16" t="inlineStr">
        <is>
          <t>修復歴なし / 車検 2028/03 まで（残り17ヶ月） / 保証付</t>
        </is>
      </c>
      <c r="L167" s="16" t="inlineStr">
        <is>
          <t>CX-8 2.2 XD Lパッケージ ディーゼルターボ 純正ナビ 360度ビュー BSM HUD BOSE 茶レザー ビルトインETC2.0 前後ドラレコ シティブレーキサポート レーダークルーズ シートヒーター ベンチレーション 電動リアゲート LED</t>
        </is>
      </c>
      <c r="M167" s="7" t="inlineStr">
        <is>
          <t>https://www.carsensor.net/usedcar/detail/AU7363625424/index.html</t>
        </is>
      </c>
    </row>
    <row r="168">
      <c r="A168" s="11" t="n">
        <v>2019</v>
      </c>
      <c r="B168" s="12" t="inlineStr">
        <is>
          <t>4WD</t>
        </is>
      </c>
      <c r="C168" s="12" t="inlineStr">
        <is>
          <t>2.2 XD プロアクティブ</t>
        </is>
      </c>
      <c r="D168" s="13" t="n">
        <v>4.4</v>
      </c>
      <c r="E168" s="14" t="n">
        <v>241.9</v>
      </c>
      <c r="F168" s="14" t="n">
        <v>235.5</v>
      </c>
      <c r="G168" s="15" t="n">
        <v>4.8</v>
      </c>
      <c r="H168" s="12" t="inlineStr">
        <is>
          <t>なし</t>
        </is>
      </c>
      <c r="I168" s="12" t="inlineStr">
        <is>
          <t>2028(R10)年03月</t>
        </is>
      </c>
      <c r="J168" s="12" t="inlineStr">
        <is>
          <t>保証付</t>
        </is>
      </c>
      <c r="K168" s="16" t="inlineStr">
        <is>
          <t>修復歴なし / 車検 2028/03 まで（残り17ヶ月） / 保証付</t>
        </is>
      </c>
      <c r="L168" s="16" t="inlineStr">
        <is>
          <t>CX-8 2.2 XD プロアクティブ ディーゼルターボ 4WD 純正ナビ 全周囲カメラ フルセグTV/Bluetooth/AppleCarPlay 運転席パワーシート シートヒーター レーダークルーズコントロール ブラインドスポットモニター 電動パーキングブレーキ</t>
        </is>
      </c>
      <c r="M168" s="12" t="inlineStr">
        <is>
          <t>https://www.carsensor.net/usedcar/detail/AU7415676730/index.html</t>
        </is>
      </c>
    </row>
    <row r="169">
      <c r="A169" s="6" t="n">
        <v>2019</v>
      </c>
      <c r="B169" s="7" t="inlineStr">
        <is>
          <t>4WD</t>
        </is>
      </c>
      <c r="C169" s="7" t="inlineStr">
        <is>
          <t>2.2 XD プロアクティブ</t>
        </is>
      </c>
      <c r="D169" s="17" t="n">
        <v>4.4</v>
      </c>
      <c r="E169" s="9" t="n">
        <v>229.8</v>
      </c>
      <c r="F169" s="9" t="n">
        <v>223.3</v>
      </c>
      <c r="G169" s="10" t="n">
        <v>6.6</v>
      </c>
      <c r="H169" s="7" t="inlineStr">
        <is>
          <t>なし</t>
        </is>
      </c>
      <c r="I169" s="7" t="inlineStr">
        <is>
          <t>2028(R10)年03月</t>
        </is>
      </c>
      <c r="J169" s="7" t="inlineStr">
        <is>
          <t>保証付</t>
        </is>
      </c>
      <c r="K169" s="16" t="inlineStr">
        <is>
          <t>修復歴なし / 車検 2028/03 まで（残り17ヶ月） / 保証付</t>
        </is>
      </c>
      <c r="L169" s="16" t="inlineStr">
        <is>
          <t>CX-8 2.2 XD プロアクティブ ディーゼルターボ 4WD 4WD 衝突軽減 純正ナビ 全周囲 ドラレコ</t>
        </is>
      </c>
      <c r="M169" s="7" t="inlineStr">
        <is>
          <t>https://www.carsensor.net/usedcar/detail/AU7334349978/index.html</t>
        </is>
      </c>
    </row>
    <row r="170">
      <c r="A170" s="11" t="n">
        <v>2019</v>
      </c>
      <c r="B170" s="12" t="inlineStr">
        <is>
          <t>4WD</t>
        </is>
      </c>
      <c r="C170" s="12" t="inlineStr">
        <is>
          <t>2.2 XD プロアクティブ</t>
        </is>
      </c>
      <c r="D170" s="13" t="n">
        <v>4.4</v>
      </c>
      <c r="E170" s="14" t="n">
        <v>218.9</v>
      </c>
      <c r="F170" s="14" t="n">
        <v>208.4</v>
      </c>
      <c r="G170" s="15" t="n">
        <v>6.3</v>
      </c>
      <c r="H170" s="12" t="inlineStr">
        <is>
          <t>なし</t>
        </is>
      </c>
      <c r="I170" s="12" t="inlineStr">
        <is>
          <t>2028(R10)年03月</t>
        </is>
      </c>
      <c r="J170" s="12" t="inlineStr">
        <is>
          <t>保証付</t>
        </is>
      </c>
      <c r="K170" s="16" t="inlineStr">
        <is>
          <t>修復歴なし / 車検 2028/03 まで（残り17ヶ月） / 保証付</t>
        </is>
      </c>
      <c r="L170" s="16" t="inlineStr">
        <is>
          <t>CX-8 2.2 XD プロアクティブ ディーゼルターボ 4WD 後席モニター 全方位カメラ ETC</t>
        </is>
      </c>
      <c r="M170" s="12" t="inlineStr">
        <is>
          <t>https://www.carsensor.net/usedcar/detail/AU7422601893/index.html</t>
        </is>
      </c>
    </row>
    <row r="171">
      <c r="A171" s="6" t="n">
        <v>2019</v>
      </c>
      <c r="B171" s="7" t="inlineStr">
        <is>
          <t>4WD</t>
        </is>
      </c>
      <c r="C171" s="7" t="inlineStr">
        <is>
          <t>2.2 XD Lパッケージ</t>
        </is>
      </c>
      <c r="D171" s="17" t="n">
        <v>4.4</v>
      </c>
      <c r="E171" s="9" t="n">
        <v>259.9</v>
      </c>
      <c r="F171" s="9" t="n">
        <v>247.8</v>
      </c>
      <c r="G171" s="10" t="n">
        <v>5.3</v>
      </c>
      <c r="H171" s="7" t="inlineStr">
        <is>
          <t>なし</t>
        </is>
      </c>
      <c r="I171" s="7" t="inlineStr">
        <is>
          <t>2028(R10)年03月</t>
        </is>
      </c>
      <c r="J171" s="7" t="inlineStr">
        <is>
          <t>保証付</t>
        </is>
      </c>
      <c r="K171" s="16" t="inlineStr">
        <is>
          <t>修復歴なし / 車検 2028/03 まで（残り17ヶ月） / 保証付</t>
        </is>
      </c>
      <c r="L171" s="16" t="inlineStr">
        <is>
          <t>CX-8 2.2 XD Lパッケージ ディーゼルターボ 4WD ターボ ディーゼル ALPINEフリップダウンモニター スマートシティブレーキサポート マツダコネクトナビ 全周囲カメラ 革シート レーダークルーズコントロール ETC Bluetooth</t>
        </is>
      </c>
      <c r="M171" s="7" t="inlineStr">
        <is>
          <t>https://www.carsensor.net/usedcar/detail/AU7161292787/index.html</t>
        </is>
      </c>
    </row>
    <row r="172">
      <c r="A172" s="11" t="n">
        <v>2019</v>
      </c>
      <c r="B172" s="12" t="inlineStr">
        <is>
          <t>4WD</t>
        </is>
      </c>
      <c r="C172" s="12" t="inlineStr">
        <is>
          <t>2.2 XD Lパッケージ</t>
        </is>
      </c>
      <c r="D172" s="13" t="n">
        <v>4.4</v>
      </c>
      <c r="E172" s="14" t="n">
        <v>253.8</v>
      </c>
      <c r="F172" s="14" t="n">
        <v>239.8</v>
      </c>
      <c r="G172" s="15" t="n">
        <v>5.6</v>
      </c>
      <c r="H172" s="12" t="inlineStr">
        <is>
          <t>なし</t>
        </is>
      </c>
      <c r="I172" s="12" t="inlineStr">
        <is>
          <t>2028(R10)年03月</t>
        </is>
      </c>
      <c r="J172" s="12" t="inlineStr">
        <is>
          <t>保証付</t>
        </is>
      </c>
      <c r="K172" s="16" t="inlineStr">
        <is>
          <t>修復歴なし / 車検 2028/03 まで（残り17ヶ月） / 保証付</t>
        </is>
      </c>
      <c r="L172" s="16" t="inlineStr">
        <is>
          <t>CX-8 2.2 XD Lパッケージ ディーゼルターボ 4WD</t>
        </is>
      </c>
      <c r="M172" s="12" t="inlineStr">
        <is>
          <t>https://www.carsensor.net/usedcar/detail/AU7425308112/index.html</t>
        </is>
      </c>
    </row>
    <row r="173">
      <c r="A173" s="6" t="n">
        <v>2020</v>
      </c>
      <c r="B173" s="7" t="inlineStr">
        <is>
          <t>4WD</t>
        </is>
      </c>
      <c r="C173" s="7" t="inlineStr">
        <is>
          <t>2.5 25S プロアクティブ</t>
        </is>
      </c>
      <c r="D173" s="17" t="n">
        <v>4.4</v>
      </c>
      <c r="E173" s="9" t="n">
        <v>221.9</v>
      </c>
      <c r="F173" s="9" t="n">
        <v>215.6</v>
      </c>
      <c r="G173" s="10" t="n">
        <v>6.5</v>
      </c>
      <c r="H173" s="7" t="inlineStr">
        <is>
          <t>なし</t>
        </is>
      </c>
      <c r="I173" s="7" t="inlineStr">
        <is>
          <t>2027(R09)年03月</t>
        </is>
      </c>
      <c r="J173" s="7" t="inlineStr">
        <is>
          <t>保証付</t>
        </is>
      </c>
      <c r="K173" s="16" t="inlineStr">
        <is>
          <t>修復歴なし / 車検 2027/03 まで（残り5ヶ月） / 保証付 / 同年式より安い（中央値 250万）</t>
        </is>
      </c>
      <c r="L173" s="16" t="inlineStr">
        <is>
          <t>CX-8 2.5 25S プロアクティブ 4WD BOSE/ナビ/アイアクティブセンス/シートヒーター 前席/360°ビューモニター/車線逸脱防止支援システム/電動バックドア/ドライブレコーダー 前後/ヘッドランプ LED</t>
        </is>
      </c>
      <c r="M173" s="7" t="inlineStr">
        <is>
          <t>https://www.carsensor.net/usedcar/detail/AU7442165687/index.html</t>
        </is>
      </c>
    </row>
    <row r="174">
      <c r="A174" s="11" t="n">
        <v>2021</v>
      </c>
      <c r="B174" s="12" t="inlineStr">
        <is>
          <t>4WD</t>
        </is>
      </c>
      <c r="C174" s="12" t="inlineStr">
        <is>
          <t>2.5 25S ブラックトーン</t>
        </is>
      </c>
      <c r="D174" s="13" t="n">
        <v>4.4</v>
      </c>
      <c r="E174" s="14" t="n">
        <v>299.9</v>
      </c>
      <c r="F174" s="14" t="n">
        <v>287.7</v>
      </c>
      <c r="G174" s="15" t="n">
        <v>4</v>
      </c>
      <c r="H174" s="12" t="inlineStr">
        <is>
          <t>なし</t>
        </is>
      </c>
      <c r="I174" s="12" t="inlineStr">
        <is>
          <t>2028(R10)年03月</t>
        </is>
      </c>
      <c r="J174" s="12" t="inlineStr">
        <is>
          <t>保証付</t>
        </is>
      </c>
      <c r="K174" s="16" t="inlineStr">
        <is>
          <t>修復歴なし / 車検 2028/03 まで（残り17ヶ月） / 保証付</t>
        </is>
      </c>
      <c r="L174" s="16" t="inlineStr">
        <is>
          <t>CX-8 2.5 25S ブラックトーン エディション 4WD 全周囲カメラ ブラインドスポットモニター レーダークルーズ 10.25インチマツダコネクトナビ メモリー機能付きパワーシート シートヒーター ETC パワーバックゲート ステアリングヒーター 禁煙車</t>
        </is>
      </c>
      <c r="M174" s="12" t="inlineStr">
        <is>
          <t>https://www.carsensor.net/usedcar/detail/AU7329479502/index.html</t>
        </is>
      </c>
    </row>
    <row r="175">
      <c r="A175" s="6" t="n">
        <v>2023</v>
      </c>
      <c r="B175" s="7" t="inlineStr">
        <is>
          <t>4WD</t>
        </is>
      </c>
      <c r="C175" s="7" t="inlineStr">
        <is>
          <t>2.2 XD エクスクルーシブ</t>
        </is>
      </c>
      <c r="D175" s="17" t="n">
        <v>4.4</v>
      </c>
      <c r="E175" s="9" t="n">
        <v>402.9</v>
      </c>
      <c r="F175" s="9" t="n">
        <v>395.9</v>
      </c>
      <c r="G175" s="10" t="n">
        <v>3.4</v>
      </c>
      <c r="H175" s="7" t="inlineStr">
        <is>
          <t>なし</t>
        </is>
      </c>
      <c r="I175" s="7" t="inlineStr">
        <is>
          <t>2028(R10)年03月</t>
        </is>
      </c>
      <c r="J175" s="7" t="inlineStr">
        <is>
          <t>保証付</t>
        </is>
      </c>
      <c r="K175" s="16" t="inlineStr">
        <is>
          <t>修復歴なし / 車検 2028/03 まで（残り17ヶ月） / 保証付</t>
        </is>
      </c>
      <c r="L175" s="16" t="inlineStr">
        <is>
          <t>CX-8 2.2 XD エクスクルーシブ モード ディーゼルターボ 4WD 新品タイヤ/サンルーフ/BOSE/SDナビ/衝突安全装置/シートヒーター/360°ビューモニター/車線逸脱防止支援システム/シート フルレザー/電動バックドア/ETC</t>
        </is>
      </c>
      <c r="M175" s="7" t="inlineStr">
        <is>
          <t>https://www.carsensor.net/usedcar/detail/AU7005610079/index.html</t>
        </is>
      </c>
    </row>
    <row r="176">
      <c r="A176" s="11" t="n">
        <v>2018</v>
      </c>
      <c r="B176" s="12" t="inlineStr">
        <is>
          <t>4WD</t>
        </is>
      </c>
      <c r="C176" s="12" t="inlineStr">
        <is>
          <t>2.2 XD プロアクティブ</t>
        </is>
      </c>
      <c r="D176" s="13" t="n">
        <v>4.3</v>
      </c>
      <c r="E176" s="14" t="n">
        <v>169.8</v>
      </c>
      <c r="F176" s="14" t="n">
        <v>164.1</v>
      </c>
      <c r="G176" s="15" t="n">
        <v>9</v>
      </c>
      <c r="H176" s="12" t="inlineStr">
        <is>
          <t>なし</t>
        </is>
      </c>
      <c r="I176" s="12" t="inlineStr">
        <is>
          <t>2027(R09)年02月</t>
        </is>
      </c>
      <c r="J176" s="12" t="inlineStr">
        <is>
          <t>保証付</t>
        </is>
      </c>
      <c r="K176" s="16" t="inlineStr">
        <is>
          <t>修復歴なし / 車検 2027/02 まで（残り4ヶ月） / 保証付 / 同年式より安い（中央値 196万）</t>
        </is>
      </c>
      <c r="L176" s="16" t="inlineStr">
        <is>
          <t>CX-8 2.2 XD プロアクティブ ディーゼルターボ 寒冷地仕様/純正SDナビ/全方位カメラ/純正前方ドライブレコーダー/純正ETC/レーダークルーズコントロール/ブラインドスポットモニター/スマートブレーキサポート/前席シートヒーター/D席パワーシート</t>
        </is>
      </c>
      <c r="M176" s="12" t="inlineStr">
        <is>
          <t>https://www.carsensor.net/usedcar/detail/AU7216560747/index.html</t>
        </is>
      </c>
    </row>
    <row r="177">
      <c r="A177" s="6" t="n">
        <v>2018</v>
      </c>
      <c r="B177" s="7" t="inlineStr">
        <is>
          <t>4WD</t>
        </is>
      </c>
      <c r="C177" s="7" t="inlineStr">
        <is>
          <t>2.5 25T プロアクティブ</t>
        </is>
      </c>
      <c r="D177" s="17" t="n">
        <v>4.3</v>
      </c>
      <c r="E177" s="9" t="n">
        <v>197</v>
      </c>
      <c r="F177" s="9" t="n">
        <v>186.6</v>
      </c>
      <c r="G177" s="10" t="n">
        <v>8</v>
      </c>
      <c r="H177" s="7" t="inlineStr">
        <is>
          <t>なし</t>
        </is>
      </c>
      <c r="I177" s="7" t="inlineStr">
        <is>
          <t>2028(R10)年02月</t>
        </is>
      </c>
      <c r="J177" s="7" t="inlineStr">
        <is>
          <t>保証付</t>
        </is>
      </c>
      <c r="K177" s="16" t="inlineStr">
        <is>
          <t>修復歴なし / 車検 2028/02 まで（残り16ヶ月） / 保証付</t>
        </is>
      </c>
      <c r="L177" s="16" t="inlineStr">
        <is>
          <t>CX-8 2.5 25T プロアクティブ 4WD ステアリングヒーター BSM オートメモリシート 前後ドラレコナビ Bluetooth バックカメラ ETC キーレス スマートキー アルミホイール ウォークスルー シートヒーター</t>
        </is>
      </c>
      <c r="M177" s="7" t="inlineStr">
        <is>
          <t>https://www.carsensor.net/usedcar/detail/AU7333175565/index.html</t>
        </is>
      </c>
    </row>
    <row r="178">
      <c r="A178" s="11" t="n">
        <v>2019</v>
      </c>
      <c r="B178" s="12" t="inlineStr">
        <is>
          <t>4WD</t>
        </is>
      </c>
      <c r="C178" s="12" t="inlineStr">
        <is>
          <t>2.5 25T Lパッケージ</t>
        </is>
      </c>
      <c r="D178" s="13" t="n">
        <v>4.3</v>
      </c>
      <c r="E178" s="14" t="n">
        <v>257</v>
      </c>
      <c r="F178" s="14" t="n">
        <v>246</v>
      </c>
      <c r="G178" s="15" t="n">
        <v>4.5</v>
      </c>
      <c r="H178" s="12" t="inlineStr">
        <is>
          <t>なし</t>
        </is>
      </c>
      <c r="I178" s="12" t="inlineStr">
        <is>
          <t>2028(R10)年02月</t>
        </is>
      </c>
      <c r="J178" s="12" t="inlineStr">
        <is>
          <t>保証付</t>
        </is>
      </c>
      <c r="K178" s="16" t="inlineStr">
        <is>
          <t>修復歴なし / 車検 2028/02 まで（残り16ヶ月） / 保証付</t>
        </is>
      </c>
      <c r="L178" s="16" t="inlineStr">
        <is>
          <t>CX-8 2.5 25T Lパッケージ 4WD パワーゲート 全方位モニター ナビ ETC</t>
        </is>
      </c>
      <c r="M178" s="12" t="inlineStr">
        <is>
          <t>https://www.carsensor.net/usedcar/detail/AU7354838486/index.html</t>
        </is>
      </c>
    </row>
    <row r="179">
      <c r="A179" s="6" t="n">
        <v>2023</v>
      </c>
      <c r="B179" s="7" t="inlineStr">
        <is>
          <t>4WD</t>
        </is>
      </c>
      <c r="C179" s="7" t="inlineStr">
        <is>
          <t>2.5 25T エクスクルーシブ</t>
        </is>
      </c>
      <c r="D179" s="17" t="n">
        <v>4.3</v>
      </c>
      <c r="E179" s="9" t="n">
        <v>384.9</v>
      </c>
      <c r="F179" s="9" t="n">
        <v>375.8</v>
      </c>
      <c r="G179" s="10" t="n">
        <v>4.1</v>
      </c>
      <c r="H179" s="7" t="inlineStr">
        <is>
          <t>なし</t>
        </is>
      </c>
      <c r="I179" s="7" t="inlineStr">
        <is>
          <t>2028(R10)年02月</t>
        </is>
      </c>
      <c r="J179" s="7" t="inlineStr">
        <is>
          <t>保証付</t>
        </is>
      </c>
      <c r="K179" s="16" t="inlineStr">
        <is>
          <t>修復歴なし / 車検 2028/02 まで（残り16ヶ月） / 保証付</t>
        </is>
      </c>
      <c r="L179" s="16" t="inlineStr">
        <is>
          <t>CX-8 2.5 25T エクスクルーシブ モード 4WD エアバック ABS マツダコネクトナビ フルセグTV 360ドビューカメラ 6人乗り フリップダウンモニター パワーシート シートヒーター シートベンチレーション ドラレコ前後タイプ ETC 取説 保証書</t>
        </is>
      </c>
      <c r="M179" s="7" t="inlineStr">
        <is>
          <t>https://www.carsensor.net/usedcar/detail/AU7364353459/index.html</t>
        </is>
      </c>
    </row>
    <row r="180">
      <c r="A180" s="11" t="n">
        <v>2023</v>
      </c>
      <c r="B180" s="12" t="inlineStr">
        <is>
          <t>4WD</t>
        </is>
      </c>
      <c r="C180" s="12" t="inlineStr">
        <is>
          <t>2.2 XD ブラックトーン</t>
        </is>
      </c>
      <c r="D180" s="13" t="n">
        <v>4.3</v>
      </c>
      <c r="E180" s="14" t="n">
        <v>368</v>
      </c>
      <c r="F180" s="14" t="n">
        <v>353</v>
      </c>
      <c r="G180" s="15" t="n">
        <v>2.8</v>
      </c>
      <c r="H180" s="12" t="inlineStr">
        <is>
          <t>なし</t>
        </is>
      </c>
      <c r="I180" s="12" t="inlineStr">
        <is>
          <t>2028(R10)年02月</t>
        </is>
      </c>
      <c r="J180" s="12" t="inlineStr">
        <is>
          <t>保証付</t>
        </is>
      </c>
      <c r="K180" s="16" t="inlineStr">
        <is>
          <t>修復歴なし / 車検 2028/02 まで（残り16ヶ月） / 保証付</t>
        </is>
      </c>
      <c r="L180" s="16" t="inlineStr">
        <is>
          <t>CX-8 2.2 XD ブラックトーン エディション ディーゼルターボ 4WD BOSEサウンド・パワーバックドア</t>
        </is>
      </c>
      <c r="M180" s="12" t="inlineStr">
        <is>
          <t>https://www.carsensor.net/usedcar/detail/AU7442562698/index.html</t>
        </is>
      </c>
    </row>
    <row r="181">
      <c r="A181" s="6" t="n">
        <v>2017</v>
      </c>
      <c r="B181" s="7" t="inlineStr">
        <is>
          <t>4WD</t>
        </is>
      </c>
      <c r="C181" s="7" t="inlineStr">
        <is>
          <t>2.2 XD Lパッケージ</t>
        </is>
      </c>
      <c r="D181" s="17" t="n">
        <v>4.2</v>
      </c>
      <c r="E181" s="9" t="n">
        <v>141</v>
      </c>
      <c r="F181" s="9" t="n">
        <v>129</v>
      </c>
      <c r="G181" s="10" t="n">
        <v>10.2</v>
      </c>
      <c r="H181" s="7" t="inlineStr">
        <is>
          <t>なし</t>
        </is>
      </c>
      <c r="I181" s="7" t="inlineStr">
        <is>
          <t>2026(R08)年12月</t>
        </is>
      </c>
      <c r="J181" s="7" t="inlineStr">
        <is>
          <t>保証付</t>
        </is>
      </c>
      <c r="K181" s="16" t="inlineStr">
        <is>
          <t>修復歴なし / 車検 2026/12 まで（残り2ヶ月） / 保証付 / 同年式より安い（中央値 184万）</t>
        </is>
      </c>
      <c r="L181" s="16" t="inlineStr">
        <is>
          <t>CX-8 2.2 XD Lパッケージ ディーゼルターボ 4WD 6ヶ月走行距離無制限保証付 本革シート 純正SDナビ フルセグ 4WD ETC 禁煙車 全方位カメラ BOSEサウンド 衝突軽減ブレーキ レーダークルーズコントロール Bluetooth シートヒーター</t>
        </is>
      </c>
      <c r="M181" s="7" t="inlineStr">
        <is>
          <t>https://www.carsensor.net/usedcar/detail/AU7441483164/index.html</t>
        </is>
      </c>
    </row>
    <row r="182">
      <c r="A182" s="11" t="n">
        <v>2018</v>
      </c>
      <c r="B182" s="12" t="inlineStr">
        <is>
          <t>4WD</t>
        </is>
      </c>
      <c r="C182" s="12" t="inlineStr">
        <is>
          <t>2.2 XD Lパッケージ</t>
        </is>
      </c>
      <c r="D182" s="13" t="n">
        <v>4.2</v>
      </c>
      <c r="E182" s="14" t="n">
        <v>190.6</v>
      </c>
      <c r="F182" s="14" t="n">
        <v>179.9</v>
      </c>
      <c r="G182" s="15" t="n">
        <v>8.199999999999999</v>
      </c>
      <c r="H182" s="12" t="inlineStr">
        <is>
          <t>なし</t>
        </is>
      </c>
      <c r="I182" s="12" t="inlineStr">
        <is>
          <t>2027(R09)年12月</t>
        </is>
      </c>
      <c r="J182" s="12" t="inlineStr">
        <is>
          <t>保証付</t>
        </is>
      </c>
      <c r="K182" s="16" t="inlineStr">
        <is>
          <t>修復歴なし / 車検 2027/12 まで（残り14ヶ月） / 保証付</t>
        </is>
      </c>
      <c r="L182" s="16" t="inlineStr">
        <is>
          <t>CX-8 2.2 XD Lパッケージ ディーゼルターボ 4WD 360度ビュー/BOSEサウンド/深赤革シート/衝突軽減ブレーキ/BSM/前後パーキングセンサー/レーダークルコン/LKA/パワーシート/シートベンチレーション/パワーバックドア/マツコネナビ/フルセグTV/DVD/BT/AppleCarPlay</t>
        </is>
      </c>
      <c r="M182" s="12" t="inlineStr">
        <is>
          <t>https://www.carsensor.net/usedcar/detail/AU7422765209/index.html</t>
        </is>
      </c>
    </row>
    <row r="183">
      <c r="A183" s="6" t="n">
        <v>2018</v>
      </c>
      <c r="B183" s="7" t="inlineStr">
        <is>
          <t>4WD</t>
        </is>
      </c>
      <c r="C183" s="7" t="inlineStr">
        <is>
          <t>2.2 XD Lパッケージ</t>
        </is>
      </c>
      <c r="D183" s="17" t="n">
        <v>4.2</v>
      </c>
      <c r="E183" s="9" t="n">
        <v>239.9</v>
      </c>
      <c r="F183" s="9" t="n">
        <v>228</v>
      </c>
      <c r="G183" s="10" t="n">
        <v>8.300000000000001</v>
      </c>
      <c r="H183" s="7" t="inlineStr">
        <is>
          <t>なし</t>
        </is>
      </c>
      <c r="I183" s="7" t="inlineStr">
        <is>
          <t>2027(R09)年12月</t>
        </is>
      </c>
      <c r="J183" s="7" t="inlineStr">
        <is>
          <t>保証付</t>
        </is>
      </c>
      <c r="K183" s="16" t="inlineStr">
        <is>
          <t>修復歴なし / 車検 2027/12 まで（残り14ヶ月） / 保証付</t>
        </is>
      </c>
      <c r="L183" s="16" t="inlineStr">
        <is>
          <t>CX-8 2.2 XD Lパッケージ ディーゼルターボ 4WD 4WD ターボ ディーゼル(軽油) 純正SDナビ 全周囲カメラ 衝突被害軽減システム 禁煙車 電動リアゲート レザーシート 前席シートエアコン コーナーセンサー スマートキー LEDヘッド ETC</t>
        </is>
      </c>
      <c r="M183" s="7" t="inlineStr">
        <is>
          <t>https://www.carsensor.net/usedcar/detail/AU7315044481/index.html</t>
        </is>
      </c>
    </row>
    <row r="184">
      <c r="A184" s="11" t="n">
        <v>2018</v>
      </c>
      <c r="B184" s="12" t="inlineStr">
        <is>
          <t>4WD</t>
        </is>
      </c>
      <c r="C184" s="12" t="inlineStr">
        <is>
          <t>XD L Package</t>
        </is>
      </c>
      <c r="D184" s="13" t="n">
        <v>4.2</v>
      </c>
      <c r="E184" s="14" t="n">
        <v>239.7</v>
      </c>
      <c r="F184" s="14" t="n">
        <v>231</v>
      </c>
      <c r="G184" s="15" t="n">
        <v>5.7</v>
      </c>
      <c r="H184" s="12" t="inlineStr">
        <is>
          <t>なし</t>
        </is>
      </c>
      <c r="I184" s="12" t="inlineStr">
        <is>
          <t>2027(R09)年12月</t>
        </is>
      </c>
      <c r="J184" s="12" t="inlineStr">
        <is>
          <t>保証付</t>
        </is>
      </c>
      <c r="K184" s="16" t="inlineStr">
        <is>
          <t>修復歴なし / 車検 2027/12 まで（残り14ヶ月） / 保証付</t>
        </is>
      </c>
      <c r="L184" s="16" t="inlineStr">
        <is>
          <t>CX-8 XD L Package ナッパレザー パワーシート シートベンチレーション シートヒーター ステアリングヒーター パワーリフトゲート 360°ビューモニター アダプティブLEDヘッドライト ドラレコ ETC エンジンスターター</t>
        </is>
      </c>
      <c r="M184" s="12" t="inlineStr">
        <is>
          <t>https://www.carsensor.net/usedcar/detail/AU7441985493/index.html</t>
        </is>
      </c>
    </row>
    <row r="185">
      <c r="A185" s="6" t="n">
        <v>2018</v>
      </c>
      <c r="B185" s="7" t="inlineStr">
        <is>
          <t>4WD</t>
        </is>
      </c>
      <c r="C185" s="7" t="inlineStr">
        <is>
          <t>2.5 25T Lパッケージ</t>
        </is>
      </c>
      <c r="D185" s="17" t="n">
        <v>4.2</v>
      </c>
      <c r="E185" s="9" t="n">
        <v>210.3</v>
      </c>
      <c r="F185" s="9" t="n">
        <v>198.9</v>
      </c>
      <c r="G185" s="10" t="n">
        <v>6.5</v>
      </c>
      <c r="H185" s="7" t="inlineStr">
        <is>
          <t>なし</t>
        </is>
      </c>
      <c r="I185" s="7" t="inlineStr">
        <is>
          <t>2027(R09)年12月</t>
        </is>
      </c>
      <c r="J185" s="7" t="inlineStr">
        <is>
          <t>保証付</t>
        </is>
      </c>
      <c r="K185" s="16" t="inlineStr">
        <is>
          <t>修復歴なし / 車検 2027/12 まで（残り14ヶ月） / 保証付</t>
        </is>
      </c>
      <c r="L185" s="16" t="inlineStr">
        <is>
          <t>CX-8 2.5 25T Lパッケージ 4WD 純正ナビ 全周囲カメラ ETC2.0 本革シート シートヒーター(前後) シートクーラー 電動テールゲート 電動シート ヘッドアップディスプレイ サイド&amp;カーテンエアバッグ</t>
        </is>
      </c>
      <c r="M185" s="7" t="inlineStr">
        <is>
          <t>https://www.carsensor.net/usedcar/detail/AU7415848592/index.html</t>
        </is>
      </c>
    </row>
    <row r="186">
      <c r="A186" s="11" t="n">
        <v>2019</v>
      </c>
      <c r="B186" s="12" t="inlineStr">
        <is>
          <t>4WD</t>
        </is>
      </c>
      <c r="C186" s="12" t="inlineStr">
        <is>
          <t>2.2 XD Lパッケージ</t>
        </is>
      </c>
      <c r="D186" s="13" t="n">
        <v>4.2</v>
      </c>
      <c r="E186" s="14" t="n">
        <v>217.1</v>
      </c>
      <c r="F186" s="14" t="n">
        <v>204.9</v>
      </c>
      <c r="G186" s="15" t="n">
        <v>7.2</v>
      </c>
      <c r="H186" s="12" t="inlineStr">
        <is>
          <t>なし</t>
        </is>
      </c>
      <c r="I186" s="12" t="inlineStr">
        <is>
          <t>2028(R10)年01月</t>
        </is>
      </c>
      <c r="J186" s="12" t="inlineStr">
        <is>
          <t>保証付</t>
        </is>
      </c>
      <c r="K186" s="16" t="inlineStr">
        <is>
          <t>修復歴なし / 車検 2028/01 まで（残り15ヶ月） / 保証付</t>
        </is>
      </c>
      <c r="L186" s="16" t="inlineStr">
        <is>
          <t>CX-8 2.2 XD Lパッケージ ディーゼルターボ 4WD 360度ビュー/BOSEサウンド/深赤革シート/衝突軽減ブレーキ/BSM/前後パーキングセンサー/レーダークルコン/LKA/パワーシート/シートベンチレーション/パワーバックドア/マツコネナビ/フルセグTV/DVD/BT/AppleCarPlay</t>
        </is>
      </c>
      <c r="M186" s="12" t="inlineStr">
        <is>
          <t>https://www.carsensor.net/usedcar/detail/AU7153827447/index.html</t>
        </is>
      </c>
    </row>
    <row r="187">
      <c r="A187" s="6" t="n">
        <v>2019</v>
      </c>
      <c r="B187" s="7" t="inlineStr">
        <is>
          <t>4WD</t>
        </is>
      </c>
      <c r="C187" s="7" t="inlineStr">
        <is>
          <t>2.2 XD プロアクティブ</t>
        </is>
      </c>
      <c r="D187" s="17" t="n">
        <v>4.2</v>
      </c>
      <c r="E187" s="9" t="n">
        <v>219.8</v>
      </c>
      <c r="F187" s="9" t="n">
        <v>213.5</v>
      </c>
      <c r="G187" s="10" t="n">
        <v>6.6</v>
      </c>
      <c r="H187" s="7" t="inlineStr">
        <is>
          <t>なし</t>
        </is>
      </c>
      <c r="I187" s="7" t="inlineStr">
        <is>
          <t>2028(R10)年01月</t>
        </is>
      </c>
      <c r="J187" s="7" t="inlineStr">
        <is>
          <t>保証付</t>
        </is>
      </c>
      <c r="K187" s="16" t="inlineStr">
        <is>
          <t>修復歴なし / 車検 2028/01 まで（残り15ヶ月） / 保証付</t>
        </is>
      </c>
      <c r="L187" s="16" t="inlineStr">
        <is>
          <t>CX-8 2.2 XD プロアクティブ ディーゼルターボ 4WD 360°ビュー ETC2.0 アダプティブLED</t>
        </is>
      </c>
      <c r="M187" s="7" t="inlineStr">
        <is>
          <t>https://www.carsensor.net/usedcar/detail/AU7433581061/index.html</t>
        </is>
      </c>
    </row>
    <row r="188">
      <c r="A188" s="11" t="n">
        <v>2019</v>
      </c>
      <c r="B188" s="12" t="inlineStr">
        <is>
          <t>4WD</t>
        </is>
      </c>
      <c r="C188" s="12" t="inlineStr">
        <is>
          <t>2.5 25T Lパッケージ</t>
        </is>
      </c>
      <c r="D188" s="13" t="n">
        <v>4.2</v>
      </c>
      <c r="E188" s="14" t="n">
        <v>251.2</v>
      </c>
      <c r="F188" s="14" t="n">
        <v>242.1</v>
      </c>
      <c r="G188" s="15" t="n">
        <v>6.3</v>
      </c>
      <c r="H188" s="12" t="inlineStr">
        <is>
          <t>なし</t>
        </is>
      </c>
      <c r="I188" s="12" t="inlineStr">
        <is>
          <t>2028(R10)年01月</t>
        </is>
      </c>
      <c r="J188" s="12" t="inlineStr">
        <is>
          <t>保証付</t>
        </is>
      </c>
      <c r="K188" s="16" t="inlineStr">
        <is>
          <t>修復歴なし / 車検 2028/01 まで（残り15ヶ月） / 保証付</t>
        </is>
      </c>
      <c r="L188" s="16" t="inlineStr">
        <is>
          <t>CX-8 2.5 25T Lパッケージ 4WD 自社下取 さわやか保証1年走行無制限 魂動デザイン 人馬一体 オルガンペダル 衝突被害軽減ブレーキ 全周囲カメラ</t>
        </is>
      </c>
      <c r="M188" s="12" t="inlineStr">
        <is>
          <t>https://www.carsensor.net/usedcar/detail/AU7419089157/index.html</t>
        </is>
      </c>
    </row>
    <row r="189">
      <c r="A189" s="6" t="n">
        <v>2021</v>
      </c>
      <c r="B189" s="7" t="inlineStr">
        <is>
          <t>4WD</t>
        </is>
      </c>
      <c r="C189" s="7" t="inlineStr">
        <is>
          <t>2.5 25S ブラックトーン</t>
        </is>
      </c>
      <c r="D189" s="17" t="n">
        <v>4.2</v>
      </c>
      <c r="E189" s="9" t="n">
        <v>285.9</v>
      </c>
      <c r="F189" s="9" t="n">
        <v>273.8</v>
      </c>
      <c r="G189" s="10" t="n">
        <v>5</v>
      </c>
      <c r="H189" s="7" t="inlineStr">
        <is>
          <t>なし</t>
        </is>
      </c>
      <c r="I189" s="7" t="inlineStr">
        <is>
          <t>2028(R10)年01月</t>
        </is>
      </c>
      <c r="J189" s="7" t="inlineStr">
        <is>
          <t>保証付</t>
        </is>
      </c>
      <c r="K189" s="16" t="inlineStr">
        <is>
          <t>修復歴なし / 車検 2028/01 まで（残り15ヶ月） / 保証付</t>
        </is>
      </c>
      <c r="L189" s="16" t="inlineStr">
        <is>
          <t>CX-8 2.5 25S ブラックトーン エディション 4WD 4WD 純正10.25型ナビ 全周囲カメラ スマートシティブレーキサポート レーダークルーズ ブラインドスポットモニタリング シートヒーター メモリー機能付きパワーシート ETC ルーフレール</t>
        </is>
      </c>
      <c r="M189" s="7" t="inlineStr">
        <is>
          <t>https://www.carsensor.net/usedcar/detail/AU7343846856/index.html</t>
        </is>
      </c>
    </row>
    <row r="190">
      <c r="A190" s="11" t="n">
        <v>2022</v>
      </c>
      <c r="B190" s="12" t="inlineStr">
        <is>
          <t>4WD</t>
        </is>
      </c>
      <c r="C190" s="12" t="inlineStr">
        <is>
          <t>2.2 XD プロアクティブ</t>
        </is>
      </c>
      <c r="D190" s="13" t="n">
        <v>4.2</v>
      </c>
      <c r="E190" s="14" t="n">
        <v>262.9</v>
      </c>
      <c r="F190" s="14" t="n">
        <v>249.9</v>
      </c>
      <c r="G190" s="15" t="n">
        <v>5.4</v>
      </c>
      <c r="H190" s="12" t="inlineStr">
        <is>
          <t>なし</t>
        </is>
      </c>
      <c r="I190" s="12" t="inlineStr">
        <is>
          <t>2027(R09)年01月</t>
        </is>
      </c>
      <c r="J190" s="12" t="inlineStr">
        <is>
          <t>保証付</t>
        </is>
      </c>
      <c r="K190" s="16" t="inlineStr">
        <is>
          <t>修復歴なし / 車検 2027/01 まで（残り3ヶ月） / 保証付 / 同年式より安い（中央値 296万）</t>
        </is>
      </c>
      <c r="L190" s="16" t="inlineStr">
        <is>
          <t>CX-8 2.2 XD プロアクティブ ディーゼルターボ 4WD 新品タイヤ/SDナビ/衝突安全装置/シートヒーター 前席/全方位モニター/車線逸脱防止支援システム/電動バックドア/ドライブレコーダー 前後/ヘッドランプ LED</t>
        </is>
      </c>
      <c r="M190" s="12" t="inlineStr">
        <is>
          <t>https://www.carsensor.net/usedcar/detail/AU7301337087/index.html</t>
        </is>
      </c>
    </row>
    <row r="191">
      <c r="A191" s="6" t="n">
        <v>2023</v>
      </c>
      <c r="B191" s="7" t="inlineStr">
        <is>
          <t>4WD</t>
        </is>
      </c>
      <c r="C191" s="7" t="inlineStr">
        <is>
          <t>2.2 XD エクスクルーシブ</t>
        </is>
      </c>
      <c r="D191" s="17" t="n">
        <v>4.2</v>
      </c>
      <c r="E191" s="9" t="n">
        <v>387.3</v>
      </c>
      <c r="F191" s="9" t="n">
        <v>376.2</v>
      </c>
      <c r="G191" s="10" t="n">
        <v>3</v>
      </c>
      <c r="H191" s="7" t="inlineStr">
        <is>
          <t>なし</t>
        </is>
      </c>
      <c r="I191" s="7" t="inlineStr">
        <is>
          <t>2028(R10)年01月</t>
        </is>
      </c>
      <c r="J191" s="7" t="inlineStr">
        <is>
          <t>保証付</t>
        </is>
      </c>
      <c r="K191" s="16" t="inlineStr">
        <is>
          <t>修復歴なし / 車検 2028/01 まで（残り15ヶ月） / 保証付</t>
        </is>
      </c>
      <c r="L191" s="16" t="inlineStr">
        <is>
          <t>CX-8 2.2 XD エクスクルーシブ モード ディーゼルターボ 4WD ナビ・黒革シート・全周囲カメラ・前後ドラレコ</t>
        </is>
      </c>
      <c r="M191" s="7" t="inlineStr">
        <is>
          <t>https://www.carsensor.net/usedcar/detail/AU7325433360/index.html</t>
        </is>
      </c>
    </row>
    <row r="192">
      <c r="A192" s="11" t="n">
        <v>2018</v>
      </c>
      <c r="B192" s="12" t="inlineStr">
        <is>
          <t>4WD</t>
        </is>
      </c>
      <c r="C192" s="12" t="inlineStr">
        <is>
          <t>2.2 XD Lパッケージ</t>
        </is>
      </c>
      <c r="D192" s="13" t="n">
        <v>4.1</v>
      </c>
      <c r="E192" s="14" t="n">
        <v>181.3</v>
      </c>
      <c r="F192" s="14" t="n">
        <v>174</v>
      </c>
      <c r="G192" s="15" t="n">
        <v>7.4</v>
      </c>
      <c r="H192" s="12" t="inlineStr">
        <is>
          <t>なし</t>
        </is>
      </c>
      <c r="I192" s="12" t="inlineStr">
        <is>
          <t>2027(R09)年11月</t>
        </is>
      </c>
      <c r="J192" s="12" t="inlineStr">
        <is>
          <t>保証付</t>
        </is>
      </c>
      <c r="K192" s="16" t="inlineStr">
        <is>
          <t>修復歴なし / 車検 2027/11 まで（残り13ヶ月） / 保証付</t>
        </is>
      </c>
      <c r="L192" s="16" t="inlineStr">
        <is>
          <t>CX-8 2.2 XD Lパッケージ ディーゼルターボ 4WD 6ヶ月走行距離無制限保証付 禁煙車 衝突軽減ブレーキ BOSEサウンド Apple Car Play 4WD 全周囲カメラ 本革シート レーダークルーズコントロール 電動リアゲート コーナーセンサー シートヒータ ETC</t>
        </is>
      </c>
      <c r="M192" s="12" t="inlineStr">
        <is>
          <t>https://www.carsensor.net/usedcar/detail/AU7441482201/index.html</t>
        </is>
      </c>
    </row>
    <row r="193">
      <c r="A193" s="6" t="n">
        <v>2018</v>
      </c>
      <c r="B193" s="7" t="inlineStr">
        <is>
          <t>4WD</t>
        </is>
      </c>
      <c r="C193" s="7" t="inlineStr">
        <is>
          <t>2.2 XD プロアクティブ</t>
        </is>
      </c>
      <c r="D193" s="17" t="n">
        <v>4.1</v>
      </c>
      <c r="E193" s="9" t="n">
        <v>204.9</v>
      </c>
      <c r="F193" s="9" t="n">
        <v>198.7</v>
      </c>
      <c r="G193" s="10" t="n">
        <v>6.5</v>
      </c>
      <c r="H193" s="7" t="inlineStr">
        <is>
          <t>なし</t>
        </is>
      </c>
      <c r="I193" s="7" t="inlineStr">
        <is>
          <t>2027(R09)年11月</t>
        </is>
      </c>
      <c r="J193" s="7" t="inlineStr">
        <is>
          <t>保証付</t>
        </is>
      </c>
      <c r="K193" s="16" t="inlineStr">
        <is>
          <t>修復歴なし / 車検 2027/11 まで（残り13ヶ月） / 保証付</t>
        </is>
      </c>
      <c r="L193" s="16" t="inlineStr">
        <is>
          <t>CX-8 2.2 XD プロアクティブ ディーゼルターボ 4WD 禁煙車 4WD 純正ナビ アラウンドビューモニター ルーフレール パワーバックドア シートヒーター ステアリングヒーター クルーズコントロール パワーシート シートメモリー ドライブレコーダー ETC</t>
        </is>
      </c>
      <c r="M193" s="7" t="inlineStr">
        <is>
          <t>https://www.carsensor.net/usedcar/detail/AU7361127587/index.html</t>
        </is>
      </c>
    </row>
    <row r="194">
      <c r="A194" s="11" t="n">
        <v>2018</v>
      </c>
      <c r="B194" s="12" t="inlineStr">
        <is>
          <t>4WD</t>
        </is>
      </c>
      <c r="C194" s="12" t="inlineStr">
        <is>
          <t>2.2 XD プロアクティブ</t>
        </is>
      </c>
      <c r="D194" s="13" t="n">
        <v>4.1</v>
      </c>
      <c r="E194" s="14" t="n">
        <v>219.9</v>
      </c>
      <c r="F194" s="14" t="n">
        <v>208.1</v>
      </c>
      <c r="G194" s="15" t="n">
        <v>6.6</v>
      </c>
      <c r="H194" s="12" t="inlineStr">
        <is>
          <t>なし</t>
        </is>
      </c>
      <c r="I194" s="12" t="inlineStr">
        <is>
          <t>2027(R09)年11月</t>
        </is>
      </c>
      <c r="J194" s="12" t="inlineStr">
        <is>
          <t>保証付</t>
        </is>
      </c>
      <c r="K194" s="16" t="inlineStr">
        <is>
          <t>修復歴なし / 車検 2027/11 まで（残り13ヶ月） / 保証付</t>
        </is>
      </c>
      <c r="L194" s="16" t="inlineStr">
        <is>
          <t>CX-8 2.2 XD プロアクティブ ディーゼルターボ 4WD 6人乗り 純正ナビ 全周囲カメラ 衝突軽減装置 レーダークルーズ 禁煙車 LEDヘッドランプ ETC シートヒーター ブラインドスポットモニター コーナーセンサー レーンアシスト パワーシート</t>
        </is>
      </c>
      <c r="M194" s="12" t="inlineStr">
        <is>
          <t>https://www.carsensor.net/usedcar/detail/AU7268525341/index.html</t>
        </is>
      </c>
    </row>
    <row r="195">
      <c r="A195" s="6" t="n">
        <v>2017</v>
      </c>
      <c r="B195" s="7" t="inlineStr">
        <is>
          <t>4WD</t>
        </is>
      </c>
      <c r="C195" s="7" t="inlineStr">
        <is>
          <t>2.2 XD Lパッケージ</t>
        </is>
      </c>
      <c r="D195" s="17" t="n">
        <v>4</v>
      </c>
      <c r="E195" s="9" t="n">
        <v>184.8</v>
      </c>
      <c r="F195" s="9" t="n">
        <v>169.9</v>
      </c>
      <c r="G195" s="10" t="n">
        <v>9</v>
      </c>
      <c r="H195" s="7" t="inlineStr">
        <is>
          <t>なし</t>
        </is>
      </c>
      <c r="I195" s="7" t="inlineStr">
        <is>
          <t>車検整備付</t>
        </is>
      </c>
      <c r="J195" s="7" t="inlineStr">
        <is>
          <t>保証付</t>
        </is>
      </c>
      <c r="K195" s="16" t="inlineStr">
        <is>
          <t>修復歴なし / 車検整備付 / 保証付</t>
        </is>
      </c>
      <c r="L195" s="16" t="inlineStr">
        <is>
          <t>CX-8 2.2 XD Lパッケージ ディーゼルターボ 4WD 3列6人乗/BOSE/CD・DVD・フルセグ/衝突軽減/BSM/前後パーキングセンサー/レーダークルコン/レーンキープ/アダプティブLED/深赤革シート/Pシート/シートヒーター/電動バックドア/マツコネナビ/ドラレコ/S・Bカメラ</t>
        </is>
      </c>
      <c r="M195" s="7" t="inlineStr">
        <is>
          <t>https://www.carsensor.net/usedcar/detail/AU7207545211/index.html</t>
        </is>
      </c>
    </row>
    <row r="196">
      <c r="A196" s="11" t="n">
        <v>2017</v>
      </c>
      <c r="B196" s="12" t="inlineStr">
        <is>
          <t>4WD</t>
        </is>
      </c>
      <c r="C196" s="12" t="inlineStr">
        <is>
          <t>2.2 XD Lパッケージ</t>
        </is>
      </c>
      <c r="D196" s="13" t="n">
        <v>4</v>
      </c>
      <c r="E196" s="14" t="n">
        <v>198.9</v>
      </c>
      <c r="F196" s="14" t="n">
        <v>181.7</v>
      </c>
      <c r="G196" s="15" t="n">
        <v>6.5</v>
      </c>
      <c r="H196" s="12" t="inlineStr">
        <is>
          <t>なし</t>
        </is>
      </c>
      <c r="I196" s="12" t="inlineStr">
        <is>
          <t>車検整備付</t>
        </is>
      </c>
      <c r="J196" s="12" t="inlineStr">
        <is>
          <t>保証付</t>
        </is>
      </c>
      <c r="K196" s="16" t="inlineStr">
        <is>
          <t>修復歴なし / 車検整備付 / 保証付</t>
        </is>
      </c>
      <c r="L196" s="16" t="inlineStr">
        <is>
          <t>CX-8 2.2 XD Lパッケージ ディーゼルターボ 4WD 360度ビュー BOSE マツダコネクトナビ ブラインドスポット スマートシティブレーキ 電動リアゲート シートメモリ シートヒーター LEDヘッド オートライト スマートキー ETC</t>
        </is>
      </c>
      <c r="M196" s="12" t="inlineStr">
        <is>
          <t>https://www.carsensor.net/usedcar/detail/AU7183736394/index.html</t>
        </is>
      </c>
    </row>
    <row r="197">
      <c r="A197" s="6" t="n">
        <v>2017</v>
      </c>
      <c r="B197" s="7" t="inlineStr">
        <is>
          <t>4WD</t>
        </is>
      </c>
      <c r="C197" s="7" t="inlineStr">
        <is>
          <t>2.2 XD Lパッケージ</t>
        </is>
      </c>
      <c r="D197" s="17" t="n">
        <v>4</v>
      </c>
      <c r="E197" s="9" t="n">
        <v>199.9</v>
      </c>
      <c r="F197" s="9" t="n">
        <v>182.7</v>
      </c>
      <c r="G197" s="10" t="n">
        <v>8.300000000000001</v>
      </c>
      <c r="H197" s="7" t="inlineStr">
        <is>
          <t>なし</t>
        </is>
      </c>
      <c r="I197" s="7" t="inlineStr">
        <is>
          <t>車検整備付</t>
        </is>
      </c>
      <c r="J197" s="7" t="inlineStr">
        <is>
          <t>保証付</t>
        </is>
      </c>
      <c r="K197" s="16" t="inlineStr">
        <is>
          <t>修復歴なし / 車検整備付 / 保証付</t>
        </is>
      </c>
      <c r="L197" s="16" t="inlineStr">
        <is>
          <t>CX-8 2.2 XD Lパッケージ ディーゼルターボ 4WD フリップダウンモニター BIG-X11インチナビ 全周囲カメラ BOSEサウンド ブラインドスポットモニタリング ステアリングヒーター 禁煙車 電動リアゲート レザーシート コーナーセンサー</t>
        </is>
      </c>
      <c r="M197" s="7" t="inlineStr">
        <is>
          <t>https://www.carsensor.net/usedcar/detail/AU7330343968/index.html</t>
        </is>
      </c>
    </row>
    <row r="198">
      <c r="A198" s="11" t="n">
        <v>2017</v>
      </c>
      <c r="B198" s="12" t="inlineStr">
        <is>
          <t>4WD</t>
        </is>
      </c>
      <c r="C198" s="12" t="inlineStr">
        <is>
          <t>2.2 XD Lパッケージ</t>
        </is>
      </c>
      <c r="D198" s="13" t="n">
        <v>4</v>
      </c>
      <c r="E198" s="14" t="n">
        <v>229.9</v>
      </c>
      <c r="F198" s="14" t="n">
        <v>212.7</v>
      </c>
      <c r="G198" s="15" t="n">
        <v>6.1</v>
      </c>
      <c r="H198" s="12" t="inlineStr">
        <is>
          <t>なし</t>
        </is>
      </c>
      <c r="I198" s="12" t="inlineStr">
        <is>
          <t>車検整備付</t>
        </is>
      </c>
      <c r="J198" s="12" t="inlineStr">
        <is>
          <t>保証付</t>
        </is>
      </c>
      <c r="K198" s="16" t="inlineStr">
        <is>
          <t>修復歴なし / 車検整備付 / 保証付</t>
        </is>
      </c>
      <c r="L198" s="16" t="inlineStr">
        <is>
          <t>CX-8 2.2 XD Lパッケージ ディーゼルターボ 4WD 4WD ターボ ディーゼル(軽油) ルーフレール 純正ナビ 全周囲カメラ BOSEサウンド シティブレーキサポート 禁煙車 電動リアゲート レザーシート ドラレコ コーナーセンサー LEDヘッド</t>
        </is>
      </c>
      <c r="M198" s="12" t="inlineStr">
        <is>
          <t>https://www.carsensor.net/usedcar/detail/AU7383453161/index.html</t>
        </is>
      </c>
    </row>
    <row r="199">
      <c r="A199" s="6" t="n">
        <v>2017</v>
      </c>
      <c r="B199" s="7" t="inlineStr">
        <is>
          <t>4WD</t>
        </is>
      </c>
      <c r="C199" s="7" t="inlineStr">
        <is>
          <t>2.2 XD Lパッケージ</t>
        </is>
      </c>
      <c r="D199" s="17" t="n">
        <v>4</v>
      </c>
      <c r="E199" s="9" t="n">
        <v>198</v>
      </c>
      <c r="F199" s="9" t="n">
        <v>188</v>
      </c>
      <c r="G199" s="10" t="n">
        <v>7.3</v>
      </c>
      <c r="H199" s="7" t="inlineStr">
        <is>
          <t>なし</t>
        </is>
      </c>
      <c r="I199" s="7" t="inlineStr">
        <is>
          <t>車検整備付</t>
        </is>
      </c>
      <c r="J199" s="7" t="inlineStr">
        <is>
          <t>保証付</t>
        </is>
      </c>
      <c r="K199" s="16" t="inlineStr">
        <is>
          <t>修復歴なし / 車検整備付 / 保証付</t>
        </is>
      </c>
      <c r="L199" s="16" t="inlineStr">
        <is>
          <t>CX-8 2.2 XD Lパッケージ ディーゼルターボ 4WD 6人乗り マツダコネクトナビTV/CD/DVD BOSEサウンド 全周囲カメラ 茶革シート アドバンスドスマートシティブレーキ ブラインドスポットモニター パワーバックドア シートヒーター ルーフレール</t>
        </is>
      </c>
      <c r="M199" s="7" t="inlineStr">
        <is>
          <t>https://www.carsensor.net/usedcar/detail/AU7107049863/index.html</t>
        </is>
      </c>
    </row>
    <row r="200">
      <c r="A200" s="11" t="n">
        <v>2017</v>
      </c>
      <c r="B200" s="12" t="inlineStr">
        <is>
          <t>4WD</t>
        </is>
      </c>
      <c r="C200" s="12" t="inlineStr">
        <is>
          <t>2.2 XD Lパッケージ</t>
        </is>
      </c>
      <c r="D200" s="13" t="n">
        <v>4</v>
      </c>
      <c r="E200" s="14" t="n">
        <v>206.8</v>
      </c>
      <c r="F200" s="14" t="n">
        <v>196.8</v>
      </c>
      <c r="G200" s="15" t="n">
        <v>7.7</v>
      </c>
      <c r="H200" s="12" t="inlineStr">
        <is>
          <t>なし</t>
        </is>
      </c>
      <c r="I200" s="12" t="inlineStr">
        <is>
          <t>車検整備付</t>
        </is>
      </c>
      <c r="J200" s="12" t="inlineStr">
        <is>
          <t>保証付</t>
        </is>
      </c>
      <c r="K200" s="16" t="inlineStr">
        <is>
          <t>修復歴なし / 車検整備付 / 保証付</t>
        </is>
      </c>
      <c r="L200" s="16" t="inlineStr">
        <is>
          <t>CX-8 2.2 XD Lパッケージ ディーゼルターボ 4WD 純正メーカーナビ 全方位カメラ Bluetoothオーディオ DVD再生 レーダークルーズ ブラインドスポットモニター シートヒーター 前後ドラレコ ETC コーナーセンサー 電動リアゲート 禁煙車</t>
        </is>
      </c>
      <c r="M200" s="12" t="inlineStr">
        <is>
          <t>https://www.carsensor.net/usedcar/detail/AU7261320511/index.html</t>
        </is>
      </c>
    </row>
    <row r="201">
      <c r="A201" s="6" t="n">
        <v>2017</v>
      </c>
      <c r="B201" s="7" t="inlineStr">
        <is>
          <t>4WD</t>
        </is>
      </c>
      <c r="C201" s="7" t="inlineStr">
        <is>
          <t>2.2 XD Lパッケージ</t>
        </is>
      </c>
      <c r="D201" s="17" t="n">
        <v>4</v>
      </c>
      <c r="E201" s="9" t="n">
        <v>173.8</v>
      </c>
      <c r="F201" s="9" t="n">
        <v>156.8</v>
      </c>
      <c r="G201" s="10" t="n">
        <v>9.699999999999999</v>
      </c>
      <c r="H201" s="7" t="inlineStr">
        <is>
          <t>なし</t>
        </is>
      </c>
      <c r="I201" s="7" t="inlineStr">
        <is>
          <t>車検整備付</t>
        </is>
      </c>
      <c r="J201" s="7" t="inlineStr">
        <is>
          <t>保証付</t>
        </is>
      </c>
      <c r="K201" s="16" t="inlineStr">
        <is>
          <t>修復歴なし / 車検整備付 / 保証付</t>
        </is>
      </c>
      <c r="L201" s="16" t="inlineStr">
        <is>
          <t>CX-8 2.2 XD Lパッケージ ディーゼルターボ 4WD 茶革 BOSEサウンド 360°カメラ 純正ナビ メモリー付パワーシート 電動リアゲート Bluetooth フルセグ 衝突被害軽減ブレーキ ETC2.0 LEDヘッドライト 前後シートヒーター</t>
        </is>
      </c>
      <c r="M201" s="7" t="inlineStr">
        <is>
          <t>https://www.carsensor.net/usedcar/detail/AU7091367322/index.html</t>
        </is>
      </c>
    </row>
    <row r="202">
      <c r="A202" s="11" t="n">
        <v>2017</v>
      </c>
      <c r="B202" s="12" t="inlineStr">
        <is>
          <t>4WD</t>
        </is>
      </c>
      <c r="C202" s="12" t="inlineStr">
        <is>
          <t>2.2 XD Lパッケージ</t>
        </is>
      </c>
      <c r="D202" s="13" t="n">
        <v>4</v>
      </c>
      <c r="E202" s="14" t="n">
        <v>179.9</v>
      </c>
      <c r="F202" s="14" t="n">
        <v>168.9</v>
      </c>
      <c r="G202" s="15" t="n">
        <v>8.4</v>
      </c>
      <c r="H202" s="12" t="inlineStr">
        <is>
          <t>なし</t>
        </is>
      </c>
      <c r="I202" s="12" t="inlineStr">
        <is>
          <t>車検整備付</t>
        </is>
      </c>
      <c r="J202" s="12" t="inlineStr">
        <is>
          <t>保証付</t>
        </is>
      </c>
      <c r="K202" s="16" t="inlineStr">
        <is>
          <t>修復歴なし / 車検整備付 / 保証付</t>
        </is>
      </c>
      <c r="L202" s="16" t="inlineStr">
        <is>
          <t>CX-8 2.2 XD Lパッケージ ディーゼルターボ (禁煙車)(黒革シート)(4WD)(後席モニター)(メーカーナビ)(アラウンドビュー)(レーダークルーズ)(BOSEサウンド)(パワーシート)(シートヒータ)(ビルトインETC)(純正19インチAW)</t>
        </is>
      </c>
      <c r="M202" s="12" t="inlineStr">
        <is>
          <t>https://www.carsensor.net/usedcar/detail/AU7296176607/index.html</t>
        </is>
      </c>
    </row>
    <row r="203">
      <c r="A203" s="6" t="n">
        <v>2017</v>
      </c>
      <c r="B203" s="7" t="inlineStr">
        <is>
          <t>4WD</t>
        </is>
      </c>
      <c r="C203" s="7" t="inlineStr">
        <is>
          <t>2.2 XD Lパッケージ</t>
        </is>
      </c>
      <c r="D203" s="17" t="n">
        <v>4</v>
      </c>
      <c r="E203" s="9" t="n">
        <v>199.9</v>
      </c>
      <c r="F203" s="9" t="n">
        <v>188.7</v>
      </c>
      <c r="G203" s="10" t="n">
        <v>7.2</v>
      </c>
      <c r="H203" s="7" t="inlineStr">
        <is>
          <t>なし</t>
        </is>
      </c>
      <c r="I203" s="7" t="inlineStr">
        <is>
          <t>車検整備付</t>
        </is>
      </c>
      <c r="J203" s="7" t="inlineStr">
        <is>
          <t>保証付</t>
        </is>
      </c>
      <c r="K203" s="16" t="inlineStr">
        <is>
          <t>修復歴なし / 車検整備付 / 保証付</t>
        </is>
      </c>
      <c r="L203" s="16" t="inlineStr">
        <is>
          <t>CX-8 2.2 XD Lパッケージ ディーゼルターボ 4WD BOSE/純正ナビ/フルセグTV/360度カメラ/LEDヘッドライト/パワーバックドア/レザーシート/パワーシート/シートヒーター/ステアヒーター/衝突被害軽減ブレーキ/レーダークルコン/アップルあんしんライト保証1年付</t>
        </is>
      </c>
      <c r="M203" s="7" t="inlineStr">
        <is>
          <t>https://www.carsensor.net/usedcar/detail/AU6901623262/index.html</t>
        </is>
      </c>
    </row>
    <row r="204">
      <c r="A204" s="11" t="n">
        <v>2018</v>
      </c>
      <c r="B204" s="12" t="inlineStr">
        <is>
          <t>4WD</t>
        </is>
      </c>
      <c r="C204" s="12" t="inlineStr">
        <is>
          <t>2.2 XD プロアクティブ</t>
        </is>
      </c>
      <c r="D204" s="13" t="n">
        <v>4</v>
      </c>
      <c r="E204" s="14" t="n">
        <v>189.9</v>
      </c>
      <c r="F204" s="14" t="n">
        <v>174</v>
      </c>
      <c r="G204" s="15" t="n">
        <v>6.7</v>
      </c>
      <c r="H204" s="12" t="inlineStr">
        <is>
          <t>なし</t>
        </is>
      </c>
      <c r="I204" s="12" t="inlineStr">
        <is>
          <t>車検整備付</t>
        </is>
      </c>
      <c r="J204" s="12" t="inlineStr">
        <is>
          <t>保証付</t>
        </is>
      </c>
      <c r="K204" s="16" t="inlineStr">
        <is>
          <t>修復歴なし / 車検整備付 / 保証付</t>
        </is>
      </c>
      <c r="L204" s="16" t="inlineStr">
        <is>
          <t>CX-8 2.2 XD プロアクティブ ディーゼルターボ 4WD 4WD ディーゼル(軽油) 8インチマツダコネクト 全周囲カメラ 7人乗り 衝突被害軽減システム レーダークルーズ 禁煙車 電動リアゲート シートヒーター ステアリングヒーター ETC</t>
        </is>
      </c>
      <c r="M204" s="12" t="inlineStr">
        <is>
          <t>https://www.carsensor.net/usedcar/detail/AU7126832854/index.html</t>
        </is>
      </c>
    </row>
    <row r="205">
      <c r="A205" s="6" t="n">
        <v>2018</v>
      </c>
      <c r="B205" s="7" t="inlineStr">
        <is>
          <t>4WD</t>
        </is>
      </c>
      <c r="C205" s="7" t="inlineStr">
        <is>
          <t>2.2 XD プロアクティブ</t>
        </is>
      </c>
      <c r="D205" s="17" t="n">
        <v>4</v>
      </c>
      <c r="E205" s="9" t="n">
        <v>184.8</v>
      </c>
      <c r="F205" s="9" t="n">
        <v>178</v>
      </c>
      <c r="G205" s="10" t="n">
        <v>8.5</v>
      </c>
      <c r="H205" s="7" t="inlineStr">
        <is>
          <t>なし</t>
        </is>
      </c>
      <c r="I205" s="7" t="inlineStr">
        <is>
          <t>車検整備付</t>
        </is>
      </c>
      <c r="J205" s="7" t="inlineStr">
        <is>
          <t>保証付</t>
        </is>
      </c>
      <c r="K205" s="16" t="inlineStr">
        <is>
          <t>修復歴なし / 車検整備付 / 保証付</t>
        </is>
      </c>
      <c r="L205" s="16" t="inlineStr">
        <is>
          <t>CX-8 2.2 XD プロアクティブ ディーゼルターボ 4WD 寒冷地仕様 純正ナビ BOSEプレミアムサウンド 全方位カメラ パワーバックドア パワーシート シートヒーター ステアリングヒーター 追従型クルーズコントロール コーナーセンサー ETC</t>
        </is>
      </c>
      <c r="M205" s="7" t="inlineStr">
        <is>
          <t>https://www.carsensor.net/usedcar/detail/AU7351534218/index.html</t>
        </is>
      </c>
    </row>
    <row r="206">
      <c r="A206" s="11" t="n">
        <v>2018</v>
      </c>
      <c r="B206" s="12" t="inlineStr">
        <is>
          <t>4WD</t>
        </is>
      </c>
      <c r="C206" s="12" t="inlineStr">
        <is>
          <t>2.2 XD Lパッケージ</t>
        </is>
      </c>
      <c r="D206" s="13" t="n">
        <v>4</v>
      </c>
      <c r="E206" s="14" t="n">
        <v>189.8</v>
      </c>
      <c r="F206" s="14" t="n">
        <v>179.7</v>
      </c>
      <c r="G206" s="15" t="n">
        <v>7.4</v>
      </c>
      <c r="H206" s="12" t="inlineStr">
        <is>
          <t>なし</t>
        </is>
      </c>
      <c r="I206" s="12" t="inlineStr">
        <is>
          <t>車検整備付</t>
        </is>
      </c>
      <c r="J206" s="12" t="inlineStr">
        <is>
          <t>保証付</t>
        </is>
      </c>
      <c r="K206" s="16" t="inlineStr">
        <is>
          <t>修復歴なし / 車検整備付 / 保証付</t>
        </is>
      </c>
      <c r="L206" s="16" t="inlineStr">
        <is>
          <t>CX-8 2.2 XD Lパッケージ ディーゼルターボ 4WD 3列6人乗り ALPINE10.1インチリヤモニター ヒッチメンバー 360°ビューモニター 本革シート シートヒーター レーダークルーズコントロール アダプティブLEDヘッドライト</t>
        </is>
      </c>
      <c r="M206" s="12" t="inlineStr">
        <is>
          <t>https://www.carsensor.net/usedcar/detail/AU7271744799/index.html</t>
        </is>
      </c>
    </row>
    <row r="207">
      <c r="A207" s="6" t="n">
        <v>2018</v>
      </c>
      <c r="B207" s="7" t="inlineStr">
        <is>
          <t>4WD</t>
        </is>
      </c>
      <c r="C207" s="7" t="inlineStr">
        <is>
          <t>2.2 XD プロアクティブ</t>
        </is>
      </c>
      <c r="D207" s="17" t="n">
        <v>4</v>
      </c>
      <c r="E207" s="9" t="n">
        <v>200.8</v>
      </c>
      <c r="F207" s="9" t="n">
        <v>183.6</v>
      </c>
      <c r="G207" s="10" t="n">
        <v>8.5</v>
      </c>
      <c r="H207" s="7" t="inlineStr">
        <is>
          <t>なし</t>
        </is>
      </c>
      <c r="I207" s="7" t="inlineStr">
        <is>
          <t>車検整備付</t>
        </is>
      </c>
      <c r="J207" s="7" t="inlineStr">
        <is>
          <t>保証付</t>
        </is>
      </c>
      <c r="K207" s="16" t="inlineStr">
        <is>
          <t>修復歴なし / 車検整備付 / 保証付</t>
        </is>
      </c>
      <c r="L207" s="16" t="inlineStr">
        <is>
          <t>CX-8 2.2 XD プロアクティブ ディーゼルターボ 4WD 全周囲カメラ 純正ナビ スマートシティブレーキ レーダークルーズ ブラインドスポット レーンアシスト オートハイビーム シートメモリ シートヒーター ステアリングヒーター</t>
        </is>
      </c>
      <c r="M207" s="7" t="inlineStr">
        <is>
          <t>https://www.carsensor.net/usedcar/detail/AU7427396159/index.html</t>
        </is>
      </c>
    </row>
    <row r="208">
      <c r="A208" s="11" t="n">
        <v>2018</v>
      </c>
      <c r="B208" s="12" t="inlineStr">
        <is>
          <t>4WD</t>
        </is>
      </c>
      <c r="C208" s="12" t="inlineStr">
        <is>
          <t>2.2 XD プロアクティブ</t>
        </is>
      </c>
      <c r="D208" s="13" t="n">
        <v>4</v>
      </c>
      <c r="E208" s="14" t="n">
        <v>186.8</v>
      </c>
      <c r="F208" s="14" t="n">
        <v>169.8</v>
      </c>
      <c r="G208" s="15" t="n">
        <v>7.6</v>
      </c>
      <c r="H208" s="12" t="inlineStr">
        <is>
          <t>なし</t>
        </is>
      </c>
      <c r="I208" s="12" t="inlineStr">
        <is>
          <t>車検整備付</t>
        </is>
      </c>
      <c r="J208" s="12" t="inlineStr">
        <is>
          <t>保証付</t>
        </is>
      </c>
      <c r="K208" s="16" t="inlineStr">
        <is>
          <t>修復歴なし / 車検整備付 / 保証付</t>
        </is>
      </c>
      <c r="L208" s="16" t="inlineStr">
        <is>
          <t>CX-8 2.2 XD プロアクティブ ディーゼルターボ 4WD バックカメラ Wエアコン シートヒーター ステアリングヒーター パワステ フルセグTV CD/DVD再生 ミュージックプレイヤー接続 電動シート 電動リアゲート</t>
        </is>
      </c>
      <c r="M208" s="12" t="inlineStr">
        <is>
          <t>https://www.carsensor.net/usedcar/detail/AU7214710981/index.html</t>
        </is>
      </c>
    </row>
    <row r="209">
      <c r="A209" s="6" t="n">
        <v>2018</v>
      </c>
      <c r="B209" s="7" t="inlineStr">
        <is>
          <t>4WD</t>
        </is>
      </c>
      <c r="C209" s="7" t="inlineStr">
        <is>
          <t>2.2 XD Lパッケージ</t>
        </is>
      </c>
      <c r="D209" s="17" t="n">
        <v>4</v>
      </c>
      <c r="E209" s="9" t="n">
        <v>232.5</v>
      </c>
      <c r="F209" s="9" t="n">
        <v>214.7</v>
      </c>
      <c r="G209" s="10" t="n">
        <v>5.4</v>
      </c>
      <c r="H209" s="7" t="inlineStr">
        <is>
          <t>なし</t>
        </is>
      </c>
      <c r="I209" s="7" t="inlineStr">
        <is>
          <t>車検整備付</t>
        </is>
      </c>
      <c r="J209" s="7" t="inlineStr">
        <is>
          <t>保証付</t>
        </is>
      </c>
      <c r="K209" s="16" t="inlineStr">
        <is>
          <t>修復歴なし / 車検整備付 / 保証付</t>
        </is>
      </c>
      <c r="L209" s="16" t="inlineStr">
        <is>
          <t>CX-8 2.2 XD Lパッケージ ディーゼルターボ 4WD 純フルセグSDナビ/フリップダウンモニター/全方カメラ/iアクティブセンス/アドバンストキー/LED/ETC2.0/白革席/パワーシート/シートヒーター/19インチAW/コーナーセンサー/i-stop</t>
        </is>
      </c>
      <c r="M209" s="7" t="inlineStr">
        <is>
          <t>https://www.carsensor.net/usedcar/detail/AU7327934415/index.html</t>
        </is>
      </c>
    </row>
    <row r="210">
      <c r="A210" s="11" t="n">
        <v>2018</v>
      </c>
      <c r="B210" s="12" t="inlineStr">
        <is>
          <t>4WD</t>
        </is>
      </c>
      <c r="C210" s="12" t="inlineStr">
        <is>
          <t>2.2 XD プロアクティブ</t>
        </is>
      </c>
      <c r="D210" s="13" t="n">
        <v>4</v>
      </c>
      <c r="E210" s="14" t="n">
        <v>204</v>
      </c>
      <c r="F210" s="14" t="n">
        <v>189</v>
      </c>
      <c r="G210" s="15" t="n">
        <v>6</v>
      </c>
      <c r="H210" s="12" t="inlineStr">
        <is>
          <t>なし</t>
        </is>
      </c>
      <c r="I210" s="12" t="inlineStr">
        <is>
          <t>車検整備付</t>
        </is>
      </c>
      <c r="J210" s="12" t="inlineStr">
        <is>
          <t>保証付</t>
        </is>
      </c>
      <c r="K210" s="16" t="inlineStr">
        <is>
          <t>修復歴なし / 車検整備付 / 保証付</t>
        </is>
      </c>
      <c r="L210" s="16" t="inlineStr">
        <is>
          <t>CX-8 2.2 XD プロアクティブ ディーゼルターボ 4WD</t>
        </is>
      </c>
      <c r="M210" s="12" t="inlineStr">
        <is>
          <t>https://www.carsensor.net/usedcar/detail/AU7345910567/index.html</t>
        </is>
      </c>
    </row>
    <row r="211">
      <c r="A211" s="6" t="n">
        <v>2018</v>
      </c>
      <c r="B211" s="7" t="inlineStr">
        <is>
          <t>4WD</t>
        </is>
      </c>
      <c r="C211" s="7" t="inlineStr">
        <is>
          <t>2.5 25T プロアクティブ</t>
        </is>
      </c>
      <c r="D211" s="17" t="n">
        <v>4</v>
      </c>
      <c r="E211" s="9" t="n">
        <v>209.9</v>
      </c>
      <c r="F211" s="9" t="n">
        <v>197.8</v>
      </c>
      <c r="G211" s="10" t="n">
        <v>5.7</v>
      </c>
      <c r="H211" s="7" t="inlineStr">
        <is>
          <t>なし</t>
        </is>
      </c>
      <c r="I211" s="7" t="inlineStr">
        <is>
          <t>車検整備付</t>
        </is>
      </c>
      <c r="J211" s="7" t="inlineStr">
        <is>
          <t>保証付</t>
        </is>
      </c>
      <c r="K211" s="16" t="inlineStr">
        <is>
          <t>修復歴なし / 車検整備付 / 保証付</t>
        </is>
      </c>
      <c r="L211" s="16" t="inlineStr">
        <is>
          <t>CX-8 2.5 25T プロアクティブ 4WD 6ヶ月走行距離無制限保証付 全方位カメラ ヘッドアップディスプレイ ステアリングヒーター 純正SDナビ 禁煙車 ETC 純正アルミホイール パワーシート 3列シート 電動リヤゲート LEDヘッドライト</t>
        </is>
      </c>
      <c r="M211" s="7" t="inlineStr">
        <is>
          <t>https://www.carsensor.net/usedcar/detail/AU7315897457/index.html</t>
        </is>
      </c>
    </row>
    <row r="212">
      <c r="A212" s="11" t="n">
        <v>2018</v>
      </c>
      <c r="B212" s="12" t="inlineStr">
        <is>
          <t>4WD</t>
        </is>
      </c>
      <c r="C212" s="12" t="inlineStr">
        <is>
          <t>2.2 XD Lパッケージ</t>
        </is>
      </c>
      <c r="D212" s="13" t="n">
        <v>4</v>
      </c>
      <c r="E212" s="14" t="n">
        <v>233.7</v>
      </c>
      <c r="F212" s="14" t="n">
        <v>219.8</v>
      </c>
      <c r="G212" s="15" t="n">
        <v>5.8</v>
      </c>
      <c r="H212" s="12" t="inlineStr">
        <is>
          <t>なし</t>
        </is>
      </c>
      <c r="I212" s="12" t="inlineStr">
        <is>
          <t>車検整備付</t>
        </is>
      </c>
      <c r="J212" s="12" t="inlineStr">
        <is>
          <t>保証付</t>
        </is>
      </c>
      <c r="K212" s="16" t="inlineStr">
        <is>
          <t>修復歴なし / 車検整備付 / 保証付</t>
        </is>
      </c>
      <c r="L212" s="16" t="inlineStr">
        <is>
          <t>CX-8 2.2 XD Lパッケージ ディーゼルターボ 4WD ディーゼルカーボンクリーニング施工済車両 ETC車載器 衝突被害軽減ブレーキ マツダコネクトナビ 360°ビューモニター 運転席パワーシート 運転席・助手席シートヒーター</t>
        </is>
      </c>
      <c r="M212" s="12" t="inlineStr">
        <is>
          <t>https://www.carsensor.net/usedcar/detail/AU7378274339/index.html</t>
        </is>
      </c>
    </row>
    <row r="213">
      <c r="A213" s="6" t="n">
        <v>2018</v>
      </c>
      <c r="B213" s="7" t="inlineStr">
        <is>
          <t>4WD</t>
        </is>
      </c>
      <c r="C213" s="7" t="inlineStr">
        <is>
          <t>2.2 XD Lパッケージ</t>
        </is>
      </c>
      <c r="D213" s="17" t="n">
        <v>4</v>
      </c>
      <c r="E213" s="9" t="n">
        <v>188.9</v>
      </c>
      <c r="F213" s="9" t="n">
        <v>172</v>
      </c>
      <c r="G213" s="10" t="n">
        <v>7.6</v>
      </c>
      <c r="H213" s="7" t="inlineStr">
        <is>
          <t>なし</t>
        </is>
      </c>
      <c r="I213" s="7" t="inlineStr">
        <is>
          <t>車検整備付</t>
        </is>
      </c>
      <c r="J213" s="7" t="inlineStr">
        <is>
          <t>保証付</t>
        </is>
      </c>
      <c r="K213" s="16" t="inlineStr">
        <is>
          <t>修復歴なし / 車検整備付 / 保証付</t>
        </is>
      </c>
      <c r="L213" s="16" t="inlineStr">
        <is>
          <t>CX-8 2.2 XD Lパッケージ ディーゼルターボ 4WD ブラウンレザー 純正ナビ フルセグ bluetooth パノラマビューモニター 純正19インチAW パワーシート ステアりング/シートヒーター ドラレコ パワーバックドア ETC DVD</t>
        </is>
      </c>
      <c r="M213" s="7" t="inlineStr">
        <is>
          <t>https://www.carsensor.net/usedcar/detail/AU7450269159/index.html</t>
        </is>
      </c>
    </row>
    <row r="214">
      <c r="A214" s="11" t="n">
        <v>2018</v>
      </c>
      <c r="B214" s="12" t="inlineStr">
        <is>
          <t>4WD</t>
        </is>
      </c>
      <c r="C214" s="12" t="inlineStr">
        <is>
          <t>2.2 XD Lパッケージ</t>
        </is>
      </c>
      <c r="D214" s="13" t="n">
        <v>4</v>
      </c>
      <c r="E214" s="14" t="n">
        <v>213.9</v>
      </c>
      <c r="F214" s="14" t="n">
        <v>199.8</v>
      </c>
      <c r="G214" s="15" t="n">
        <v>7.6</v>
      </c>
      <c r="H214" s="12" t="inlineStr">
        <is>
          <t>なし</t>
        </is>
      </c>
      <c r="I214" s="12" t="inlineStr">
        <is>
          <t>車検整備付</t>
        </is>
      </c>
      <c r="J214" s="12" t="inlineStr">
        <is>
          <t>保証付</t>
        </is>
      </c>
      <c r="K214" s="16" t="inlineStr">
        <is>
          <t>修復歴なし / 車検整備付 / 保証付</t>
        </is>
      </c>
      <c r="L214" s="16" t="inlineStr">
        <is>
          <t>CX-8 2.2 XD Lパッケージ ディーゼルターボ 4WD ETC2.0車載器 衝突被害軽減ブレーキ 360°ビューモニター 運転席パワーシート BOSEサウンドシステム 360°ビューモニター</t>
        </is>
      </c>
      <c r="M214" s="12" t="inlineStr">
        <is>
          <t>https://www.carsensor.net/usedcar/detail/AU7343846588/index.html</t>
        </is>
      </c>
    </row>
    <row r="215">
      <c r="A215" s="6" t="n">
        <v>2018</v>
      </c>
      <c r="B215" s="7" t="inlineStr">
        <is>
          <t>4WD</t>
        </is>
      </c>
      <c r="C215" s="7" t="inlineStr">
        <is>
          <t>2.2 XD Lパッケージ</t>
        </is>
      </c>
      <c r="D215" s="17" t="n">
        <v>4</v>
      </c>
      <c r="E215" s="9" t="n">
        <v>229</v>
      </c>
      <c r="F215" s="9" t="n">
        <v>219</v>
      </c>
      <c r="G215" s="10" t="n">
        <v>5.4</v>
      </c>
      <c r="H215" s="7" t="inlineStr">
        <is>
          <t>なし</t>
        </is>
      </c>
      <c r="I215" s="7" t="inlineStr">
        <is>
          <t>車検整備付</t>
        </is>
      </c>
      <c r="J215" s="7" t="inlineStr">
        <is>
          <t>保証付</t>
        </is>
      </c>
      <c r="K215" s="16" t="inlineStr">
        <is>
          <t>修復歴なし / 車検整備付 / 保証付</t>
        </is>
      </c>
      <c r="L215" s="16" t="inlineStr">
        <is>
          <t>CX-8 2.2 XD Lパッケージ ディーゼルターボ 4WD 修復歴無し・3年保証・禁煙車・4WD・6人乗り・ディーゼル・黒本革シート・全方位モニター・純正ナビ・ヘッドアップディスプレー・シートヒーター・パワーバックドア・前席パワーシート・純正19インチAW</t>
        </is>
      </c>
      <c r="M215" s="7" t="inlineStr">
        <is>
          <t>https://www.carsensor.net/usedcar/detail/AU7422768258/index.html</t>
        </is>
      </c>
    </row>
    <row r="216">
      <c r="A216" s="11" t="n">
        <v>2018</v>
      </c>
      <c r="B216" s="12" t="inlineStr">
        <is>
          <t>4WD</t>
        </is>
      </c>
      <c r="C216" s="12" t="inlineStr">
        <is>
          <t>2.2 XD プロアクティブ</t>
        </is>
      </c>
      <c r="D216" s="13" t="n">
        <v>4</v>
      </c>
      <c r="E216" s="14" t="n">
        <v>224.9</v>
      </c>
      <c r="F216" s="14" t="n">
        <v>208</v>
      </c>
      <c r="G216" s="15" t="n">
        <v>5.4</v>
      </c>
      <c r="H216" s="12" t="inlineStr">
        <is>
          <t>なし</t>
        </is>
      </c>
      <c r="I216" s="12" t="inlineStr">
        <is>
          <t>車検整備付</t>
        </is>
      </c>
      <c r="J216" s="12" t="inlineStr">
        <is>
          <t>保証付</t>
        </is>
      </c>
      <c r="K216" s="16" t="inlineStr">
        <is>
          <t>修復歴なし / 車検整備付 / 保証付</t>
        </is>
      </c>
      <c r="L216" s="16" t="inlineStr">
        <is>
          <t>CX-8 2.2 XD プロアクティブ ディーゼルターボ 4WD ナビSDカード 360°ビュー ETC フルセグTVチューナー CD DVDプレーヤー Bluetooth機能 USB接続端子 2カメラドライブレコーダー レーダークルーズコントロール パドルシフト</t>
        </is>
      </c>
      <c r="M216" s="12" t="inlineStr">
        <is>
          <t>https://www.carsensor.net/usedcar/detail/AU7308417061/index.html</t>
        </is>
      </c>
    </row>
    <row r="217">
      <c r="A217" s="6" t="n">
        <v>2018</v>
      </c>
      <c r="B217" s="7" t="inlineStr">
        <is>
          <t>4WD</t>
        </is>
      </c>
      <c r="C217" s="7" t="inlineStr">
        <is>
          <t>2.5 25T プロアクティブ</t>
        </is>
      </c>
      <c r="D217" s="17" t="n">
        <v>4</v>
      </c>
      <c r="E217" s="9" t="n">
        <v>229</v>
      </c>
      <c r="F217" s="9" t="n">
        <v>220</v>
      </c>
      <c r="G217" s="10" t="n">
        <v>6.2</v>
      </c>
      <c r="H217" s="7" t="inlineStr">
        <is>
          <t>なし</t>
        </is>
      </c>
      <c r="I217" s="7" t="inlineStr">
        <is>
          <t>車検整備付</t>
        </is>
      </c>
      <c r="J217" s="7" t="inlineStr">
        <is>
          <t>保証付</t>
        </is>
      </c>
      <c r="K217" s="16" t="inlineStr">
        <is>
          <t>修復歴なし / 車検整備付 / 保証付</t>
        </is>
      </c>
      <c r="L217" s="16" t="inlineStr">
        <is>
          <t>CX-8 2.5 25T プロアクティブ 4WD 6人乗り 純正ナビ フルセグTV 全周囲カメラ クリアランスソナー ハーフレザー LEDオートヘッドランプ オートハイビーム パワーバックドア ETC BSM レーダークルーズ 衝突被害軽減システム 車検整備付</t>
        </is>
      </c>
      <c r="M217" s="7" t="inlineStr">
        <is>
          <t>https://www.carsensor.net/usedcar/detail/AU7332697794/index.html</t>
        </is>
      </c>
    </row>
    <row r="218">
      <c r="A218" s="11" t="n">
        <v>2018</v>
      </c>
      <c r="B218" s="12" t="inlineStr">
        <is>
          <t>4WD</t>
        </is>
      </c>
      <c r="C218" s="12" t="inlineStr">
        <is>
          <t>2.2 XD プロアクティブ</t>
        </is>
      </c>
      <c r="D218" s="13" t="n">
        <v>4</v>
      </c>
      <c r="E218" s="14" t="n">
        <v>199.9</v>
      </c>
      <c r="F218" s="14" t="n">
        <v>189.9</v>
      </c>
      <c r="G218" s="15" t="n">
        <v>8.199999999999999</v>
      </c>
      <c r="H218" s="12" t="inlineStr">
        <is>
          <t>なし</t>
        </is>
      </c>
      <c r="I218" s="12" t="inlineStr">
        <is>
          <t>2027(R09)年10月</t>
        </is>
      </c>
      <c r="J218" s="12" t="inlineStr">
        <is>
          <t>保証付</t>
        </is>
      </c>
      <c r="K218" s="16" t="inlineStr">
        <is>
          <t>修復歴なし / 車検 2027/10 まで（残り12ヶ月） / 保証付</t>
        </is>
      </c>
      <c r="L218" s="16" t="inlineStr">
        <is>
          <t>CX-8 2.2 XD プロアクティブ ディーゼルターボ 4WD 6人乗り 全方位モニター 純正ナビ パワーシート シートヒーター ステアリングヒーター ETC スマートキー Bluetooth</t>
        </is>
      </c>
      <c r="M218" s="12" t="inlineStr">
        <is>
          <t>https://www.carsensor.net/usedcar/detail/AU7325430949/index.html</t>
        </is>
      </c>
    </row>
    <row r="219">
      <c r="A219" s="6" t="n">
        <v>2018</v>
      </c>
      <c r="B219" s="7" t="inlineStr">
        <is>
          <t>4WD</t>
        </is>
      </c>
      <c r="C219" s="7" t="inlineStr">
        <is>
          <t>2.2 XD プロアクティブ</t>
        </is>
      </c>
      <c r="D219" s="17" t="n">
        <v>4</v>
      </c>
      <c r="E219" s="9" t="n">
        <v>213</v>
      </c>
      <c r="F219" s="9" t="n">
        <v>203</v>
      </c>
      <c r="G219" s="10" t="n">
        <v>6.7</v>
      </c>
      <c r="H219" s="7" t="inlineStr">
        <is>
          <t>なし</t>
        </is>
      </c>
      <c r="I219" s="7" t="inlineStr">
        <is>
          <t>2027(R09)年10月</t>
        </is>
      </c>
      <c r="J219" s="7" t="inlineStr">
        <is>
          <t>保証付</t>
        </is>
      </c>
      <c r="K219" s="16" t="inlineStr">
        <is>
          <t>修復歴なし / 車検 2027/10 まで（残り12ヶ月） / 保証付</t>
        </is>
      </c>
      <c r="L219" s="16" t="inlineStr">
        <is>
          <t>CX-8 2.2 XD プロアクティブ ディーゼルターボ 4WD</t>
        </is>
      </c>
      <c r="M219" s="7" t="inlineStr">
        <is>
          <t>https://www.carsensor.net/usedcar/detail/AU7452311275/index.html</t>
        </is>
      </c>
    </row>
    <row r="220">
      <c r="A220" s="11" t="n">
        <v>2018</v>
      </c>
      <c r="B220" s="12" t="inlineStr">
        <is>
          <t>4WD</t>
        </is>
      </c>
      <c r="C220" s="12" t="inlineStr">
        <is>
          <t>2.2 XD プロアクティブ</t>
        </is>
      </c>
      <c r="D220" s="13" t="n">
        <v>4</v>
      </c>
      <c r="E220" s="14" t="n">
        <v>190</v>
      </c>
      <c r="F220" s="14" t="n">
        <v>180</v>
      </c>
      <c r="G220" s="15" t="n">
        <v>7.9</v>
      </c>
      <c r="H220" s="12" t="inlineStr">
        <is>
          <t>なし</t>
        </is>
      </c>
      <c r="I220" s="12" t="inlineStr">
        <is>
          <t>車検整備付</t>
        </is>
      </c>
      <c r="J220" s="12" t="inlineStr">
        <is>
          <t>保証付</t>
        </is>
      </c>
      <c r="K220" s="16" t="inlineStr">
        <is>
          <t>修復歴なし / 車検整備付 / 保証付</t>
        </is>
      </c>
      <c r="L220" s="16" t="inlineStr">
        <is>
          <t>CX-8 2.2 XD プロアクティブ ディーゼルターボ 4WD</t>
        </is>
      </c>
      <c r="M220" s="12" t="inlineStr">
        <is>
          <t>https://www.carsensor.net/usedcar/detail/AU7401376810/index.html</t>
        </is>
      </c>
    </row>
    <row r="221">
      <c r="A221" s="6" t="n">
        <v>2019</v>
      </c>
      <c r="B221" s="7" t="inlineStr">
        <is>
          <t>4WD</t>
        </is>
      </c>
      <c r="C221" s="7" t="inlineStr">
        <is>
          <t>2.2 XD Lパッケージ</t>
        </is>
      </c>
      <c r="D221" s="17" t="n">
        <v>4</v>
      </c>
      <c r="E221" s="9" t="n">
        <v>219.8</v>
      </c>
      <c r="F221" s="9" t="n">
        <v>213</v>
      </c>
      <c r="G221" s="10" t="n">
        <v>4.7</v>
      </c>
      <c r="H221" s="7" t="inlineStr">
        <is>
          <t>なし</t>
        </is>
      </c>
      <c r="I221" s="7" t="inlineStr">
        <is>
          <t>車検整備付</t>
        </is>
      </c>
      <c r="J221" s="7" t="inlineStr">
        <is>
          <t>保証付</t>
        </is>
      </c>
      <c r="K221" s="16" t="inlineStr">
        <is>
          <t>修復歴なし / 車検整備付 / 保証付</t>
        </is>
      </c>
      <c r="L221" s="16" t="inlineStr">
        <is>
          <t>CX-8 2.2 XD Lパッケージ ディーゼルターボ 4WD 衝突軽減 BOSE 全方位カメラ 純正ナビ ETC HUD BSM アイドリングストップ 追従クルーズコントロール ルーフレール レザーシート シートヒーター エアーシート ハンドルヒーター LED</t>
        </is>
      </c>
      <c r="M221" s="7" t="inlineStr">
        <is>
          <t>https://www.carsensor.net/usedcar/detail/AU7282633424/index.html</t>
        </is>
      </c>
    </row>
    <row r="222">
      <c r="A222" s="11" t="n">
        <v>2019</v>
      </c>
      <c r="B222" s="12" t="inlineStr">
        <is>
          <t>4WD</t>
        </is>
      </c>
      <c r="C222" s="12" t="inlineStr">
        <is>
          <t>2.2 XD プロアクティブ</t>
        </is>
      </c>
      <c r="D222" s="13" t="n">
        <v>4</v>
      </c>
      <c r="E222" s="14" t="n">
        <v>219.8</v>
      </c>
      <c r="F222" s="14" t="n">
        <v>213</v>
      </c>
      <c r="G222" s="15" t="n">
        <v>6.8</v>
      </c>
      <c r="H222" s="12" t="inlineStr">
        <is>
          <t>なし</t>
        </is>
      </c>
      <c r="I222" s="12" t="inlineStr">
        <is>
          <t>車検整備付</t>
        </is>
      </c>
      <c r="J222" s="12" t="inlineStr">
        <is>
          <t>保証付</t>
        </is>
      </c>
      <c r="K222" s="16" t="inlineStr">
        <is>
          <t>修復歴なし / 車検整備付 / 保証付</t>
        </is>
      </c>
      <c r="L222" s="16" t="inlineStr">
        <is>
          <t>CX-8 2.2 XD プロアクティブ ディーゼルターボ 4WD 寒冷地仕様/純正コネクトナビ/全方位カメラ/前後ドラレコ/ビルトインETC/前後コーナーセンサー/衝突軽減システム/レーダークルーズコントロール/レーンキープアシスト/純正エンスタ/ディーゼル車</t>
        </is>
      </c>
      <c r="M222" s="12" t="inlineStr">
        <is>
          <t>https://www.carsensor.net/usedcar/detail/AU7212298285/index.html</t>
        </is>
      </c>
    </row>
    <row r="223">
      <c r="A223" s="6" t="n">
        <v>2019</v>
      </c>
      <c r="B223" s="7" t="inlineStr">
        <is>
          <t>4WD</t>
        </is>
      </c>
      <c r="C223" s="7" t="inlineStr">
        <is>
          <t>2.2 XD プロアクティブ</t>
        </is>
      </c>
      <c r="D223" s="17" t="n">
        <v>4</v>
      </c>
      <c r="E223" s="9" t="n">
        <v>224.8</v>
      </c>
      <c r="F223" s="9" t="n">
        <v>217.9</v>
      </c>
      <c r="G223" s="10" t="n">
        <v>6.2</v>
      </c>
      <c r="H223" s="7" t="inlineStr">
        <is>
          <t>なし</t>
        </is>
      </c>
      <c r="I223" s="7" t="inlineStr">
        <is>
          <t>車検整備付</t>
        </is>
      </c>
      <c r="J223" s="7" t="inlineStr">
        <is>
          <t>保証付</t>
        </is>
      </c>
      <c r="K223" s="16" t="inlineStr">
        <is>
          <t>修復歴なし / 車検整備付 / 保証付</t>
        </is>
      </c>
      <c r="L223" s="16" t="inlineStr">
        <is>
          <t>CX-8 2.2 XD プロアクティブ ディーゼルターボ 4WD 4WD/禁煙/純正マツダコネクト/CD/DVD/BT/USB/TV/AUX/BOSE/前席シートヒーター/360度モニター/HUD/ステアリングヒーター/フリップダウンモニター</t>
        </is>
      </c>
      <c r="M223" s="7" t="inlineStr">
        <is>
          <t>https://www.carsensor.net/usedcar/detail/AU7283350772/index.html</t>
        </is>
      </c>
    </row>
    <row r="224">
      <c r="A224" s="11" t="n">
        <v>2019</v>
      </c>
      <c r="B224" s="12" t="inlineStr">
        <is>
          <t>4WD</t>
        </is>
      </c>
      <c r="C224" s="12" t="inlineStr">
        <is>
          <t>2.2 XD Lパッケージ</t>
        </is>
      </c>
      <c r="D224" s="13" t="n">
        <v>4</v>
      </c>
      <c r="E224" s="14" t="n">
        <v>282.8</v>
      </c>
      <c r="F224" s="14" t="n">
        <v>269.8</v>
      </c>
      <c r="G224" s="15" t="n">
        <v>5.6</v>
      </c>
      <c r="H224" s="12" t="inlineStr">
        <is>
          <t>なし</t>
        </is>
      </c>
      <c r="I224" s="12" t="inlineStr">
        <is>
          <t>車検整備付</t>
        </is>
      </c>
      <c r="J224" s="12" t="inlineStr">
        <is>
          <t>保証付</t>
        </is>
      </c>
      <c r="K224" s="16" t="inlineStr">
        <is>
          <t>修復歴なし / 車検整備付 / 保証付</t>
        </is>
      </c>
      <c r="L224" s="16" t="inlineStr">
        <is>
          <t>CX-8 2.2 XD Lパッケージ ディーゼルターボ 4WD マツダ認定中古車</t>
        </is>
      </c>
      <c r="M224" s="12" t="inlineStr">
        <is>
          <t>https://www.carsensor.net/usedcar/detail/AU7102682155/index.html</t>
        </is>
      </c>
    </row>
    <row r="225">
      <c r="A225" s="6" t="n">
        <v>2019</v>
      </c>
      <c r="B225" s="7" t="inlineStr">
        <is>
          <t>4WD</t>
        </is>
      </c>
      <c r="C225" s="7" t="inlineStr">
        <is>
          <t>2.2 XD エクスクルーシブ</t>
        </is>
      </c>
      <c r="D225" s="17" t="n">
        <v>4</v>
      </c>
      <c r="E225" s="9" t="n">
        <v>278.8</v>
      </c>
      <c r="F225" s="9" t="n">
        <v>266.8</v>
      </c>
      <c r="G225" s="10" t="n">
        <v>4.6</v>
      </c>
      <c r="H225" s="7" t="inlineStr">
        <is>
          <t>なし</t>
        </is>
      </c>
      <c r="I225" s="7" t="inlineStr">
        <is>
          <t>車検整備付</t>
        </is>
      </c>
      <c r="J225" s="7" t="inlineStr">
        <is>
          <t>保証付</t>
        </is>
      </c>
      <c r="K225" s="16" t="inlineStr">
        <is>
          <t>修復歴なし / 車検整備付 / 保証付</t>
        </is>
      </c>
      <c r="L225" s="16" t="inlineStr">
        <is>
          <t>CX-8 2.2 XD エクスクルーシブ モード ディーゼルターボ 4WD サンルーフ/BOSEサウンド/電動リアゲート/ビレッドグリル/レーダークルーズ/ブラインドスポット/リアトラフィック/ホワイトレザー/シートヒーター/LEDライト/6人乗り/全周囲カメラ/ルーフレール/パワーシート</t>
        </is>
      </c>
      <c r="M225" s="7" t="inlineStr">
        <is>
          <t>https://www.carsensor.net/usedcar/detail/AU7350500379/index.html</t>
        </is>
      </c>
    </row>
    <row r="226">
      <c r="A226" s="11" t="n">
        <v>2019</v>
      </c>
      <c r="B226" s="12" t="inlineStr">
        <is>
          <t>4WD</t>
        </is>
      </c>
      <c r="C226" s="12" t="inlineStr">
        <is>
          <t>2.2 XD Lパッケージ</t>
        </is>
      </c>
      <c r="D226" s="13" t="n">
        <v>4</v>
      </c>
      <c r="E226" s="14" t="n">
        <v>239.9</v>
      </c>
      <c r="F226" s="14" t="n">
        <v>233</v>
      </c>
      <c r="G226" s="15" t="n">
        <v>8.199999999999999</v>
      </c>
      <c r="H226" s="12" t="inlineStr">
        <is>
          <t>なし</t>
        </is>
      </c>
      <c r="I226" s="12" t="inlineStr">
        <is>
          <t>車検整備付</t>
        </is>
      </c>
      <c r="J226" s="12" t="inlineStr">
        <is>
          <t>保証付</t>
        </is>
      </c>
      <c r="K226" s="16" t="inlineStr">
        <is>
          <t>修復歴なし / 車検整備付 / 保証付</t>
        </is>
      </c>
      <c r="L226" s="16" t="inlineStr">
        <is>
          <t>CX-8 2.2 XD Lパッケージ ディーゼルターボ 4WD 純正ナビ/全方位カメラ/レーダークルコン/</t>
        </is>
      </c>
      <c r="M226" s="12" t="inlineStr">
        <is>
          <t>https://www.carsensor.net/usedcar/detail/AU7430126256/index.html</t>
        </is>
      </c>
    </row>
    <row r="227">
      <c r="A227" s="6" t="n">
        <v>2019</v>
      </c>
      <c r="B227" s="7" t="inlineStr">
        <is>
          <t>4WD</t>
        </is>
      </c>
      <c r="C227" s="7" t="inlineStr">
        <is>
          <t>2.2 XD プロアクティブ</t>
        </is>
      </c>
      <c r="D227" s="17" t="n">
        <v>4</v>
      </c>
      <c r="E227" s="9" t="n">
        <v>268.5</v>
      </c>
      <c r="F227" s="9" t="n">
        <v>254.8</v>
      </c>
      <c r="G227" s="10" t="n">
        <v>5</v>
      </c>
      <c r="H227" s="7" t="inlineStr">
        <is>
          <t>なし</t>
        </is>
      </c>
      <c r="I227" s="7" t="inlineStr">
        <is>
          <t>車検整備付</t>
        </is>
      </c>
      <c r="J227" s="7" t="inlineStr">
        <is>
          <t>保証付</t>
        </is>
      </c>
      <c r="K227" s="16" t="inlineStr">
        <is>
          <t>修復歴なし / 車検整備付 / 保証付</t>
        </is>
      </c>
      <c r="L227" s="16" t="inlineStr">
        <is>
          <t>CX-8 2.2 XD プロアクティブ ディーゼルターボ 4WD 全周囲カメラ 電動リアゲート</t>
        </is>
      </c>
      <c r="M227" s="7" t="inlineStr">
        <is>
          <t>https://www.carsensor.net/usedcar/detail/AU7331478490/index.html</t>
        </is>
      </c>
    </row>
    <row r="228">
      <c r="A228" s="11" t="n">
        <v>2019</v>
      </c>
      <c r="B228" s="12" t="inlineStr">
        <is>
          <t>4WD</t>
        </is>
      </c>
      <c r="C228" s="12" t="inlineStr">
        <is>
          <t>2.2 XD プロアクティブ</t>
        </is>
      </c>
      <c r="D228" s="13" t="n">
        <v>4</v>
      </c>
      <c r="E228" s="14" t="n">
        <v>211.4</v>
      </c>
      <c r="F228" s="14" t="n">
        <v>198</v>
      </c>
      <c r="G228" s="15" t="n">
        <v>6.5</v>
      </c>
      <c r="H228" s="12" t="inlineStr">
        <is>
          <t>なし</t>
        </is>
      </c>
      <c r="I228" s="12" t="inlineStr">
        <is>
          <t>車検整備付</t>
        </is>
      </c>
      <c r="J228" s="12" t="inlineStr">
        <is>
          <t>保証付</t>
        </is>
      </c>
      <c r="K228" s="16" t="inlineStr">
        <is>
          <t>修復歴なし / 車検整備付 / 保証付</t>
        </is>
      </c>
      <c r="L228" s="16" t="inlineStr">
        <is>
          <t>CX-8 2.2 XD プロアクティブ ディーゼルターボ 4WD 衝突被害軽減B 360°ビュー Pセンサー ETC Appleカープレイ アンドロイドオート対応 ブルートゥース パワーリフトゲート 7名乗車</t>
        </is>
      </c>
      <c r="M228" s="12" t="inlineStr">
        <is>
          <t>https://www.carsensor.net/usedcar/detail/AU7375123258/index.html</t>
        </is>
      </c>
    </row>
    <row r="229">
      <c r="A229" s="6" t="n">
        <v>2019</v>
      </c>
      <c r="B229" s="7" t="inlineStr">
        <is>
          <t>4WD</t>
        </is>
      </c>
      <c r="C229" s="7" t="inlineStr">
        <is>
          <t>2.5 25T Lパッケージ</t>
        </is>
      </c>
      <c r="D229" s="17" t="n">
        <v>4</v>
      </c>
      <c r="E229" s="9" t="n">
        <v>224.8</v>
      </c>
      <c r="F229" s="9" t="n">
        <v>204.8</v>
      </c>
      <c r="G229" s="10" t="n">
        <v>7.4</v>
      </c>
      <c r="H229" s="7" t="inlineStr">
        <is>
          <t>なし</t>
        </is>
      </c>
      <c r="I229" s="7" t="inlineStr">
        <is>
          <t>車検整備付</t>
        </is>
      </c>
      <c r="J229" s="7" t="inlineStr">
        <is>
          <t>保証付</t>
        </is>
      </c>
      <c r="K229" s="16" t="inlineStr">
        <is>
          <t>修復歴なし / 車検整備付 / 保証付</t>
        </is>
      </c>
      <c r="L229" s="16" t="inlineStr">
        <is>
          <t>CX-8 2.5 25T Lパッケージ 4WD 4WD 純正ナビ 全周囲モニタ ドラレコ 革シート ブラインドスポット BOSE 純正19AW パワーシート シートヒーター ルーフレール パーキングセンサ パワーバックドア ヘッドライトウォッシャー</t>
        </is>
      </c>
      <c r="M229" s="7" t="inlineStr">
        <is>
          <t>https://www.carsensor.net/usedcar/detail/AU7072544979/index.html</t>
        </is>
      </c>
    </row>
    <row r="230">
      <c r="A230" s="11" t="n">
        <v>2019</v>
      </c>
      <c r="B230" s="12" t="inlineStr">
        <is>
          <t>4WD</t>
        </is>
      </c>
      <c r="C230" s="12" t="inlineStr">
        <is>
          <t>2.2 XD Lパッケージ</t>
        </is>
      </c>
      <c r="D230" s="13" t="n">
        <v>4</v>
      </c>
      <c r="E230" s="14" t="n">
        <v>244.4</v>
      </c>
      <c r="F230" s="14" t="n">
        <v>229.8</v>
      </c>
      <c r="G230" s="15" t="n">
        <v>5.6</v>
      </c>
      <c r="H230" s="12" t="inlineStr">
        <is>
          <t>なし</t>
        </is>
      </c>
      <c r="I230" s="12" t="inlineStr">
        <is>
          <t>車検整備付</t>
        </is>
      </c>
      <c r="J230" s="12" t="inlineStr">
        <is>
          <t>保証付</t>
        </is>
      </c>
      <c r="K230" s="16" t="inlineStr">
        <is>
          <t>修復歴なし / 車検整備付 / 保証付</t>
        </is>
      </c>
      <c r="L230" s="16" t="inlineStr">
        <is>
          <t>CX-8 2.2 XD Lパッケージ ディーゼルターボ 4WD 前方ドラレコ 全方位カメラ BOSE パワーリフトゲート AWD ETC LEDヘッドライト 19インチブラックアルミ</t>
        </is>
      </c>
      <c r="M230" s="12" t="inlineStr">
        <is>
          <t>https://www.carsensor.net/usedcar/detail/AU7443025638/index.html</t>
        </is>
      </c>
    </row>
    <row r="231">
      <c r="A231" s="6" t="n">
        <v>2019</v>
      </c>
      <c r="B231" s="7" t="inlineStr">
        <is>
          <t>4WD</t>
        </is>
      </c>
      <c r="C231" s="7" t="inlineStr">
        <is>
          <t>2.2 XD Lパッケージ</t>
        </is>
      </c>
      <c r="D231" s="17" t="n">
        <v>4</v>
      </c>
      <c r="E231" s="9" t="n">
        <v>239.8</v>
      </c>
      <c r="F231" s="9" t="n">
        <v>228</v>
      </c>
      <c r="G231" s="10" t="n">
        <v>7.7</v>
      </c>
      <c r="H231" s="7" t="inlineStr">
        <is>
          <t>なし</t>
        </is>
      </c>
      <c r="I231" s="7" t="inlineStr">
        <is>
          <t>車検整備付</t>
        </is>
      </c>
      <c r="J231" s="7" t="inlineStr">
        <is>
          <t>保証付</t>
        </is>
      </c>
      <c r="K231" s="16" t="inlineStr">
        <is>
          <t>修復歴なし / 車検整備付 / 保証付</t>
        </is>
      </c>
      <c r="L231" s="16" t="inlineStr">
        <is>
          <t>CX-8 2.2 XD Lパッケージ ディーゼルターボ 4WD マイナー後 360°カメラ 夏冬タイヤ BOSE 純正ドラレコ 本革シート パワーシート/ヒーター/ベンチレーション/メモリー パワーバックドア ステアヒーター レーダークルーズ 衝突軽減ブレーキ BSM HUD ETC 19AW</t>
        </is>
      </c>
      <c r="M231" s="7" t="inlineStr">
        <is>
          <t>https://www.carsensor.net/usedcar/detail/AU6881206561/index.html</t>
        </is>
      </c>
    </row>
    <row r="232">
      <c r="A232" s="11" t="n">
        <v>2019</v>
      </c>
      <c r="B232" s="12" t="inlineStr">
        <is>
          <t>4WD</t>
        </is>
      </c>
      <c r="C232" s="12" t="inlineStr">
        <is>
          <t>2.2 XD Lパッケージ</t>
        </is>
      </c>
      <c r="D232" s="13" t="n">
        <v>4</v>
      </c>
      <c r="E232" s="14" t="n">
        <v>254</v>
      </c>
      <c r="F232" s="14" t="n">
        <v>239.8</v>
      </c>
      <c r="G232" s="15" t="n">
        <v>6.5</v>
      </c>
      <c r="H232" s="12" t="inlineStr">
        <is>
          <t>なし</t>
        </is>
      </c>
      <c r="I232" s="12" t="inlineStr">
        <is>
          <t>車検整備付</t>
        </is>
      </c>
      <c r="J232" s="12" t="inlineStr">
        <is>
          <t>保証付</t>
        </is>
      </c>
      <c r="K232" s="16" t="inlineStr">
        <is>
          <t>修復歴なし / 車検整備付 / 保証付</t>
        </is>
      </c>
      <c r="L232" s="16" t="inlineStr">
        <is>
          <t>CX-8 2.2 XD Lパッケージ ディーゼルターボ 4WD ETC車載器 衝突被害軽減ブレーキ 360°ビューモニター マツダコネクトナビ 運転席パワーシート 運転席・助手席シートヒーター</t>
        </is>
      </c>
      <c r="M232" s="12" t="inlineStr">
        <is>
          <t>https://www.carsensor.net/usedcar/detail/AU7381992804/index.html</t>
        </is>
      </c>
    </row>
    <row r="233">
      <c r="A233" s="6" t="n">
        <v>2019</v>
      </c>
      <c r="B233" s="7" t="inlineStr">
        <is>
          <t>4WD</t>
        </is>
      </c>
      <c r="C233" s="7" t="inlineStr">
        <is>
          <t>2.5 25T Lパッケージ</t>
        </is>
      </c>
      <c r="D233" s="17" t="n">
        <v>4</v>
      </c>
      <c r="E233" s="9" t="n">
        <v>286.8</v>
      </c>
      <c r="F233" s="9" t="n">
        <v>269.8</v>
      </c>
      <c r="G233" s="10" t="n">
        <v>5.3</v>
      </c>
      <c r="H233" s="7" t="inlineStr">
        <is>
          <t>なし</t>
        </is>
      </c>
      <c r="I233" s="7" t="inlineStr">
        <is>
          <t>車検整備付</t>
        </is>
      </c>
      <c r="J233" s="7" t="inlineStr">
        <is>
          <t>保証付</t>
        </is>
      </c>
      <c r="K233" s="16" t="inlineStr">
        <is>
          <t>修復歴なし / 車検整備付 / 保証付</t>
        </is>
      </c>
      <c r="L233" s="16" t="inlineStr">
        <is>
          <t>CX-8 2.5 25T Lパッケージ 4WD ガソリンターボ車 6人乗り BOSEスピーカー BIGーXナビ</t>
        </is>
      </c>
      <c r="M233" s="7" t="inlineStr">
        <is>
          <t>https://www.carsensor.net/usedcar/detail/AU7352698046/index.html</t>
        </is>
      </c>
    </row>
    <row r="234">
      <c r="A234" s="11" t="n">
        <v>2019</v>
      </c>
      <c r="B234" s="12" t="inlineStr">
        <is>
          <t>4WD</t>
        </is>
      </c>
      <c r="C234" s="12" t="inlineStr">
        <is>
          <t>2.5 25T Lパッケージ</t>
        </is>
      </c>
      <c r="D234" s="13" t="n">
        <v>4</v>
      </c>
      <c r="E234" s="14" t="n">
        <v>260</v>
      </c>
      <c r="F234" s="14" t="n">
        <v>244.8</v>
      </c>
      <c r="G234" s="15" t="n">
        <v>6.2</v>
      </c>
      <c r="H234" s="12" t="inlineStr">
        <is>
          <t>なし</t>
        </is>
      </c>
      <c r="I234" s="12" t="inlineStr">
        <is>
          <t>車検整備付</t>
        </is>
      </c>
      <c r="J234" s="12" t="inlineStr">
        <is>
          <t>保証付</t>
        </is>
      </c>
      <c r="K234" s="16" t="inlineStr">
        <is>
          <t>修復歴なし / 車検整備付 / 保証付</t>
        </is>
      </c>
      <c r="L234" s="16" t="inlineStr">
        <is>
          <t>CX-8 2.5 25T Lパッケージ 4WD AAC スマートキー クルーズコントロール アイドリングストップ Bモニター ABS 衝突被害軽減ブレーキ イモビ 革シート Pコーナー プライバシーガラス ワンオーナー</t>
        </is>
      </c>
      <c r="M234" s="12" t="inlineStr">
        <is>
          <t>https://www.carsensor.net/usedcar/detail/AU7322422418/index.html</t>
        </is>
      </c>
    </row>
    <row r="235">
      <c r="A235" s="6" t="n">
        <v>2019</v>
      </c>
      <c r="B235" s="7" t="inlineStr">
        <is>
          <t>4WD</t>
        </is>
      </c>
      <c r="C235" s="7" t="inlineStr">
        <is>
          <t>2.2 XD Lパッケージ</t>
        </is>
      </c>
      <c r="D235" s="17" t="n">
        <v>4</v>
      </c>
      <c r="E235" s="9" t="n">
        <v>318.4</v>
      </c>
      <c r="F235" s="9" t="n">
        <v>299.8</v>
      </c>
      <c r="G235" s="10" t="n">
        <v>6</v>
      </c>
      <c r="H235" s="7" t="inlineStr">
        <is>
          <t>なし</t>
        </is>
      </c>
      <c r="I235" s="7" t="inlineStr">
        <is>
          <t>車検整備付</t>
        </is>
      </c>
      <c r="J235" s="7" t="inlineStr">
        <is>
          <t>保証付</t>
        </is>
      </c>
      <c r="K235" s="16" t="inlineStr">
        <is>
          <t>修復歴なし / 車検整備付 / 保証付</t>
        </is>
      </c>
      <c r="L235" s="16" t="inlineStr">
        <is>
          <t>CX-8 2.2 XD Lパッケージ ディーゼルターボ 4WD 本革シート BOSEサウンド 360カメラ 純正エンスタ Fシートベンチレーション Rシートヒーター アダプティブハイビーム</t>
        </is>
      </c>
      <c r="M235" s="7" t="inlineStr">
        <is>
          <t>https://www.carsensor.net/usedcar/detail/AU5987475207/index.html</t>
        </is>
      </c>
    </row>
    <row r="236">
      <c r="A236" s="11" t="n">
        <v>2020</v>
      </c>
      <c r="B236" s="12" t="inlineStr">
        <is>
          <t>4WD</t>
        </is>
      </c>
      <c r="C236" s="12" t="inlineStr">
        <is>
          <t>2.5 25S プロアクティブ</t>
        </is>
      </c>
      <c r="D236" s="13" t="n">
        <v>4</v>
      </c>
      <c r="E236" s="14" t="n">
        <v>232.9</v>
      </c>
      <c r="F236" s="14" t="n">
        <v>226.7</v>
      </c>
      <c r="G236" s="15" t="n">
        <v>4.4</v>
      </c>
      <c r="H236" s="12" t="inlineStr">
        <is>
          <t>なし</t>
        </is>
      </c>
      <c r="I236" s="12" t="inlineStr">
        <is>
          <t>2027(R09)年10月</t>
        </is>
      </c>
      <c r="J236" s="12" t="inlineStr">
        <is>
          <t>保証付</t>
        </is>
      </c>
      <c r="K236" s="16" t="inlineStr">
        <is>
          <t>修復歴なし / 車検 2027/10 まで（残り12ヶ月） / 保証付</t>
        </is>
      </c>
      <c r="L236" s="16" t="inlineStr">
        <is>
          <t>CX-8 2.5 25S プロアクティブ 4WD ・純正8インチセンターディスプレイナビ (BT/CD/DVD/フルセグ)・バックカメラ 全方位カメラOP・スマートシティブレーキサポート・レーダークルーズコントロール・LEDオートライト/オ</t>
        </is>
      </c>
      <c r="M236" s="12" t="inlineStr">
        <is>
          <t>https://www.carsensor.net/usedcar/detail/AU7308254200/index.html</t>
        </is>
      </c>
    </row>
    <row r="237">
      <c r="A237" s="6" t="n">
        <v>2020</v>
      </c>
      <c r="B237" s="7" t="inlineStr">
        <is>
          <t>4WD</t>
        </is>
      </c>
      <c r="C237" s="7" t="inlineStr">
        <is>
          <t>2.2 XD エクスクルーシブ</t>
        </is>
      </c>
      <c r="D237" s="17" t="n">
        <v>4</v>
      </c>
      <c r="E237" s="9" t="n">
        <v>259.8</v>
      </c>
      <c r="F237" s="9" t="n">
        <v>253.6</v>
      </c>
      <c r="G237" s="10" t="n">
        <v>7.2</v>
      </c>
      <c r="H237" s="7" t="inlineStr">
        <is>
          <t>なし</t>
        </is>
      </c>
      <c r="I237" s="7" t="inlineStr">
        <is>
          <t>2027(R09)年10月</t>
        </is>
      </c>
      <c r="J237" s="7" t="inlineStr">
        <is>
          <t>保証付</t>
        </is>
      </c>
      <c r="K237" s="16" t="inlineStr">
        <is>
          <t>修復歴なし / 車検 2027/10 まで（残り12ヶ月） / 保証付</t>
        </is>
      </c>
      <c r="L237" s="16" t="inlineStr">
        <is>
          <t>CX-8 2.2 XD エクスクルーシブ モード ディーゼルターボ 4WD 4WD i-ACTIVSENSE 純正ナビ 全方位カメラ クルコン 前後ドラレコ BOSEサウンド 3列シート 本革シート パワーシート シートヒーター ベンチレーション ステアリングヒーター ETC</t>
        </is>
      </c>
      <c r="M237" s="7" t="inlineStr">
        <is>
          <t>https://www.carsensor.net/usedcar/detail/AU7263481622/index.html</t>
        </is>
      </c>
    </row>
    <row r="238">
      <c r="A238" s="11" t="n">
        <v>2020</v>
      </c>
      <c r="B238" s="12" t="inlineStr">
        <is>
          <t>4WD</t>
        </is>
      </c>
      <c r="C238" s="12" t="inlineStr">
        <is>
          <t>25S PROACTIVE 360°ビューM</t>
        </is>
      </c>
      <c r="D238" s="13" t="n">
        <v>4</v>
      </c>
      <c r="E238" s="14" t="n">
        <v>252.5</v>
      </c>
      <c r="F238" s="14" t="n">
        <v>239.8</v>
      </c>
      <c r="G238" s="15" t="n">
        <v>5.7</v>
      </c>
      <c r="H238" s="12" t="inlineStr">
        <is>
          <t>なし</t>
        </is>
      </c>
      <c r="I238" s="12" t="inlineStr">
        <is>
          <t>車検整備付</t>
        </is>
      </c>
      <c r="J238" s="12" t="inlineStr">
        <is>
          <t>保証付</t>
        </is>
      </c>
      <c r="K238" s="16" t="inlineStr">
        <is>
          <t>修復歴なし / 車検整備付 / 保証付</t>
        </is>
      </c>
      <c r="L238" s="16" t="inlineStr">
        <is>
          <t>CX-8 25S PROACTIVE 360°ビューM CD/DVD+TV 360°ビューモニター CD/DVDプレーヤー+地デジ アダプティブLEDヘッドライト パワーシート シート-ヒーター 前後ドラレコ エンジンスターター リアシートモニター</t>
        </is>
      </c>
      <c r="M238" s="12" t="inlineStr">
        <is>
          <t>https://www.carsensor.net/usedcar/detail/AU7354993473/index.html</t>
        </is>
      </c>
    </row>
    <row r="239">
      <c r="A239" s="6" t="n">
        <v>2020</v>
      </c>
      <c r="B239" s="7" t="inlineStr">
        <is>
          <t>4WD</t>
        </is>
      </c>
      <c r="C239" s="7" t="inlineStr">
        <is>
          <t>2.2 XD プロアクティブ</t>
        </is>
      </c>
      <c r="D239" s="17" t="n">
        <v>4</v>
      </c>
      <c r="E239" s="9" t="n">
        <v>242.8</v>
      </c>
      <c r="F239" s="9" t="n">
        <v>236</v>
      </c>
      <c r="G239" s="10" t="n">
        <v>6.8</v>
      </c>
      <c r="H239" s="7" t="inlineStr">
        <is>
          <t>なし</t>
        </is>
      </c>
      <c r="I239" s="7" t="inlineStr">
        <is>
          <t>車検整備付</t>
        </is>
      </c>
      <c r="J239" s="7" t="inlineStr">
        <is>
          <t>保証付</t>
        </is>
      </c>
      <c r="K239" s="16" t="inlineStr">
        <is>
          <t>修復歴なし / 車検整備付 / 保証付</t>
        </is>
      </c>
      <c r="L239" s="16" t="inlineStr">
        <is>
          <t>CX-8 2.2 XD プロアクティブ Sパッケージ ディーゼルターボ 4WD 本革シート 360°ビューモニター HUD</t>
        </is>
      </c>
      <c r="M239" s="7" t="inlineStr">
        <is>
          <t>https://www.carsensor.net/usedcar/detail/AU7424648595/index.html</t>
        </is>
      </c>
    </row>
    <row r="240">
      <c r="A240" s="11" t="n">
        <v>2020</v>
      </c>
      <c r="B240" s="12" t="inlineStr">
        <is>
          <t>4WD</t>
        </is>
      </c>
      <c r="C240" s="12" t="inlineStr">
        <is>
          <t>2.5 25T Lパッケージ</t>
        </is>
      </c>
      <c r="D240" s="13" t="n">
        <v>4</v>
      </c>
      <c r="E240" s="14" t="n">
        <v>289.4</v>
      </c>
      <c r="F240" s="14" t="n">
        <v>275</v>
      </c>
      <c r="G240" s="15" t="n">
        <v>4.1</v>
      </c>
      <c r="H240" s="12" t="inlineStr">
        <is>
          <t>なし</t>
        </is>
      </c>
      <c r="I240" s="12" t="inlineStr">
        <is>
          <t>車検整備付</t>
        </is>
      </c>
      <c r="J240" s="12" t="inlineStr">
        <is>
          <t>保証付</t>
        </is>
      </c>
      <c r="K240" s="16" t="inlineStr">
        <is>
          <t>修復歴なし / 車検整備付 / 保証付</t>
        </is>
      </c>
      <c r="L240" s="16" t="inlineStr">
        <is>
          <t>CX-8 2.5 25T Lパッケージ 4WD チルトアップ機能付サンルーフ/センターコンソールボックス付きキャプテンパワーシート/BOSEサウンドシステム /2カメラドライブレコーダー</t>
        </is>
      </c>
      <c r="M240" s="12" t="inlineStr">
        <is>
          <t>https://www.carsensor.net/usedcar/detail/AU7264455863/index.html</t>
        </is>
      </c>
    </row>
    <row r="241">
      <c r="A241" s="6" t="n">
        <v>2020</v>
      </c>
      <c r="B241" s="7" t="inlineStr">
        <is>
          <t>4WD</t>
        </is>
      </c>
      <c r="C241" s="7" t="inlineStr">
        <is>
          <t>2.2 XD Lパッケージ</t>
        </is>
      </c>
      <c r="D241" s="17" t="n">
        <v>4</v>
      </c>
      <c r="E241" s="9" t="n">
        <v>284.2</v>
      </c>
      <c r="F241" s="9" t="n">
        <v>269.6</v>
      </c>
      <c r="G241" s="10" t="n">
        <v>4.3</v>
      </c>
      <c r="H241" s="7" t="inlineStr">
        <is>
          <t>なし</t>
        </is>
      </c>
      <c r="I241" s="7" t="inlineStr">
        <is>
          <t>車検整備付</t>
        </is>
      </c>
      <c r="J241" s="7" t="inlineStr">
        <is>
          <t>保証付</t>
        </is>
      </c>
      <c r="K241" s="16" t="inlineStr">
        <is>
          <t>修復歴なし / 車検整備付 / 保証付</t>
        </is>
      </c>
      <c r="L241" s="16" t="inlineStr">
        <is>
          <t>CX-8 2.2 XD Lパッケージ ディーゼルターボ 4WD 6人乗り ノーマルルーフ BOSEサウンドシ</t>
        </is>
      </c>
      <c r="M241" s="7" t="inlineStr">
        <is>
          <t>https://www.carsensor.net/usedcar/detail/AU7028934227/index.html</t>
        </is>
      </c>
    </row>
    <row r="242">
      <c r="A242" s="11" t="n">
        <v>2020</v>
      </c>
      <c r="B242" s="12" t="inlineStr">
        <is>
          <t>4WD</t>
        </is>
      </c>
      <c r="C242" s="12" t="inlineStr">
        <is>
          <t>2.2 XD エクスクルーシブ</t>
        </is>
      </c>
      <c r="D242" s="13" t="n">
        <v>4</v>
      </c>
      <c r="E242" s="14" t="n">
        <v>335</v>
      </c>
      <c r="F242" s="14" t="n">
        <v>320.1</v>
      </c>
      <c r="G242" s="15" t="n">
        <v>4.1</v>
      </c>
      <c r="H242" s="12" t="inlineStr">
        <is>
          <t>なし</t>
        </is>
      </c>
      <c r="I242" s="12" t="inlineStr">
        <is>
          <t>車検整備付</t>
        </is>
      </c>
      <c r="J242" s="12" t="inlineStr">
        <is>
          <t>保証付</t>
        </is>
      </c>
      <c r="K242" s="16" t="inlineStr">
        <is>
          <t>修復歴なし / 車検整備付 / 保証付</t>
        </is>
      </c>
      <c r="L242" s="16" t="inlineStr">
        <is>
          <t>CX-8 2.2 XD エクスクルーシブ モード ディーゼルターボ 4WD 4WD 電動フロントシート シートベンチレー</t>
        </is>
      </c>
      <c r="M242" s="12" t="inlineStr">
        <is>
          <t>https://www.carsensor.net/usedcar/detail/AU7128755150/index.html</t>
        </is>
      </c>
    </row>
    <row r="243">
      <c r="A243" s="6" t="n">
        <v>2021</v>
      </c>
      <c r="B243" s="7" t="inlineStr">
        <is>
          <t>4WD</t>
        </is>
      </c>
      <c r="C243" s="7" t="inlineStr">
        <is>
          <t>2.2 XD ブラックトーン</t>
        </is>
      </c>
      <c r="D243" s="17" t="n">
        <v>4</v>
      </c>
      <c r="E243" s="9" t="n">
        <v>294.1</v>
      </c>
      <c r="F243" s="9" t="n">
        <v>281.5</v>
      </c>
      <c r="G243" s="10" t="n">
        <v>4.7</v>
      </c>
      <c r="H243" s="7" t="inlineStr">
        <is>
          <t>なし</t>
        </is>
      </c>
      <c r="I243" s="7" t="inlineStr">
        <is>
          <t>車検整備付</t>
        </is>
      </c>
      <c r="J243" s="7" t="inlineStr">
        <is>
          <t>保証付</t>
        </is>
      </c>
      <c r="K243" s="16" t="inlineStr">
        <is>
          <t>修復歴なし / 車検整備付 / 保証付</t>
        </is>
      </c>
      <c r="L243" s="16" t="inlineStr">
        <is>
          <t>CX-8 2.2 XD ブラックトーン エディション ディーゼルターボ 4WD 純正9インチワイドナビ アラウンドビューモニター サンルーフ フルセグTV ブラインドスポットモニター ヘッドアップディスプレイ アダプティブクルーズコントロール ボーズサウンドシステム ドラレコ ETC</t>
        </is>
      </c>
      <c r="M243" s="7" t="inlineStr">
        <is>
          <t>https://www.carsensor.net/usedcar/detail/AU6867675168/index.html</t>
        </is>
      </c>
    </row>
    <row r="244">
      <c r="A244" s="11" t="n">
        <v>2021</v>
      </c>
      <c r="B244" s="12" t="inlineStr">
        <is>
          <t>4WD</t>
        </is>
      </c>
      <c r="C244" s="12" t="inlineStr">
        <is>
          <t>2.2 XD Lパッケージ</t>
        </is>
      </c>
      <c r="D244" s="13" t="n">
        <v>4</v>
      </c>
      <c r="E244" s="14" t="n">
        <v>292.9</v>
      </c>
      <c r="F244" s="14" t="n">
        <v>286</v>
      </c>
      <c r="G244" s="15" t="n">
        <v>4.7</v>
      </c>
      <c r="H244" s="12" t="inlineStr">
        <is>
          <t>なし</t>
        </is>
      </c>
      <c r="I244" s="12" t="inlineStr">
        <is>
          <t>車検整備付</t>
        </is>
      </c>
      <c r="J244" s="12" t="inlineStr">
        <is>
          <t>保証付</t>
        </is>
      </c>
      <c r="K244" s="16" t="inlineStr">
        <is>
          <t>修復歴なし / 車検整備付 / 保証付</t>
        </is>
      </c>
      <c r="L244" s="16" t="inlineStr">
        <is>
          <t>CX-8 2.2 XD Lパッケージ ディーゼルターボ 衝突軽減ブレーキ 全方位カメラ シートヒーター ハンドルヒーター パワーシート 電子パーキングブレーキ 追従クルーズコントロール ステアリングスイッチ 4WD 電動リアゲート ヘッドアップディスプレイ</t>
        </is>
      </c>
      <c r="M244" s="12" t="inlineStr">
        <is>
          <t>https://www.carsensor.net/usedcar/detail/AU7360077635/index.html</t>
        </is>
      </c>
    </row>
    <row r="245">
      <c r="A245" s="6" t="n">
        <v>2021</v>
      </c>
      <c r="B245" s="7" t="inlineStr">
        <is>
          <t>4WD</t>
        </is>
      </c>
      <c r="C245" s="7" t="inlineStr">
        <is>
          <t>2.5 25S スマート</t>
        </is>
      </c>
      <c r="D245" s="17" t="n">
        <v>4</v>
      </c>
      <c r="E245" s="9" t="n">
        <v>267.3</v>
      </c>
      <c r="F245" s="9" t="n">
        <v>250</v>
      </c>
      <c r="G245" s="10" t="n">
        <v>4.3</v>
      </c>
      <c r="H245" s="7" t="inlineStr">
        <is>
          <t>なし</t>
        </is>
      </c>
      <c r="I245" s="7" t="inlineStr">
        <is>
          <t>車検整備付</t>
        </is>
      </c>
      <c r="J245" s="7" t="inlineStr">
        <is>
          <t>保証付</t>
        </is>
      </c>
      <c r="K245" s="16" t="inlineStr">
        <is>
          <t>修復歴なし / 車検整備付 / 保証付</t>
        </is>
      </c>
      <c r="L245" s="16" t="inlineStr">
        <is>
          <t>CX-8 2.5 25S スマート エディション 4WD 純正10インチナビ 360°ビューカメラ 後席モニター ドラレコ ETC 禁煙車 衝突軽減装置 レーダークルーズコントロール LEDヘッドライト オートハイビーム コーナーセンサー</t>
        </is>
      </c>
      <c r="M245" s="7" t="inlineStr">
        <is>
          <t>https://www.carsensor.net/usedcar/detail/AU7404216920/index.html</t>
        </is>
      </c>
    </row>
    <row r="246">
      <c r="A246" s="11" t="n">
        <v>2021</v>
      </c>
      <c r="B246" s="12" t="inlineStr">
        <is>
          <t>4WD</t>
        </is>
      </c>
      <c r="C246" s="12" t="inlineStr">
        <is>
          <t>2.2 XD Lパッケージ</t>
        </is>
      </c>
      <c r="D246" s="13" t="n">
        <v>4</v>
      </c>
      <c r="E246" s="14" t="n">
        <v>279.8</v>
      </c>
      <c r="F246" s="14" t="n">
        <v>272.9</v>
      </c>
      <c r="G246" s="15" t="n">
        <v>6.8</v>
      </c>
      <c r="H246" s="12" t="inlineStr">
        <is>
          <t>なし</t>
        </is>
      </c>
      <c r="I246" s="12" t="inlineStr">
        <is>
          <t>車検整備付</t>
        </is>
      </c>
      <c r="J246" s="12" t="inlineStr">
        <is>
          <t>保証付</t>
        </is>
      </c>
      <c r="K246" s="16" t="inlineStr">
        <is>
          <t>修復歴なし / 車検整備付 / 保証付</t>
        </is>
      </c>
      <c r="L246" s="16" t="inlineStr">
        <is>
          <t>CX-8 2.2 XD Lパッケージ ディーゼルターボ 4WD 10.2インチコネクトナビ(フルセグTV/Bluetooth/DVD) アルパインフリップダウンモニター 全方位カメラ ブラインドスポットモニター レーンキープアシスト シートヒーター エアシート レザーシート ETC2.0</t>
        </is>
      </c>
      <c r="M246" s="12" t="inlineStr">
        <is>
          <t>https://www.carsensor.net/usedcar/detail/AU7405882247/index.html</t>
        </is>
      </c>
    </row>
    <row r="247">
      <c r="A247" s="6" t="n">
        <v>2021</v>
      </c>
      <c r="B247" s="7" t="inlineStr">
        <is>
          <t>4WD</t>
        </is>
      </c>
      <c r="C247" s="7" t="inlineStr">
        <is>
          <t>2.5 25S Lパッケージ</t>
        </is>
      </c>
      <c r="D247" s="17" t="n">
        <v>4</v>
      </c>
      <c r="E247" s="9" t="n">
        <v>299.9</v>
      </c>
      <c r="F247" s="9" t="n">
        <v>282.6</v>
      </c>
      <c r="G247" s="10" t="n">
        <v>4.9</v>
      </c>
      <c r="H247" s="7" t="inlineStr">
        <is>
          <t>なし</t>
        </is>
      </c>
      <c r="I247" s="7" t="inlineStr">
        <is>
          <t>車検整備付</t>
        </is>
      </c>
      <c r="J247" s="7" t="inlineStr">
        <is>
          <t>保証付</t>
        </is>
      </c>
      <c r="K247" s="16" t="inlineStr">
        <is>
          <t>修復歴なし / 車検整備付 / 保証付</t>
        </is>
      </c>
      <c r="L247" s="16" t="inlineStr">
        <is>
          <t>CX-8 2.5 25S Lパッケージ 4WD サンルーフ 純正10.25型ナビ 全周囲カメラ BOSEサウンド 寒冷地仕様 衝突被害軽減システム 禁煙車 電動リアゲート レザーシート 前席シートエアコン コーナーセンサー スマートキー</t>
        </is>
      </c>
      <c r="M247" s="7" t="inlineStr">
        <is>
          <t>https://www.carsensor.net/usedcar/detail/AU7452155874/index.html</t>
        </is>
      </c>
    </row>
    <row r="248">
      <c r="A248" s="11" t="n">
        <v>2021</v>
      </c>
      <c r="B248" s="12" t="inlineStr">
        <is>
          <t>4WD</t>
        </is>
      </c>
      <c r="C248" s="12" t="inlineStr">
        <is>
          <t>2.5 25S 100周年</t>
        </is>
      </c>
      <c r="D248" s="13" t="n">
        <v>4</v>
      </c>
      <c r="E248" s="14" t="n">
        <v>315</v>
      </c>
      <c r="F248" s="14" t="n">
        <v>303</v>
      </c>
      <c r="G248" s="15" t="n">
        <v>4.1</v>
      </c>
      <c r="H248" s="12" t="inlineStr">
        <is>
          <t>なし</t>
        </is>
      </c>
      <c r="I248" s="12" t="inlineStr">
        <is>
          <t>車検整備付</t>
        </is>
      </c>
      <c r="J248" s="12" t="inlineStr">
        <is>
          <t>保証付</t>
        </is>
      </c>
      <c r="K248" s="16" t="inlineStr">
        <is>
          <t>修復歴なし / 車検整備付 / 保証付</t>
        </is>
      </c>
      <c r="L248" s="16" t="inlineStr">
        <is>
          <t>CX-8 2.5 25S 100周年 特別記念車 4WD ワンオーナー/ユーザー買取車/100周年特別記念車/サンルーフ/4WD/純正10.25型ナビ/フルセグ/全周囲カメラ/BOSEサウンド/衝突軽減ブレーキ/ヘッドアップディスプレイ/ステアリングヒーター/シートヒーター・クーラー</t>
        </is>
      </c>
      <c r="M248" s="12" t="inlineStr">
        <is>
          <t>https://www.carsensor.net/usedcar/detail/AU6857490259/index.html</t>
        </is>
      </c>
    </row>
    <row r="249">
      <c r="A249" s="6" t="n">
        <v>2021</v>
      </c>
      <c r="B249" s="7" t="inlineStr">
        <is>
          <t>4WD</t>
        </is>
      </c>
      <c r="C249" s="7" t="inlineStr">
        <is>
          <t>2.2 XD Lパッケージ</t>
        </is>
      </c>
      <c r="D249" s="17" t="n">
        <v>4</v>
      </c>
      <c r="E249" s="9" t="n">
        <v>284.9</v>
      </c>
      <c r="F249" s="9" t="n">
        <v>267.6</v>
      </c>
      <c r="G249" s="10" t="n">
        <v>5.4</v>
      </c>
      <c r="H249" s="7" t="inlineStr">
        <is>
          <t>なし</t>
        </is>
      </c>
      <c r="I249" s="7" t="inlineStr">
        <is>
          <t>車検整備付</t>
        </is>
      </c>
      <c r="J249" s="7" t="inlineStr">
        <is>
          <t>保証付</t>
        </is>
      </c>
      <c r="K249" s="16" t="inlineStr">
        <is>
          <t>修復歴なし / 車検整備付 / 保証付</t>
        </is>
      </c>
      <c r="L249" s="16" t="inlineStr">
        <is>
          <t>CX-8 2.2 XD Lパッケージ ディーゼルターボ 4WD 4WD ターボ ディーゼル 6人乗り 純正10インチナビ 全周囲カメラ 衝突軽減システム レーダークルーズコントロール パワーバックドア 合皮シート シートヒーター メモリーシート レーンキープ</t>
        </is>
      </c>
      <c r="M249" s="7" t="inlineStr">
        <is>
          <t>https://www.carsensor.net/usedcar/detail/AU7169819023/index.html</t>
        </is>
      </c>
    </row>
    <row r="250">
      <c r="A250" s="11" t="n">
        <v>2021</v>
      </c>
      <c r="B250" s="12" t="inlineStr">
        <is>
          <t>4WD</t>
        </is>
      </c>
      <c r="C250" s="12" t="inlineStr">
        <is>
          <t>2.2 XD エクスクルーシブ</t>
        </is>
      </c>
      <c r="D250" s="13" t="n">
        <v>4</v>
      </c>
      <c r="E250" s="14" t="n">
        <v>309.9</v>
      </c>
      <c r="F250" s="14" t="n">
        <v>289.6</v>
      </c>
      <c r="G250" s="15" t="n">
        <v>5.4</v>
      </c>
      <c r="H250" s="12" t="inlineStr">
        <is>
          <t>なし</t>
        </is>
      </c>
      <c r="I250" s="12" t="inlineStr">
        <is>
          <t>車検整備付</t>
        </is>
      </c>
      <c r="J250" s="12" t="inlineStr">
        <is>
          <t>保証付</t>
        </is>
      </c>
      <c r="K250" s="16" t="inlineStr">
        <is>
          <t>修復歴なし / 車検整備付 / 保証付</t>
        </is>
      </c>
      <c r="L250" s="16" t="inlineStr">
        <is>
          <t>CX-8 2.2 XD エクスクルーシブ モード ディーゼルターボ 4WD</t>
        </is>
      </c>
      <c r="M250" s="12" t="inlineStr">
        <is>
          <t>https://www.carsensor.net/usedcar/detail/AU7301351992/index.html</t>
        </is>
      </c>
    </row>
    <row r="251">
      <c r="A251" s="6" t="n">
        <v>2021</v>
      </c>
      <c r="B251" s="7" t="inlineStr">
        <is>
          <t>4WD</t>
        </is>
      </c>
      <c r="C251" s="7" t="inlineStr">
        <is>
          <t>2.2 XD スマート</t>
        </is>
      </c>
      <c r="D251" s="17" t="n">
        <v>4</v>
      </c>
      <c r="E251" s="9" t="n">
        <v>274.5</v>
      </c>
      <c r="F251" s="9" t="n">
        <v>259.8</v>
      </c>
      <c r="G251" s="10" t="n">
        <v>5.2</v>
      </c>
      <c r="H251" s="7" t="inlineStr">
        <is>
          <t>なし</t>
        </is>
      </c>
      <c r="I251" s="7" t="inlineStr">
        <is>
          <t>車検整備付</t>
        </is>
      </c>
      <c r="J251" s="7" t="inlineStr">
        <is>
          <t>保証付</t>
        </is>
      </c>
      <c r="K251" s="16" t="inlineStr">
        <is>
          <t>修復歴なし / 車検整備付 / 保証付</t>
        </is>
      </c>
      <c r="L251" s="16" t="inlineStr">
        <is>
          <t>CX-8 2.2 XD スマート エディション ディーゼルターボ 4WD 衝突被害軽減ブレーキ 純正ナビ 全方位モニター Bluetoothオーディオ ETC LEDヘッドライト スマートキー プッシュスタート ブラインドスポットモニター 4WD 前後ドラレコ 純正アルミホイール</t>
        </is>
      </c>
      <c r="M251" s="7" t="inlineStr">
        <is>
          <t>https://www.carsensor.net/usedcar/detail/AU6997629897/index.html</t>
        </is>
      </c>
    </row>
    <row r="252">
      <c r="A252" s="11" t="n">
        <v>2021</v>
      </c>
      <c r="B252" s="12" t="inlineStr">
        <is>
          <t>4WD</t>
        </is>
      </c>
      <c r="C252" s="12" t="inlineStr">
        <is>
          <t>2.2 XD ブラックトーン</t>
        </is>
      </c>
      <c r="D252" s="13" t="n">
        <v>4</v>
      </c>
      <c r="E252" s="14" t="n">
        <v>310</v>
      </c>
      <c r="F252" s="14" t="n">
        <v>295.8</v>
      </c>
      <c r="G252" s="15" t="n">
        <v>4.7</v>
      </c>
      <c r="H252" s="12" t="inlineStr">
        <is>
          <t>なし</t>
        </is>
      </c>
      <c r="I252" s="12" t="inlineStr">
        <is>
          <t>車検整備付</t>
        </is>
      </c>
      <c r="J252" s="12" t="inlineStr">
        <is>
          <t>保証付</t>
        </is>
      </c>
      <c r="K252" s="16" t="inlineStr">
        <is>
          <t>修復歴なし / 車検整備付 / 保証付</t>
        </is>
      </c>
      <c r="L252" s="16" t="inlineStr">
        <is>
          <t>CX-8 2.2 XD ブラックトーン エディション ディーゼルターボ サンルーフ</t>
        </is>
      </c>
      <c r="M252" s="12" t="inlineStr">
        <is>
          <t>https://www.carsensor.net/usedcar/detail/AU7446053890/index.html</t>
        </is>
      </c>
    </row>
    <row r="253">
      <c r="A253" s="6" t="n">
        <v>2022</v>
      </c>
      <c r="B253" s="7" t="inlineStr">
        <is>
          <t>4WD</t>
        </is>
      </c>
      <c r="C253" s="7" t="inlineStr">
        <is>
          <t>2.5 25T エクスクルーシブ</t>
        </is>
      </c>
      <c r="D253" s="17" t="n">
        <v>4</v>
      </c>
      <c r="E253" s="9" t="n">
        <v>299.9</v>
      </c>
      <c r="F253" s="9" t="n">
        <v>289.6</v>
      </c>
      <c r="G253" s="10" t="n">
        <v>5.1</v>
      </c>
      <c r="H253" s="7" t="inlineStr">
        <is>
          <t>なし</t>
        </is>
      </c>
      <c r="I253" s="7" t="inlineStr">
        <is>
          <t>車検整備付</t>
        </is>
      </c>
      <c r="J253" s="7" t="inlineStr">
        <is>
          <t>保証付</t>
        </is>
      </c>
      <c r="K253" s="16" t="inlineStr">
        <is>
          <t>修復歴なし / 車検整備付 / 保証付</t>
        </is>
      </c>
      <c r="L253" s="16" t="inlineStr">
        <is>
          <t>CX-8 2.5 25T エクスクルーシブ モード 4WD 4WD 純正10.25インチマツダコネクトナビ フルセグTV 全方位カメラ 寒冷地仕様 全席パワーシート パワーバックドア シートヒーター エアシーター クルーズコントロール BOSEサウンド ETC</t>
        </is>
      </c>
      <c r="M253" s="7" t="inlineStr">
        <is>
          <t>https://www.carsensor.net/usedcar/detail/AU7318313119/index.html</t>
        </is>
      </c>
    </row>
    <row r="254">
      <c r="A254" s="11" t="n">
        <v>2022</v>
      </c>
      <c r="B254" s="12" t="inlineStr">
        <is>
          <t>4WD</t>
        </is>
      </c>
      <c r="C254" s="12" t="inlineStr">
        <is>
          <t>2.2 XD ブラックトーン</t>
        </is>
      </c>
      <c r="D254" s="13" t="n">
        <v>4</v>
      </c>
      <c r="E254" s="14" t="n">
        <v>292.9</v>
      </c>
      <c r="F254" s="14" t="n">
        <v>281.1</v>
      </c>
      <c r="G254" s="15" t="n">
        <v>4</v>
      </c>
      <c r="H254" s="12" t="inlineStr">
        <is>
          <t>なし</t>
        </is>
      </c>
      <c r="I254" s="12" t="inlineStr">
        <is>
          <t>2027(R09)年10月</t>
        </is>
      </c>
      <c r="J254" s="12" t="inlineStr">
        <is>
          <t>保証付</t>
        </is>
      </c>
      <c r="K254" s="16" t="inlineStr">
        <is>
          <t>修復歴なし / 車検 2027/10 まで（残り12ヶ月） / 保証付</t>
        </is>
      </c>
      <c r="L254" s="16" t="inlineStr">
        <is>
          <t>CX-8 2.2 XD ブラックトーン エディション ディーゼルターボ 4WD メーカーナビ 全周囲カメラ 4WD 7人乗り 衝突被害軽減システム 禁煙車 ハーフレザーシート スマートキー LEDヘッド ETC 純正18インチアルミ 車線逸脱警報 オートライト</t>
        </is>
      </c>
      <c r="M254" s="12" t="inlineStr">
        <is>
          <t>https://www.carsensor.net/usedcar/detail/AU7296836963/index.html</t>
        </is>
      </c>
    </row>
    <row r="255">
      <c r="A255" s="6" t="n">
        <v>2022</v>
      </c>
      <c r="B255" s="7" t="inlineStr">
        <is>
          <t>4WD</t>
        </is>
      </c>
      <c r="C255" s="7" t="inlineStr">
        <is>
          <t>2.2 XD ブラックトーン</t>
        </is>
      </c>
      <c r="D255" s="17" t="n">
        <v>4</v>
      </c>
      <c r="E255" s="9" t="n">
        <v>319.8</v>
      </c>
      <c r="F255" s="9" t="n">
        <v>311</v>
      </c>
      <c r="G255" s="10" t="n">
        <v>3.7</v>
      </c>
      <c r="H255" s="7" t="inlineStr">
        <is>
          <t>なし</t>
        </is>
      </c>
      <c r="I255" s="7" t="inlineStr">
        <is>
          <t>車検整備付</t>
        </is>
      </c>
      <c r="J255" s="7" t="inlineStr">
        <is>
          <t>保証付</t>
        </is>
      </c>
      <c r="K255" s="16" t="inlineStr">
        <is>
          <t>修復歴なし / 車検整備付 / 保証付</t>
        </is>
      </c>
      <c r="L255" s="16" t="inlineStr">
        <is>
          <t>CX-8 2.2 XD ブラックトーン エディション ディーゼルターボ 禁煙車 衝突軽減ブレーキ 純正10.25インチナビ フルセグ 全方位カメラ バックカメラ パワーバックドア 前席/2列目シートヒーター ポジションメモリー付パワーシート ワイヤレス充電器 ルーフレール</t>
        </is>
      </c>
      <c r="M255" s="7" t="inlineStr">
        <is>
          <t>https://www.carsensor.net/usedcar/detail/AU7370367523/index.html</t>
        </is>
      </c>
    </row>
    <row r="256">
      <c r="A256" s="11" t="n">
        <v>2022</v>
      </c>
      <c r="B256" s="12" t="inlineStr">
        <is>
          <t>4WD</t>
        </is>
      </c>
      <c r="C256" s="12" t="inlineStr">
        <is>
          <t>2.2 XD ブラックトーン</t>
        </is>
      </c>
      <c r="D256" s="13" t="n">
        <v>4</v>
      </c>
      <c r="E256" s="14" t="n">
        <v>309.8</v>
      </c>
      <c r="F256" s="14" t="n">
        <v>300.9</v>
      </c>
      <c r="G256" s="15" t="n">
        <v>4.7</v>
      </c>
      <c r="H256" s="12" t="inlineStr">
        <is>
          <t>なし</t>
        </is>
      </c>
      <c r="I256" s="12" t="inlineStr">
        <is>
          <t>車検整備付</t>
        </is>
      </c>
      <c r="J256" s="12" t="inlineStr">
        <is>
          <t>保証付</t>
        </is>
      </c>
      <c r="K256" s="16" t="inlineStr">
        <is>
          <t>修復歴なし / 車検整備付 / 保証付</t>
        </is>
      </c>
      <c r="L256" s="16" t="inlineStr">
        <is>
          <t>CX-8 2.2 XD ブラックトーン エディション ディーゼルターボ 4WD 寒冷地仕様/純正SDナビ/全方位カメラ/前後ドライブレコーダー/ETC/i-ACTIVSENSE/マツダレーダークルーズコントロール/ブラインドスポットモニタリング/シートヒーター/パワーシート</t>
        </is>
      </c>
      <c r="M256" s="12" t="inlineStr">
        <is>
          <t>https://www.carsensor.net/usedcar/detail/AU7340862593/index.html</t>
        </is>
      </c>
    </row>
    <row r="257">
      <c r="A257" s="6" t="n">
        <v>2022</v>
      </c>
      <c r="B257" s="7" t="inlineStr">
        <is>
          <t>4WD</t>
        </is>
      </c>
      <c r="C257" s="7" t="inlineStr">
        <is>
          <t>2.2 XD エクスクルーシブ</t>
        </is>
      </c>
      <c r="D257" s="17" t="n">
        <v>4</v>
      </c>
      <c r="E257" s="9" t="n">
        <v>385.5</v>
      </c>
      <c r="F257" s="9" t="n">
        <v>369.8</v>
      </c>
      <c r="G257" s="10" t="n">
        <v>3.7</v>
      </c>
      <c r="H257" s="7" t="inlineStr">
        <is>
          <t>なし</t>
        </is>
      </c>
      <c r="I257" s="7" t="inlineStr">
        <is>
          <t>車検整備付</t>
        </is>
      </c>
      <c r="J257" s="7" t="inlineStr">
        <is>
          <t>保証付</t>
        </is>
      </c>
      <c r="K257" s="16" t="inlineStr">
        <is>
          <t>修復歴なし / 車検整備付 / 保証付</t>
        </is>
      </c>
      <c r="L257" s="16" t="inlineStr">
        <is>
          <t>CX-8 2.2 XD エクスクルーシブ モード ディーゼルターボ 4WD ナビETC安全装備付き</t>
        </is>
      </c>
      <c r="M257" s="7" t="inlineStr">
        <is>
          <t>https://www.carsensor.net/usedcar/detail/AU6193558630/index.html</t>
        </is>
      </c>
    </row>
    <row r="258">
      <c r="A258" s="11" t="n">
        <v>2022</v>
      </c>
      <c r="B258" s="12" t="inlineStr">
        <is>
          <t>4WD</t>
        </is>
      </c>
      <c r="C258" s="12" t="inlineStr">
        <is>
          <t>2.2 XD ブラックトーン</t>
        </is>
      </c>
      <c r="D258" s="13" t="n">
        <v>4</v>
      </c>
      <c r="E258" s="14" t="n">
        <v>290.8</v>
      </c>
      <c r="F258" s="14" t="n">
        <v>274.8</v>
      </c>
      <c r="G258" s="15" t="n">
        <v>3.3</v>
      </c>
      <c r="H258" s="12" t="inlineStr">
        <is>
          <t>なし</t>
        </is>
      </c>
      <c r="I258" s="12" t="inlineStr">
        <is>
          <t>車検整備付</t>
        </is>
      </c>
      <c r="J258" s="12" t="inlineStr">
        <is>
          <t>保証付</t>
        </is>
      </c>
      <c r="K258" s="16" t="inlineStr">
        <is>
          <t>修復歴なし / 車検整備付 / 保証付</t>
        </is>
      </c>
      <c r="L258" s="16" t="inlineStr">
        <is>
          <t>CX-8 2.2 XD ブラックトーン エディション ディーゼルターボ ワンオーナー 4WD 禁煙車 メモリーナビ 全周囲カメラ リア席モニター ETC アダプティブクルーズコントロール シートヒーター 衝突軽減装置 障害物センサー 純正アルミホイール</t>
        </is>
      </c>
      <c r="M258" s="12" t="inlineStr">
        <is>
          <t>https://www.carsensor.net/usedcar/detail/AU7183910641/index.html</t>
        </is>
      </c>
    </row>
    <row r="259">
      <c r="A259" s="6" t="n">
        <v>2022</v>
      </c>
      <c r="B259" s="7" t="inlineStr">
        <is>
          <t>4WD</t>
        </is>
      </c>
      <c r="C259" s="7" t="inlineStr">
        <is>
          <t>2.2 XD プロアクティブ</t>
        </is>
      </c>
      <c r="D259" s="17" t="n">
        <v>4</v>
      </c>
      <c r="E259" s="9" t="n">
        <v>276.4</v>
      </c>
      <c r="F259" s="9" t="n">
        <v>261</v>
      </c>
      <c r="G259" s="10" t="n">
        <v>5.6</v>
      </c>
      <c r="H259" s="7" t="inlineStr">
        <is>
          <t>なし</t>
        </is>
      </c>
      <c r="I259" s="7" t="inlineStr">
        <is>
          <t>車検整備付</t>
        </is>
      </c>
      <c r="J259" s="7" t="inlineStr">
        <is>
          <t>保証付</t>
        </is>
      </c>
      <c r="K259" s="16" t="inlineStr">
        <is>
          <t>修復歴なし / 車検整備付 / 保証付</t>
        </is>
      </c>
      <c r="L259" s="16" t="inlineStr">
        <is>
          <t>CX-8 2.2 XD プロアクティブ ディーゼルターボ 最長5年保証 純正ナビTV Rカメラ マルチビュ- CD録音 BTオ-ディオ DVD ドラレコ 衝突軽減B Rモニタ- ETC LEDライト 横滑り防止 シ-トヒ-タ- クルコン アルミ スマ-トキ-</t>
        </is>
      </c>
      <c r="M259" s="7" t="inlineStr">
        <is>
          <t>https://www.carsensor.net/usedcar/detail/AU7330223626/index.html</t>
        </is>
      </c>
    </row>
    <row r="260">
      <c r="A260" s="11" t="n">
        <v>2022</v>
      </c>
      <c r="B260" s="12" t="inlineStr">
        <is>
          <t>4WD</t>
        </is>
      </c>
      <c r="C260" s="12" t="inlineStr">
        <is>
          <t>2.2 XD Lパッケージ</t>
        </is>
      </c>
      <c r="D260" s="13" t="n">
        <v>4</v>
      </c>
      <c r="E260" s="14" t="n">
        <v>329.4</v>
      </c>
      <c r="F260" s="14" t="n">
        <v>314.5</v>
      </c>
      <c r="G260" s="15" t="n">
        <v>5.6</v>
      </c>
      <c r="H260" s="12" t="inlineStr">
        <is>
          <t>なし</t>
        </is>
      </c>
      <c r="I260" s="12" t="inlineStr">
        <is>
          <t>車検整備付</t>
        </is>
      </c>
      <c r="J260" s="12" t="inlineStr">
        <is>
          <t>保証付</t>
        </is>
      </c>
      <c r="K260" s="16" t="inlineStr">
        <is>
          <t>修復歴なし / 車検整備付 / 保証付</t>
        </is>
      </c>
      <c r="L260" s="16" t="inlineStr">
        <is>
          <t>CX-8 2.2 XD Lパッケージ ディーゼルターボ 4WD 6人乗り 衝突被害軽減ブレーキ AT誤発進</t>
        </is>
      </c>
      <c r="M260" s="12" t="inlineStr">
        <is>
          <t>https://www.carsensor.net/usedcar/detail/AU7307009003/index.html</t>
        </is>
      </c>
    </row>
    <row r="261">
      <c r="A261" s="6" t="n">
        <v>2022</v>
      </c>
      <c r="B261" s="7" t="inlineStr">
        <is>
          <t>4WD</t>
        </is>
      </c>
      <c r="C261" s="7" t="inlineStr">
        <is>
          <t>2.5 25T エクスクルーシブ</t>
        </is>
      </c>
      <c r="D261" s="17" t="n">
        <v>4</v>
      </c>
      <c r="E261" s="9" t="n">
        <v>393.1</v>
      </c>
      <c r="F261" s="9" t="n">
        <v>378.2</v>
      </c>
      <c r="G261" s="10" t="n">
        <v>3.8</v>
      </c>
      <c r="H261" s="7" t="inlineStr">
        <is>
          <t>なし</t>
        </is>
      </c>
      <c r="I261" s="7" t="inlineStr">
        <is>
          <t>車検整備付</t>
        </is>
      </c>
      <c r="J261" s="7" t="inlineStr">
        <is>
          <t>保証付</t>
        </is>
      </c>
      <c r="K261" s="16" t="inlineStr">
        <is>
          <t>修復歴なし / 車検整備付 / 保証付</t>
        </is>
      </c>
      <c r="L261" s="16" t="inlineStr">
        <is>
          <t>CX-8 2.5 25T エクスクルーシブ モード 4WD ナビ・地デジ・360度カメラ・ETC・BOSE・レ</t>
        </is>
      </c>
      <c r="M261" s="7" t="inlineStr">
        <is>
          <t>https://www.carsensor.net/usedcar/detail/AU7092320664/index.html</t>
        </is>
      </c>
    </row>
    <row r="262">
      <c r="A262" s="11" t="n">
        <v>2023</v>
      </c>
      <c r="B262" s="12" t="inlineStr">
        <is>
          <t>4WD</t>
        </is>
      </c>
      <c r="C262" s="12" t="inlineStr">
        <is>
          <t>2.2 XD ブラックトーン</t>
        </is>
      </c>
      <c r="D262" s="13" t="n">
        <v>4</v>
      </c>
      <c r="E262" s="14" t="n">
        <v>304.7</v>
      </c>
      <c r="F262" s="14" t="n">
        <v>292.5</v>
      </c>
      <c r="G262" s="15" t="n">
        <v>5.4</v>
      </c>
      <c r="H262" s="12" t="inlineStr">
        <is>
          <t>なし</t>
        </is>
      </c>
      <c r="I262" s="12" t="inlineStr">
        <is>
          <t>2028(R10)年04月</t>
        </is>
      </c>
      <c r="J262" s="12" t="inlineStr">
        <is>
          <t>保証付</t>
        </is>
      </c>
      <c r="K262" s="16" t="inlineStr">
        <is>
          <t>走行が多め（5.4万km） / 修復歴なし / 車検 2028/04 まで（残り18ヶ月） / 保証付 / 同年式より安い（中央値 348万）</t>
        </is>
      </c>
      <c r="L262" s="16" t="inlineStr">
        <is>
          <t>CX-8 2.2 XD ブラックトーン エディション ディーゼルターボ 4WD 禁煙車/4WD/7人乗り/後席モニター/全周囲カメラ/純正10型ナビ/電動リアゲート/ハーフレザーシート/BSM/レーダークルーズ/シートヒーター/ETC/ドラレコ/衝突被害軽減/純正19AW</t>
        </is>
      </c>
      <c r="M262" s="12" t="inlineStr">
        <is>
          <t>https://www.carsensor.net/usedcar/detail/AU7439505282/index.html</t>
        </is>
      </c>
    </row>
    <row r="263">
      <c r="A263" s="6" t="n">
        <v>2023</v>
      </c>
      <c r="B263" s="7" t="inlineStr">
        <is>
          <t>4WD</t>
        </is>
      </c>
      <c r="C263" s="7" t="inlineStr">
        <is>
          <t>2.2 XD スポーツ</t>
        </is>
      </c>
      <c r="D263" s="17" t="n">
        <v>4</v>
      </c>
      <c r="E263" s="9" t="n">
        <v>373.3</v>
      </c>
      <c r="F263" s="9" t="n">
        <v>359.8</v>
      </c>
      <c r="G263" s="10" t="n">
        <v>4.1</v>
      </c>
      <c r="H263" s="7" t="inlineStr">
        <is>
          <t>なし</t>
        </is>
      </c>
      <c r="I263" s="7" t="inlineStr">
        <is>
          <t>車検整備付</t>
        </is>
      </c>
      <c r="J263" s="7" t="inlineStr">
        <is>
          <t>保証付</t>
        </is>
      </c>
      <c r="K263" s="16" t="inlineStr">
        <is>
          <t>修復歴なし / 車検整備付 / 保証付</t>
        </is>
      </c>
      <c r="L263" s="16" t="inlineStr">
        <is>
          <t>CX-8 2.2 XD スポーツ アピアランス ディーゼルターボ 4WD マツダ認定中古車</t>
        </is>
      </c>
      <c r="M263" s="7" t="inlineStr">
        <is>
          <t>https://www.carsensor.net/usedcar/detail/AU7386402809/index.html</t>
        </is>
      </c>
    </row>
    <row r="264">
      <c r="A264" s="11" t="n">
        <v>2023</v>
      </c>
      <c r="B264" s="12" t="inlineStr">
        <is>
          <t>4WD</t>
        </is>
      </c>
      <c r="C264" s="12" t="inlineStr">
        <is>
          <t>2.2 XD グランド</t>
        </is>
      </c>
      <c r="D264" s="13" t="n">
        <v>4</v>
      </c>
      <c r="E264" s="14" t="n">
        <v>361.8</v>
      </c>
      <c r="F264" s="14" t="n">
        <v>351.7</v>
      </c>
      <c r="G264" s="15" t="n">
        <v>2.9</v>
      </c>
      <c r="H264" s="12" t="inlineStr">
        <is>
          <t>なし</t>
        </is>
      </c>
      <c r="I264" s="12" t="inlineStr">
        <is>
          <t>車検整備付</t>
        </is>
      </c>
      <c r="J264" s="12" t="inlineStr">
        <is>
          <t>保証付</t>
        </is>
      </c>
      <c r="K264" s="16" t="inlineStr">
        <is>
          <t>修復歴なし / 車検整備付 / 保証付</t>
        </is>
      </c>
      <c r="L264" s="16" t="inlineStr">
        <is>
          <t>CX-8 2.2 XD グランド ジャーニー ディーゼルターボ 4WD 禁煙 インテリジェントドライブセレクト アドバンスドスマートシティブレーキサポート アダプティブLEDヘッドライト 360度ビューモニター マツダコネクト パワーバックドア シートヒーター ETC スマートキー</t>
        </is>
      </c>
      <c r="M264" s="12" t="inlineStr">
        <is>
          <t>https://www.carsensor.net/usedcar/detail/AU7270792750/index.html</t>
        </is>
      </c>
    </row>
    <row r="265">
      <c r="A265" s="6" t="n">
        <v>2023</v>
      </c>
      <c r="B265" s="7" t="inlineStr">
        <is>
          <t>4WD</t>
        </is>
      </c>
      <c r="C265" s="7" t="inlineStr">
        <is>
          <t>2.2 XD グランド</t>
        </is>
      </c>
      <c r="D265" s="17" t="n">
        <v>4</v>
      </c>
      <c r="E265" s="9" t="n">
        <v>332.3</v>
      </c>
      <c r="F265" s="9" t="n">
        <v>322</v>
      </c>
      <c r="G265" s="10" t="n">
        <v>3.4</v>
      </c>
      <c r="H265" s="7" t="inlineStr">
        <is>
          <t>なし</t>
        </is>
      </c>
      <c r="I265" s="7" t="inlineStr">
        <is>
          <t>車検整備付</t>
        </is>
      </c>
      <c r="J265" s="7" t="inlineStr">
        <is>
          <t>保証付</t>
        </is>
      </c>
      <c r="K265" s="16" t="inlineStr">
        <is>
          <t>修復歴なし / 車検整備付 / 保証付</t>
        </is>
      </c>
      <c r="L265" s="16" t="inlineStr">
        <is>
          <t>CX-8 2.2 XD グランド ジャーニー ディーゼルターボ 4WD 10.25インチ純正ナビ/フルセグTV/360°ビューモニター/レーダークルーズコントロール/BSM/ハーフレザーシート/全席シートヒーター/ステアリングヒーター/ワイヤレス充電/ETC/禁煙車</t>
        </is>
      </c>
      <c r="M265" s="7" t="inlineStr">
        <is>
          <t>https://www.carsensor.net/usedcar/detail/AU7440312212/index.html</t>
        </is>
      </c>
    </row>
    <row r="266">
      <c r="A266" s="11" t="n">
        <v>2023</v>
      </c>
      <c r="B266" s="12" t="inlineStr">
        <is>
          <t>4WD</t>
        </is>
      </c>
      <c r="C266" s="12" t="inlineStr">
        <is>
          <t>2.2 XD スポーツ</t>
        </is>
      </c>
      <c r="D266" s="13" t="n">
        <v>4</v>
      </c>
      <c r="E266" s="14" t="n">
        <v>359.8</v>
      </c>
      <c r="F266" s="14" t="n">
        <v>349.5</v>
      </c>
      <c r="G266" s="15" t="n">
        <v>4.1</v>
      </c>
      <c r="H266" s="12" t="inlineStr">
        <is>
          <t>なし</t>
        </is>
      </c>
      <c r="I266" s="12" t="inlineStr">
        <is>
          <t>車検整備付</t>
        </is>
      </c>
      <c r="J266" s="12" t="inlineStr">
        <is>
          <t>保証付</t>
        </is>
      </c>
      <c r="K266" s="16" t="inlineStr">
        <is>
          <t>修復歴なし / 車検整備付 / 保証付</t>
        </is>
      </c>
      <c r="L266" s="16" t="inlineStr">
        <is>
          <t>CX-8 2.2 XD スポーツ アピアランス ディーゼルターボ 4WD 4WD 10.25型ナビ フルセグ 全方位 黒革 LED</t>
        </is>
      </c>
      <c r="M266" s="12" t="inlineStr">
        <is>
          <t>https://www.carsensor.net/usedcar/detail/AU7436023771/index.html</t>
        </is>
      </c>
    </row>
    <row r="267">
      <c r="A267" s="6" t="n">
        <v>2023</v>
      </c>
      <c r="B267" s="7" t="inlineStr">
        <is>
          <t>4WD</t>
        </is>
      </c>
      <c r="C267" s="7" t="inlineStr">
        <is>
          <t>2.2 XD グランド</t>
        </is>
      </c>
      <c r="D267" s="17" t="n">
        <v>4</v>
      </c>
      <c r="E267" s="9" t="n">
        <v>365.9</v>
      </c>
      <c r="F267" s="9" t="n">
        <v>348.6</v>
      </c>
      <c r="G267" s="10" t="n">
        <v>4.1</v>
      </c>
      <c r="H267" s="7" t="inlineStr">
        <is>
          <t>なし</t>
        </is>
      </c>
      <c r="I267" s="7" t="inlineStr">
        <is>
          <t>車検整備付</t>
        </is>
      </c>
      <c r="J267" s="7" t="inlineStr">
        <is>
          <t>保証付</t>
        </is>
      </c>
      <c r="K267" s="16" t="inlineStr">
        <is>
          <t>修復歴なし / 車検整備付 / 保証付</t>
        </is>
      </c>
      <c r="L267" s="16" t="inlineStr">
        <is>
          <t>CX-8 2.2 XD グランド ジャーニー ディーゼルターボ 4WD 純正10.25型ナビ 360度ビュー スマートブレーキサポート レーダークルコン ブラインドスポットモニター パワーバックドア ルーフレール 前/中列シートヒーター ステアリングヒーター スマートキー</t>
        </is>
      </c>
      <c r="M267" s="7" t="inlineStr">
        <is>
          <t>https://www.carsensor.net/usedcar/detail/AU7278840267/index.html</t>
        </is>
      </c>
    </row>
    <row r="268">
      <c r="A268" s="11" t="n">
        <v>2023</v>
      </c>
      <c r="B268" s="12" t="inlineStr">
        <is>
          <t>4WD</t>
        </is>
      </c>
      <c r="C268" s="12" t="inlineStr">
        <is>
          <t>2.2 XD ブラックトーン</t>
        </is>
      </c>
      <c r="D268" s="13" t="n">
        <v>4</v>
      </c>
      <c r="E268" s="14" t="n">
        <v>373.4</v>
      </c>
      <c r="F268" s="14" t="n">
        <v>359.8</v>
      </c>
      <c r="G268" s="15" t="n">
        <v>4.2</v>
      </c>
      <c r="H268" s="12" t="inlineStr">
        <is>
          <t>なし</t>
        </is>
      </c>
      <c r="I268" s="12" t="inlineStr">
        <is>
          <t>車検整備付</t>
        </is>
      </c>
      <c r="J268" s="12" t="inlineStr">
        <is>
          <t>保証付</t>
        </is>
      </c>
      <c r="K268" s="16" t="inlineStr">
        <is>
          <t>修復歴なし / 車検整備付 / 保証付</t>
        </is>
      </c>
      <c r="L268" s="16" t="inlineStr">
        <is>
          <t>CX-8 2.2 XD ブラックトーン エディション ディーゼルターボ 4WD マツダ認定中古車</t>
        </is>
      </c>
      <c r="M268" s="12" t="inlineStr">
        <is>
          <t>https://www.carsensor.net/usedcar/detail/AU7041239672/index.html</t>
        </is>
      </c>
    </row>
    <row r="269">
      <c r="A269" s="6" t="n">
        <v>2023</v>
      </c>
      <c r="B269" s="7" t="inlineStr">
        <is>
          <t>4WD</t>
        </is>
      </c>
      <c r="C269" s="7" t="inlineStr">
        <is>
          <t>2.2 XD ブラックトーン</t>
        </is>
      </c>
      <c r="D269" s="17" t="n">
        <v>4</v>
      </c>
      <c r="E269" s="9" t="n">
        <v>342.9</v>
      </c>
      <c r="F269" s="9" t="n">
        <v>332.6</v>
      </c>
      <c r="G269" s="10" t="n">
        <v>3.4</v>
      </c>
      <c r="H269" s="7" t="inlineStr">
        <is>
          <t>なし</t>
        </is>
      </c>
      <c r="I269" s="7" t="inlineStr">
        <is>
          <t>車検整備付</t>
        </is>
      </c>
      <c r="J269" s="7" t="inlineStr">
        <is>
          <t>保証付</t>
        </is>
      </c>
      <c r="K269" s="16" t="inlineStr">
        <is>
          <t>修復歴なし / 車検整備付 / 保証付</t>
        </is>
      </c>
      <c r="L269" s="16" t="inlineStr">
        <is>
          <t>CX-8 2.2 XD ブラックトーン エディション ディーゼルターボ 4WD ワンオーナー 純ナビBT/DTV/AppleCarPlay</t>
        </is>
      </c>
      <c r="M269" s="7" t="inlineStr">
        <is>
          <t>https://www.carsensor.net/usedcar/detail/AU7446062639/index.html</t>
        </is>
      </c>
    </row>
    <row r="270">
      <c r="A270" s="11" t="n">
        <v>2023</v>
      </c>
      <c r="B270" s="12" t="inlineStr">
        <is>
          <t>4WD</t>
        </is>
      </c>
      <c r="C270" s="12" t="inlineStr">
        <is>
          <t>25S Grand Journey</t>
        </is>
      </c>
      <c r="D270" s="13" t="n">
        <v>4</v>
      </c>
      <c r="E270" s="14" t="n">
        <v>364.7</v>
      </c>
      <c r="F270" s="14" t="n">
        <v>352</v>
      </c>
      <c r="G270" s="15" t="n">
        <v>2.6</v>
      </c>
      <c r="H270" s="12" t="inlineStr">
        <is>
          <t>なし</t>
        </is>
      </c>
      <c r="I270" s="12" t="inlineStr">
        <is>
          <t>車検整備付</t>
        </is>
      </c>
      <c r="J270" s="12" t="inlineStr">
        <is>
          <t>保証付</t>
        </is>
      </c>
      <c r="K270" s="16" t="inlineStr">
        <is>
          <t>修復歴なし / 車検整備付 / 保証付</t>
        </is>
      </c>
      <c r="L270" s="16" t="inlineStr">
        <is>
          <t>CX-8 25S Grand Journey CTS 特別仕様車グランドジャーニー 7人乗り クルージングトラフィックサポート ワイヤレス接続 10.25インチナビ 360°ビューモニター アダプティブLEDヘッドライト パワーリフトゲート ETC ブルーミラー</t>
        </is>
      </c>
      <c r="M270" s="12" t="inlineStr">
        <is>
          <t>https://www.carsensor.net/usedcar/detail/AU7318888703/index.html</t>
        </is>
      </c>
    </row>
    <row r="271">
      <c r="A271" s="6" t="n">
        <v>2023</v>
      </c>
      <c r="B271" s="7" t="inlineStr">
        <is>
          <t>4WD</t>
        </is>
      </c>
      <c r="C271" s="7" t="inlineStr">
        <is>
          <t>2.2 XD ブラックトーン</t>
        </is>
      </c>
      <c r="D271" s="17" t="n">
        <v>4</v>
      </c>
      <c r="E271" s="9" t="n">
        <v>369.9</v>
      </c>
      <c r="F271" s="9" t="n">
        <v>354.8</v>
      </c>
      <c r="G271" s="10" t="n">
        <v>3.5</v>
      </c>
      <c r="H271" s="7" t="inlineStr">
        <is>
          <t>なし</t>
        </is>
      </c>
      <c r="I271" s="7" t="inlineStr">
        <is>
          <t>車検整備付</t>
        </is>
      </c>
      <c r="J271" s="7" t="inlineStr">
        <is>
          <t>保証付</t>
        </is>
      </c>
      <c r="K271" s="16" t="inlineStr">
        <is>
          <t>修復歴なし / 車検整備付 / 保証付</t>
        </is>
      </c>
      <c r="L271" s="16" t="inlineStr">
        <is>
          <t>CX-8 2.2 XD ブラックトーン エディション ディーゼルターボ 4WD リアシートモニター 360°ビュー・モニター 純正ナビ 前後ドライブレコーダー ETC 障害物センサー マツダ・レーダー・クルーズ・コントロール シートヒーター 電動シート 電動リアゲート Wエアコン DVD</t>
        </is>
      </c>
      <c r="M271" s="7" t="inlineStr">
        <is>
          <t>https://www.carsensor.net/usedcar/detail/AU7067468221/index.html</t>
        </is>
      </c>
    </row>
    <row r="272">
      <c r="A272" s="11" t="n">
        <v>2023</v>
      </c>
      <c r="B272" s="12" t="inlineStr">
        <is>
          <t>4WD</t>
        </is>
      </c>
      <c r="C272" s="12" t="inlineStr">
        <is>
          <t>2.2 XD グランド</t>
        </is>
      </c>
      <c r="D272" s="13" t="n">
        <v>4</v>
      </c>
      <c r="E272" s="14" t="n">
        <v>370.1</v>
      </c>
      <c r="F272" s="14" t="n">
        <v>354.8</v>
      </c>
      <c r="G272" s="15" t="n">
        <v>4</v>
      </c>
      <c r="H272" s="12" t="inlineStr">
        <is>
          <t>なし</t>
        </is>
      </c>
      <c r="I272" s="12" t="inlineStr">
        <is>
          <t>車検整備付</t>
        </is>
      </c>
      <c r="J272" s="12" t="inlineStr">
        <is>
          <t>保証付</t>
        </is>
      </c>
      <c r="K272" s="16" t="inlineStr">
        <is>
          <t>修復歴なし / 車検整備付 / 保証付</t>
        </is>
      </c>
      <c r="L272" s="16" t="inlineStr">
        <is>
          <t>CX-8 2.2 XD グランド ジャーニー ディーゼルターボ 4WD ナビ/CarPlay/全方位モニタ/衝突軽減ブレーキ/ETC/残価設定型クレジット対応</t>
        </is>
      </c>
      <c r="M272" s="12" t="inlineStr">
        <is>
          <t>https://www.carsensor.net/usedcar/detail/AU7304870655/index.html</t>
        </is>
      </c>
    </row>
    <row r="273">
      <c r="A273" s="6" t="n">
        <v>2023</v>
      </c>
      <c r="B273" s="7" t="inlineStr">
        <is>
          <t>4WD</t>
        </is>
      </c>
      <c r="C273" s="7" t="inlineStr">
        <is>
          <t>2.2 XD ブラックトーン</t>
        </is>
      </c>
      <c r="D273" s="17" t="n">
        <v>4</v>
      </c>
      <c r="E273" s="9" t="n">
        <v>285</v>
      </c>
      <c r="F273" s="9" t="n">
        <v>271</v>
      </c>
      <c r="G273" s="10" t="n">
        <v>7.9</v>
      </c>
      <c r="H273" s="7" t="inlineStr">
        <is>
          <t>なし</t>
        </is>
      </c>
      <c r="I273" s="7" t="inlineStr">
        <is>
          <t>2028(R10)年04月</t>
        </is>
      </c>
      <c r="J273" s="7" t="inlineStr">
        <is>
          <t>保証付</t>
        </is>
      </c>
      <c r="K273" s="16" t="inlineStr">
        <is>
          <t>走行が多め（7.9万km） / 修復歴なし / 車検 2028/04 まで（残り18ヶ月） / 保証付 / 同年式より安い（中央値 348万）</t>
        </is>
      </c>
      <c r="L273" s="16" t="inlineStr">
        <is>
          <t>CX-8 2.2 XD ブラックトーン エディション ディーゼルターボ OP:サンルーフ/OP:ハンズフリーパワーバックドア/OP:BOSEサウンド/OP:クルージングトラフィックサポート/OP:ルーフレール/純正10.25インチナビ/360°ビューモニター/禁煙車</t>
        </is>
      </c>
      <c r="M273" s="7" t="inlineStr">
        <is>
          <t>https://www.carsensor.net/usedcar/detail/AU7452926932/index.html</t>
        </is>
      </c>
    </row>
    <row r="274">
      <c r="A274" s="11" t="n">
        <v>2023</v>
      </c>
      <c r="B274" s="12" t="inlineStr">
        <is>
          <t>4WD</t>
        </is>
      </c>
      <c r="C274" s="12" t="inlineStr">
        <is>
          <t>2.2 XD スポーツ</t>
        </is>
      </c>
      <c r="D274" s="13" t="n">
        <v>4</v>
      </c>
      <c r="E274" s="14" t="n">
        <v>383.3</v>
      </c>
      <c r="F274" s="14" t="n">
        <v>369.8</v>
      </c>
      <c r="G274" s="15" t="n">
        <v>3.3</v>
      </c>
      <c r="H274" s="12" t="inlineStr">
        <is>
          <t>なし</t>
        </is>
      </c>
      <c r="I274" s="12" t="inlineStr">
        <is>
          <t>車検整備付</t>
        </is>
      </c>
      <c r="J274" s="12" t="inlineStr">
        <is>
          <t>保証付</t>
        </is>
      </c>
      <c r="K274" s="16" t="inlineStr">
        <is>
          <t>修復歴なし / 車検整備付 / 保証付</t>
        </is>
      </c>
      <c r="L274" s="16" t="inlineStr">
        <is>
          <t>CX-8 2.2 XD スポーツ アピアランス ディーゼルターボ 4WD マツダ認定U-car ワンオーナー BOSEサウンドシステム 360°ビューモニター ハンズフリーパワーリフトゲート パワーシート シートヒーター&amp;ベンチレーション アクティブドライビングディスプレイ</t>
        </is>
      </c>
      <c r="M274" s="12" t="inlineStr">
        <is>
          <t>https://www.carsensor.net/usedcar/detail/AU7448773942/index.html</t>
        </is>
      </c>
    </row>
    <row r="275">
      <c r="A275" s="6" t="n">
        <v>2023</v>
      </c>
      <c r="B275" s="7" t="inlineStr">
        <is>
          <t>4WD</t>
        </is>
      </c>
      <c r="C275" s="7" t="inlineStr">
        <is>
          <t>2.2 XD エクスクルーシブ</t>
        </is>
      </c>
      <c r="D275" s="17" t="n">
        <v>4</v>
      </c>
      <c r="E275" s="9" t="n">
        <v>401.2</v>
      </c>
      <c r="F275" s="9" t="n">
        <v>386.7</v>
      </c>
      <c r="G275" s="10" t="n">
        <v>3.7</v>
      </c>
      <c r="H275" s="7" t="inlineStr">
        <is>
          <t>なし</t>
        </is>
      </c>
      <c r="I275" s="7" t="inlineStr">
        <is>
          <t>車検整備付</t>
        </is>
      </c>
      <c r="J275" s="7" t="inlineStr">
        <is>
          <t>保証付</t>
        </is>
      </c>
      <c r="K275" s="16" t="inlineStr">
        <is>
          <t>修復歴なし / 車検整備付 / 保証付</t>
        </is>
      </c>
      <c r="L275" s="16" t="inlineStr">
        <is>
          <t>CX-8 2.2 XD エクスクルーシブ モード ディーゼルターボ 4WD ディーゼルターボ</t>
        </is>
      </c>
      <c r="M275" s="7" t="inlineStr">
        <is>
          <t>https://www.carsensor.net/usedcar/detail/AU7313024670/index.html</t>
        </is>
      </c>
    </row>
    <row r="276">
      <c r="A276" s="11" t="n">
        <v>2023</v>
      </c>
      <c r="B276" s="12" t="inlineStr">
        <is>
          <t>4WD</t>
        </is>
      </c>
      <c r="C276" s="12" t="inlineStr">
        <is>
          <t>2.2 XD スポーツ</t>
        </is>
      </c>
      <c r="D276" s="13" t="n">
        <v>4</v>
      </c>
      <c r="E276" s="14" t="n">
        <v>349.8</v>
      </c>
      <c r="F276" s="14" t="n">
        <v>337.9</v>
      </c>
      <c r="G276" s="15" t="n">
        <v>3.6</v>
      </c>
      <c r="H276" s="12" t="inlineStr">
        <is>
          <t>なし</t>
        </is>
      </c>
      <c r="I276" s="12" t="inlineStr">
        <is>
          <t>車検整備付</t>
        </is>
      </c>
      <c r="J276" s="12" t="inlineStr">
        <is>
          <t>保証付</t>
        </is>
      </c>
      <c r="K276" s="16" t="inlineStr">
        <is>
          <t>修復歴なし / 車検整備付 / 保証付</t>
        </is>
      </c>
      <c r="L276" s="16" t="inlineStr">
        <is>
          <t>CX-8 2.2 XD スポーツ アピアランス ディーゼルターボ 4WD 後期 禁煙車 車検整備付 シティブレーキ ルーフレール BOSE 360度ビューM 10.25インチディスプレイ フルセグ BT ステリモ ETC FRドラレコ スマートキーX2 赤革Pシート Fシートヒーター</t>
        </is>
      </c>
      <c r="M276" s="12" t="inlineStr">
        <is>
          <t>https://www.carsensor.net/usedcar/detail/AU7442168576/index.html</t>
        </is>
      </c>
    </row>
    <row r="277">
      <c r="A277" s="6" t="n">
        <v>2023</v>
      </c>
      <c r="B277" s="7" t="inlineStr">
        <is>
          <t>4WD</t>
        </is>
      </c>
      <c r="C277" s="7" t="inlineStr">
        <is>
          <t>2.2 XD グランド</t>
        </is>
      </c>
      <c r="D277" s="17" t="n">
        <v>4</v>
      </c>
      <c r="E277" s="9" t="n">
        <v>348.9</v>
      </c>
      <c r="F277" s="9" t="n">
        <v>333.8</v>
      </c>
      <c r="G277" s="10" t="n">
        <v>4.4</v>
      </c>
      <c r="H277" s="7" t="inlineStr">
        <is>
          <t>なし</t>
        </is>
      </c>
      <c r="I277" s="7" t="inlineStr">
        <is>
          <t>車検整備付</t>
        </is>
      </c>
      <c r="J277" s="7" t="inlineStr">
        <is>
          <t>保証付</t>
        </is>
      </c>
      <c r="K277" s="16" t="inlineStr">
        <is>
          <t>修復歴なし / 車検整備付 / 保証付</t>
        </is>
      </c>
      <c r="L277" s="16" t="inlineStr">
        <is>
          <t>CX-8 2.2 XD グランド ジャーニー ディーゼルターボ 4WD メモリーナビ 360°モニター 4WD ETC</t>
        </is>
      </c>
      <c r="M277" s="7" t="inlineStr">
        <is>
          <t>https://www.carsensor.net/usedcar/detail/AU7343852736/index.html</t>
        </is>
      </c>
    </row>
    <row r="278">
      <c r="A278" s="11" t="n">
        <v>2023</v>
      </c>
      <c r="B278" s="12" t="inlineStr">
        <is>
          <t>4WD</t>
        </is>
      </c>
      <c r="C278" s="12" t="inlineStr">
        <is>
          <t>2.2 XD スポーツ</t>
        </is>
      </c>
      <c r="D278" s="13" t="n">
        <v>4</v>
      </c>
      <c r="E278" s="14" t="n">
        <v>385.4</v>
      </c>
      <c r="F278" s="14" t="n">
        <v>367.8</v>
      </c>
      <c r="G278" s="15" t="n">
        <v>3.3</v>
      </c>
      <c r="H278" s="12" t="inlineStr">
        <is>
          <t>なし</t>
        </is>
      </c>
      <c r="I278" s="12" t="inlineStr">
        <is>
          <t>車検整備付</t>
        </is>
      </c>
      <c r="J278" s="12" t="inlineStr">
        <is>
          <t>保証付</t>
        </is>
      </c>
      <c r="K278" s="16" t="inlineStr">
        <is>
          <t>修復歴なし / 車検整備付 / 保証付</t>
        </is>
      </c>
      <c r="L278" s="16" t="inlineStr">
        <is>
          <t>CX-8 2.2 XD スポーツ アピアランス ディーゼルターボ 4WD ナビ ETC</t>
        </is>
      </c>
      <c r="M278" s="12" t="inlineStr">
        <is>
          <t>https://www.carsensor.net/usedcar/detail/AU7088722771/index.html</t>
        </is>
      </c>
    </row>
    <row r="279">
      <c r="A279" s="6" t="n">
        <v>2023</v>
      </c>
      <c r="B279" s="7" t="inlineStr">
        <is>
          <t>4WD</t>
        </is>
      </c>
      <c r="C279" s="7" t="inlineStr">
        <is>
          <t>2.2 XD エクスクルーシブ</t>
        </is>
      </c>
      <c r="D279" s="17" t="n">
        <v>4</v>
      </c>
      <c r="E279" s="9" t="n">
        <v>410.5</v>
      </c>
      <c r="F279" s="9" t="n">
        <v>396</v>
      </c>
      <c r="G279" s="10" t="n">
        <v>3.8</v>
      </c>
      <c r="H279" s="7" t="inlineStr">
        <is>
          <t>なし</t>
        </is>
      </c>
      <c r="I279" s="7" t="inlineStr">
        <is>
          <t>車検整備付</t>
        </is>
      </c>
      <c r="J279" s="7" t="inlineStr">
        <is>
          <t>保証付</t>
        </is>
      </c>
      <c r="K279" s="16" t="inlineStr">
        <is>
          <t>修復歴なし / 車検整備付 / 保証付</t>
        </is>
      </c>
      <c r="L279" s="16" t="inlineStr">
        <is>
          <t>CX-8 2.2 XD エクスクルーシブ モード ディーゼルターボ 4WD 6人乗り 2列目シートアームレスト付き ワ</t>
        </is>
      </c>
      <c r="M279" s="7" t="inlineStr">
        <is>
          <t>https://www.carsensor.net/usedcar/detail/AU7310296092/index.html</t>
        </is>
      </c>
    </row>
    <row r="280">
      <c r="A280" s="11" t="n">
        <v>2023</v>
      </c>
      <c r="B280" s="12" t="inlineStr">
        <is>
          <t>4WD</t>
        </is>
      </c>
      <c r="C280" s="12" t="inlineStr">
        <is>
          <t>2.2 XD ブラックトーン</t>
        </is>
      </c>
      <c r="D280" s="13" t="n">
        <v>4</v>
      </c>
      <c r="E280" s="14" t="n">
        <v>348.3</v>
      </c>
      <c r="F280" s="14" t="n">
        <v>329.9</v>
      </c>
      <c r="G280" s="15" t="n">
        <v>3.3</v>
      </c>
      <c r="H280" s="12" t="inlineStr">
        <is>
          <t>なし</t>
        </is>
      </c>
      <c r="I280" s="12" t="inlineStr">
        <is>
          <t>車検整備付</t>
        </is>
      </c>
      <c r="J280" s="12" t="inlineStr">
        <is>
          <t>保証付</t>
        </is>
      </c>
      <c r="K280" s="16" t="inlineStr">
        <is>
          <t>修復歴なし / 車検整備付 / 保証付</t>
        </is>
      </c>
      <c r="L280" s="16" t="inlineStr">
        <is>
          <t>CX-8 2.2 XD ブラックトーン エディション ディーゼルターボ マツダコネクト/360°ビューモニター</t>
        </is>
      </c>
      <c r="M280" s="12" t="inlineStr">
        <is>
          <t>https://www.carsensor.net/usedcar/detail/AU7381991621/index.html</t>
        </is>
      </c>
    </row>
    <row r="281">
      <c r="A281" s="6" t="n">
        <v>2023</v>
      </c>
      <c r="B281" s="7" t="inlineStr">
        <is>
          <t>4WD</t>
        </is>
      </c>
      <c r="C281" s="7" t="inlineStr">
        <is>
          <t>2.2 XD グランド</t>
        </is>
      </c>
      <c r="D281" s="17" t="n">
        <v>4</v>
      </c>
      <c r="E281" s="9" t="n">
        <v>401</v>
      </c>
      <c r="F281" s="9" t="n">
        <v>385.8</v>
      </c>
      <c r="G281" s="10" t="n">
        <v>2.6</v>
      </c>
      <c r="H281" s="7" t="inlineStr">
        <is>
          <t>なし</t>
        </is>
      </c>
      <c r="I281" s="7" t="inlineStr">
        <is>
          <t>車検整備付</t>
        </is>
      </c>
      <c r="J281" s="7" t="inlineStr">
        <is>
          <t>保証付</t>
        </is>
      </c>
      <c r="K281" s="16" t="inlineStr">
        <is>
          <t>修復歴なし / 車検整備付 / 保証付</t>
        </is>
      </c>
      <c r="L281" s="16" t="inlineStr">
        <is>
          <t>CX-8 2.2 XD グランド ジャーニー ディーゼルターボ 4WD 全方位モニター ETC DVD TV 4WD ドライブレコーダー 電動パーキング 電動パワーシート シートヒーター ステアリングヒーター クルーズコントロール LEDヘッドライト プッシュスタートシステム 後席モニター</t>
        </is>
      </c>
      <c r="M281" s="7" t="inlineStr">
        <is>
          <t>https://www.carsensor.net/usedcar/detail/AU6942933751/index.html</t>
        </is>
      </c>
    </row>
    <row r="282">
      <c r="A282" s="11" t="n">
        <v>2023</v>
      </c>
      <c r="B282" s="12" t="inlineStr">
        <is>
          <t>4WD</t>
        </is>
      </c>
      <c r="C282" s="12" t="inlineStr">
        <is>
          <t>2.2 XD グランド</t>
        </is>
      </c>
      <c r="D282" s="13" t="n">
        <v>4</v>
      </c>
      <c r="E282" s="14" t="n">
        <v>399.2</v>
      </c>
      <c r="F282" s="14" t="n">
        <v>385</v>
      </c>
      <c r="G282" s="15" t="n">
        <v>3.8</v>
      </c>
      <c r="H282" s="12" t="inlineStr">
        <is>
          <t>なし</t>
        </is>
      </c>
      <c r="I282" s="12" t="inlineStr">
        <is>
          <t>車検整備付</t>
        </is>
      </c>
      <c r="J282" s="12" t="inlineStr">
        <is>
          <t>保証付</t>
        </is>
      </c>
      <c r="K282" s="16" t="inlineStr">
        <is>
          <t>修復歴なし / 車検整備付 / 保証付</t>
        </is>
      </c>
      <c r="L282" s="16" t="inlineStr">
        <is>
          <t>CX-8 2.2 XD グランド ジャーニー ディーゼルターボ 4WD</t>
        </is>
      </c>
      <c r="M282" s="12" t="inlineStr">
        <is>
          <t>https://www.carsensor.net/usedcar/detail/AU7114001577/index.html</t>
        </is>
      </c>
    </row>
    <row r="283">
      <c r="A283" s="6" t="n">
        <v>2018</v>
      </c>
      <c r="B283" s="7" t="inlineStr">
        <is>
          <t>4WD</t>
        </is>
      </c>
      <c r="C283" s="7" t="inlineStr">
        <is>
          <t>2.2 XD Lパッケージ</t>
        </is>
      </c>
      <c r="D283" s="17" t="n">
        <v>3.9</v>
      </c>
      <c r="E283" s="9" t="n">
        <v>239.9</v>
      </c>
      <c r="F283" s="9" t="n">
        <v>228.2</v>
      </c>
      <c r="G283" s="10" t="n">
        <v>5.4</v>
      </c>
      <c r="H283" s="7" t="inlineStr">
        <is>
          <t>なし</t>
        </is>
      </c>
      <c r="I283" s="7" t="inlineStr">
        <is>
          <t>2027(R09)年09月</t>
        </is>
      </c>
      <c r="J283" s="7" t="inlineStr">
        <is>
          <t>保証付</t>
        </is>
      </c>
      <c r="K283" s="16" t="inlineStr">
        <is>
          <t>修復歴なし / 車検 2027/09 まで（残り11ヶ月） / 保証付</t>
        </is>
      </c>
      <c r="L283" s="16" t="inlineStr">
        <is>
          <t>CX-8 2.2 XD Lパッケージ ディーゼルターボ 4WD 純正ナビ 360度ビュー スマートブレーキサポート レーダークルコン ブラインドスポットモニター パワーバックドア クリアランスソナー BOSE CD/DVD/フルセグ ステアリングヒーター ETC</t>
        </is>
      </c>
      <c r="M283" s="7" t="inlineStr">
        <is>
          <t>https://www.carsensor.net/usedcar/detail/AU7349582551/index.html</t>
        </is>
      </c>
    </row>
    <row r="284">
      <c r="A284" s="11" t="n">
        <v>2018</v>
      </c>
      <c r="B284" s="12" t="inlineStr">
        <is>
          <t>4WD</t>
        </is>
      </c>
      <c r="C284" s="12" t="inlineStr">
        <is>
          <t>XD PROACTIVE 360°ビューM</t>
        </is>
      </c>
      <c r="D284" s="13" t="n">
        <v>3.9</v>
      </c>
      <c r="E284" s="14" t="n">
        <v>195.5</v>
      </c>
      <c r="F284" s="14" t="n">
        <v>187</v>
      </c>
      <c r="G284" s="15" t="n">
        <v>8.800000000000001</v>
      </c>
      <c r="H284" s="12" t="inlineStr">
        <is>
          <t>なし</t>
        </is>
      </c>
      <c r="I284" s="12" t="inlineStr">
        <is>
          <t>2027(R09)年09月</t>
        </is>
      </c>
      <c r="J284" s="12" t="inlineStr">
        <is>
          <t>保証付</t>
        </is>
      </c>
      <c r="K284" s="16" t="inlineStr">
        <is>
          <t>修復歴なし / 車検 2027/09 まで（残り11ヶ月） / 保証付</t>
        </is>
      </c>
      <c r="L284" s="16" t="inlineStr">
        <is>
          <t>CX-8 XD PROACTIVE 360°ビューM CD/DVD+TV 360°ビューモニター CD/DVDプレーヤー+地デジ アダプティブLEDヘッドライト パワーシート ステアリング・シートヒーター 前後2カメラドラレコ ETC エンスタ</t>
        </is>
      </c>
      <c r="M284" s="12" t="inlineStr">
        <is>
          <t>https://www.carsensor.net/usedcar/detail/AU7289231217/index.html</t>
        </is>
      </c>
    </row>
    <row r="285">
      <c r="A285" s="6" t="n">
        <v>2018</v>
      </c>
      <c r="B285" s="7" t="inlineStr">
        <is>
          <t>4WD</t>
        </is>
      </c>
      <c r="C285" s="7" t="inlineStr">
        <is>
          <t>2.2 XD Lパッケージ</t>
        </is>
      </c>
      <c r="D285" s="17" t="n">
        <v>3.9</v>
      </c>
      <c r="E285" s="9" t="n">
        <v>196</v>
      </c>
      <c r="F285" s="9" t="n">
        <v>179</v>
      </c>
      <c r="G285" s="10" t="n">
        <v>5.9</v>
      </c>
      <c r="H285" s="7" t="inlineStr">
        <is>
          <t>なし</t>
        </is>
      </c>
      <c r="I285" s="7" t="inlineStr">
        <is>
          <t>2027(R09)年09月</t>
        </is>
      </c>
      <c r="J285" s="7" t="inlineStr">
        <is>
          <t>保証付</t>
        </is>
      </c>
      <c r="K285" s="16" t="inlineStr">
        <is>
          <t>修復歴なし / 車検 2027/09 まで（残り11ヶ月） / 保証付</t>
        </is>
      </c>
      <c r="L285" s="16" t="inlineStr">
        <is>
          <t>CX-8 2.2 XD Lパッケージ ディーゼルターボ 4WD 修復歴無し 保証付き 純正ナビ 全周囲カメラ ETC ドライブレコーダー ステアリングヒーター シートヒーター パワーバックドア レーダークルーズコントロール</t>
        </is>
      </c>
      <c r="M285" s="7" t="inlineStr">
        <is>
          <t>https://www.carsensor.net/usedcar/detail/AU7384821598/index.html</t>
        </is>
      </c>
    </row>
    <row r="286">
      <c r="A286" s="11" t="n">
        <v>2018</v>
      </c>
      <c r="B286" s="12" t="inlineStr">
        <is>
          <t>4WD</t>
        </is>
      </c>
      <c r="C286" s="12" t="inlineStr">
        <is>
          <t>2.2 XD プロアクティブ</t>
        </is>
      </c>
      <c r="D286" s="13" t="n">
        <v>3.9</v>
      </c>
      <c r="E286" s="14" t="n">
        <v>205.1</v>
      </c>
      <c r="F286" s="14" t="n">
        <v>195.8</v>
      </c>
      <c r="G286" s="15" t="n">
        <v>9.1</v>
      </c>
      <c r="H286" s="12" t="inlineStr">
        <is>
          <t>なし</t>
        </is>
      </c>
      <c r="I286" s="12" t="inlineStr">
        <is>
          <t>2027(R09)年09月</t>
        </is>
      </c>
      <c r="J286" s="12" t="inlineStr">
        <is>
          <t>保証付</t>
        </is>
      </c>
      <c r="K286" s="16" t="inlineStr">
        <is>
          <t>修復歴なし / 車検 2027/09 まで（残り11ヶ月） / 保証付</t>
        </is>
      </c>
      <c r="L286" s="16" t="inlineStr">
        <is>
          <t>CX-8 2.2 XD プロアクティブ ディーゼルターボ 4WD 純正メーカーナビ・クルーズコントロール</t>
        </is>
      </c>
      <c r="M286" s="12" t="inlineStr">
        <is>
          <t>https://www.carsensor.net/usedcar/detail/AU7031474330/index.html</t>
        </is>
      </c>
    </row>
    <row r="287">
      <c r="A287" s="6" t="n">
        <v>2018</v>
      </c>
      <c r="B287" s="7" t="inlineStr">
        <is>
          <t>4WD</t>
        </is>
      </c>
      <c r="C287" s="7" t="inlineStr">
        <is>
          <t>2.2 XD プロアクティブ</t>
        </is>
      </c>
      <c r="D287" s="17" t="n">
        <v>3.9</v>
      </c>
      <c r="E287" s="9" t="n">
        <v>183.7</v>
      </c>
      <c r="F287" s="9" t="n">
        <v>177.7</v>
      </c>
      <c r="G287" s="10" t="n">
        <v>9.6</v>
      </c>
      <c r="H287" s="7" t="inlineStr">
        <is>
          <t>なし</t>
        </is>
      </c>
      <c r="I287" s="7" t="inlineStr">
        <is>
          <t>2027(R09)年09月</t>
        </is>
      </c>
      <c r="J287" s="7" t="inlineStr">
        <is>
          <t>保証付</t>
        </is>
      </c>
      <c r="K287" s="16" t="inlineStr">
        <is>
          <t>修復歴なし / 車検 2027/09 まで（残り11ヶ月） / 保証付</t>
        </is>
      </c>
      <c r="L287" s="16" t="inlineStr">
        <is>
          <t>CX-8 2.2 XD プロアクティブ ディーゼルターボ 4WD 4WD 修復歴無し</t>
        </is>
      </c>
      <c r="M287" s="7" t="inlineStr">
        <is>
          <t>https://www.carsensor.net/usedcar/detail/AU7439670513/index.html</t>
        </is>
      </c>
    </row>
    <row r="288">
      <c r="A288" s="11" t="n">
        <v>2020</v>
      </c>
      <c r="B288" s="12" t="inlineStr">
        <is>
          <t>4WD</t>
        </is>
      </c>
      <c r="C288" s="12" t="inlineStr">
        <is>
          <t>2.2 XD プロアクティブ</t>
        </is>
      </c>
      <c r="D288" s="13" t="n">
        <v>3.9</v>
      </c>
      <c r="E288" s="14" t="n">
        <v>229.8</v>
      </c>
      <c r="F288" s="14" t="n">
        <v>218.1</v>
      </c>
      <c r="G288" s="15" t="n">
        <v>6.4</v>
      </c>
      <c r="H288" s="12" t="inlineStr">
        <is>
          <t>なし</t>
        </is>
      </c>
      <c r="I288" s="12" t="inlineStr">
        <is>
          <t>2027(R09)年09月</t>
        </is>
      </c>
      <c r="J288" s="12" t="inlineStr">
        <is>
          <t>保証付</t>
        </is>
      </c>
      <c r="K288" s="16" t="inlineStr">
        <is>
          <t>修復歴なし / 車検 2027/09 まで（残り11ヶ月） / 保証付</t>
        </is>
      </c>
      <c r="L288" s="16" t="inlineStr">
        <is>
          <t>CX-8 2.2 XD プロアクティブ ディーゼルターボ 4WD 純正8型ナビ 360度ビュー スマートブレーキサポート レーダークルコン ブラインドスポットモニター パワーバックドア クリアランスソナー 全席シートヒーター CD/DVD/フルセグ ETC ドラレコ</t>
        </is>
      </c>
      <c r="M288" s="12" t="inlineStr">
        <is>
          <t>https://www.carsensor.net/usedcar/detail/AU7383320044/index.html</t>
        </is>
      </c>
    </row>
    <row r="289">
      <c r="A289" s="6" t="n">
        <v>2022</v>
      </c>
      <c r="B289" s="7" t="inlineStr">
        <is>
          <t>4WD</t>
        </is>
      </c>
      <c r="C289" s="7" t="inlineStr">
        <is>
          <t>2.2 XD ブラックトーン</t>
        </is>
      </c>
      <c r="D289" s="17" t="n">
        <v>3.9</v>
      </c>
      <c r="E289" s="9" t="n">
        <v>339.5</v>
      </c>
      <c r="F289" s="9" t="n">
        <v>328</v>
      </c>
      <c r="G289" s="10" t="n">
        <v>3.5</v>
      </c>
      <c r="H289" s="7" t="inlineStr">
        <is>
          <t>なし</t>
        </is>
      </c>
      <c r="I289" s="7" t="inlineStr">
        <is>
          <t>2027(R09)年09月</t>
        </is>
      </c>
      <c r="J289" s="7" t="inlineStr">
        <is>
          <t>保証付</t>
        </is>
      </c>
      <c r="K289" s="16" t="inlineStr">
        <is>
          <t>修復歴なし / 車検 2027/09 まで（残り11ヶ月） / 保証付</t>
        </is>
      </c>
      <c r="L289" s="16" t="inlineStr">
        <is>
          <t>CX-8 2.2 XD ブラックトーン エディション ディーゼルターボ 禁煙・Apple CarPlay/Android Auto/Bluetooth/USB/地デジ/ラジオ・ワイヤレス充電・360°ビューモニター(前後コーナーセンサー)・ハンズフリーパワーリフトゲート・運転席10wayパワーシート・助手席パワーシート</t>
        </is>
      </c>
      <c r="M289" s="7" t="inlineStr">
        <is>
          <t>https://www.carsensor.net/usedcar/detail/AU7345472564/index.html</t>
        </is>
      </c>
    </row>
    <row r="290">
      <c r="A290" s="11" t="n">
        <v>2018</v>
      </c>
      <c r="B290" s="12" t="inlineStr">
        <is>
          <t>4WD</t>
        </is>
      </c>
      <c r="C290" s="12" t="inlineStr">
        <is>
          <t>2.2 XD Lパッケージ</t>
        </is>
      </c>
      <c r="D290" s="13" t="n">
        <v>3.8</v>
      </c>
      <c r="E290" s="14" t="n">
        <v>184.8</v>
      </c>
      <c r="F290" s="14" t="n">
        <v>176.2</v>
      </c>
      <c r="G290" s="15" t="n">
        <v>6.7</v>
      </c>
      <c r="H290" s="12" t="inlineStr">
        <is>
          <t>なし</t>
        </is>
      </c>
      <c r="I290" s="12" t="inlineStr">
        <is>
          <t>2027(R09)年07月</t>
        </is>
      </c>
      <c r="J290" s="12" t="inlineStr">
        <is>
          <t>保証付</t>
        </is>
      </c>
      <c r="K290" s="16" t="inlineStr">
        <is>
          <t>修復歴なし / 車検 2027/07 まで（残り9ヶ月） / 保証付</t>
        </is>
      </c>
      <c r="L290" s="16" t="inlineStr">
        <is>
          <t>CX-8 2.2 XD Lパッケージ ディーゼルターボ 6人乗り/純正ナビ/全周囲/追従クルコン/レーンキープアシスト/パワーバックドア/パワーシート/シートメモリー/シートヒーター/シートメモリー/ステアリングヒーター/HUD/BSM/ETC/クリアランスソナー</t>
        </is>
      </c>
      <c r="M290" s="12" t="inlineStr">
        <is>
          <t>https://www.carsensor.net/usedcar/detail/AU7210221784/index.html</t>
        </is>
      </c>
    </row>
    <row r="291">
      <c r="A291" s="6" t="n">
        <v>2018</v>
      </c>
      <c r="B291" s="7" t="inlineStr">
        <is>
          <t>4WD</t>
        </is>
      </c>
      <c r="C291" s="7" t="inlineStr">
        <is>
          <t>2.2 XD プロアクティブ</t>
        </is>
      </c>
      <c r="D291" s="17" t="n">
        <v>3.8</v>
      </c>
      <c r="E291" s="9" t="n">
        <v>196.9</v>
      </c>
      <c r="F291" s="9" t="n">
        <v>190.4</v>
      </c>
      <c r="G291" s="10" t="n">
        <v>5.5</v>
      </c>
      <c r="H291" s="7" t="inlineStr">
        <is>
          <t>なし</t>
        </is>
      </c>
      <c r="I291" s="7" t="inlineStr">
        <is>
          <t>2027(R09)年07月</t>
        </is>
      </c>
      <c r="J291" s="7" t="inlineStr">
        <is>
          <t>保証付</t>
        </is>
      </c>
      <c r="K291" s="16" t="inlineStr">
        <is>
          <t>修復歴なし / 車検 2027/07 まで（残り9ヶ月） / 保証付</t>
        </is>
      </c>
      <c r="L291" s="16" t="inlineStr">
        <is>
          <t>CX-8 2.2 XD プロアクティブ ディーゼルターボ 4WD BOSE/SDナビ/アイアクティブセンス/シートヒーター/全方位モニター/車線逸脱防止支援システム/電動バックドア/ドライブレコーダー 社外/ヘッドランプ LED</t>
        </is>
      </c>
      <c r="M291" s="7" t="inlineStr">
        <is>
          <t>https://www.carsensor.net/usedcar/detail/AU7270782547/index.html</t>
        </is>
      </c>
    </row>
    <row r="292">
      <c r="A292" s="11" t="n">
        <v>2018</v>
      </c>
      <c r="B292" s="12" t="inlineStr">
        <is>
          <t>4WD</t>
        </is>
      </c>
      <c r="C292" s="12" t="inlineStr">
        <is>
          <t>2.2 XD Lパッケージ</t>
        </is>
      </c>
      <c r="D292" s="13" t="n">
        <v>3.8</v>
      </c>
      <c r="E292" s="14" t="n">
        <v>194.8</v>
      </c>
      <c r="F292" s="14" t="n">
        <v>183.2</v>
      </c>
      <c r="G292" s="15" t="n">
        <v>7.7</v>
      </c>
      <c r="H292" s="12" t="inlineStr">
        <is>
          <t>なし</t>
        </is>
      </c>
      <c r="I292" s="12" t="inlineStr">
        <is>
          <t>2027(R09)年07月</t>
        </is>
      </c>
      <c r="J292" s="12" t="inlineStr">
        <is>
          <t>保証付</t>
        </is>
      </c>
      <c r="K292" s="16" t="inlineStr">
        <is>
          <t>修復歴なし / 車検 2027/07 まで（残り9ヶ月） / 保証付</t>
        </is>
      </c>
      <c r="L292" s="16" t="inlineStr">
        <is>
          <t>CX-8 2.2 XD Lパッケージ ディーゼルターボ 4WD 4WD ディーゼル(軽油) 純正SDナビ バックカメラ レーダークルーズ 禁煙車 電動リアゲート レザーシート ドラレコ スマートキー LEDヘッド ETC 純正19インチアルミ オートハイビーム</t>
        </is>
      </c>
      <c r="M292" s="12" t="inlineStr">
        <is>
          <t>https://www.carsensor.net/usedcar/detail/AU7157714265/index.html</t>
        </is>
      </c>
    </row>
    <row r="293">
      <c r="A293" s="6" t="n">
        <v>2018</v>
      </c>
      <c r="B293" s="7" t="inlineStr">
        <is>
          <t>4WD</t>
        </is>
      </c>
      <c r="C293" s="7" t="inlineStr">
        <is>
          <t>2.2 XD プロアクティブ</t>
        </is>
      </c>
      <c r="D293" s="17" t="n">
        <v>3.8</v>
      </c>
      <c r="E293" s="9" t="n">
        <v>199.9</v>
      </c>
      <c r="F293" s="9" t="n">
        <v>188.3</v>
      </c>
      <c r="G293" s="10" t="n">
        <v>8</v>
      </c>
      <c r="H293" s="7" t="inlineStr">
        <is>
          <t>なし</t>
        </is>
      </c>
      <c r="I293" s="7" t="inlineStr">
        <is>
          <t>2027(R09)年07月</t>
        </is>
      </c>
      <c r="J293" s="7" t="inlineStr">
        <is>
          <t>保証付</t>
        </is>
      </c>
      <c r="K293" s="16" t="inlineStr">
        <is>
          <t>修復歴なし / 車検 2027/07 まで（残り9ヶ月） / 保証付</t>
        </is>
      </c>
      <c r="L293" s="16" t="inlineStr">
        <is>
          <t>CX-8 2.2 XD プロアクティブ ディーゼルターボ 4WD 後席モニター 全周囲カメラ マツダコネクトナビ ブラインドスポットモニター レーダークルーズ コーナーセンサー シートヒーター パワーシート ステアリングヒーター LEDヘッドライト</t>
        </is>
      </c>
      <c r="M293" s="7" t="inlineStr">
        <is>
          <t>https://www.carsensor.net/usedcar/detail/AU7369860913/index.html</t>
        </is>
      </c>
    </row>
    <row r="294">
      <c r="A294" s="11" t="n">
        <v>2018</v>
      </c>
      <c r="B294" s="12" t="inlineStr">
        <is>
          <t>4WD</t>
        </is>
      </c>
      <c r="C294" s="12" t="inlineStr">
        <is>
          <t>2.2 XD プロアクティブ</t>
        </is>
      </c>
      <c r="D294" s="13" t="n">
        <v>3.8</v>
      </c>
      <c r="E294" s="14" t="n">
        <v>216.8</v>
      </c>
      <c r="F294" s="14" t="n">
        <v>210.9</v>
      </c>
      <c r="G294" s="15" t="n">
        <v>6.7</v>
      </c>
      <c r="H294" s="12" t="inlineStr">
        <is>
          <t>なし</t>
        </is>
      </c>
      <c r="I294" s="12" t="inlineStr">
        <is>
          <t>2027(R09)年07月</t>
        </is>
      </c>
      <c r="J294" s="12" t="inlineStr">
        <is>
          <t>保証付</t>
        </is>
      </c>
      <c r="K294" s="16" t="inlineStr">
        <is>
          <t>修復歴なし / 車検 2027/07 まで（残り9ヶ月） / 保証付</t>
        </is>
      </c>
      <c r="L294" s="16" t="inlineStr">
        <is>
          <t>CX-8 2.2 XD プロアクティブ ディーゼルターボ 純正ナビ バックカメラ シートヒーター ハンドルヒーター パワーシート ブラインドスポットモニター ヘッドアップディスプレイ BOSEサウンド 衝突被害軽減システム レーダークルーズコントロール</t>
        </is>
      </c>
      <c r="M294" s="12" t="inlineStr">
        <is>
          <t>https://www.carsensor.net/usedcar/detail/AU7357782657/index.html</t>
        </is>
      </c>
    </row>
    <row r="295">
      <c r="A295" s="6" t="n">
        <v>2020</v>
      </c>
      <c r="B295" s="7" t="inlineStr">
        <is>
          <t>4WD</t>
        </is>
      </c>
      <c r="C295" s="7" t="inlineStr">
        <is>
          <t>2.2 XD 100周年</t>
        </is>
      </c>
      <c r="D295" s="17" t="n">
        <v>3.8</v>
      </c>
      <c r="E295" s="9" t="n">
        <v>296.9</v>
      </c>
      <c r="F295" s="9" t="n">
        <v>290.4</v>
      </c>
      <c r="G295" s="10" t="n">
        <v>4.9</v>
      </c>
      <c r="H295" s="7" t="inlineStr">
        <is>
          <t>なし</t>
        </is>
      </c>
      <c r="I295" s="7" t="inlineStr">
        <is>
          <t>2027(R09)年07月</t>
        </is>
      </c>
      <c r="J295" s="7" t="inlineStr">
        <is>
          <t>保証付</t>
        </is>
      </c>
      <c r="K295" s="16" t="inlineStr">
        <is>
          <t>修復歴なし / 車検 2027/07 まで（残り9ヶ月） / 保証付</t>
        </is>
      </c>
      <c r="L295" s="16" t="inlineStr">
        <is>
          <t>CX-8 2.2 XD 100周年 特別記念車 ディーゼルターボ 4WD サンルーフ/BOSE/SDナビ/衝突安全装置/エアーシート 全席/全方位モニター/車線逸脱防止支援システム/シート 合皮/電動バックドア/ヘッドランプ LED/Bluetooth接続</t>
        </is>
      </c>
      <c r="M295" s="7" t="inlineStr">
        <is>
          <t>https://www.carsensor.net/usedcar/detail/AU7350255327/index.html</t>
        </is>
      </c>
    </row>
    <row r="296">
      <c r="A296" s="11" t="n">
        <v>2020</v>
      </c>
      <c r="B296" s="12" t="inlineStr">
        <is>
          <t>4WD</t>
        </is>
      </c>
      <c r="C296" s="12" t="inlineStr">
        <is>
          <t>2.2 XD エクスクルーシブ</t>
        </is>
      </c>
      <c r="D296" s="13" t="n">
        <v>3.8</v>
      </c>
      <c r="E296" s="14" t="n">
        <v>269</v>
      </c>
      <c r="F296" s="14" t="n">
        <v>256</v>
      </c>
      <c r="G296" s="15" t="n">
        <v>4.2</v>
      </c>
      <c r="H296" s="12" t="inlineStr">
        <is>
          <t>なし</t>
        </is>
      </c>
      <c r="I296" s="12" t="inlineStr">
        <is>
          <t>2027(R09)年08月</t>
        </is>
      </c>
      <c r="J296" s="12" t="inlineStr">
        <is>
          <t>保証付</t>
        </is>
      </c>
      <c r="K296" s="16" t="inlineStr">
        <is>
          <t>修復歴なし / 車検 2027/08 まで（残り10ヶ月） / 保証付</t>
        </is>
      </c>
      <c r="L296" s="16" t="inlineStr">
        <is>
          <t>CX-8 2.2 XD エクスクルーシブ モード ディーゼルターボ 4WD 純正ナビ・フルセグTV・サンルーフ・全方位カメラ・パワーシート・BOSEサウンド・ETC2.0・レーダークルーズコントロール・衝突軽減ブレーキ・シートヒーター・ステアリングヒーター</t>
        </is>
      </c>
      <c r="M296" s="12" t="inlineStr">
        <is>
          <t>https://www.carsensor.net/usedcar/detail/AU7352544860/index.html</t>
        </is>
      </c>
    </row>
    <row r="297">
      <c r="A297" s="6" t="n">
        <v>2020</v>
      </c>
      <c r="B297" s="7" t="inlineStr">
        <is>
          <t>4WD</t>
        </is>
      </c>
      <c r="C297" s="7" t="inlineStr">
        <is>
          <t>2.2 XD プロアクティブ</t>
        </is>
      </c>
      <c r="D297" s="17" t="n">
        <v>3.8</v>
      </c>
      <c r="E297" s="9" t="n">
        <v>275.2</v>
      </c>
      <c r="F297" s="9" t="n">
        <v>265</v>
      </c>
      <c r="G297" s="10" t="n">
        <v>6.4</v>
      </c>
      <c r="H297" s="7" t="inlineStr">
        <is>
          <t>なし</t>
        </is>
      </c>
      <c r="I297" s="7" t="inlineStr">
        <is>
          <t>2027(R09)年08月</t>
        </is>
      </c>
      <c r="J297" s="7" t="inlineStr">
        <is>
          <t>保証付</t>
        </is>
      </c>
      <c r="K297" s="16" t="inlineStr">
        <is>
          <t>修復歴なし / 車検 2027/08 まで（残り10ヶ月） / 保証付</t>
        </is>
      </c>
      <c r="L297" s="16" t="inlineStr">
        <is>
          <t>CX-8 2.2 XD プロアクティブ Sパッケージ ディーゼルターボ 4WD</t>
        </is>
      </c>
      <c r="M297" s="7" t="inlineStr">
        <is>
          <t>https://www.carsensor.net/usedcar/detail/AU6915581657/index.html</t>
        </is>
      </c>
    </row>
    <row r="298">
      <c r="A298" s="11" t="n">
        <v>2021</v>
      </c>
      <c r="B298" s="12" t="inlineStr">
        <is>
          <t>4WD</t>
        </is>
      </c>
      <c r="C298" s="12" t="inlineStr">
        <is>
          <t>2.2 XD ブラックトーン</t>
        </is>
      </c>
      <c r="D298" s="13" t="n">
        <v>3.8</v>
      </c>
      <c r="E298" s="14" t="n">
        <v>245.8</v>
      </c>
      <c r="F298" s="14" t="n">
        <v>239.5</v>
      </c>
      <c r="G298" s="15" t="n">
        <v>7.8</v>
      </c>
      <c r="H298" s="12" t="inlineStr">
        <is>
          <t>なし</t>
        </is>
      </c>
      <c r="I298" s="12" t="inlineStr">
        <is>
          <t>2028(R10)年01月</t>
        </is>
      </c>
      <c r="J298" s="12" t="inlineStr">
        <is>
          <t>保証付</t>
        </is>
      </c>
      <c r="K298" s="16" t="inlineStr">
        <is>
          <t>走行が多め（7.8万km） / 修復歴なし / 車検 2028/01 まで（残り15ヶ月） / 保証付 / 同年式より安い（中央値 279万）</t>
        </is>
      </c>
      <c r="L298" s="16" t="inlineStr">
        <is>
          <t>CX-8 2.2 XD ブラックトーン エディション ディーゼルターボ 4WD ワンオーナー/4WD/全周囲モニター/ETC</t>
        </is>
      </c>
      <c r="M298" s="12" t="inlineStr">
        <is>
          <t>https://www.carsensor.net/usedcar/detail/AU7444929895/index.html</t>
        </is>
      </c>
    </row>
    <row r="299">
      <c r="A299" s="6" t="n">
        <v>2022</v>
      </c>
      <c r="B299" s="7" t="inlineStr">
        <is>
          <t>4WD</t>
        </is>
      </c>
      <c r="C299" s="7" t="inlineStr">
        <is>
          <t>2.2 XD Lパッケージ</t>
        </is>
      </c>
      <c r="D299" s="17" t="n">
        <v>3.8</v>
      </c>
      <c r="E299" s="9" t="n">
        <v>299.9</v>
      </c>
      <c r="F299" s="9" t="n">
        <v>288.1</v>
      </c>
      <c r="G299" s="10" t="n">
        <v>5.3</v>
      </c>
      <c r="H299" s="7" t="inlineStr">
        <is>
          <t>なし</t>
        </is>
      </c>
      <c r="I299" s="7" t="inlineStr">
        <is>
          <t>2027(R09)年08月</t>
        </is>
      </c>
      <c r="J299" s="7" t="inlineStr">
        <is>
          <t>保証付</t>
        </is>
      </c>
      <c r="K299" s="16" t="inlineStr">
        <is>
          <t>修復歴なし / 車検 2027/08 まで（残り10ヶ月） / 保証付</t>
        </is>
      </c>
      <c r="L299" s="16" t="inlineStr">
        <is>
          <t>CX-8 2.2 XD Lパッケージ ディーゼルターボ 4WD 純正12型SDナビ 全周囲カメラ デジタルインナーミラー ブラインドスポットモニター 禁煙車 レーダークルーズコントロール シートヒーター パワーバックドア メモリー付きパワーシート ETC フルセグ</t>
        </is>
      </c>
      <c r="M299" s="7" t="inlineStr">
        <is>
          <t>https://www.carsensor.net/usedcar/detail/AU7406710538/index.html</t>
        </is>
      </c>
    </row>
    <row r="300">
      <c r="A300" s="11" t="n">
        <v>2022</v>
      </c>
      <c r="B300" s="12" t="inlineStr">
        <is>
          <t>4WD</t>
        </is>
      </c>
      <c r="C300" s="12" t="inlineStr">
        <is>
          <t>2.5 25T ブラックトーン</t>
        </is>
      </c>
      <c r="D300" s="13" t="n">
        <v>3.8</v>
      </c>
      <c r="E300" s="14" t="n">
        <v>298.9</v>
      </c>
      <c r="F300" s="14" t="n">
        <v>288.3</v>
      </c>
      <c r="G300" s="15" t="n">
        <v>3.7</v>
      </c>
      <c r="H300" s="12" t="inlineStr">
        <is>
          <t>なし</t>
        </is>
      </c>
      <c r="I300" s="12" t="inlineStr">
        <is>
          <t>2027(R09)年08月</t>
        </is>
      </c>
      <c r="J300" s="12" t="inlineStr">
        <is>
          <t>保証付</t>
        </is>
      </c>
      <c r="K300" s="16" t="inlineStr">
        <is>
          <t>修復歴なし / 車検 2027/08 まで（残り10ヶ月） / 保証付</t>
        </is>
      </c>
      <c r="L300" s="16" t="inlineStr">
        <is>
          <t>CX-8 2.5 25T ブラックトーン エディション 4WD BOSE ナビ TV 30カメラ ETC PBドア</t>
        </is>
      </c>
      <c r="M300" s="12" t="inlineStr">
        <is>
          <t>https://www.carsensor.net/usedcar/detail/AU7415961764/index.html</t>
        </is>
      </c>
    </row>
    <row r="301">
      <c r="A301" s="6" t="n">
        <v>2018</v>
      </c>
      <c r="B301" s="7" t="inlineStr">
        <is>
          <t>4WD</t>
        </is>
      </c>
      <c r="C301" s="7" t="inlineStr">
        <is>
          <t>2.2 XD Lパッケージ</t>
        </is>
      </c>
      <c r="D301" s="17" t="n">
        <v>3.7</v>
      </c>
      <c r="E301" s="9" t="n">
        <v>265</v>
      </c>
      <c r="F301" s="9" t="n">
        <v>248</v>
      </c>
      <c r="G301" s="10" t="n">
        <v>6.7</v>
      </c>
      <c r="H301" s="7" t="inlineStr">
        <is>
          <t>なし</t>
        </is>
      </c>
      <c r="I301" s="7" t="inlineStr">
        <is>
          <t>2027(R09)年06月</t>
        </is>
      </c>
      <c r="J301" s="7" t="inlineStr">
        <is>
          <t>保証付</t>
        </is>
      </c>
      <c r="K301" s="16" t="inlineStr">
        <is>
          <t>修復歴なし / 車検 2027/06 まで（残り8ヶ月） / 保証付</t>
        </is>
      </c>
      <c r="L301" s="16" t="inlineStr">
        <is>
          <t>CX-8 2.2 XD Lパッケージ ディーゼルターボ 4WD 寒冷地仕様 BOSEサウンド LEDヘッドライト SDナビ 全周囲カメラ バックカメラ パーキングセンサー シートヒーター ステアリングヒーター レーダークルーズコントロール 衝突被害軽減システム</t>
        </is>
      </c>
      <c r="M301" s="7" t="inlineStr">
        <is>
          <t>https://www.carsensor.net/usedcar/detail/AU7059148662/index.html</t>
        </is>
      </c>
    </row>
    <row r="302">
      <c r="A302" s="11" t="n">
        <v>2018</v>
      </c>
      <c r="B302" s="12" t="inlineStr">
        <is>
          <t>4WD</t>
        </is>
      </c>
      <c r="C302" s="12" t="inlineStr">
        <is>
          <t>2.2 XD Lパッケージ</t>
        </is>
      </c>
      <c r="D302" s="13" t="n">
        <v>3.6</v>
      </c>
      <c r="E302" s="14" t="n">
        <v>189.9</v>
      </c>
      <c r="F302" s="14" t="n">
        <v>176.8</v>
      </c>
      <c r="G302" s="15" t="n">
        <v>8.6</v>
      </c>
      <c r="H302" s="12" t="inlineStr">
        <is>
          <t>なし</t>
        </is>
      </c>
      <c r="I302" s="12" t="inlineStr">
        <is>
          <t>2027(R09)年05月</t>
        </is>
      </c>
      <c r="J302" s="12" t="inlineStr">
        <is>
          <t>保証付</t>
        </is>
      </c>
      <c r="K302" s="16" t="inlineStr">
        <is>
          <t>修復歴なし / 車検 2027/05 まで（残り7ヶ月） / 保証付</t>
        </is>
      </c>
      <c r="L302" s="16" t="inlineStr">
        <is>
          <t>CX-8 2.2 XD Lパッケージ ディーゼルターボ 4WD 6人乗り ルーフレール マツダコネクトナビ ブラインドスポットモニター サイド/バックカメラ パワーバックドア 前席/2列目シートヒーター LEDオートライト フロント/リアフォグランプ レーダークルーズコントロール</t>
        </is>
      </c>
      <c r="M302" s="12" t="inlineStr">
        <is>
          <t>https://www.carsensor.net/usedcar/detail/AU7397739454/index.html</t>
        </is>
      </c>
    </row>
    <row r="303">
      <c r="A303" s="6" t="n">
        <v>2018</v>
      </c>
      <c r="B303" s="7" t="inlineStr">
        <is>
          <t>4WD</t>
        </is>
      </c>
      <c r="C303" s="7" t="inlineStr">
        <is>
          <t>2.2 XD Lパッケージ</t>
        </is>
      </c>
      <c r="D303" s="17" t="n">
        <v>3.6</v>
      </c>
      <c r="E303" s="9" t="n">
        <v>213.2</v>
      </c>
      <c r="F303" s="9" t="n">
        <v>199.7</v>
      </c>
      <c r="G303" s="10" t="n">
        <v>6.5</v>
      </c>
      <c r="H303" s="7" t="inlineStr">
        <is>
          <t>なし</t>
        </is>
      </c>
      <c r="I303" s="7" t="inlineStr">
        <is>
          <t>2027(R09)年05月</t>
        </is>
      </c>
      <c r="J303" s="7" t="inlineStr">
        <is>
          <t>保証付</t>
        </is>
      </c>
      <c r="K303" s="16" t="inlineStr">
        <is>
          <t>修復歴なし / 車検 2027/05 まで（残り7ヶ月） / 保証付</t>
        </is>
      </c>
      <c r="L303" s="16" t="inlineStr">
        <is>
          <t>CX-8 2.2 XD Lパッケージ ディーゼルターボ 4WD 純フルセグSDナビ/フリップダウンモニター/全方カメラ/iアクティブセンス/アドバンストキー/LED/ETC2.0/TEIN車高調/19インチAW/コーナーセンサー/Aクルコン/黒革席/i-stop</t>
        </is>
      </c>
      <c r="M303" s="7" t="inlineStr">
        <is>
          <t>https://www.carsensor.net/usedcar/detail/AU7144928666/index.html</t>
        </is>
      </c>
    </row>
    <row r="304">
      <c r="A304" s="11" t="n">
        <v>2018</v>
      </c>
      <c r="B304" s="12" t="inlineStr">
        <is>
          <t>4WD</t>
        </is>
      </c>
      <c r="C304" s="12" t="inlineStr">
        <is>
          <t>2.2 XD プロアクティブ</t>
        </is>
      </c>
      <c r="D304" s="13" t="n">
        <v>3.6</v>
      </c>
      <c r="E304" s="14" t="n">
        <v>149.2</v>
      </c>
      <c r="F304" s="14" t="n">
        <v>138.9</v>
      </c>
      <c r="G304" s="15" t="n">
        <v>9.9</v>
      </c>
      <c r="H304" s="12" t="inlineStr">
        <is>
          <t>なし</t>
        </is>
      </c>
      <c r="I304" s="12" t="inlineStr">
        <is>
          <t>2027(R09)年05月</t>
        </is>
      </c>
      <c r="J304" s="12" t="inlineStr">
        <is>
          <t>保証無</t>
        </is>
      </c>
      <c r="K304" s="16" t="inlineStr">
        <is>
          <t>修復歴なし / 車検 2027/05 まで（残り7ヶ月） / 同年式より安い（中央値 196万）</t>
        </is>
      </c>
      <c r="L304" s="16" t="inlineStr">
        <is>
          <t>CX-8 2.2 XD プロアクティブ ディーゼルターボ 4WD BOSEサウンドシステム ナビ フルセグ Bluetooth バックモニター ステアリングヒーター シートヒーター パワーシート エンジンスターター スマートキー ETC USB クルーズコントロール アルミ</t>
        </is>
      </c>
      <c r="M304" s="12" t="inlineStr">
        <is>
          <t>https://www.carsensor.net/usedcar/detail/AU7305431862/index.html</t>
        </is>
      </c>
    </row>
    <row r="305">
      <c r="A305" s="6" t="n">
        <v>2018</v>
      </c>
      <c r="B305" s="7" t="inlineStr">
        <is>
          <t>4WD</t>
        </is>
      </c>
      <c r="C305" s="7" t="inlineStr">
        <is>
          <t>2.2 XD Lパッケージ</t>
        </is>
      </c>
      <c r="D305" s="17" t="n">
        <v>3.6</v>
      </c>
      <c r="E305" s="9" t="n">
        <v>209</v>
      </c>
      <c r="F305" s="9" t="n">
        <v>195.1</v>
      </c>
      <c r="G305" s="10" t="n">
        <v>7.9</v>
      </c>
      <c r="H305" s="7" t="inlineStr">
        <is>
          <t>なし</t>
        </is>
      </c>
      <c r="I305" s="7" t="inlineStr">
        <is>
          <t>2027(R09)年05月</t>
        </is>
      </c>
      <c r="J305" s="7" t="inlineStr">
        <is>
          <t>保証付</t>
        </is>
      </c>
      <c r="K305" s="16" t="inlineStr">
        <is>
          <t>修復歴なし / 車検 2027/05 まで（残り7ヶ月） / 保証付</t>
        </is>
      </c>
      <c r="L305" s="16" t="inlineStr">
        <is>
          <t>CX-8 2.2 XD Lパッケージ ディーゼルターボ 4WD 純正マツダコネクトナビ/全周囲カメラ/フルセグ/BOSEサウンドシステム/後席フリップダウンモニター/エアロ/Kranze製20AW/ブラックレザーシート/レーダークルーズコントロール/LEDライト</t>
        </is>
      </c>
      <c r="M305" s="7" t="inlineStr">
        <is>
          <t>https://www.carsensor.net/usedcar/detail/AU7398403019/index.html</t>
        </is>
      </c>
    </row>
    <row r="306">
      <c r="A306" s="11" t="n">
        <v>2018</v>
      </c>
      <c r="B306" s="12" t="inlineStr">
        <is>
          <t>4WD</t>
        </is>
      </c>
      <c r="C306" s="12" t="inlineStr">
        <is>
          <t>2.2 XD プロアクティブ</t>
        </is>
      </c>
      <c r="D306" s="13" t="n">
        <v>3.6</v>
      </c>
      <c r="E306" s="14" t="n">
        <v>209</v>
      </c>
      <c r="F306" s="14" t="n">
        <v>196.4</v>
      </c>
      <c r="G306" s="15" t="n">
        <v>5.6</v>
      </c>
      <c r="H306" s="12" t="inlineStr">
        <is>
          <t>なし</t>
        </is>
      </c>
      <c r="I306" s="12" t="inlineStr">
        <is>
          <t>2027(R09)年05月</t>
        </is>
      </c>
      <c r="J306" s="12" t="inlineStr">
        <is>
          <t>保証付</t>
        </is>
      </c>
      <c r="K306" s="16" t="inlineStr">
        <is>
          <t>修復歴なし / 車検 2027/05 まで（残り7ヶ月） / 保証付</t>
        </is>
      </c>
      <c r="L306" s="16" t="inlineStr">
        <is>
          <t>CX-8 2.2 XD プロアクティブ ディーゼルターボ 4WD</t>
        </is>
      </c>
      <c r="M306" s="12" t="inlineStr">
        <is>
          <t>https://www.carsensor.net/usedcar/detail/AU7136465744/index.html</t>
        </is>
      </c>
    </row>
    <row r="307">
      <c r="A307" s="6" t="n">
        <v>2020</v>
      </c>
      <c r="B307" s="7" t="inlineStr">
        <is>
          <t>4WD</t>
        </is>
      </c>
      <c r="C307" s="7" t="inlineStr">
        <is>
          <t>2.5 25S プロアクティブ</t>
        </is>
      </c>
      <c r="D307" s="17" t="n">
        <v>3.6</v>
      </c>
      <c r="E307" s="9" t="n">
        <v>259</v>
      </c>
      <c r="F307" s="9" t="n">
        <v>249.8</v>
      </c>
      <c r="G307" s="10" t="n">
        <v>4.8</v>
      </c>
      <c r="H307" s="7" t="inlineStr">
        <is>
          <t>なし</t>
        </is>
      </c>
      <c r="I307" s="7" t="inlineStr">
        <is>
          <t>2027(R09)年05月</t>
        </is>
      </c>
      <c r="J307" s="7" t="inlineStr">
        <is>
          <t>保証付</t>
        </is>
      </c>
      <c r="K307" s="16" t="inlineStr">
        <is>
          <t>修復歴なし / 車検 2027/05 まで（残り7ヶ月） / 保証付</t>
        </is>
      </c>
      <c r="L307" s="16" t="inlineStr">
        <is>
          <t>CX-8 2.5 25S プロアクティブ 4WD 4WD ワンオーナー ビッグXフローティングナビ フルセグ 全周囲カメラ エンジンスターター ボーズサウンド ハンドルヒーター パワーバックドア 純正19インチアルミホイール 冬タイヤ17インチ付き</t>
        </is>
      </c>
      <c r="M307" s="7" t="inlineStr">
        <is>
          <t>https://www.carsensor.net/usedcar/detail/AU7320807460/index.html</t>
        </is>
      </c>
    </row>
    <row r="308">
      <c r="A308" s="11" t="n">
        <v>2022</v>
      </c>
      <c r="B308" s="12" t="inlineStr">
        <is>
          <t>4WD</t>
        </is>
      </c>
      <c r="C308" s="12" t="inlineStr">
        <is>
          <t>2.2 XD エクスクルーシブ</t>
        </is>
      </c>
      <c r="D308" s="13" t="n">
        <v>3.6</v>
      </c>
      <c r="E308" s="14" t="n">
        <v>347.8</v>
      </c>
      <c r="F308" s="14" t="n">
        <v>343.2</v>
      </c>
      <c r="G308" s="15" t="n">
        <v>3.3</v>
      </c>
      <c r="H308" s="12" t="inlineStr">
        <is>
          <t>なし</t>
        </is>
      </c>
      <c r="I308" s="12" t="inlineStr">
        <is>
          <t>2027(R09)年05月</t>
        </is>
      </c>
      <c r="J308" s="12" t="inlineStr">
        <is>
          <t>保証付</t>
        </is>
      </c>
      <c r="K308" s="16" t="inlineStr">
        <is>
          <t>修復歴なし / 車検 2027/05 まで（残り7ヶ月） / 保証付</t>
        </is>
      </c>
      <c r="L308" s="16" t="inlineStr">
        <is>
          <t>CX-8 2.2 XD エクスクルーシブ モード ディーゼルターボ 4WD 7人乗り・赤茶革シート・ナビ・BOSEサウンド・前後ドラレコ・ETC・360度ビューモニター・電動シート・ハンズフリーパワーバックドア・ワイヤレス充電・メーカー保証付</t>
        </is>
      </c>
      <c r="M308" s="12" t="inlineStr">
        <is>
          <t>https://www.carsensor.net/usedcar/detail/AU7388135706/index.html</t>
        </is>
      </c>
    </row>
    <row r="309">
      <c r="A309" s="6" t="n">
        <v>2018</v>
      </c>
      <c r="B309" s="7" t="inlineStr">
        <is>
          <t>4WD</t>
        </is>
      </c>
      <c r="C309" s="7" t="inlineStr">
        <is>
          <t>2.2 XD Lパッケージ</t>
        </is>
      </c>
      <c r="D309" s="17" t="n">
        <v>3.5</v>
      </c>
      <c r="E309" s="9" t="n">
        <v>156</v>
      </c>
      <c r="F309" s="9" t="n">
        <v>144</v>
      </c>
      <c r="G309" s="10" t="n">
        <v>10.5</v>
      </c>
      <c r="H309" s="7" t="inlineStr">
        <is>
          <t>なし</t>
        </is>
      </c>
      <c r="I309" s="7" t="inlineStr">
        <is>
          <t>車検整備付</t>
        </is>
      </c>
      <c r="J309" s="7" t="inlineStr">
        <is>
          <t>保証付</t>
        </is>
      </c>
      <c r="K309" s="16" t="inlineStr">
        <is>
          <t>走行が多め（10.5万km） / 修復歴なし / 車検整備付 / 保証付 / 同年式より安い（中央値 196万）</t>
        </is>
      </c>
      <c r="L309" s="16" t="inlineStr">
        <is>
          <t>CX-8 2.2 XD Lパッケージ ディーゼルターボ 4WD 6ヶ月走行距離無制限保証付 純正SDナビ 全周囲カメラ 禁煙車 BOSEサウンド 衝突軽減ブレーキ Bluetooth 電動リアゲート 本革シート レーダークルーズコントロール コーナーセンサー シートヒーター</t>
        </is>
      </c>
      <c r="M309" s="7" t="inlineStr">
        <is>
          <t>https://www.carsensor.net/usedcar/detail/AU7413003407/index.html</t>
        </is>
      </c>
    </row>
    <row r="310">
      <c r="A310" s="11" t="n">
        <v>2018</v>
      </c>
      <c r="B310" s="12" t="inlineStr">
        <is>
          <t>4WD</t>
        </is>
      </c>
      <c r="C310" s="12" t="inlineStr">
        <is>
          <t>2.2 XD プロアクティブ</t>
        </is>
      </c>
      <c r="D310" s="13" t="n">
        <v>3.5</v>
      </c>
      <c r="E310" s="14" t="n">
        <v>189.9</v>
      </c>
      <c r="F310" s="14" t="n">
        <v>178.5</v>
      </c>
      <c r="G310" s="15" t="n">
        <v>5.5</v>
      </c>
      <c r="H310" s="12" t="inlineStr">
        <is>
          <t>なし</t>
        </is>
      </c>
      <c r="I310" s="12" t="inlineStr">
        <is>
          <t>2027(R09)年04月</t>
        </is>
      </c>
      <c r="J310" s="12" t="inlineStr">
        <is>
          <t>保証付</t>
        </is>
      </c>
      <c r="K310" s="16" t="inlineStr">
        <is>
          <t>修復歴なし / 車検 2027/04 まで（残り6ヶ月） / 保証付</t>
        </is>
      </c>
      <c r="L310" s="16" t="inlineStr">
        <is>
          <t>CX-8 2.2 XD プロアクティブ ディーゼルターボ 7人乗り 純正ナビ 全周囲カメラ 衝突軽減 レーダークルーズ 禁煙車 パワーシート シートヒータ ドラレコ コーナーセンサー スマートキー LEDヘッド ETC 純正19インチAW</t>
        </is>
      </c>
      <c r="M310" s="12" t="inlineStr">
        <is>
          <t>https://www.carsensor.net/usedcar/detail/AU7397376865/index.html</t>
        </is>
      </c>
    </row>
    <row r="311">
      <c r="A311" s="6" t="n">
        <v>2018</v>
      </c>
      <c r="B311" s="7" t="inlineStr">
        <is>
          <t>4WD</t>
        </is>
      </c>
      <c r="C311" s="7" t="inlineStr">
        <is>
          <t>2.2 XD プロアクティブ</t>
        </is>
      </c>
      <c r="D311" s="17" t="n">
        <v>3.5</v>
      </c>
      <c r="E311" s="9" t="n">
        <v>199.9</v>
      </c>
      <c r="F311" s="9" t="n">
        <v>188.5</v>
      </c>
      <c r="G311" s="10" t="n">
        <v>6.9</v>
      </c>
      <c r="H311" s="7" t="inlineStr">
        <is>
          <t>なし</t>
        </is>
      </c>
      <c r="I311" s="7" t="inlineStr">
        <is>
          <t>2027(R09)年04月</t>
        </is>
      </c>
      <c r="J311" s="7" t="inlineStr">
        <is>
          <t>保証付</t>
        </is>
      </c>
      <c r="K311" s="16" t="inlineStr">
        <is>
          <t>修復歴なし / 車検 2027/04 まで（残り6ヶ月） / 保証付</t>
        </is>
      </c>
      <c r="L311" s="16" t="inlineStr">
        <is>
          <t>CX-8 2.2 XD プロアクティブ ディーゼルターボ 4WD 本州仕入れ 4WD 禁煙車 フリップダウンモニター 全周囲カメラ スマートブレーキサポート ブラインドスポットモニター レーダークルーズ ステアリングヒーター シートヒータ― コーナーセンサー ETC</t>
        </is>
      </c>
      <c r="M311" s="7" t="inlineStr">
        <is>
          <t>https://www.carsensor.net/usedcar/detail/AU7327443802/index.html</t>
        </is>
      </c>
    </row>
    <row r="312">
      <c r="A312" s="11" t="n">
        <v>2018</v>
      </c>
      <c r="B312" s="12" t="inlineStr">
        <is>
          <t>4WD</t>
        </is>
      </c>
      <c r="C312" s="12" t="inlineStr">
        <is>
          <t>2.2 XD Lパッケージ</t>
        </is>
      </c>
      <c r="D312" s="13" t="n">
        <v>3.5</v>
      </c>
      <c r="E312" s="14" t="n">
        <v>198.9</v>
      </c>
      <c r="F312" s="14" t="n">
        <v>178.9</v>
      </c>
      <c r="G312" s="15" t="n">
        <v>4.5</v>
      </c>
      <c r="H312" s="12" t="inlineStr">
        <is>
          <t>なし</t>
        </is>
      </c>
      <c r="I312" s="12" t="inlineStr">
        <is>
          <t>車検整備無</t>
        </is>
      </c>
      <c r="J312" s="12" t="inlineStr">
        <is>
          <t>保証無</t>
        </is>
      </c>
      <c r="K312" s="16" t="inlineStr">
        <is>
          <t>走行が少なめ（4.5万km） / 修復歴なし</t>
        </is>
      </c>
      <c r="L312" s="16" t="inlineStr">
        <is>
          <t>CX-8 2.2 XD Lパッケージ ディーゼルターボ 4WD Boseサウンド 禁煙車 純正ナビ 全周囲カメラ フルセグ アルパイン10.1インチ後席モニター 電動リアゲート アダプティブクルーズコントロール 革シート シートヒーター ビルトインETC</t>
        </is>
      </c>
      <c r="M312" s="12" t="inlineStr">
        <is>
          <t>https://www.carsensor.net/usedcar/detail/AU7299630950/index.html</t>
        </is>
      </c>
    </row>
    <row r="313">
      <c r="A313" s="6" t="n">
        <v>2018</v>
      </c>
      <c r="B313" s="7" t="inlineStr">
        <is>
          <t>4WD</t>
        </is>
      </c>
      <c r="C313" s="7" t="inlineStr">
        <is>
          <t>2.2 XD プロアクティブ</t>
        </is>
      </c>
      <c r="D313" s="17" t="n">
        <v>3.5</v>
      </c>
      <c r="E313" s="9" t="n">
        <v>179</v>
      </c>
      <c r="F313" s="9" t="n">
        <v>169</v>
      </c>
      <c r="G313" s="10" t="n">
        <v>8.6</v>
      </c>
      <c r="H313" s="7" t="inlineStr">
        <is>
          <t>なし</t>
        </is>
      </c>
      <c r="I313" s="7" t="inlineStr">
        <is>
          <t>2027(R09)年04月</t>
        </is>
      </c>
      <c r="J313" s="7" t="inlineStr">
        <is>
          <t>保証付</t>
        </is>
      </c>
      <c r="K313" s="16" t="inlineStr">
        <is>
          <t>修復歴なし / 車検 2027/04 まで（残り6ヶ月） / 保証付</t>
        </is>
      </c>
      <c r="L313" s="16" t="inlineStr">
        <is>
          <t>CX-8 2.2 XD プロアクティブ ディーゼルターボ 4WD HDDナビ フルセグTV 全方位モニター スマートキー プッシュスタート ETC パワーシート シートヒーター ステアリングヒーター 純正アルミ 記録簿</t>
        </is>
      </c>
      <c r="M313" s="7" t="inlineStr">
        <is>
          <t>https://www.carsensor.net/usedcar/detail/AU7324830106/index.html</t>
        </is>
      </c>
    </row>
    <row r="314">
      <c r="A314" s="11" t="n">
        <v>2019</v>
      </c>
      <c r="B314" s="12" t="inlineStr">
        <is>
          <t>4WD</t>
        </is>
      </c>
      <c r="C314" s="12" t="inlineStr">
        <is>
          <t>2.5 25T プロアクティブ</t>
        </is>
      </c>
      <c r="D314" s="13" t="n">
        <v>3.5</v>
      </c>
      <c r="E314" s="14" t="n">
        <v>168.8</v>
      </c>
      <c r="F314" s="14" t="n">
        <v>158.8</v>
      </c>
      <c r="G314" s="15" t="n">
        <v>9</v>
      </c>
      <c r="H314" s="12" t="inlineStr">
        <is>
          <t>なし</t>
        </is>
      </c>
      <c r="I314" s="12" t="inlineStr">
        <is>
          <t>車検整備付</t>
        </is>
      </c>
      <c r="J314" s="12" t="inlineStr">
        <is>
          <t>保証付</t>
        </is>
      </c>
      <c r="K314" s="16" t="inlineStr">
        <is>
          <t>走行が多め（9.0万km） / 修復歴なし / 車検整備付 / 保証付 / 同年式より安い（中央値 231万）</t>
        </is>
      </c>
      <c r="L314" s="16" t="inlineStr">
        <is>
          <t>CX-8 2.5 25T プロアクティブ 4WD 360℃ビューモニタ 社外アルミホイール TV ナビ ETC</t>
        </is>
      </c>
      <c r="M314" s="12" t="inlineStr">
        <is>
          <t>https://www.carsensor.net/usedcar/detail/AU7282625315/index.html</t>
        </is>
      </c>
    </row>
    <row r="315">
      <c r="A315" s="6" t="n">
        <v>2020</v>
      </c>
      <c r="B315" s="7" t="inlineStr">
        <is>
          <t>4WD</t>
        </is>
      </c>
      <c r="C315" s="7" t="inlineStr">
        <is>
          <t>2.2 XD エクスクルーシブ</t>
        </is>
      </c>
      <c r="D315" s="17" t="n">
        <v>3.5</v>
      </c>
      <c r="E315" s="9" t="n">
        <v>281.8</v>
      </c>
      <c r="F315" s="9" t="n">
        <v>269.8</v>
      </c>
      <c r="G315" s="10" t="n">
        <v>5.1</v>
      </c>
      <c r="H315" s="7" t="inlineStr">
        <is>
          <t>なし</t>
        </is>
      </c>
      <c r="I315" s="7" t="inlineStr">
        <is>
          <t>2027(R09)年04月</t>
        </is>
      </c>
      <c r="J315" s="7" t="inlineStr">
        <is>
          <t>保証付</t>
        </is>
      </c>
      <c r="K315" s="16" t="inlineStr">
        <is>
          <t>修復歴なし / 車検 2027/04 まで（残り6ヶ月） / 保証付</t>
        </is>
      </c>
      <c r="L315" s="16" t="inlineStr">
        <is>
          <t>CX-8 2.2 XD エクスクルーシブ モード ディーゼルターボ 4WD メモリーナビ 360°ビューモニター ETC サンルーフ 本革シート キャプテンシート シートヒーター シートベンチレーション ヘッドアップディスプレイ LEDヘッドライト 電動リアゲート</t>
        </is>
      </c>
      <c r="M315" s="7" t="inlineStr">
        <is>
          <t>https://www.carsensor.net/usedcar/detail/AU7376223501/index.html</t>
        </is>
      </c>
    </row>
    <row r="316">
      <c r="A316" s="11" t="n">
        <v>2020</v>
      </c>
      <c r="B316" s="12" t="inlineStr">
        <is>
          <t>4WD</t>
        </is>
      </c>
      <c r="C316" s="12" t="inlineStr">
        <is>
          <t>2.2 XD Lパッケージ</t>
        </is>
      </c>
      <c r="D316" s="13" t="n">
        <v>3.5</v>
      </c>
      <c r="E316" s="14" t="n">
        <v>282.8</v>
      </c>
      <c r="F316" s="14" t="n">
        <v>276.9</v>
      </c>
      <c r="G316" s="15" t="n">
        <v>4.6</v>
      </c>
      <c r="H316" s="12" t="inlineStr">
        <is>
          <t>なし</t>
        </is>
      </c>
      <c r="I316" s="12" t="inlineStr">
        <is>
          <t>2027(R09)年04月</t>
        </is>
      </c>
      <c r="J316" s="12" t="inlineStr">
        <is>
          <t>保証付</t>
        </is>
      </c>
      <c r="K316" s="16" t="inlineStr">
        <is>
          <t>修復歴なし / 車検 2027/04 まで（残り6ヶ月） / 保証付</t>
        </is>
      </c>
      <c r="L316" s="16" t="inlineStr">
        <is>
          <t>CX-8 2.2 XD Lパッケージ ディーゼルターボ 4WD 純正ナビゲーション/クルーズコントロール/BOSEサウンド/LEDヘッドライト/パワーシート/ETC/ステアリングヒーター/オートブレーキホールド/レーンアシスト/パーキングアシスト/全方位カメラ</t>
        </is>
      </c>
      <c r="M316" s="12" t="inlineStr">
        <is>
          <t>https://www.carsensor.net/usedcar/detail/AU7352702765/index.html</t>
        </is>
      </c>
    </row>
    <row r="317">
      <c r="A317" s="6" t="n">
        <v>2020</v>
      </c>
      <c r="B317" s="7" t="inlineStr">
        <is>
          <t>4WD</t>
        </is>
      </c>
      <c r="C317" s="7" t="inlineStr">
        <is>
          <t>2.2 XD Lパッケージ</t>
        </is>
      </c>
      <c r="D317" s="17" t="n">
        <v>3.5</v>
      </c>
      <c r="E317" s="9" t="n">
        <v>265.4</v>
      </c>
      <c r="F317" s="9" t="n">
        <v>255</v>
      </c>
      <c r="G317" s="10" t="n">
        <v>5.1</v>
      </c>
      <c r="H317" s="7" t="inlineStr">
        <is>
          <t>なし</t>
        </is>
      </c>
      <c r="I317" s="7" t="inlineStr">
        <is>
          <t>2027(R09)年04月</t>
        </is>
      </c>
      <c r="J317" s="7" t="inlineStr">
        <is>
          <t>保証付</t>
        </is>
      </c>
      <c r="K317" s="16" t="inlineStr">
        <is>
          <t>修復歴なし / 車検 2027/04 まで（残り6ヶ月） / 保証付</t>
        </is>
      </c>
      <c r="L317" s="16" t="inlineStr">
        <is>
          <t>CX-8 2.2 XD Lパッケージ ディーゼルターボ 4WD 360度ビュー/ドラレコ/ETC/ノックスドール施工/クルコン/BSM/ステアリングヒーター/純正ポーズサウンドシステムスピーカー/電動ウォークイン/電動リアゲート/シートヒーター/純正フロアマット/サンシェード/</t>
        </is>
      </c>
      <c r="M317" s="7" t="inlineStr">
        <is>
          <t>https://www.carsensor.net/usedcar/detail/AU7284366977/index.html</t>
        </is>
      </c>
    </row>
    <row r="318">
      <c r="A318" s="11" t="n">
        <v>2020</v>
      </c>
      <c r="B318" s="12" t="inlineStr">
        <is>
          <t>4WD</t>
        </is>
      </c>
      <c r="C318" s="12" t="inlineStr">
        <is>
          <t>2.2 XD Lパッケージ</t>
        </is>
      </c>
      <c r="D318" s="13" t="n">
        <v>3.5</v>
      </c>
      <c r="E318" s="14" t="n">
        <v>208.6</v>
      </c>
      <c r="F318" s="14" t="n">
        <v>192.5</v>
      </c>
      <c r="G318" s="15" t="n">
        <v>10.3</v>
      </c>
      <c r="H318" s="12" t="inlineStr">
        <is>
          <t>なし</t>
        </is>
      </c>
      <c r="I318" s="12" t="inlineStr">
        <is>
          <t>車検整備付</t>
        </is>
      </c>
      <c r="J318" s="12" t="inlineStr">
        <is>
          <t>保証付</t>
        </is>
      </c>
      <c r="K318" s="16" t="inlineStr">
        <is>
          <t>走行が多め（10.3万km） / 修復歴なし / 車検整備付 / 保証付 / 同年式より安い（中央値 250万）</t>
        </is>
      </c>
      <c r="L318" s="16" t="inlineStr">
        <is>
          <t>CX-8 2.2 XD Lパッケージ ディーゼルターボ 4WD ナビ ETC サンルーフ BOSE</t>
        </is>
      </c>
      <c r="M318" s="12" t="inlineStr">
        <is>
          <t>https://www.carsensor.net/usedcar/detail/AU7378956833/index.html</t>
        </is>
      </c>
    </row>
    <row r="319">
      <c r="A319" s="6" t="n">
        <v>2021</v>
      </c>
      <c r="B319" s="7" t="inlineStr">
        <is>
          <t>4WD</t>
        </is>
      </c>
      <c r="C319" s="7" t="inlineStr">
        <is>
          <t>2.2 XD ブラックトーン</t>
        </is>
      </c>
      <c r="D319" s="17" t="n">
        <v>3.5</v>
      </c>
      <c r="E319" s="9" t="n">
        <v>239.5</v>
      </c>
      <c r="F319" s="9" t="n">
        <v>224.9</v>
      </c>
      <c r="G319" s="10" t="n">
        <v>8.800000000000001</v>
      </c>
      <c r="H319" s="7" t="inlineStr">
        <is>
          <t>なし</t>
        </is>
      </c>
      <c r="I319" s="7" t="inlineStr">
        <is>
          <t>車検整備付</t>
        </is>
      </c>
      <c r="J319" s="7" t="inlineStr">
        <is>
          <t>保証付</t>
        </is>
      </c>
      <c r="K319" s="16" t="inlineStr">
        <is>
          <t>走行が多め（8.8万km） / 修復歴なし / 車検整備付 / 保証付 / 同年式より安い（中央値 279万）</t>
        </is>
      </c>
      <c r="L319" s="16" t="inlineStr">
        <is>
          <t>CX-8 2.2 XD ブラックトーン エディション ディーゼルターボ 4WD ALPINEフリップダウン/DVD再生/衝突軽減ブレーキ/BSM/前後ソナー/追従クルコン/LKAS/アダプティブLEDヘッドランプ/1列目パワーシート/1・2列目シートヒーター/電動バックドア/10.25型マツコネ/フルセグ/360度ビュ</t>
        </is>
      </c>
      <c r="M319" s="7" t="inlineStr">
        <is>
          <t>https://www.carsensor.net/usedcar/detail/AU7354837305/index.html</t>
        </is>
      </c>
    </row>
    <row r="320">
      <c r="A320" s="11" t="n">
        <v>2021</v>
      </c>
      <c r="B320" s="12" t="inlineStr">
        <is>
          <t>4WD</t>
        </is>
      </c>
      <c r="C320" s="12" t="inlineStr">
        <is>
          <t>2.2 XD プロアクティブ</t>
        </is>
      </c>
      <c r="D320" s="13" t="n">
        <v>3.5</v>
      </c>
      <c r="E320" s="14" t="n">
        <v>188</v>
      </c>
      <c r="F320" s="14" t="n">
        <v>170.1</v>
      </c>
      <c r="G320" s="15" t="n">
        <v>9.300000000000001</v>
      </c>
      <c r="H320" s="12" t="inlineStr">
        <is>
          <t>なし</t>
        </is>
      </c>
      <c r="I320" s="12" t="inlineStr">
        <is>
          <t>車検整備付</t>
        </is>
      </c>
      <c r="J320" s="12" t="inlineStr">
        <is>
          <t>保証付</t>
        </is>
      </c>
      <c r="K320" s="16" t="inlineStr">
        <is>
          <t>走行が多め（9.3万km） / 修復歴なし / 車検整備付 / 保証付 / 同年式より安い（中央値 279万）</t>
        </is>
      </c>
      <c r="L320" s="16" t="inlineStr">
        <is>
          <t>CX-8 2.2 XD プロアクティブ ディーゼルターボ 4WD (56)10.25型センターディスプレイ 全方位カメラ フルセグ シートヒーター アダプティブクルーズコントロール クリアランスソナー ワイヤレス充電 サードシート充電用USB端子 USB ETC ドラレコ</t>
        </is>
      </c>
      <c r="M320" s="12" t="inlineStr">
        <is>
          <t>https://www.carsensor.net/usedcar/detail/AU7022073537/index.html</t>
        </is>
      </c>
    </row>
    <row r="321">
      <c r="A321" s="6" t="n">
        <v>2022</v>
      </c>
      <c r="B321" s="7" t="inlineStr">
        <is>
          <t>4WD</t>
        </is>
      </c>
      <c r="C321" s="7" t="inlineStr">
        <is>
          <t>2.2 XD エクスクルーシブ</t>
        </is>
      </c>
      <c r="D321" s="17" t="n">
        <v>3.5</v>
      </c>
      <c r="E321" s="9" t="n">
        <v>298.8</v>
      </c>
      <c r="F321" s="9" t="n">
        <v>288.4</v>
      </c>
      <c r="G321" s="10" t="n">
        <v>7.6</v>
      </c>
      <c r="H321" s="7" t="inlineStr">
        <is>
          <t>なし</t>
        </is>
      </c>
      <c r="I321" s="7" t="inlineStr">
        <is>
          <t>2028(R10)年10月</t>
        </is>
      </c>
      <c r="J321" s="7" t="inlineStr">
        <is>
          <t>保証付</t>
        </is>
      </c>
      <c r="K321" s="16" t="inlineStr">
        <is>
          <t>走行が多め（7.6万km） / 修復歴なし / 車検 2028/10 まで（残り24ヶ月） / 保証付</t>
        </is>
      </c>
      <c r="L321" s="16" t="inlineStr">
        <is>
          <t>CX-8 2.2 XD エクスクルーシブ モード ディーゼルターボ 4WD パワーシート サンシェード ステコン 電動リアゲート パーキングセンサー ナビ TV 全方位カメラ プッシュスタート</t>
        </is>
      </c>
      <c r="M321" s="7" t="inlineStr">
        <is>
          <t>https://www.carsensor.net/usedcar/detail/AU7101474961/index.html</t>
        </is>
      </c>
    </row>
    <row r="322">
      <c r="A322" s="11" t="n">
        <v>2023</v>
      </c>
      <c r="B322" s="12" t="inlineStr">
        <is>
          <t>4WD</t>
        </is>
      </c>
      <c r="C322" s="12" t="inlineStr">
        <is>
          <t>2.2 XD スポーツ</t>
        </is>
      </c>
      <c r="D322" s="13" t="n">
        <v>3.5</v>
      </c>
      <c r="E322" s="14" t="n">
        <v>312.1</v>
      </c>
      <c r="F322" s="14" t="n">
        <v>297.2</v>
      </c>
      <c r="G322" s="15" t="n">
        <v>7.1</v>
      </c>
      <c r="H322" s="12" t="inlineStr">
        <is>
          <t>なし</t>
        </is>
      </c>
      <c r="I322" s="12" t="inlineStr">
        <is>
          <t>車検整備付</t>
        </is>
      </c>
      <c r="J322" s="12" t="inlineStr">
        <is>
          <t>保証付</t>
        </is>
      </c>
      <c r="K322" s="16" t="inlineStr">
        <is>
          <t>走行が多め（7.1万km） / 修復歴なし / 車検整備付 / 保証付 / 同年式より安い（中央値 348万）</t>
        </is>
      </c>
      <c r="L322" s="16" t="inlineStr">
        <is>
          <t>CX-8 2.2 XD スポーツ アピアランス ディーゼルターボ 4WD 6人乗り・ナビ・地デジ・ETC2.0・360度カメ</t>
        </is>
      </c>
      <c r="M322" s="12" t="inlineStr">
        <is>
          <t>https://www.carsensor.net/usedcar/detail/AU7271114261/index.html</t>
        </is>
      </c>
    </row>
    <row r="323">
      <c r="A323" s="6" t="n">
        <v>2018</v>
      </c>
      <c r="B323" s="7" t="inlineStr">
        <is>
          <t>4WD</t>
        </is>
      </c>
      <c r="C323" s="7" t="inlineStr">
        <is>
          <t>2.2 XD Lパッケージ</t>
        </is>
      </c>
      <c r="D323" s="17" t="n">
        <v>3.4</v>
      </c>
      <c r="E323" s="9" t="n">
        <v>179.9</v>
      </c>
      <c r="F323" s="9" t="n">
        <v>168.5</v>
      </c>
      <c r="G323" s="10" t="n">
        <v>9.5</v>
      </c>
      <c r="H323" s="7" t="inlineStr">
        <is>
          <t>なし</t>
        </is>
      </c>
      <c r="I323" s="7" t="inlineStr">
        <is>
          <t>2027(R09)年03月</t>
        </is>
      </c>
      <c r="J323" s="7" t="inlineStr">
        <is>
          <t>保証付</t>
        </is>
      </c>
      <c r="K323" s="16" t="inlineStr">
        <is>
          <t>修復歴なし / 車検 2027/03 まで（残り5ヶ月） / 保証付</t>
        </is>
      </c>
      <c r="L323" s="16" t="inlineStr">
        <is>
          <t>CX-8 2.2 XD Lパッケージ ディーゼルターボ 4WD 4WD ディーゼル(軽油) フリップダウンモニター 純正SDナビ 全周囲カメラ BOSEサウンド 衝突被害軽減システム 禁煙車 電動リアゲート レザーシート ドラレコ コーナーセンサー LEDヘッド</t>
        </is>
      </c>
      <c r="M323" s="7" t="inlineStr">
        <is>
          <t>https://www.carsensor.net/usedcar/detail/AU7360532575/index.html</t>
        </is>
      </c>
    </row>
    <row r="324">
      <c r="A324" s="11" t="n">
        <v>2018</v>
      </c>
      <c r="B324" s="12" t="inlineStr">
        <is>
          <t>4WD</t>
        </is>
      </c>
      <c r="C324" s="12" t="inlineStr">
        <is>
          <t>2.2 XD Lパッケージ</t>
        </is>
      </c>
      <c r="D324" s="13" t="n">
        <v>3.4</v>
      </c>
      <c r="E324" s="14" t="n">
        <v>197.9</v>
      </c>
      <c r="F324" s="14" t="n">
        <v>191.7</v>
      </c>
      <c r="G324" s="15" t="n">
        <v>7.2</v>
      </c>
      <c r="H324" s="12" t="inlineStr">
        <is>
          <t>なし</t>
        </is>
      </c>
      <c r="I324" s="12" t="inlineStr">
        <is>
          <t>2027(R09)年03月</t>
        </is>
      </c>
      <c r="J324" s="12" t="inlineStr">
        <is>
          <t>保証付</t>
        </is>
      </c>
      <c r="K324" s="16" t="inlineStr">
        <is>
          <t>修復歴なし / 車検 2027/03 まで（残り5ヶ月） / 保証付</t>
        </is>
      </c>
      <c r="L324" s="16" t="inlineStr">
        <is>
          <t>CX-8 2.2 XD Lパッケージ ディーゼルターボ 4WD 新品タイヤ/BOSE/SDナビ/アイアクティブセンス/シートヒーター/360°ビューモニター/車線逸脱防止支援システム/シート フルレザー/電動バックドア</t>
        </is>
      </c>
      <c r="M324" s="12" t="inlineStr">
        <is>
          <t>https://www.carsensor.net/usedcar/detail/AU7397523523/index.html</t>
        </is>
      </c>
    </row>
    <row r="325">
      <c r="A325" s="6" t="n">
        <v>2020</v>
      </c>
      <c r="B325" s="7" t="inlineStr">
        <is>
          <t>4WD</t>
        </is>
      </c>
      <c r="C325" s="7" t="inlineStr">
        <is>
          <t>2.2 XD Lパッケージ</t>
        </is>
      </c>
      <c r="D325" s="17" t="n">
        <v>3.4</v>
      </c>
      <c r="E325" s="9" t="n">
        <v>261.8</v>
      </c>
      <c r="F325" s="9" t="n">
        <v>249</v>
      </c>
      <c r="G325" s="10" t="n">
        <v>5.5</v>
      </c>
      <c r="H325" s="7" t="inlineStr">
        <is>
          <t>なし</t>
        </is>
      </c>
      <c r="I325" s="7" t="inlineStr">
        <is>
          <t>2027(R09)年03月</t>
        </is>
      </c>
      <c r="J325" s="7" t="inlineStr">
        <is>
          <t>保証付</t>
        </is>
      </c>
      <c r="K325" s="16" t="inlineStr">
        <is>
          <t>修復歴なし / 車検 2027/03 まで（残り5ヶ月） / 保証付</t>
        </is>
      </c>
      <c r="L325" s="16" t="inlineStr">
        <is>
          <t>CX-8 2.2 XD Lパッケージ ディーゼルターボ 純正フルセグSDナビ マルチアラウンドビューモニター サンルーフ LEDオートヘッドライト 革シート シートベンチレーション ETC パーキングセンサー クルーズコントロール 純正AW BT対応</t>
        </is>
      </c>
      <c r="M325" s="7" t="inlineStr">
        <is>
          <t>https://www.carsensor.net/usedcar/detail/AU7268360658/index.html</t>
        </is>
      </c>
    </row>
    <row r="326">
      <c r="A326" s="11" t="n">
        <v>2020</v>
      </c>
      <c r="B326" s="12" t="inlineStr">
        <is>
          <t>4WD</t>
        </is>
      </c>
      <c r="C326" s="12" t="inlineStr">
        <is>
          <t>2.2 XD プロアクティブ</t>
        </is>
      </c>
      <c r="D326" s="13" t="n">
        <v>3.4</v>
      </c>
      <c r="E326" s="14" t="n">
        <v>257.8</v>
      </c>
      <c r="F326" s="14" t="n">
        <v>252</v>
      </c>
      <c r="G326" s="15" t="n">
        <v>4.7</v>
      </c>
      <c r="H326" s="12" t="inlineStr">
        <is>
          <t>なし</t>
        </is>
      </c>
      <c r="I326" s="12" t="inlineStr">
        <is>
          <t>2027(R09)年03月</t>
        </is>
      </c>
      <c r="J326" s="12" t="inlineStr">
        <is>
          <t>保証付</t>
        </is>
      </c>
      <c r="K326" s="16" t="inlineStr">
        <is>
          <t>修復歴なし / 車検 2027/03 まで（残り5ヶ月） / 保証付</t>
        </is>
      </c>
      <c r="L326" s="16" t="inlineStr">
        <is>
          <t>CX-8 2.2 XD プロアクティブ Sパッケージ ディーゼルターボ 純正ナビ/BOSEサウンド/衝突軽減ブレーキ/レーダークルーズコントロール/全方位カメラ/電動リアゲート/ETC/ベンチレーション/パワーシート/シートヒーター/純正19インチアルミホイール</t>
        </is>
      </c>
      <c r="M326" s="12" t="inlineStr">
        <is>
          <t>https://www.carsensor.net/usedcar/detail/AU7174829775/index.html</t>
        </is>
      </c>
    </row>
    <row r="327">
      <c r="A327" s="6" t="n">
        <v>2020</v>
      </c>
      <c r="B327" s="7" t="inlineStr">
        <is>
          <t>4WD</t>
        </is>
      </c>
      <c r="C327" s="7" t="inlineStr">
        <is>
          <t>2.2 XD プロアクティブ</t>
        </is>
      </c>
      <c r="D327" s="17" t="n">
        <v>3.4</v>
      </c>
      <c r="E327" s="9" t="n">
        <v>279.9</v>
      </c>
      <c r="F327" s="9" t="n">
        <v>269.8</v>
      </c>
      <c r="G327" s="10" t="n">
        <v>5.8</v>
      </c>
      <c r="H327" s="7" t="inlineStr">
        <is>
          <t>なし</t>
        </is>
      </c>
      <c r="I327" s="7" t="inlineStr">
        <is>
          <t>2027(R09)年03月</t>
        </is>
      </c>
      <c r="J327" s="7" t="inlineStr">
        <is>
          <t>保証付</t>
        </is>
      </c>
      <c r="K327" s="16" t="inlineStr">
        <is>
          <t>修復歴なし / 車検 2027/03 まで（残り5ヶ月） / 保証付</t>
        </is>
      </c>
      <c r="L327" s="16" t="inlineStr">
        <is>
          <t>CX-8 2.2 XD プロアクティブ ディーゼルターボ 4WD マツダ認定中古車</t>
        </is>
      </c>
      <c r="M327" s="7" t="inlineStr">
        <is>
          <t>https://www.carsensor.net/usedcar/detail/AU7110475116/index.html</t>
        </is>
      </c>
    </row>
    <row r="328">
      <c r="A328" s="11" t="n">
        <v>2020</v>
      </c>
      <c r="B328" s="12" t="inlineStr">
        <is>
          <t>4WD</t>
        </is>
      </c>
      <c r="C328" s="12" t="inlineStr">
        <is>
          <t>2.2 XD Lパッケージ</t>
        </is>
      </c>
      <c r="D328" s="13" t="n">
        <v>3.4</v>
      </c>
      <c r="E328" s="14" t="n">
        <v>225.9</v>
      </c>
      <c r="F328" s="14" t="n">
        <v>214.9</v>
      </c>
      <c r="G328" s="15" t="n">
        <v>6.1</v>
      </c>
      <c r="H328" s="12" t="inlineStr">
        <is>
          <t>なし</t>
        </is>
      </c>
      <c r="I328" s="12" t="inlineStr">
        <is>
          <t>2027(R09)年03月</t>
        </is>
      </c>
      <c r="J328" s="12" t="inlineStr">
        <is>
          <t>保証付</t>
        </is>
      </c>
      <c r="K328" s="16" t="inlineStr">
        <is>
          <t>修復歴なし / 車検 2027/03 まで（残り5ヶ月） / 保証付</t>
        </is>
      </c>
      <c r="L328" s="16" t="inlineStr">
        <is>
          <t>CX-8 2.2 XD Lパッケージ ディーゼルターボ 4WD (禁煙車)(黒革シート)(4WD)(メーカーナビ)(アラウンドビュー)(レーダークルーズ)(パワーシート)(シートヒーター&amp;クーラー)(コーナーセンサー)(フルセグ)(ETC)(純正19インチAW)</t>
        </is>
      </c>
      <c r="M328" s="12" t="inlineStr">
        <is>
          <t>https://www.carsensor.net/usedcar/detail/AU7305268828/index.html</t>
        </is>
      </c>
    </row>
    <row r="329">
      <c r="A329" s="6" t="n">
        <v>2020</v>
      </c>
      <c r="B329" s="7" t="inlineStr">
        <is>
          <t>4WD</t>
        </is>
      </c>
      <c r="C329" s="7" t="inlineStr">
        <is>
          <t>2.2 XD プロアクティブ</t>
        </is>
      </c>
      <c r="D329" s="17" t="n">
        <v>3.4</v>
      </c>
      <c r="E329" s="9" t="n">
        <v>250</v>
      </c>
      <c r="F329" s="9" t="n">
        <v>245</v>
      </c>
      <c r="G329" s="10" t="n">
        <v>5.9</v>
      </c>
      <c r="H329" s="7" t="inlineStr">
        <is>
          <t>なし</t>
        </is>
      </c>
      <c r="I329" s="7" t="inlineStr">
        <is>
          <t>2027(R09)年03月</t>
        </is>
      </c>
      <c r="J329" s="7" t="inlineStr">
        <is>
          <t>保証付</t>
        </is>
      </c>
      <c r="K329" s="16" t="inlineStr">
        <is>
          <t>修復歴なし / 車検 2027/03 まで（残り5ヶ月） / 保証付</t>
        </is>
      </c>
      <c r="L329" s="16" t="inlineStr">
        <is>
          <t>CX-8 2.2 XD プロアクティブ Sパッケージ ディーゼルターボ 4WD</t>
        </is>
      </c>
      <c r="M329" s="7" t="inlineStr">
        <is>
          <t>https://www.carsensor.net/usedcar/detail/AU6938166146/index.html</t>
        </is>
      </c>
    </row>
    <row r="330">
      <c r="A330" s="11" t="n">
        <v>2021</v>
      </c>
      <c r="B330" s="12" t="inlineStr">
        <is>
          <t>4WD</t>
        </is>
      </c>
      <c r="C330" s="12" t="inlineStr">
        <is>
          <t>2.2 XD エクスクルーシブ</t>
        </is>
      </c>
      <c r="D330" s="13" t="n">
        <v>3.4</v>
      </c>
      <c r="E330" s="14" t="n">
        <v>312.7</v>
      </c>
      <c r="F330" s="14" t="n">
        <v>299.1</v>
      </c>
      <c r="G330" s="15" t="n">
        <v>4.1</v>
      </c>
      <c r="H330" s="12" t="inlineStr">
        <is>
          <t>なし</t>
        </is>
      </c>
      <c r="I330" s="12" t="inlineStr">
        <is>
          <t>2028(R10)年03月</t>
        </is>
      </c>
      <c r="J330" s="12" t="inlineStr">
        <is>
          <t>保証無</t>
        </is>
      </c>
      <c r="K330" s="16" t="inlineStr">
        <is>
          <t>修復歴なし / 車検 2028/03 まで（残り17ヶ月）</t>
        </is>
      </c>
      <c r="L330" s="16" t="inlineStr">
        <is>
          <t>CX-8 2.2 XD エクスクルーシブ モード ディーゼルターボ ディーゼルターボ/禁煙/特別仕様/フリップダウンモニター/6人乗り/純正10型ナビ/全方位カメラ/白革電動シート/衝突軽減/前後ドラレコ/電動リアゲート/ルーフレール/HDMI/追従クルコン/シートメモリー/純正19AW</t>
        </is>
      </c>
      <c r="M330" s="12" t="inlineStr">
        <is>
          <t>https://www.carsensor.net/usedcar/detail/AU7291537612/index.html</t>
        </is>
      </c>
    </row>
    <row r="331">
      <c r="A331" s="6" t="n">
        <v>2022</v>
      </c>
      <c r="B331" s="7" t="inlineStr">
        <is>
          <t>4WD</t>
        </is>
      </c>
      <c r="C331" s="7" t="inlineStr">
        <is>
          <t>2.2 XD ブラックトーン</t>
        </is>
      </c>
      <c r="D331" s="17" t="n">
        <v>3.4</v>
      </c>
      <c r="E331" s="9" t="n">
        <v>306.8</v>
      </c>
      <c r="F331" s="9" t="n">
        <v>301</v>
      </c>
      <c r="G331" s="10" t="n">
        <v>3.7</v>
      </c>
      <c r="H331" s="7" t="inlineStr">
        <is>
          <t>なし</t>
        </is>
      </c>
      <c r="I331" s="7" t="inlineStr">
        <is>
          <t>2027(R09)年03月</t>
        </is>
      </c>
      <c r="J331" s="7" t="inlineStr">
        <is>
          <t>保証付</t>
        </is>
      </c>
      <c r="K331" s="16" t="inlineStr">
        <is>
          <t>修復歴なし / 車検 2027/03 まで（残り5ヶ月） / 保証付</t>
        </is>
      </c>
      <c r="L331" s="16" t="inlineStr">
        <is>
          <t>CX-8 2.2 XD ブラックトーン エディション ディーゼルターボ 純正10.25インチナビ フリップダウンモニター 360度ビューモニター BSM HUD BOSE シティブレーキサポート レーダークルーズ シートヒーター ワイヤレス充電 オートハイビーム LED</t>
        </is>
      </c>
      <c r="M331" s="7" t="inlineStr">
        <is>
          <t>https://www.carsensor.net/usedcar/detail/AU7322720892/index.html</t>
        </is>
      </c>
    </row>
    <row r="332">
      <c r="A332" s="11" t="n">
        <v>2022</v>
      </c>
      <c r="B332" s="12" t="inlineStr">
        <is>
          <t>4WD</t>
        </is>
      </c>
      <c r="C332" s="12" t="inlineStr">
        <is>
          <t>2.2 XD ブラックトーン</t>
        </is>
      </c>
      <c r="D332" s="13" t="n">
        <v>3.4</v>
      </c>
      <c r="E332" s="14" t="n">
        <v>297.9</v>
      </c>
      <c r="F332" s="14" t="n">
        <v>286.4</v>
      </c>
      <c r="G332" s="15" t="n">
        <v>4.5</v>
      </c>
      <c r="H332" s="12" t="inlineStr">
        <is>
          <t>なし</t>
        </is>
      </c>
      <c r="I332" s="12" t="inlineStr">
        <is>
          <t>2027(R09)年03月</t>
        </is>
      </c>
      <c r="J332" s="12" t="inlineStr">
        <is>
          <t>保証付</t>
        </is>
      </c>
      <c r="K332" s="16" t="inlineStr">
        <is>
          <t>修復歴なし / 車検 2027/03 まで（残り5ヶ月） / 保証付</t>
        </is>
      </c>
      <c r="L332" s="16" t="inlineStr">
        <is>
          <t>CX-8 2.2 XD ブラックトーン エディション ディーゼルターボ 4WD 7人乗り 10.25型純正ナビ 全周囲カメラ BOSEサウンド 衝突被害軽減システム レーダークルーズ 禁煙車 電動リアゲート ハーフレザーシート コーナーセンサー LEDヘッド</t>
        </is>
      </c>
      <c r="M332" s="12" t="inlineStr">
        <is>
          <t>https://www.carsensor.net/usedcar/detail/AU7057645108/index.html</t>
        </is>
      </c>
    </row>
    <row r="333">
      <c r="A333" s="6" t="n">
        <v>2022</v>
      </c>
      <c r="B333" s="7" t="inlineStr">
        <is>
          <t>4WD</t>
        </is>
      </c>
      <c r="C333" s="7" t="inlineStr">
        <is>
          <t>2.2 XD Lパッケージ</t>
        </is>
      </c>
      <c r="D333" s="17" t="n">
        <v>3.4</v>
      </c>
      <c r="E333" s="9" t="n">
        <v>279.7</v>
      </c>
      <c r="F333" s="9" t="n">
        <v>269.7</v>
      </c>
      <c r="G333" s="10" t="n">
        <v>5.4</v>
      </c>
      <c r="H333" s="7" t="inlineStr">
        <is>
          <t>なし</t>
        </is>
      </c>
      <c r="I333" s="7" t="inlineStr">
        <is>
          <t>2027(R09)年03月</t>
        </is>
      </c>
      <c r="J333" s="7" t="inlineStr">
        <is>
          <t>保証付</t>
        </is>
      </c>
      <c r="K333" s="16" t="inlineStr">
        <is>
          <t>修復歴なし / 車検 2027/03 まで（残り5ヶ月） / 保証付</t>
        </is>
      </c>
      <c r="L333" s="16" t="inlineStr">
        <is>
          <t>CX-8 2.2 XD Lパッケージ ディーゼルターボ 4WD BOSEサウンドシステム ディスプレイオーディオ 赤革シート プッシュスタート スマートキー フルセグTV ワンオーナー ユーザー買取 Bluetooth 全方位カメラ シートヒータ ベンチレーション</t>
        </is>
      </c>
      <c r="M333" s="7" t="inlineStr">
        <is>
          <t>https://www.carsensor.net/usedcar/detail/AU7383455283/index.html</t>
        </is>
      </c>
    </row>
    <row r="334">
      <c r="A334" s="11" t="n">
        <v>2022</v>
      </c>
      <c r="B334" s="12" t="inlineStr">
        <is>
          <t>4WD</t>
        </is>
      </c>
      <c r="C334" s="12" t="inlineStr">
        <is>
          <t>2.2 XD ブラックトーン</t>
        </is>
      </c>
      <c r="D334" s="13" t="n">
        <v>3.4</v>
      </c>
      <c r="E334" s="14" t="n">
        <v>331.7</v>
      </c>
      <c r="F334" s="14" t="n">
        <v>322</v>
      </c>
      <c r="G334" s="15" t="n">
        <v>4.5</v>
      </c>
      <c r="H334" s="12" t="inlineStr">
        <is>
          <t>なし</t>
        </is>
      </c>
      <c r="I334" s="12" t="inlineStr">
        <is>
          <t>2027(R09)年03月</t>
        </is>
      </c>
      <c r="J334" s="12" t="inlineStr">
        <is>
          <t>保証付</t>
        </is>
      </c>
      <c r="K334" s="16" t="inlineStr">
        <is>
          <t>修復歴なし / 車検 2027/03 まで（残り5ヶ月） / 保証付</t>
        </is>
      </c>
      <c r="L334" s="16" t="inlineStr">
        <is>
          <t>CX-8 2.2 XD ブラックトーン エディション ディーゼルターボ 4WD</t>
        </is>
      </c>
      <c r="M334" s="12" t="inlineStr">
        <is>
          <t>https://www.carsensor.net/usedcar/detail/AU7360369265/index.html</t>
        </is>
      </c>
    </row>
    <row r="335">
      <c r="A335" s="6" t="n">
        <v>2017</v>
      </c>
      <c r="B335" s="7" t="inlineStr">
        <is>
          <t>4WD</t>
        </is>
      </c>
      <c r="C335" s="7" t="inlineStr">
        <is>
          <t>2.2 XD Lパッケージ</t>
        </is>
      </c>
      <c r="D335" s="17" t="n">
        <v>3.3</v>
      </c>
      <c r="E335" s="9" t="n">
        <v>189.9</v>
      </c>
      <c r="F335" s="9" t="n">
        <v>178.6</v>
      </c>
      <c r="G335" s="10" t="n">
        <v>6.6</v>
      </c>
      <c r="H335" s="7" t="inlineStr">
        <is>
          <t>なし</t>
        </is>
      </c>
      <c r="I335" s="7" t="inlineStr">
        <is>
          <t>2027(R09)年02月</t>
        </is>
      </c>
      <c r="J335" s="7" t="inlineStr">
        <is>
          <t>保証付</t>
        </is>
      </c>
      <c r="K335" s="16" t="inlineStr">
        <is>
          <t>修復歴なし / 車検 2027/02 まで（残り4ヶ月） / 保証付</t>
        </is>
      </c>
      <c r="L335" s="16" t="inlineStr">
        <is>
          <t>CX-8 2.2 XD Lパッケージ ディーゼルターボ 4WD ディーゼル(軽油)6人乗り 純正SDナビ 全周囲カメラ 衝突軽減 レーダークルーズ レザーシート 禁煙車 電動リアゲート コーナーセンサー 19インチAW スマートキー LEDヘッド</t>
        </is>
      </c>
      <c r="M335" s="7" t="inlineStr">
        <is>
          <t>https://www.carsensor.net/usedcar/detail/AU7271108950/index.html</t>
        </is>
      </c>
    </row>
    <row r="336">
      <c r="A336" s="11" t="n">
        <v>2018</v>
      </c>
      <c r="B336" s="12" t="inlineStr">
        <is>
          <t>4WD</t>
        </is>
      </c>
      <c r="C336" s="12" t="inlineStr">
        <is>
          <t>2.2 XD Lパッケージ</t>
        </is>
      </c>
      <c r="D336" s="13" t="n">
        <v>3.3</v>
      </c>
      <c r="E336" s="14" t="n">
        <v>199.8</v>
      </c>
      <c r="F336" s="14" t="n">
        <v>188.5</v>
      </c>
      <c r="G336" s="15" t="n">
        <v>8.4</v>
      </c>
      <c r="H336" s="12" t="inlineStr">
        <is>
          <t>なし</t>
        </is>
      </c>
      <c r="I336" s="12" t="inlineStr">
        <is>
          <t>2027(R09)年02月</t>
        </is>
      </c>
      <c r="J336" s="12" t="inlineStr">
        <is>
          <t>保証付</t>
        </is>
      </c>
      <c r="K336" s="16" t="inlineStr">
        <is>
          <t>修復歴なし / 車検 2027/02 まで（残り4ヶ月） / 保証付</t>
        </is>
      </c>
      <c r="L336" s="16" t="inlineStr">
        <is>
          <t>CX-8 2.2 XD Lパッケージ ディーゼルターボ 4WD フリップダウン BOSEサウンド マツダコネクト 全周囲カメラ アドバンスドスマートシティブレーキサポート 禁煙車 電動リアゲート レザーシート ドラレコ コーナーセンサー</t>
        </is>
      </c>
      <c r="M336" s="12" t="inlineStr">
        <is>
          <t>https://www.carsensor.net/usedcar/detail/AU7400636654/index.html</t>
        </is>
      </c>
    </row>
    <row r="337">
      <c r="A337" s="6" t="n">
        <v>2018</v>
      </c>
      <c r="B337" s="7" t="inlineStr">
        <is>
          <t>4WD</t>
        </is>
      </c>
      <c r="C337" s="7" t="inlineStr">
        <is>
          <t>2.2 XD プロアクティブ</t>
        </is>
      </c>
      <c r="D337" s="17" t="n">
        <v>3.3</v>
      </c>
      <c r="E337" s="9" t="n">
        <v>176.9</v>
      </c>
      <c r="F337" s="9" t="n">
        <v>171.2</v>
      </c>
      <c r="G337" s="10" t="n">
        <v>8.800000000000001</v>
      </c>
      <c r="H337" s="7" t="inlineStr">
        <is>
          <t>なし</t>
        </is>
      </c>
      <c r="I337" s="7" t="inlineStr">
        <is>
          <t>2027(R09)年02月</t>
        </is>
      </c>
      <c r="J337" s="7" t="inlineStr">
        <is>
          <t>保証付</t>
        </is>
      </c>
      <c r="K337" s="16" t="inlineStr">
        <is>
          <t>修復歴なし / 車検 2027/02 まで（残り4ヶ月） / 保証付</t>
        </is>
      </c>
      <c r="L337" s="16" t="inlineStr">
        <is>
          <t>CX-8 2.2 XD プロアクティブ ディーゼルターボ ・BOSEサウンドシステム・純正メーカーディスプレイ ナビ (CD/DVD/BT/フルセグTV)・i-ACTIVSENSE・スマートシティブレーキサポート・レーンキープアシストシステム・レ</t>
        </is>
      </c>
      <c r="M337" s="7" t="inlineStr">
        <is>
          <t>https://www.carsensor.net/usedcar/detail/AU7419575254/index.html</t>
        </is>
      </c>
    </row>
    <row r="338">
      <c r="A338" s="11" t="n">
        <v>2018</v>
      </c>
      <c r="B338" s="12" t="inlineStr">
        <is>
          <t>4WD</t>
        </is>
      </c>
      <c r="C338" s="12" t="inlineStr">
        <is>
          <t>2.2 XD Lパッケージ</t>
        </is>
      </c>
      <c r="D338" s="13" t="n">
        <v>3.3</v>
      </c>
      <c r="E338" s="14" t="n">
        <v>215.9</v>
      </c>
      <c r="F338" s="14" t="n">
        <v>204.6</v>
      </c>
      <c r="G338" s="15" t="n">
        <v>7</v>
      </c>
      <c r="H338" s="12" t="inlineStr">
        <is>
          <t>なし</t>
        </is>
      </c>
      <c r="I338" s="12" t="inlineStr">
        <is>
          <t>2027(R09)年02月</t>
        </is>
      </c>
      <c r="J338" s="12" t="inlineStr">
        <is>
          <t>保証付</t>
        </is>
      </c>
      <c r="K338" s="16" t="inlineStr">
        <is>
          <t>修復歴なし / 車検 2027/02 まで（残り4ヶ月） / 保証付</t>
        </is>
      </c>
      <c r="L338" s="16" t="inlineStr">
        <is>
          <t>CX-8 2.2 XD Lパッケージ ディーゼルターボ 4WD 4WD 禁煙車 BOSEサウンド マツダコネクト 360°ビューモニター ブラウンレザーシート シートヒーター パワーシート パワーバックドア LEDヘッド アドバンスドキー</t>
        </is>
      </c>
      <c r="M338" s="12" t="inlineStr">
        <is>
          <t>https://www.carsensor.net/usedcar/detail/AU6970927594/index.html</t>
        </is>
      </c>
    </row>
    <row r="339">
      <c r="A339" s="6" t="n">
        <v>2018</v>
      </c>
      <c r="B339" s="7" t="inlineStr">
        <is>
          <t>4WD</t>
        </is>
      </c>
      <c r="C339" s="7" t="inlineStr">
        <is>
          <t>2.2 XD プロアクティブ</t>
        </is>
      </c>
      <c r="D339" s="17" t="n">
        <v>3.3</v>
      </c>
      <c r="E339" s="9" t="n">
        <v>160.2</v>
      </c>
      <c r="F339" s="9" t="n">
        <v>149.8</v>
      </c>
      <c r="G339" s="10" t="n">
        <v>10</v>
      </c>
      <c r="H339" s="7" t="inlineStr">
        <is>
          <t>なし</t>
        </is>
      </c>
      <c r="I339" s="7" t="inlineStr">
        <is>
          <t>2027(R09)年02月</t>
        </is>
      </c>
      <c r="J339" s="7" t="inlineStr">
        <is>
          <t>保証無</t>
        </is>
      </c>
      <c r="K339" s="16" t="inlineStr">
        <is>
          <t>修復歴なし / 車検 2027/02 まで（残り4ヶ月） / 同年式より安い（中央値 196万）</t>
        </is>
      </c>
      <c r="L339" s="16" t="inlineStr">
        <is>
          <t>CX-8 2.2 XD プロアクティブ ディーゼルターボ 4WD ETC2.0 7人乗り ドライブレコーダー 全方位カメラ ナビ付き ワンオーナー</t>
        </is>
      </c>
      <c r="M339" s="7" t="inlineStr">
        <is>
          <t>https://www.carsensor.net/usedcar/detail/AU7295465873/index.html</t>
        </is>
      </c>
    </row>
    <row r="340">
      <c r="A340" s="11" t="n">
        <v>2018</v>
      </c>
      <c r="B340" s="12" t="inlineStr">
        <is>
          <t>4WD</t>
        </is>
      </c>
      <c r="C340" s="12" t="inlineStr">
        <is>
          <t>2.2 XD プロアクティブ</t>
        </is>
      </c>
      <c r="D340" s="13" t="n">
        <v>3.3</v>
      </c>
      <c r="E340" s="14" t="n">
        <v>149.8</v>
      </c>
      <c r="F340" s="14" t="n">
        <v>144.1</v>
      </c>
      <c r="G340" s="15" t="n">
        <v>10.4</v>
      </c>
      <c r="H340" s="12" t="inlineStr">
        <is>
          <t>なし</t>
        </is>
      </c>
      <c r="I340" s="12" t="inlineStr">
        <is>
          <t>2027(R09)年08月</t>
        </is>
      </c>
      <c r="J340" s="12" t="inlineStr">
        <is>
          <t>保証付</t>
        </is>
      </c>
      <c r="K340" s="16" t="inlineStr">
        <is>
          <t>走行が多め（10.4万km） / 修復歴なし / 車検 2027/08 まで（残り10ヶ月） / 保証付 / 同年式より安い（中央値 196万）</t>
        </is>
      </c>
      <c r="L340" s="16" t="inlineStr">
        <is>
          <t>CX-8 2.2 XD プロアクティブ ディーゼルターボ 4WD 衝突軽減 ブラインドスポットモニター レーンキープアシスト レーダークルーズ パワーバックドア パワーシート ヘッドアップディスプレイ ブレーキホールド 純正ナビ 全方位カメラ TV ETC</t>
        </is>
      </c>
      <c r="M340" s="12" t="inlineStr">
        <is>
          <t>https://www.carsensor.net/usedcar/detail/AU7343426854/index.html</t>
        </is>
      </c>
    </row>
    <row r="341">
      <c r="A341" s="6" t="n">
        <v>2019</v>
      </c>
      <c r="B341" s="7" t="inlineStr">
        <is>
          <t>4WD</t>
        </is>
      </c>
      <c r="C341" s="7" t="inlineStr">
        <is>
          <t>2.2 XD Lパッケージ</t>
        </is>
      </c>
      <c r="D341" s="17" t="n">
        <v>3.3</v>
      </c>
      <c r="E341" s="9" t="n">
        <v>247.8</v>
      </c>
      <c r="F341" s="9" t="n">
        <v>239.3</v>
      </c>
      <c r="G341" s="10" t="n">
        <v>4.6</v>
      </c>
      <c r="H341" s="7" t="inlineStr">
        <is>
          <t>なし</t>
        </is>
      </c>
      <c r="I341" s="7" t="inlineStr">
        <is>
          <t>2027(R09)年02月</t>
        </is>
      </c>
      <c r="J341" s="7" t="inlineStr">
        <is>
          <t>保証付</t>
        </is>
      </c>
      <c r="K341" s="16" t="inlineStr">
        <is>
          <t>修復歴なし / 車検 2027/02 まで（残り4ヶ月） / 保証付</t>
        </is>
      </c>
      <c r="L341" s="16" t="inlineStr">
        <is>
          <t>CX-8 2.2 XD Lパッケージ ディーゼルターボ 4WD 黒革冷暖シート メモリーナビTV 360°カメラ ETC ドラレコ パワーバックドア LEDヘッドライト レーダークルーズ 4WDディーゼルターボ</t>
        </is>
      </c>
      <c r="M341" s="7" t="inlineStr">
        <is>
          <t>https://www.carsensor.net/usedcar/detail/AU7273162776/index.html</t>
        </is>
      </c>
    </row>
    <row r="342">
      <c r="A342" s="11" t="n">
        <v>2022</v>
      </c>
      <c r="B342" s="12" t="inlineStr">
        <is>
          <t>4WD</t>
        </is>
      </c>
      <c r="C342" s="12" t="inlineStr">
        <is>
          <t>2.2 XD ブラックトーン</t>
        </is>
      </c>
      <c r="D342" s="13" t="n">
        <v>3.3</v>
      </c>
      <c r="E342" s="14" t="n">
        <v>249.9</v>
      </c>
      <c r="F342" s="14" t="n">
        <v>238.1</v>
      </c>
      <c r="G342" s="15" t="n">
        <v>8.1</v>
      </c>
      <c r="H342" s="12" t="inlineStr">
        <is>
          <t>なし</t>
        </is>
      </c>
      <c r="I342" s="12" t="inlineStr">
        <is>
          <t>2027(R09)年08月</t>
        </is>
      </c>
      <c r="J342" s="12" t="inlineStr">
        <is>
          <t>保証付</t>
        </is>
      </c>
      <c r="K342" s="16" t="inlineStr">
        <is>
          <t>走行が多め（8.1万km） / 修復歴なし / 車検 2027/08 まで（残り10ヶ月） / 保証付 / 同年式より安い（中央値 296万）</t>
        </is>
      </c>
      <c r="L342" s="16" t="inlineStr">
        <is>
          <t>CX-8 2.2 XD ブラックトーン エディション ディーゼルターボ 4WD 4WD 全周囲カメラ 純正10型ナビ 前席シートヒーター スマートシティブレーキアシスト 禁煙車 電動リアゲート コーナーセンサー スマートキー LEDヘッド ETC 純正19インチアルミ</t>
        </is>
      </c>
      <c r="M342" s="12" t="inlineStr">
        <is>
          <t>https://www.carsensor.net/usedcar/detail/AU7430930748/index.html</t>
        </is>
      </c>
    </row>
    <row r="343">
      <c r="A343" s="6" t="n">
        <v>2023</v>
      </c>
      <c r="B343" s="7" t="inlineStr">
        <is>
          <t>4WD</t>
        </is>
      </c>
      <c r="C343" s="7" t="inlineStr">
        <is>
          <t>2.2 XD ブラックトーン</t>
        </is>
      </c>
      <c r="D343" s="17" t="n">
        <v>3.3</v>
      </c>
      <c r="E343" s="9" t="n">
        <v>349.2</v>
      </c>
      <c r="F343" s="9" t="n">
        <v>338.8</v>
      </c>
      <c r="G343" s="10" t="n">
        <v>5</v>
      </c>
      <c r="H343" s="7" t="inlineStr">
        <is>
          <t>なし</t>
        </is>
      </c>
      <c r="I343" s="7" t="inlineStr">
        <is>
          <t>2028(R10)年08月</t>
        </is>
      </c>
      <c r="J343" s="7" t="inlineStr">
        <is>
          <t>保証付</t>
        </is>
      </c>
      <c r="K343" s="16" t="inlineStr">
        <is>
          <t>走行が多め（5.0万km） / 修復歴なし / 車検 2028/08 まで（残り22ヶ月） / 保証付</t>
        </is>
      </c>
      <c r="L343" s="16" t="inlineStr">
        <is>
          <t>CX-8 2.2 XD ブラックトーン エディション ディーゼルターボ 4WD</t>
        </is>
      </c>
      <c r="M343" s="7" t="inlineStr">
        <is>
          <t>https://www.carsensor.net/usedcar/detail/AU7446054711/index.html</t>
        </is>
      </c>
    </row>
    <row r="344">
      <c r="A344" s="11" t="n">
        <v>2024</v>
      </c>
      <c r="B344" s="12" t="inlineStr">
        <is>
          <t>4WD</t>
        </is>
      </c>
      <c r="C344" s="12" t="inlineStr">
        <is>
          <t>2.2 XD グランド</t>
        </is>
      </c>
      <c r="D344" s="13" t="n">
        <v>3.3</v>
      </c>
      <c r="E344" s="14" t="n">
        <v>338.9</v>
      </c>
      <c r="F344" s="14" t="n">
        <v>327.8</v>
      </c>
      <c r="G344" s="15" t="n">
        <v>2.2</v>
      </c>
      <c r="H344" s="12" t="inlineStr">
        <is>
          <t>なし</t>
        </is>
      </c>
      <c r="I344" s="12" t="inlineStr">
        <is>
          <t>2027(R09)年02月</t>
        </is>
      </c>
      <c r="J344" s="12" t="inlineStr">
        <is>
          <t>保証付</t>
        </is>
      </c>
      <c r="K344" s="16" t="inlineStr">
        <is>
          <t>修復歴なし / 車検 2027/02 まで（残り4ヶ月） / 保証付</t>
        </is>
      </c>
      <c r="L344" s="16" t="inlineStr">
        <is>
          <t>CX-8 2.2 XD グランド ジャーニー ディーゼルターボ 4WD ターボ 全周囲カメラ ナビ フルセグTV LEDヘッドライト ETC 衝突被害軽減ブレーキ スマートキー クルーズコントロール アイドリングストップ シートヒーター オートライト</t>
        </is>
      </c>
      <c r="M344" s="12" t="inlineStr">
        <is>
          <t>https://www.carsensor.net/usedcar/detail/AU7422446818/index.html</t>
        </is>
      </c>
    </row>
    <row r="345">
      <c r="A345" s="6" t="n">
        <v>2018</v>
      </c>
      <c r="B345" s="7" t="inlineStr">
        <is>
          <t>4WD</t>
        </is>
      </c>
      <c r="C345" s="7" t="inlineStr">
        <is>
          <t>2.2 XD Lパッケージ</t>
        </is>
      </c>
      <c r="D345" s="17" t="n">
        <v>3.2</v>
      </c>
      <c r="E345" s="9" t="n">
        <v>187.1</v>
      </c>
      <c r="F345" s="9" t="n">
        <v>179.1</v>
      </c>
      <c r="G345" s="10" t="n">
        <v>6.9</v>
      </c>
      <c r="H345" s="7" t="inlineStr">
        <is>
          <t>なし</t>
        </is>
      </c>
      <c r="I345" s="7" t="inlineStr">
        <is>
          <t>2027(R09)年01月</t>
        </is>
      </c>
      <c r="J345" s="7" t="inlineStr">
        <is>
          <t>保証付</t>
        </is>
      </c>
      <c r="K345" s="16" t="inlineStr">
        <is>
          <t>修復歴なし / 車検 2027/01 まで（残り3ヶ月） / 保証付</t>
        </is>
      </c>
      <c r="L345" s="16" t="inlineStr">
        <is>
          <t>CX-8 2.2 XD Lパッケージ ディーゼルターボ 4WD 純正SDナビ/フルセグTV/BOSEサウンドシステム/シートヒーター/パワーシート/ステアリングヒーター/ヘッドアップディスプレイ/ブラインドスポットモニター/ドライブレコーダー/ETC/本革シート/パワーバックドア/BT</t>
        </is>
      </c>
      <c r="M345" s="7" t="inlineStr">
        <is>
          <t>https://www.carsensor.net/usedcar/detail/AU7294851286/index.html</t>
        </is>
      </c>
    </row>
    <row r="346">
      <c r="A346" s="11" t="n">
        <v>2018</v>
      </c>
      <c r="B346" s="12" t="inlineStr">
        <is>
          <t>4WD</t>
        </is>
      </c>
      <c r="C346" s="12" t="inlineStr">
        <is>
          <t>2.2 XD プロアクティブ</t>
        </is>
      </c>
      <c r="D346" s="13" t="n">
        <v>3.2</v>
      </c>
      <c r="E346" s="14" t="n">
        <v>189.9</v>
      </c>
      <c r="F346" s="14" t="n">
        <v>178.7</v>
      </c>
      <c r="G346" s="15" t="n">
        <v>7</v>
      </c>
      <c r="H346" s="12" t="inlineStr">
        <is>
          <t>なし</t>
        </is>
      </c>
      <c r="I346" s="12" t="inlineStr">
        <is>
          <t>2027(R09)年01月</t>
        </is>
      </c>
      <c r="J346" s="12" t="inlineStr">
        <is>
          <t>保証付</t>
        </is>
      </c>
      <c r="K346" s="16" t="inlineStr">
        <is>
          <t>修復歴なし / 車検 2027/01 まで（残り3ヶ月） / 保証付</t>
        </is>
      </c>
      <c r="L346" s="16" t="inlineStr">
        <is>
          <t>CX-8 2.2 XD プロアクティブ ディーゼルターボ 4WD 4WD BOSEサウンド 純正ナビ バック・サイドカメラ 衝突軽減 ディーゼルターボ レーダークルーズ シートヒーター LEDヘッドライト ドライブレコーダー 純正19インチアルミ 禁煙車</t>
        </is>
      </c>
      <c r="M346" s="12" t="inlineStr">
        <is>
          <t>https://www.carsensor.net/usedcar/detail/AU7177143980/index.html</t>
        </is>
      </c>
    </row>
    <row r="347">
      <c r="A347" s="6" t="n">
        <v>2018</v>
      </c>
      <c r="B347" s="7" t="inlineStr">
        <is>
          <t>4WD</t>
        </is>
      </c>
      <c r="C347" s="7" t="inlineStr">
        <is>
          <t>2.2 XD Lパッケージ</t>
        </is>
      </c>
      <c r="D347" s="17" t="n">
        <v>3.2</v>
      </c>
      <c r="E347" s="9" t="n">
        <v>182.9</v>
      </c>
      <c r="F347" s="9" t="n">
        <v>171.7</v>
      </c>
      <c r="G347" s="10" t="n">
        <v>9.800000000000001</v>
      </c>
      <c r="H347" s="7" t="inlineStr">
        <is>
          <t>なし</t>
        </is>
      </c>
      <c r="I347" s="7" t="inlineStr">
        <is>
          <t>2027(R09)年01月</t>
        </is>
      </c>
      <c r="J347" s="7" t="inlineStr">
        <is>
          <t>保証付</t>
        </is>
      </c>
      <c r="K347" s="16" t="inlineStr">
        <is>
          <t>修復歴なし / 車検 2027/01 まで（残り3ヶ月） / 保証付</t>
        </is>
      </c>
      <c r="L347" s="16" t="inlineStr">
        <is>
          <t>CX-8 2.2 XD Lパッケージ ディーゼルターボ 4WD 衝突軽減ブレーキ マツダコネクトナビ 全周囲カメラ 6人乗り フルセグ Bluetooth ドライブレコーダー ETC テレキャン 禁煙車 LEDヘッドライト フロントフォグ 純正19インチAW</t>
        </is>
      </c>
      <c r="M347" s="7" t="inlineStr">
        <is>
          <t>https://www.carsensor.net/usedcar/detail/AU7399510797/index.html</t>
        </is>
      </c>
    </row>
    <row r="348">
      <c r="A348" s="11" t="n">
        <v>2018</v>
      </c>
      <c r="B348" s="12" t="inlineStr">
        <is>
          <t>4WD</t>
        </is>
      </c>
      <c r="C348" s="12" t="inlineStr">
        <is>
          <t>2.2 XD Lパッケージ</t>
        </is>
      </c>
      <c r="D348" s="13" t="n">
        <v>3.2</v>
      </c>
      <c r="E348" s="14" t="n">
        <v>139.8</v>
      </c>
      <c r="F348" s="14" t="n">
        <v>134.8</v>
      </c>
      <c r="G348" s="15" t="n">
        <v>14.1</v>
      </c>
      <c r="H348" s="12" t="inlineStr">
        <is>
          <t>なし</t>
        </is>
      </c>
      <c r="I348" s="12" t="inlineStr">
        <is>
          <t>2027(R09)年07月</t>
        </is>
      </c>
      <c r="J348" s="12" t="inlineStr">
        <is>
          <t>保証付</t>
        </is>
      </c>
      <c r="K348" s="16" t="inlineStr">
        <is>
          <t>走行が多め（14.1万km） / 修復歴なし / 車検 2027/07 まで（残り9ヶ月） / 保証付 / 同年式より安い（中央値 196万）</t>
        </is>
      </c>
      <c r="L348" s="16" t="inlineStr">
        <is>
          <t>CX-8 2.2 XD Lパッケージ ディーゼルターボ 4WD 革シート/BOSEサウンド/追従型クルコン/360度モニター/パワートランク/ステアリングヒーター/シートヒーター/衝突軽減/LEDヘッドライト/スマートキー&amp;プッシュスタート/</t>
        </is>
      </c>
      <c r="M348" s="12" t="inlineStr">
        <is>
          <t>https://www.carsensor.net/usedcar/detail/AU7236019266/index.html</t>
        </is>
      </c>
    </row>
    <row r="349">
      <c r="A349" s="6" t="n">
        <v>2018</v>
      </c>
      <c r="B349" s="7" t="inlineStr">
        <is>
          <t>4WD</t>
        </is>
      </c>
      <c r="C349" s="7" t="inlineStr">
        <is>
          <t>2.2 XD Lパッケージ</t>
        </is>
      </c>
      <c r="D349" s="17" t="n">
        <v>3.2</v>
      </c>
      <c r="E349" s="9" t="n">
        <v>204.8</v>
      </c>
      <c r="F349" s="9" t="n">
        <v>189.8</v>
      </c>
      <c r="G349" s="10" t="n">
        <v>5.9</v>
      </c>
      <c r="H349" s="7" t="inlineStr">
        <is>
          <t>なし</t>
        </is>
      </c>
      <c r="I349" s="7" t="inlineStr">
        <is>
          <t>2027(R09)年01月</t>
        </is>
      </c>
      <c r="J349" s="7" t="inlineStr">
        <is>
          <t>保証付</t>
        </is>
      </c>
      <c r="K349" s="16" t="inlineStr">
        <is>
          <t>修復歴なし / 車検 2027/01 まで（残り3ヶ月） / 保証付</t>
        </is>
      </c>
      <c r="L349" s="16" t="inlineStr">
        <is>
          <t>CX-8 2.2 XD Lパッケージ ディーゼルターボ 純正ディスプレイオーディオ/ナビ/TV/CD/DVD/Bluetooth ETC 電動本革シート&amp;シートヒーター&amp;ステアリングヒーター パワーバックドア レーダークルーズ/ブラインドスポットモニター 6人乗り</t>
        </is>
      </c>
      <c r="M349" s="7" t="inlineStr">
        <is>
          <t>https://www.carsensor.net/usedcar/detail/AU7219154381/index.html</t>
        </is>
      </c>
    </row>
    <row r="350">
      <c r="A350" s="11" t="n">
        <v>2018</v>
      </c>
      <c r="B350" s="12" t="inlineStr">
        <is>
          <t>4WD</t>
        </is>
      </c>
      <c r="C350" s="12" t="inlineStr">
        <is>
          <t>2.2 XD Lパッケージ</t>
        </is>
      </c>
      <c r="D350" s="13" t="n">
        <v>3.2</v>
      </c>
      <c r="E350" s="14" t="n">
        <v>199.9</v>
      </c>
      <c r="F350" s="14" t="n">
        <v>189.9</v>
      </c>
      <c r="G350" s="15" t="n">
        <v>9.699999999999999</v>
      </c>
      <c r="H350" s="12" t="inlineStr">
        <is>
          <t>なし</t>
        </is>
      </c>
      <c r="I350" s="12" t="inlineStr">
        <is>
          <t>2027(R09)年01月</t>
        </is>
      </c>
      <c r="J350" s="12" t="inlineStr">
        <is>
          <t>保証付</t>
        </is>
      </c>
      <c r="K350" s="16" t="inlineStr">
        <is>
          <t>修復歴なし / 車検 2027/01 まで（残り3ヶ月） / 保証付</t>
        </is>
      </c>
      <c r="L350" s="16" t="inlineStr">
        <is>
          <t>CX-8 2.2 XD Lパッケージ ディーゼルターボ 4WD 6人乗り 本革シート BOSEサウンド 全方位モニター 純正ナビ 社外フリップダウンモニター パワーバックドア パワーシート シートヒーター スマートキー</t>
        </is>
      </c>
      <c r="M350" s="12" t="inlineStr">
        <is>
          <t>https://www.carsensor.net/usedcar/detail/AU7325289700/index.html</t>
        </is>
      </c>
    </row>
    <row r="351">
      <c r="A351" s="6" t="n">
        <v>2018</v>
      </c>
      <c r="B351" s="7" t="inlineStr">
        <is>
          <t>4WD</t>
        </is>
      </c>
      <c r="C351" s="7" t="inlineStr">
        <is>
          <t>2.2 XD Lパッケージ</t>
        </is>
      </c>
      <c r="D351" s="17" t="n">
        <v>3.2</v>
      </c>
      <c r="E351" s="9" t="n">
        <v>265</v>
      </c>
      <c r="F351" s="9" t="n">
        <v>260</v>
      </c>
      <c r="G351" s="10" t="n">
        <v>5.5</v>
      </c>
      <c r="H351" s="7" t="inlineStr">
        <is>
          <t>なし</t>
        </is>
      </c>
      <c r="I351" s="7" t="inlineStr">
        <is>
          <t>2027(R09)年01月</t>
        </is>
      </c>
      <c r="J351" s="7" t="inlineStr">
        <is>
          <t>保証付</t>
        </is>
      </c>
      <c r="K351" s="16" t="inlineStr">
        <is>
          <t>修復歴なし / 車検 2027/01 まで（残り3ヶ月） / 保証付</t>
        </is>
      </c>
      <c r="L351" s="16" t="inlineStr">
        <is>
          <t>CX-8 2.2 XD Lパッケージ ディーゼルターボ 4WD ナビ フルセグTV DVD 後席フリップダウンモニター 360°カメラ BOSEサウンド ETC2.0 ドラレコ ヒーター付ナッパレザーパワーシート BSM 衝突軽減ブレーキ レーダークルコン</t>
        </is>
      </c>
      <c r="M351" s="7" t="inlineStr">
        <is>
          <t>https://www.carsensor.net/usedcar/detail/AU7199797006/index.html</t>
        </is>
      </c>
    </row>
    <row r="352">
      <c r="A352" s="11" t="n">
        <v>2018</v>
      </c>
      <c r="B352" s="12" t="inlineStr">
        <is>
          <t>4WD</t>
        </is>
      </c>
      <c r="C352" s="12" t="inlineStr">
        <is>
          <t>2.2 XD Lパッケージ</t>
        </is>
      </c>
      <c r="D352" s="13" t="n">
        <v>3.2</v>
      </c>
      <c r="E352" s="14" t="n">
        <v>268</v>
      </c>
      <c r="F352" s="14" t="n">
        <v>263</v>
      </c>
      <c r="G352" s="15" t="n">
        <v>5.4</v>
      </c>
      <c r="H352" s="12" t="inlineStr">
        <is>
          <t>なし</t>
        </is>
      </c>
      <c r="I352" s="12" t="inlineStr">
        <is>
          <t>2027(R09)年01月</t>
        </is>
      </c>
      <c r="J352" s="12" t="inlineStr">
        <is>
          <t>保証付</t>
        </is>
      </c>
      <c r="K352" s="16" t="inlineStr">
        <is>
          <t>修復歴なし / 車検 2027/01 まで（残り3ヶ月） / 保証付</t>
        </is>
      </c>
      <c r="L352" s="16" t="inlineStr">
        <is>
          <t>CX-8 2.2 XD Lパッケージ ディーゼルターボ 4WD ナビTV 後席フリップダウンモニター BOSEサウンド 360°カメラ ETC ドラレコ 寒冷地仕様 パワーレザーシート ステアリング/シートヒーター レーダークルコン BSM LEDランプ</t>
        </is>
      </c>
      <c r="M352" s="12" t="inlineStr">
        <is>
          <t>https://www.carsensor.net/usedcar/detail/AU7327617391/index.html</t>
        </is>
      </c>
    </row>
    <row r="353">
      <c r="A353" s="6" t="n">
        <v>2019</v>
      </c>
      <c r="B353" s="7" t="inlineStr">
        <is>
          <t>4WD</t>
        </is>
      </c>
      <c r="C353" s="7" t="inlineStr">
        <is>
          <t>2.5 25S プロアクティブ</t>
        </is>
      </c>
      <c r="D353" s="17" t="n">
        <v>3.2</v>
      </c>
      <c r="E353" s="9" t="n">
        <v>222.9</v>
      </c>
      <c r="F353" s="9" t="n">
        <v>209.9</v>
      </c>
      <c r="G353" s="10" t="n">
        <v>6.8</v>
      </c>
      <c r="H353" s="7" t="inlineStr">
        <is>
          <t>なし</t>
        </is>
      </c>
      <c r="I353" s="7" t="inlineStr">
        <is>
          <t>2026(R08)年12月</t>
        </is>
      </c>
      <c r="J353" s="7" t="inlineStr">
        <is>
          <t>保証付</t>
        </is>
      </c>
      <c r="K353" s="16" t="inlineStr">
        <is>
          <t>修復歴なし / 車検 2026/12 まで（残り2ヶ月） / 保証付</t>
        </is>
      </c>
      <c r="L353" s="16" t="inlineStr">
        <is>
          <t>CX-8 2.5 25S プロアクティブ 4WD 8インチ SDナビ/アイアクティブセンス/シートヒーター 前席/360°ビューモニター/車線逸脱防止支援システム/電動バックドア/ドライブレコーダー 前後</t>
        </is>
      </c>
      <c r="M353" s="7" t="inlineStr">
        <is>
          <t>https://www.carsensor.net/usedcar/detail/AU7111347715/index.html</t>
        </is>
      </c>
    </row>
    <row r="354">
      <c r="A354" s="11" t="n">
        <v>2019</v>
      </c>
      <c r="B354" s="12" t="inlineStr">
        <is>
          <t>4WD</t>
        </is>
      </c>
      <c r="C354" s="12" t="inlineStr">
        <is>
          <t>2.2 XD Lパッケージ</t>
        </is>
      </c>
      <c r="D354" s="13" t="n">
        <v>3.2</v>
      </c>
      <c r="E354" s="14" t="n">
        <v>213.4</v>
      </c>
      <c r="F354" s="14" t="n">
        <v>203</v>
      </c>
      <c r="G354" s="15" t="n">
        <v>7.3</v>
      </c>
      <c r="H354" s="12" t="inlineStr">
        <is>
          <t>なし</t>
        </is>
      </c>
      <c r="I354" s="12" t="inlineStr">
        <is>
          <t>2026(R08)年12月</t>
        </is>
      </c>
      <c r="J354" s="12" t="inlineStr">
        <is>
          <t>保証付</t>
        </is>
      </c>
      <c r="K354" s="16" t="inlineStr">
        <is>
          <t>修復歴なし / 車検 2026/12 まで（残り2ヶ月） / 保証付</t>
        </is>
      </c>
      <c r="L354" s="16" t="inlineStr">
        <is>
          <t>CX-8 2.2 XD Lパッケージ ディーゼルターボ 4WD BOSEサウンド/ETC2.0/サンルーフ</t>
        </is>
      </c>
      <c r="M354" s="12" t="inlineStr">
        <is>
          <t>https://www.carsensor.net/usedcar/detail/AU7233739633/index.html</t>
        </is>
      </c>
    </row>
    <row r="355">
      <c r="A355" s="6" t="n">
        <v>2019</v>
      </c>
      <c r="B355" s="7" t="inlineStr">
        <is>
          <t>4WD</t>
        </is>
      </c>
      <c r="C355" s="7" t="inlineStr">
        <is>
          <t>2.5 25S プロアクティブ</t>
        </is>
      </c>
      <c r="D355" s="17" t="n">
        <v>3.2</v>
      </c>
      <c r="E355" s="9" t="n">
        <v>248</v>
      </c>
      <c r="F355" s="9" t="n">
        <v>236</v>
      </c>
      <c r="G355" s="10" t="n">
        <v>6.8</v>
      </c>
      <c r="H355" s="7" t="inlineStr">
        <is>
          <t>なし</t>
        </is>
      </c>
      <c r="I355" s="7" t="inlineStr">
        <is>
          <t>2026(R08)年12月</t>
        </is>
      </c>
      <c r="J355" s="7" t="inlineStr">
        <is>
          <t>保証付</t>
        </is>
      </c>
      <c r="K355" s="16" t="inlineStr">
        <is>
          <t>修復歴なし / 車検 2026/12 まで（残り2ヶ月） / 保証付</t>
        </is>
      </c>
      <c r="L355" s="16" t="inlineStr">
        <is>
          <t>CX-8 2.5 25S プロアクティブ 4WD</t>
        </is>
      </c>
      <c r="M355" s="7" t="inlineStr">
        <is>
          <t>https://www.carsensor.net/usedcar/detail/AU7445891391/index.html</t>
        </is>
      </c>
    </row>
    <row r="356">
      <c r="A356" s="11" t="n">
        <v>2021</v>
      </c>
      <c r="B356" s="12" t="inlineStr">
        <is>
          <t>4WD</t>
        </is>
      </c>
      <c r="C356" s="12" t="inlineStr">
        <is>
          <t>2.2 XD ブラックトーン</t>
        </is>
      </c>
      <c r="D356" s="13" t="n">
        <v>3.2</v>
      </c>
      <c r="E356" s="14" t="n">
        <v>252.4</v>
      </c>
      <c r="F356" s="14" t="n">
        <v>240.1</v>
      </c>
      <c r="G356" s="15" t="n">
        <v>8.199999999999999</v>
      </c>
      <c r="H356" s="12" t="inlineStr">
        <is>
          <t>なし</t>
        </is>
      </c>
      <c r="I356" s="12" t="inlineStr">
        <is>
          <t>2028(R10)年06月</t>
        </is>
      </c>
      <c r="J356" s="12" t="inlineStr">
        <is>
          <t>保証付</t>
        </is>
      </c>
      <c r="K356" s="16" t="inlineStr">
        <is>
          <t>走行が多め（8.2万km） / 修復歴なし / 車検 2028/06 まで（残り20ヶ月） / 保証付</t>
        </is>
      </c>
      <c r="L356" s="16" t="inlineStr">
        <is>
          <t>CX-8 2.2 XD ブラックトーン エディション ディーゼルターボ 4WD 4WD ディーゼル(軽油) 純正SDナビ 後席モニター 全周囲カメラ 衝突被害軽減システム レーダークルーズ 電動リアゲート ハーフレザーシート ドラレコ コーナーセンサー スマートキー</t>
        </is>
      </c>
      <c r="M356" s="12" t="inlineStr">
        <is>
          <t>https://www.carsensor.net/usedcar/detail/AU7241043280/index.html</t>
        </is>
      </c>
    </row>
    <row r="357">
      <c r="A357" s="6" t="n">
        <v>2022</v>
      </c>
      <c r="B357" s="7" t="inlineStr">
        <is>
          <t>4WD</t>
        </is>
      </c>
      <c r="C357" s="7" t="inlineStr">
        <is>
          <t>2.2 XD エクスクルーシブ</t>
        </is>
      </c>
      <c r="D357" s="17" t="n">
        <v>3.2</v>
      </c>
      <c r="E357" s="9" t="n">
        <v>327.9</v>
      </c>
      <c r="F357" s="9" t="n">
        <v>321.7</v>
      </c>
      <c r="G357" s="10" t="n">
        <v>4.1</v>
      </c>
      <c r="H357" s="7" t="inlineStr">
        <is>
          <t>なし</t>
        </is>
      </c>
      <c r="I357" s="7" t="inlineStr">
        <is>
          <t>2027(R09)年01月</t>
        </is>
      </c>
      <c r="J357" s="7" t="inlineStr">
        <is>
          <t>保証付</t>
        </is>
      </c>
      <c r="K357" s="16" t="inlineStr">
        <is>
          <t>修復歴なし / 車検 2027/01 まで（残り3ヶ月） / 保証付</t>
        </is>
      </c>
      <c r="L357" s="16" t="inlineStr">
        <is>
          <t>CX-8 2.2 XD エクスクルーシブ モード ディーゼルターボ 4WD 新品タイヤ/サンルーフ/BOSE/10.2インチ メモリーナビ/シートヒーター 前席/360°ビューモニター/シート フルレザー/ドライブレコーダー 前後/ヘッドランプ LED</t>
        </is>
      </c>
      <c r="M357" s="7" t="inlineStr">
        <is>
          <t>https://www.carsensor.net/usedcar/detail/AU7448601030/index.html</t>
        </is>
      </c>
    </row>
    <row r="358">
      <c r="A358" s="11" t="n">
        <v>2022</v>
      </c>
      <c r="B358" s="12" t="inlineStr">
        <is>
          <t>4WD</t>
        </is>
      </c>
      <c r="C358" s="12" t="inlineStr">
        <is>
          <t>2.2 XD ブラックトーン</t>
        </is>
      </c>
      <c r="D358" s="13" t="n">
        <v>3.2</v>
      </c>
      <c r="E358" s="14" t="n">
        <v>229.6</v>
      </c>
      <c r="F358" s="14" t="n">
        <v>219.2</v>
      </c>
      <c r="G358" s="15" t="n">
        <v>9.199999999999999</v>
      </c>
      <c r="H358" s="12" t="inlineStr">
        <is>
          <t>なし</t>
        </is>
      </c>
      <c r="I358" s="12" t="inlineStr">
        <is>
          <t>2027(R09)年07月</t>
        </is>
      </c>
      <c r="J358" s="12" t="inlineStr">
        <is>
          <t>保証付</t>
        </is>
      </c>
      <c r="K358" s="16" t="inlineStr">
        <is>
          <t>走行が多め（9.2万km） / 修復歴なし / 車検 2027/07 まで（残り9ヶ月） / 保証付 / 同年式より安い（中央値 296万）</t>
        </is>
      </c>
      <c r="L358" s="16" t="inlineStr">
        <is>
          <t>CX-8 2.2 XD ブラックトーン エディション ディーゼルターボ 4WD 360度カメラ 19AW ETC</t>
        </is>
      </c>
      <c r="M358" s="12" t="inlineStr">
        <is>
          <t>https://www.carsensor.net/usedcar/detail/AU7406994079/index.html</t>
        </is>
      </c>
    </row>
    <row r="359">
      <c r="A359" s="6" t="n">
        <v>2023</v>
      </c>
      <c r="B359" s="7" t="inlineStr">
        <is>
          <t>4WD</t>
        </is>
      </c>
      <c r="C359" s="7" t="inlineStr">
        <is>
          <t>2.2 XD スポーツ</t>
        </is>
      </c>
      <c r="D359" s="17" t="n">
        <v>3.2</v>
      </c>
      <c r="E359" s="9" t="n">
        <v>378.9</v>
      </c>
      <c r="F359" s="9" t="n">
        <v>365.9</v>
      </c>
      <c r="G359" s="10" t="n">
        <v>2.6</v>
      </c>
      <c r="H359" s="7" t="inlineStr">
        <is>
          <t>なし</t>
        </is>
      </c>
      <c r="I359" s="7" t="inlineStr">
        <is>
          <t>2026(R08)年12月</t>
        </is>
      </c>
      <c r="J359" s="7" t="inlineStr">
        <is>
          <t>保証付</t>
        </is>
      </c>
      <c r="K359" s="16" t="inlineStr">
        <is>
          <t>修復歴なし / 車検 2026/12 まで（残り2ヶ月） / 保証付</t>
        </is>
      </c>
      <c r="L359" s="16" t="inlineStr">
        <is>
          <t>CX-8 2.2 XD スポーツ アピアランス ディーゼルターボ ディスプレイオーディオ+ナビ10インチ/アイアクティブセンス/エアーシート 前席/360°ビューモニター/車線逸脱防止支援システム/シート フルレザー/電動バックドア</t>
        </is>
      </c>
      <c r="M359" s="7" t="inlineStr">
        <is>
          <t>https://www.carsensor.net/usedcar/detail/AU7352539027/index.html</t>
        </is>
      </c>
    </row>
    <row r="360">
      <c r="A360" s="11" t="n">
        <v>2023</v>
      </c>
      <c r="B360" s="12" t="inlineStr">
        <is>
          <t>4WD</t>
        </is>
      </c>
      <c r="C360" s="12" t="inlineStr">
        <is>
          <t>2.2 XD スポーツ</t>
        </is>
      </c>
      <c r="D360" s="13" t="n">
        <v>3.2</v>
      </c>
      <c r="E360" s="14" t="n">
        <v>322.4</v>
      </c>
      <c r="F360" s="14" t="n">
        <v>313</v>
      </c>
      <c r="G360" s="15" t="n">
        <v>5.8</v>
      </c>
      <c r="H360" s="12" t="inlineStr">
        <is>
          <t>なし</t>
        </is>
      </c>
      <c r="I360" s="12" t="inlineStr">
        <is>
          <t>2028(R10)年06月</t>
        </is>
      </c>
      <c r="J360" s="12" t="inlineStr">
        <is>
          <t>保証付</t>
        </is>
      </c>
      <c r="K360" s="16" t="inlineStr">
        <is>
          <t>走行が多め（5.8万km） / 修復歴なし / 車検 2028/06 まで（残り20ヶ月） / 保証付</t>
        </is>
      </c>
      <c r="L360" s="16" t="inlineStr">
        <is>
          <t>CX-8 2.2 XD スポーツ アピアランス ディーゼルターボ 4WD 黒革シート 360°ビュー・モニター ナビ ETC2.0 障害物センサー マツダ・レーダー・クルーズ・コントロール シートヒーター シートベンチレーション 電動シート 電動リアゲート Wエアコン ワイヤレス充電</t>
        </is>
      </c>
      <c r="M360" s="12" t="inlineStr">
        <is>
          <t>https://www.carsensor.net/usedcar/detail/AU7378477230/index.html</t>
        </is>
      </c>
    </row>
    <row r="361">
      <c r="A361" s="6" t="n">
        <v>2023</v>
      </c>
      <c r="B361" s="7" t="inlineStr">
        <is>
          <t>4WD</t>
        </is>
      </c>
      <c r="C361" s="7" t="inlineStr">
        <is>
          <t>2.2 XD スマート</t>
        </is>
      </c>
      <c r="D361" s="17" t="n">
        <v>3.2</v>
      </c>
      <c r="E361" s="9" t="n">
        <v>318.7</v>
      </c>
      <c r="F361" s="9" t="n">
        <v>308</v>
      </c>
      <c r="G361" s="10" t="n">
        <v>4.6</v>
      </c>
      <c r="H361" s="7" t="inlineStr">
        <is>
          <t>なし</t>
        </is>
      </c>
      <c r="I361" s="7" t="inlineStr">
        <is>
          <t>2028(R10)年07月</t>
        </is>
      </c>
      <c r="J361" s="7" t="inlineStr">
        <is>
          <t>保証付</t>
        </is>
      </c>
      <c r="K361" s="16" t="inlineStr">
        <is>
          <t>走行が多め（4.6万km） / 修復歴なし / 車検 2028/07 まで（残り21ヶ月） / 保証付</t>
        </is>
      </c>
      <c r="L361" s="16" t="inlineStr">
        <is>
          <t>CX-8 2.2 XD スマート エディション ディーゼルターボ 4WD ナビ/CarPlay/全方位モニタ/衝突軽減ブレーキ/ETC/残価設定型クレジット対応</t>
        </is>
      </c>
      <c r="M361" s="7" t="inlineStr">
        <is>
          <t>https://www.carsensor.net/usedcar/detail/AU7305251319/index.html</t>
        </is>
      </c>
    </row>
    <row r="362">
      <c r="A362" s="11" t="n">
        <v>2024</v>
      </c>
      <c r="B362" s="12" t="inlineStr">
        <is>
          <t>4WD</t>
        </is>
      </c>
      <c r="C362" s="12" t="inlineStr">
        <is>
          <t>2.2 XD グランド</t>
        </is>
      </c>
      <c r="D362" s="13" t="n">
        <v>3.2</v>
      </c>
      <c r="E362" s="14" t="n">
        <v>374.9</v>
      </c>
      <c r="F362" s="14" t="n">
        <v>364.6</v>
      </c>
      <c r="G362" s="15" t="n">
        <v>2.3</v>
      </c>
      <c r="H362" s="12" t="inlineStr">
        <is>
          <t>なし</t>
        </is>
      </c>
      <c r="I362" s="12" t="inlineStr">
        <is>
          <t>2027(R09)年01月</t>
        </is>
      </c>
      <c r="J362" s="12" t="inlineStr">
        <is>
          <t>保証付</t>
        </is>
      </c>
      <c r="K362" s="16" t="inlineStr">
        <is>
          <t>修復歴なし / 車検 2027/01 まで（残り3ヶ月） / 保証付</t>
        </is>
      </c>
      <c r="L362" s="16" t="inlineStr">
        <is>
          <t>CX-8 2.2 XD グランド ジャーニー ディーゼルターボ 4WD</t>
        </is>
      </c>
      <c r="M362" s="12" t="inlineStr">
        <is>
          <t>https://www.carsensor.net/usedcar/detail/AU7355447585/index.html</t>
        </is>
      </c>
    </row>
    <row r="363">
      <c r="A363" s="6" t="n">
        <v>2018</v>
      </c>
      <c r="B363" s="7" t="inlineStr">
        <is>
          <t>4WD</t>
        </is>
      </c>
      <c r="C363" s="7" t="inlineStr">
        <is>
          <t>2.2 XD プロアクティブ</t>
        </is>
      </c>
      <c r="D363" s="17" t="n">
        <v>3.1</v>
      </c>
      <c r="E363" s="9" t="n">
        <v>239.9</v>
      </c>
      <c r="F363" s="9" t="n">
        <v>225.5</v>
      </c>
      <c r="G363" s="10" t="n">
        <v>6.5</v>
      </c>
      <c r="H363" s="7" t="inlineStr">
        <is>
          <t>なし</t>
        </is>
      </c>
      <c r="I363" s="7" t="inlineStr">
        <is>
          <t>2027(R09)年11月</t>
        </is>
      </c>
      <c r="J363" s="7" t="inlineStr">
        <is>
          <t>保証無</t>
        </is>
      </c>
      <c r="K363" s="16" t="inlineStr">
        <is>
          <t>修復歴なし / 車検 2027/11 まで（残り13ヶ月）</t>
        </is>
      </c>
      <c r="L363" s="16" t="inlineStr">
        <is>
          <t>CX-8 2.2 XD プロアクティブ ディーゼルターボ 4WD マツダコネクトナビ BOSEサウンドシステム Bluetooth フルセグTV DVD再生 全周囲カメラ レザーシート シート&amp;ステアリングヒーター レーダークルーズコントロール パワーバックドア 電動パーキング</t>
        </is>
      </c>
      <c r="M363" s="7" t="inlineStr">
        <is>
          <t>https://www.carsensor.net/usedcar/detail/AU7019680266/index.html</t>
        </is>
      </c>
    </row>
    <row r="364">
      <c r="A364" s="11" t="n">
        <v>2018</v>
      </c>
      <c r="B364" s="12" t="inlineStr">
        <is>
          <t>4WD</t>
        </is>
      </c>
      <c r="C364" s="12" t="inlineStr">
        <is>
          <t>2.2 XD プロアクティブ</t>
        </is>
      </c>
      <c r="D364" s="13" t="n">
        <v>3</v>
      </c>
      <c r="E364" s="14" t="n">
        <v>163.8</v>
      </c>
      <c r="F364" s="14" t="n">
        <v>144.1</v>
      </c>
      <c r="G364" s="15" t="n">
        <v>6.7</v>
      </c>
      <c r="H364" s="12" t="inlineStr">
        <is>
          <t>なし</t>
        </is>
      </c>
      <c r="I364" s="12" t="inlineStr">
        <is>
          <t>車検整備無</t>
        </is>
      </c>
      <c r="J364" s="12" t="inlineStr">
        <is>
          <t>保証無</t>
        </is>
      </c>
      <c r="K364" s="16" t="inlineStr">
        <is>
          <t>修復歴なし / 同年式より安い（中央値 196万）</t>
        </is>
      </c>
      <c r="L364" s="16" t="inlineStr">
        <is>
          <t>CX-8 2.2 XD プロアクティブ ディーゼルターボ 4WD 禁煙車 純正ナビ バックカメラ フルセグTV OPルーフレール OP電動リアゲート レーダークルーズコントロール Bluetooth接続 シートヒーター ステアリングヒーター パワーシート ETC</t>
        </is>
      </c>
      <c r="M364" s="12" t="inlineStr">
        <is>
          <t>https://www.carsensor.net/usedcar/detail/AU7212456833/index.html</t>
        </is>
      </c>
    </row>
    <row r="365">
      <c r="A365" s="6" t="n">
        <v>2019</v>
      </c>
      <c r="B365" s="7" t="inlineStr">
        <is>
          <t>4WD</t>
        </is>
      </c>
      <c r="C365" s="7" t="inlineStr">
        <is>
          <t>2.2 XD Lパッケージ</t>
        </is>
      </c>
      <c r="D365" s="17" t="n">
        <v>3</v>
      </c>
      <c r="E365" s="9" t="n">
        <v>209.9</v>
      </c>
      <c r="F365" s="9" t="n">
        <v>202.9</v>
      </c>
      <c r="G365" s="10" t="n">
        <v>8.800000000000001</v>
      </c>
      <c r="H365" s="7" t="inlineStr">
        <is>
          <t>なし</t>
        </is>
      </c>
      <c r="I365" s="7" t="inlineStr">
        <is>
          <t>2028(R10)年04月</t>
        </is>
      </c>
      <c r="J365" s="7" t="inlineStr">
        <is>
          <t>保証付</t>
        </is>
      </c>
      <c r="K365" s="16" t="inlineStr">
        <is>
          <t>走行が多め（8.8万km） / 修復歴なし / 車検 2028/04 まで（残り18ヶ月） / 保証付</t>
        </is>
      </c>
      <c r="L365" s="16" t="inlineStr">
        <is>
          <t>CX-8 2.2 XD Lパッケージ ディーゼルターボ 4WD 新品タイヤ/ディスプレイオーディオ+ナビ/アイアクティブセンス/シートヒーター/全方位モニター/車線逸脱防止支援システム/シート 合皮/電動バックドア</t>
        </is>
      </c>
      <c r="M365" s="7" t="inlineStr">
        <is>
          <t>https://www.carsensor.net/usedcar/detail/AU7223241089/index.html</t>
        </is>
      </c>
    </row>
    <row r="366">
      <c r="A366" s="11" t="n">
        <v>2020</v>
      </c>
      <c r="B366" s="12" t="inlineStr">
        <is>
          <t>4WD</t>
        </is>
      </c>
      <c r="C366" s="12" t="inlineStr">
        <is>
          <t>2.2 XD プロアクティブ</t>
        </is>
      </c>
      <c r="D366" s="13" t="n">
        <v>3</v>
      </c>
      <c r="E366" s="14" t="n">
        <v>219.9</v>
      </c>
      <c r="F366" s="14" t="n">
        <v>208.4</v>
      </c>
      <c r="G366" s="15" t="n">
        <v>8</v>
      </c>
      <c r="H366" s="12" t="inlineStr">
        <is>
          <t>なし</t>
        </is>
      </c>
      <c r="I366" s="12" t="inlineStr">
        <is>
          <t>2027(R09)年04月</t>
        </is>
      </c>
      <c r="J366" s="12" t="inlineStr">
        <is>
          <t>保証付</t>
        </is>
      </c>
      <c r="K366" s="16" t="inlineStr">
        <is>
          <t>走行が多め（8.0万km） / 修復歴なし / 車検 2027/04 まで（残り6ヶ月） / 保証付 / 同年式より安い（中央値 250万）</t>
        </is>
      </c>
      <c r="L366" s="16" t="inlineStr">
        <is>
          <t>CX-8 2.2 XD プロアクティブ Sパッケージ ディーゼルターボ 4WD サンルーフ 衝突軽減 8インチマツダコネクト BOSEサウンド 全周囲カメラ BSM レーダークルーズ シートベンチレーション ドラレコ ETC 電動リアゲート</t>
        </is>
      </c>
      <c r="M366" s="12" t="inlineStr">
        <is>
          <t>https://www.carsensor.net/usedcar/detail/AU7435061002/index.html</t>
        </is>
      </c>
    </row>
    <row r="367">
      <c r="A367" s="6" t="n">
        <v>2023</v>
      </c>
      <c r="B367" s="7" t="inlineStr">
        <is>
          <t>4WD</t>
        </is>
      </c>
      <c r="C367" s="7" t="inlineStr">
        <is>
          <t>2.5 25S 4WD</t>
        </is>
      </c>
      <c r="D367" s="17" t="n">
        <v>3</v>
      </c>
      <c r="E367" s="9" t="n">
        <v>234.8</v>
      </c>
      <c r="F367" s="9" t="n">
        <v>214.9</v>
      </c>
      <c r="G367" s="10" t="n">
        <v>3.9</v>
      </c>
      <c r="H367" s="7" t="inlineStr">
        <is>
          <t>なし</t>
        </is>
      </c>
      <c r="I367" s="7" t="inlineStr">
        <is>
          <t>車検整備無</t>
        </is>
      </c>
      <c r="J367" s="7" t="inlineStr">
        <is>
          <t>保証無</t>
        </is>
      </c>
      <c r="K367" s="16" t="inlineStr">
        <is>
          <t>修復歴なし / 同年式より安い（中央値 348万）</t>
        </is>
      </c>
      <c r="L367" s="16" t="inlineStr">
        <is>
          <t>CX-8 2.5 25S 4WD 禁煙車 純正10.25インチナビ フルセグTV 4WD バックカメラ ブラインドモニター オートクルーズコントロール ステアリングリモコン プッシュスタート スマートキー アイドリングストップ</t>
        </is>
      </c>
      <c r="M367" s="7" t="inlineStr">
        <is>
          <t>https://www.carsensor.net/usedcar/detail/AU7350941385/index.html</t>
        </is>
      </c>
    </row>
    <row r="368">
      <c r="A368" s="11" t="n">
        <v>2018</v>
      </c>
      <c r="B368" s="12" t="inlineStr">
        <is>
          <t>4WD</t>
        </is>
      </c>
      <c r="C368" s="12" t="inlineStr">
        <is>
          <t>2.2 XD Lパッケージ</t>
        </is>
      </c>
      <c r="D368" s="13" t="n">
        <v>2.9</v>
      </c>
      <c r="E368" s="14" t="n">
        <v>149</v>
      </c>
      <c r="F368" s="14" t="n">
        <v>145.6</v>
      </c>
      <c r="G368" s="15" t="n">
        <v>12</v>
      </c>
      <c r="H368" s="12" t="inlineStr">
        <is>
          <t>なし</t>
        </is>
      </c>
      <c r="I368" s="12" t="inlineStr">
        <is>
          <t>2027(R09)年03月</t>
        </is>
      </c>
      <c r="J368" s="12" t="inlineStr">
        <is>
          <t>保証付</t>
        </is>
      </c>
      <c r="K368" s="16" t="inlineStr">
        <is>
          <t>走行が多め（12.0万km） / 修復歴なし / 車検 2027/03 まで（残り5ヶ月） / 保証付 / 同年式より安い（中央値 196万）</t>
        </is>
      </c>
      <c r="L368" s="16" t="inlineStr">
        <is>
          <t>CX-8 2.2 XD Lパッケージ ディーゼルターボ 4WD 革シート/BOSEサウンド/追従型クルコン/360度モニター/パワートランク/ステアリングヒーター/シートヒーター/衝突軽減/LEDヘッドライト/スマートキー&amp;プッシュスタート/</t>
        </is>
      </c>
      <c r="M368" s="12" t="inlineStr">
        <is>
          <t>https://www.carsensor.net/usedcar/detail/AU7236349281/index.html</t>
        </is>
      </c>
    </row>
    <row r="369">
      <c r="A369" s="6" t="n">
        <v>2020</v>
      </c>
      <c r="B369" s="7" t="inlineStr">
        <is>
          <t>4WD</t>
        </is>
      </c>
      <c r="C369" s="7" t="inlineStr">
        <is>
          <t>2.2 XD プロアクティブ</t>
        </is>
      </c>
      <c r="D369" s="17" t="n">
        <v>2.9</v>
      </c>
      <c r="E369" s="9" t="n">
        <v>262.9</v>
      </c>
      <c r="F369" s="9" t="n">
        <v>249.9</v>
      </c>
      <c r="G369" s="10" t="n">
        <v>5</v>
      </c>
      <c r="H369" s="7" t="inlineStr">
        <is>
          <t>なし</t>
        </is>
      </c>
      <c r="I369" s="7" t="inlineStr">
        <is>
          <t>2027(R09)年09月</t>
        </is>
      </c>
      <c r="J369" s="7" t="inlineStr">
        <is>
          <t>保証無</t>
        </is>
      </c>
      <c r="K369" s="16" t="inlineStr">
        <is>
          <t>修復歴なし / 車検 2027/09 まで（残り11ヶ月）</t>
        </is>
      </c>
      <c r="L369" s="16" t="inlineStr">
        <is>
          <t>CX-8 2.2 XD プロアクティブ Sパッケージ ディーゼルターボ 4WD</t>
        </is>
      </c>
      <c r="M369" s="7" t="inlineStr">
        <is>
          <t>https://www.carsensor.net/usedcar/detail/AU7416156355/index.html</t>
        </is>
      </c>
    </row>
    <row r="370">
      <c r="A370" s="11" t="n">
        <v>2022</v>
      </c>
      <c r="B370" s="12" t="inlineStr">
        <is>
          <t>4WD</t>
        </is>
      </c>
      <c r="C370" s="12" t="inlineStr">
        <is>
          <t>2.2 XD ブラックトーン</t>
        </is>
      </c>
      <c r="D370" s="13" t="n">
        <v>2.9</v>
      </c>
      <c r="E370" s="14" t="n">
        <v>242.9</v>
      </c>
      <c r="F370" s="14" t="n">
        <v>236.6</v>
      </c>
      <c r="G370" s="15" t="n">
        <v>9</v>
      </c>
      <c r="H370" s="12" t="inlineStr">
        <is>
          <t>なし</t>
        </is>
      </c>
      <c r="I370" s="12" t="inlineStr">
        <is>
          <t>2027(R09)年03月</t>
        </is>
      </c>
      <c r="J370" s="12" t="inlineStr">
        <is>
          <t>保証付</t>
        </is>
      </c>
      <c r="K370" s="16" t="inlineStr">
        <is>
          <t>走行が多め（9.0万km） / 修復歴なし / 車検 2027/03 まで（残り5ヶ月） / 保証付 / 同年式より安い（中央値 296万）</t>
        </is>
      </c>
      <c r="L370" s="16" t="inlineStr">
        <is>
          <t>CX-8 2.2 XD ブラックトーン エディション ディーゼルターボ 4WD 新品タイヤ/10.2インチ メモリーナビ/アイアクティブセンス/シートヒーター 全席/全方位モニター/車線逸脱防止支援システム/シート ハーフレザー/電動バックドア</t>
        </is>
      </c>
      <c r="M370" s="12" t="inlineStr">
        <is>
          <t>https://www.carsensor.net/usedcar/detail/AU7361585978/index.html</t>
        </is>
      </c>
    </row>
    <row r="371">
      <c r="A371" s="6" t="n">
        <v>2023</v>
      </c>
      <c r="B371" s="7" t="inlineStr">
        <is>
          <t>4WD</t>
        </is>
      </c>
      <c r="C371" s="7" t="inlineStr">
        <is>
          <t>2.5 25S グランド</t>
        </is>
      </c>
      <c r="D371" s="17" t="n">
        <v>2.9</v>
      </c>
      <c r="E371" s="9" t="n">
        <v>346.3</v>
      </c>
      <c r="F371" s="9" t="n">
        <v>336.6</v>
      </c>
      <c r="G371" s="10" t="n">
        <v>4.5</v>
      </c>
      <c r="H371" s="7" t="inlineStr">
        <is>
          <t>なし</t>
        </is>
      </c>
      <c r="I371" s="7" t="inlineStr">
        <is>
          <t>2028(R10)年03月</t>
        </is>
      </c>
      <c r="J371" s="7" t="inlineStr">
        <is>
          <t>保証付</t>
        </is>
      </c>
      <c r="K371" s="16" t="inlineStr">
        <is>
          <t>走行が多め（4.5万km） / 修復歴なし / 車検 2028/03 まで（残り17ヶ月） / 保証付</t>
        </is>
      </c>
      <c r="L371" s="16" t="inlineStr">
        <is>
          <t>CX-8 2.5 25S グランド ジャーニー 4WD 自社下取 さわやか保証1年走行無制限 魂動デザイン 人馬一体 オルガンペダル 衝突被害軽減ブレーキ 全周囲カメラ 残価設定型クレジット対応</t>
        </is>
      </c>
      <c r="M371" s="7" t="inlineStr">
        <is>
          <t>https://www.carsensor.net/usedcar/detail/AU7442720876/index.html</t>
        </is>
      </c>
    </row>
    <row r="372">
      <c r="A372" s="11" t="n">
        <v>2023</v>
      </c>
      <c r="B372" s="12" t="inlineStr">
        <is>
          <t>4WD</t>
        </is>
      </c>
      <c r="C372" s="12" t="inlineStr">
        <is>
          <t>2.2 XD グランド</t>
        </is>
      </c>
      <c r="D372" s="13" t="n">
        <v>2.9</v>
      </c>
      <c r="E372" s="14" t="n">
        <v>337.9</v>
      </c>
      <c r="F372" s="14" t="n">
        <v>325.8</v>
      </c>
      <c r="G372" s="15" t="n">
        <v>4.7</v>
      </c>
      <c r="H372" s="12" t="inlineStr">
        <is>
          <t>なし</t>
        </is>
      </c>
      <c r="I372" s="12" t="inlineStr">
        <is>
          <t>2028(R10)年03月</t>
        </is>
      </c>
      <c r="J372" s="12" t="inlineStr">
        <is>
          <t>保証付</t>
        </is>
      </c>
      <c r="K372" s="16" t="inlineStr">
        <is>
          <t>走行が多め（4.7万km） / 修復歴なし / 車検 2028/03 まで（残り17ヶ月） / 保証付</t>
        </is>
      </c>
      <c r="L372" s="16" t="inlineStr">
        <is>
          <t>CX-8 2.2 XD グランド ジャーニー ディーゼルターボ 4WD 純正10型ナビ 全周囲カメラ スマートブレーキ 前席+中列シートヒーター 7人乗り レーダークルーズ 禁煙車 電動リアゲート ハーフレザー コーナーセンサー スマートキー ルーフレール ETC</t>
        </is>
      </c>
      <c r="M372" s="12" t="inlineStr">
        <is>
          <t>https://www.carsensor.net/usedcar/detail/AU7327448791/index.html</t>
        </is>
      </c>
    </row>
    <row r="373">
      <c r="A373" s="6" t="n">
        <v>2023</v>
      </c>
      <c r="B373" s="7" t="inlineStr">
        <is>
          <t>4WD</t>
        </is>
      </c>
      <c r="C373" s="7" t="inlineStr">
        <is>
          <t>2.2 XD ブラックトーン</t>
        </is>
      </c>
      <c r="D373" s="17" t="n">
        <v>2.9</v>
      </c>
      <c r="E373" s="9" t="n">
        <v>348.4</v>
      </c>
      <c r="F373" s="9" t="n">
        <v>339</v>
      </c>
      <c r="G373" s="10" t="n">
        <v>4.9</v>
      </c>
      <c r="H373" s="7" t="inlineStr">
        <is>
          <t>なし</t>
        </is>
      </c>
      <c r="I373" s="7" t="inlineStr">
        <is>
          <t>2028(R10)年03月</t>
        </is>
      </c>
      <c r="J373" s="7" t="inlineStr">
        <is>
          <t>保証付</t>
        </is>
      </c>
      <c r="K373" s="16" t="inlineStr">
        <is>
          <t>走行が多め（4.9万km） / 修復歴なし / 車検 2028/03 まで（残り17ヶ月） / 保証付</t>
        </is>
      </c>
      <c r="L373" s="16" t="inlineStr">
        <is>
          <t>CX-8 2.2 XD ブラックトーン エディション ディーゼルターボ 4WD 360°モニター SヒーターPセンサー ナビ</t>
        </is>
      </c>
      <c r="M373" s="7" t="inlineStr">
        <is>
          <t>https://www.carsensor.net/usedcar/detail/AU7359915522/index.html</t>
        </is>
      </c>
    </row>
    <row r="374">
      <c r="A374" s="11" t="n">
        <v>2020</v>
      </c>
      <c r="B374" s="12" t="inlineStr">
        <is>
          <t>4WD</t>
        </is>
      </c>
      <c r="C374" s="12" t="inlineStr">
        <is>
          <t>2.2 XD プロアクティブ</t>
        </is>
      </c>
      <c r="D374" s="13" t="n">
        <v>2.8</v>
      </c>
      <c r="E374" s="14" t="n">
        <v>197.9</v>
      </c>
      <c r="F374" s="14" t="n">
        <v>191.8</v>
      </c>
      <c r="G374" s="15" t="n">
        <v>9.1</v>
      </c>
      <c r="H374" s="12" t="inlineStr">
        <is>
          <t>なし</t>
        </is>
      </c>
      <c r="I374" s="12" t="inlineStr">
        <is>
          <t>2027(R09)年01月</t>
        </is>
      </c>
      <c r="J374" s="12" t="inlineStr">
        <is>
          <t>保証付</t>
        </is>
      </c>
      <c r="K374" s="16" t="inlineStr">
        <is>
          <t>走行が多め（9.1万km） / 修復歴なし / 車検 2027/01 まで（残り3ヶ月） / 保証付 / 同年式より安い（中央値 250万）</t>
        </is>
      </c>
      <c r="L374" s="16" t="inlineStr">
        <is>
          <t>CX-8 2.2 XD プロアクティブ Sパッケージ ディーゼルターボ 4WD 新品タイヤ/SDナビ/フリップダウン 社外 10.2インチ/アイアクティブセンス/エアーシート 前席/360°ビューモニター/車線逸脱防止支援システム</t>
        </is>
      </c>
      <c r="M374" s="12" t="inlineStr">
        <is>
          <t>https://www.carsensor.net/usedcar/detail/AU7139430200/index.html</t>
        </is>
      </c>
    </row>
    <row r="375">
      <c r="A375" s="6" t="n">
        <v>2022</v>
      </c>
      <c r="B375" s="7" t="inlineStr">
        <is>
          <t>4WD</t>
        </is>
      </c>
      <c r="C375" s="7" t="inlineStr">
        <is>
          <t>2.2 XD ブラックトーン</t>
        </is>
      </c>
      <c r="D375" s="17" t="n">
        <v>2.8</v>
      </c>
      <c r="E375" s="9" t="n">
        <v>259.9</v>
      </c>
      <c r="F375" s="9" t="n">
        <v>248.5</v>
      </c>
      <c r="G375" s="10" t="n">
        <v>8</v>
      </c>
      <c r="H375" s="7" t="inlineStr">
        <is>
          <t>なし</t>
        </is>
      </c>
      <c r="I375" s="7" t="inlineStr">
        <is>
          <t>2027(R09)年02月</t>
        </is>
      </c>
      <c r="J375" s="7" t="inlineStr">
        <is>
          <t>保証付</t>
        </is>
      </c>
      <c r="K375" s="16" t="inlineStr">
        <is>
          <t>走行が多め（8.0万km） / 修復歴なし / 車検 2027/02 まで（残り4ヶ月） / 保証付 / 同年式より安い（中央値 296万）</t>
        </is>
      </c>
      <c r="L375" s="16" t="inlineStr">
        <is>
          <t>CX-8 2.2 XD ブラックトーン エディション ディーゼルターボ 4WD BOSEサウンド 10.25型純正コネクトナビ 全周囲カメラ シティブレーキアクティブシステム 禁煙車 電動リアゲート ハーフレザーシート ドラレコ コーナーセンサー</t>
        </is>
      </c>
      <c r="M375" s="7" t="inlineStr">
        <is>
          <t>https://www.carsensor.net/usedcar/detail/AU7326181402/index.html</t>
        </is>
      </c>
    </row>
    <row r="376">
      <c r="A376" s="11" t="n">
        <v>2023</v>
      </c>
      <c r="B376" s="12" t="inlineStr">
        <is>
          <t>4WD</t>
        </is>
      </c>
      <c r="C376" s="12" t="inlineStr">
        <is>
          <t>2.2 XD グランド</t>
        </is>
      </c>
      <c r="D376" s="13" t="n">
        <v>2.8</v>
      </c>
      <c r="E376" s="14" t="n">
        <v>352.8</v>
      </c>
      <c r="F376" s="14" t="n">
        <v>346.4</v>
      </c>
      <c r="G376" s="15" t="n">
        <v>4.7</v>
      </c>
      <c r="H376" s="12" t="inlineStr">
        <is>
          <t>なし</t>
        </is>
      </c>
      <c r="I376" s="12" t="inlineStr">
        <is>
          <t>2028(R10)年02月</t>
        </is>
      </c>
      <c r="J376" s="12" t="inlineStr">
        <is>
          <t>保証付</t>
        </is>
      </c>
      <c r="K376" s="16" t="inlineStr">
        <is>
          <t>走行が多め（4.7万km） / 修復歴なし / 車検 2028/02 まで（残り16ヶ月） / 保証付</t>
        </is>
      </c>
      <c r="L376" s="16" t="inlineStr">
        <is>
          <t>CX-8 2.2 XD グランド ジャーニー ディーゼルターボ 4WD 4WD 衝突軽減 サンルーフ BOSEサウンド</t>
        </is>
      </c>
      <c r="M376" s="12" t="inlineStr">
        <is>
          <t>https://www.carsensor.net/usedcar/detail/AU7371938679/index.html</t>
        </is>
      </c>
    </row>
    <row r="377">
      <c r="A377" s="6" t="n">
        <v>2023</v>
      </c>
      <c r="B377" s="7" t="inlineStr">
        <is>
          <t>4WD</t>
        </is>
      </c>
      <c r="C377" s="7" t="inlineStr">
        <is>
          <t>XD Sports Appearance</t>
        </is>
      </c>
      <c r="D377" s="17" t="n">
        <v>2.8</v>
      </c>
      <c r="E377" s="9" t="n">
        <v>393.8</v>
      </c>
      <c r="F377" s="9" t="n">
        <v>385</v>
      </c>
      <c r="G377" s="10" t="n">
        <v>4.5</v>
      </c>
      <c r="H377" s="7" t="inlineStr">
        <is>
          <t>なし</t>
        </is>
      </c>
      <c r="I377" s="7" t="inlineStr">
        <is>
          <t>2028(R10)年01月</t>
        </is>
      </c>
      <c r="J377" s="7" t="inlineStr">
        <is>
          <t>保証付</t>
        </is>
      </c>
      <c r="K377" s="16" t="inlineStr">
        <is>
          <t>走行が多め（4.5万km） / 修復歴なし / 車検 2028/01 まで（残り15ヶ月） / 保証付</t>
        </is>
      </c>
      <c r="L377" s="16" t="inlineStr">
        <is>
          <t>CX-8 XD Sports Appearance ボーズサウンド 最終型 ボーズサウンド ルーフレール&amp;サイドガーニッシュ 10.25インチナビ 360°ビューモニター 2カメラドラレコ ETC エンスタ ブルーミラー デイライト</t>
        </is>
      </c>
      <c r="M377" s="7" t="inlineStr">
        <is>
          <t>https://www.carsensor.net/usedcar/detail/AU7278523838/index.html</t>
        </is>
      </c>
    </row>
    <row r="378">
      <c r="A378" s="11" t="n">
        <v>2017</v>
      </c>
      <c r="B378" s="12" t="inlineStr">
        <is>
          <t>4WD</t>
        </is>
      </c>
      <c r="C378" s="12" t="inlineStr">
        <is>
          <t>2.2 XD プロアクティブ</t>
        </is>
      </c>
      <c r="D378" s="13" t="n">
        <v>2.7</v>
      </c>
      <c r="E378" s="14" t="n">
        <v>151.8</v>
      </c>
      <c r="F378" s="14" t="n">
        <v>139.9</v>
      </c>
      <c r="G378" s="15" t="n">
        <v>14.3</v>
      </c>
      <c r="H378" s="12" t="inlineStr">
        <is>
          <t>なし</t>
        </is>
      </c>
      <c r="I378" s="12" t="inlineStr">
        <is>
          <t>2026(R08)年12月</t>
        </is>
      </c>
      <c r="J378" s="12" t="inlineStr">
        <is>
          <t>保証付</t>
        </is>
      </c>
      <c r="K378" s="16" t="inlineStr">
        <is>
          <t>走行が多め（14.3万km） / 修復歴なし / 車検 2026/12 まで（残り2ヶ月） / 保証付 / 同年式より安い（中央値 184万）</t>
        </is>
      </c>
      <c r="L378" s="16" t="inlineStr">
        <is>
          <t>CX-8 2.2 XD プロアクティブ ディーゼルターボ 4WD メーカーナビ 全周囲カメラ BOSEサウンドシステム Bluetooth再生 ETC クリアランスソナー シグネチャーイルミランプ ヒッチメンバー ボンネットリップ 純正アルミホイール シートヒーター</t>
        </is>
      </c>
      <c r="M378" s="12" t="inlineStr">
        <is>
          <t>https://www.carsensor.net/usedcar/detail/AU6850746968/index.html</t>
        </is>
      </c>
    </row>
    <row r="379">
      <c r="A379" s="6" t="n">
        <v>2020</v>
      </c>
      <c r="B379" s="7" t="inlineStr">
        <is>
          <t>4WD</t>
        </is>
      </c>
      <c r="C379" s="7" t="inlineStr">
        <is>
          <t>2.2 XD ブラックトーン</t>
        </is>
      </c>
      <c r="D379" s="17" t="n">
        <v>2.7</v>
      </c>
      <c r="E379" s="9" t="n">
        <v>252.9</v>
      </c>
      <c r="F379" s="9" t="n">
        <v>246.1</v>
      </c>
      <c r="G379" s="10" t="n">
        <v>8.1</v>
      </c>
      <c r="H379" s="7" t="inlineStr">
        <is>
          <t>なし</t>
        </is>
      </c>
      <c r="I379" s="7" t="inlineStr">
        <is>
          <t>2027(R09)年12月</t>
        </is>
      </c>
      <c r="J379" s="7" t="inlineStr">
        <is>
          <t>保証付</t>
        </is>
      </c>
      <c r="K379" s="16" t="inlineStr">
        <is>
          <t>走行が多め（8.1万km） / 修復歴なし / 車検 2027/12 まで（残り14ヶ月） / 保証付</t>
        </is>
      </c>
      <c r="L379" s="16" t="inlineStr">
        <is>
          <t>CX-8 2.2 XD ブラックトーン エディション ディーゼルターボ 4WD BOSE/SDナビ/後席モニター 社外 8インチx2/衝突安全装置/シートヒーター/全方位モニター/車線逸脱防止支援システム/シート ハーフレザー/電動バックドア/ドライブレコーダー 純正</t>
        </is>
      </c>
      <c r="M379" s="7" t="inlineStr">
        <is>
          <t>https://www.carsensor.net/usedcar/detail/AU7233721450/index.html</t>
        </is>
      </c>
    </row>
    <row r="380">
      <c r="A380" s="11" t="n">
        <v>2023</v>
      </c>
      <c r="B380" s="12" t="inlineStr">
        <is>
          <t>4WD</t>
        </is>
      </c>
      <c r="C380" s="12" t="inlineStr">
        <is>
          <t>2.2 XD ブラックトーン</t>
        </is>
      </c>
      <c r="D380" s="13" t="n">
        <v>2.7</v>
      </c>
      <c r="E380" s="14" t="n">
        <v>276.5</v>
      </c>
      <c r="F380" s="14" t="n">
        <v>268</v>
      </c>
      <c r="G380" s="15" t="n">
        <v>6.6</v>
      </c>
      <c r="H380" s="12" t="inlineStr">
        <is>
          <t>なし</t>
        </is>
      </c>
      <c r="I380" s="12" t="inlineStr">
        <is>
          <t>2026(R08)年12月</t>
        </is>
      </c>
      <c r="J380" s="12" t="inlineStr">
        <is>
          <t>保証付</t>
        </is>
      </c>
      <c r="K380" s="16" t="inlineStr">
        <is>
          <t>走行が多め（6.6万km） / 修復歴なし / 車検 2026/12 まで（残り2ヶ月） / 保証付 / 同年式より安い（中央値 348万）</t>
        </is>
      </c>
      <c r="L380" s="16" t="inlineStr">
        <is>
          <t>CX-8 2.2 XD ブラックトーン エディション ディーゼルターボ 4WD</t>
        </is>
      </c>
      <c r="M380" s="12" t="inlineStr">
        <is>
          <t>https://www.carsensor.net/usedcar/detail/AU7342650238/index.html</t>
        </is>
      </c>
    </row>
    <row r="381">
      <c r="A381" s="6" t="n">
        <v>2018</v>
      </c>
      <c r="B381" s="7" t="inlineStr">
        <is>
          <t>4WD</t>
        </is>
      </c>
      <c r="C381" s="7" t="inlineStr">
        <is>
          <t>2.2 XD プロアクティブ</t>
        </is>
      </c>
      <c r="D381" s="17" t="n">
        <v>2.5</v>
      </c>
      <c r="E381" s="9" t="n">
        <v>109.3</v>
      </c>
      <c r="F381" s="9" t="n">
        <v>94.8</v>
      </c>
      <c r="G381" s="10" t="n">
        <v>11.7</v>
      </c>
      <c r="H381" s="7" t="inlineStr">
        <is>
          <t>なし</t>
        </is>
      </c>
      <c r="I381" s="7" t="inlineStr">
        <is>
          <t>車検整備付</t>
        </is>
      </c>
      <c r="J381" s="7" t="inlineStr">
        <is>
          <t>保証付</t>
        </is>
      </c>
      <c r="K381" s="16" t="inlineStr">
        <is>
          <t>走行が多め（11.7万km） / 修復歴なし / 車検整備付 / 保証付</t>
        </is>
      </c>
      <c r="L381" s="16" t="inlineStr">
        <is>
          <t>CX-8 2.2 XD プロアクティブ ディーゼルターボ 4WD 全国1年保証・ヒッチメンバー・地デジTV・アイドリングストップ・クリアランスソナー・ETC・BOSEサウンドシステム・ハンドルヒーター・レーンアラート・USBソケット・シートメモリー・パワーシート</t>
        </is>
      </c>
      <c r="M381" s="7" t="inlineStr">
        <is>
          <t>https://www.carsensor.net/usedcar/detail/AU6879511117/index.html</t>
        </is>
      </c>
    </row>
    <row r="382">
      <c r="A382" s="11" t="n">
        <v>2018</v>
      </c>
      <c r="B382" s="12" t="inlineStr">
        <is>
          <t>4WD</t>
        </is>
      </c>
      <c r="C382" s="12" t="inlineStr">
        <is>
          <t>2.2 XD Lパッケージ</t>
        </is>
      </c>
      <c r="D382" s="13" t="n">
        <v>2.5</v>
      </c>
      <c r="E382" s="14" t="n">
        <v>161.5</v>
      </c>
      <c r="F382" s="14" t="n">
        <v>148.8</v>
      </c>
      <c r="G382" s="15" t="n">
        <v>10.1</v>
      </c>
      <c r="H382" s="12" t="inlineStr">
        <is>
          <t>なし</t>
        </is>
      </c>
      <c r="I382" s="12" t="inlineStr">
        <is>
          <t>車検整備付</t>
        </is>
      </c>
      <c r="J382" s="12" t="inlineStr">
        <is>
          <t>保証無</t>
        </is>
      </c>
      <c r="K382" s="16" t="inlineStr">
        <is>
          <t>走行が多め（10.1万km） / 修復歴なし / 車検整備付 / 同年式より安い（中央値 196万）</t>
        </is>
      </c>
      <c r="L382" s="16" t="inlineStr">
        <is>
          <t>CX-8 2.2 XD Lパッケージ ディーゼルターボ 純正ディスプレイオーディオ 360°ビューモニター フルセグ ETC ルーフモニター 純正ドラレコ 純正リモコンスターター シートヒーター パワーシート パワーゲート</t>
        </is>
      </c>
      <c r="M382" s="12" t="inlineStr">
        <is>
          <t>https://www.carsensor.net/usedcar/detail/AU7394812497/index.html</t>
        </is>
      </c>
    </row>
    <row r="383">
      <c r="A383" s="6" t="n">
        <v>2019</v>
      </c>
      <c r="B383" s="7" t="inlineStr">
        <is>
          <t>4WD</t>
        </is>
      </c>
      <c r="C383" s="7" t="inlineStr">
        <is>
          <t>2.2 XD プロアクティブ</t>
        </is>
      </c>
      <c r="D383" s="17" t="n">
        <v>2.5</v>
      </c>
      <c r="E383" s="9" t="n">
        <v>176.7</v>
      </c>
      <c r="F383" s="9" t="n">
        <v>159</v>
      </c>
      <c r="G383" s="10" t="n">
        <v>9.5</v>
      </c>
      <c r="H383" s="7" t="inlineStr">
        <is>
          <t>なし</t>
        </is>
      </c>
      <c r="I383" s="7" t="inlineStr">
        <is>
          <t>車検整備付</t>
        </is>
      </c>
      <c r="J383" s="7" t="inlineStr">
        <is>
          <t>保証無</t>
        </is>
      </c>
      <c r="K383" s="16" t="inlineStr">
        <is>
          <t>走行が多め（9.5万km） / 修復歴なし / 車検整備付 / 同年式より安い（中央値 231万）</t>
        </is>
      </c>
      <c r="L383" s="16" t="inlineStr">
        <is>
          <t>CX-8 2.2 XD プロアクティブ ディーゼルターボ 4WD 7人乗 全方位カメラ CD DVD</t>
        </is>
      </c>
      <c r="M383" s="7" t="inlineStr">
        <is>
          <t>https://www.carsensor.net/usedcar/detail/AU7381462892/index.html</t>
        </is>
      </c>
    </row>
    <row r="384">
      <c r="A384" s="11" t="n">
        <v>2020</v>
      </c>
      <c r="B384" s="12" t="inlineStr">
        <is>
          <t>4WD</t>
        </is>
      </c>
      <c r="C384" s="12" t="inlineStr">
        <is>
          <t>2.2 XD プロアクティブ</t>
        </is>
      </c>
      <c r="D384" s="13" t="n">
        <v>2.5</v>
      </c>
      <c r="E384" s="14" t="n">
        <v>238.8</v>
      </c>
      <c r="F384" s="14" t="n">
        <v>222.9</v>
      </c>
      <c r="G384" s="15" t="n">
        <v>9.9</v>
      </c>
      <c r="H384" s="12" t="inlineStr">
        <is>
          <t>なし</t>
        </is>
      </c>
      <c r="I384" s="12" t="inlineStr">
        <is>
          <t>車検整備付</t>
        </is>
      </c>
      <c r="J384" s="12" t="inlineStr">
        <is>
          <t>保証付</t>
        </is>
      </c>
      <c r="K384" s="16" t="inlineStr">
        <is>
          <t>走行が多め（9.9万km） / 修復歴なし / 車検整備付 / 保証付</t>
        </is>
      </c>
      <c r="L384" s="16" t="inlineStr">
        <is>
          <t>CX-8 2.2 XD プロアクティブ Sパッケージ ディーゼルターボ 4WD ナッパ革 電動リアゲート 360度カメラ 衝突軽減ブレーキ 前後センサー 追従クルコン 地デジTV Bluetooth DVD再生 バックカメラ シートヒーター&amp;エアコン パワーシート ETC リア&amp;オートエアコン 4WD</t>
        </is>
      </c>
      <c r="M384" s="12" t="inlineStr">
        <is>
          <t>https://www.carsensor.net/usedcar/detail/AU6863699268/index.html</t>
        </is>
      </c>
    </row>
    <row r="385">
      <c r="A385" s="6" t="n">
        <v>2021</v>
      </c>
      <c r="B385" s="7" t="inlineStr">
        <is>
          <t>4WD</t>
        </is>
      </c>
      <c r="C385" s="7" t="inlineStr">
        <is>
          <t>2.2 XD ブラックトーン</t>
        </is>
      </c>
      <c r="D385" s="17" t="n">
        <v>2.5</v>
      </c>
      <c r="E385" s="9" t="n">
        <v>251.8</v>
      </c>
      <c r="F385" s="9" t="n">
        <v>242.9</v>
      </c>
      <c r="G385" s="10" t="n">
        <v>7.6</v>
      </c>
      <c r="H385" s="7" t="inlineStr">
        <is>
          <t>なし</t>
        </is>
      </c>
      <c r="I385" s="7" t="inlineStr">
        <is>
          <t>車検整備付</t>
        </is>
      </c>
      <c r="J385" s="7" t="inlineStr">
        <is>
          <t>保証付</t>
        </is>
      </c>
      <c r="K385" s="16" t="inlineStr">
        <is>
          <t>走行が多め（7.6万km） / 修復歴なし / 車検整備付 / 保証付</t>
        </is>
      </c>
      <c r="L385" s="16" t="inlineStr">
        <is>
          <t>CX-8 2.2 XD ブラックトーン エディション ディーゼルターボ 純正10.25インチナビ 360度ビューモニター BSM HUD ETC 前後ドライブレコーダー シティブレーキサポート レーダークルーズ シートヒーター ワイヤレス充電 オートハイビーム LED</t>
        </is>
      </c>
      <c r="M385" s="7" t="inlineStr">
        <is>
          <t>https://www.carsensor.net/usedcar/detail/AU7315393188/index.html</t>
        </is>
      </c>
    </row>
    <row r="386">
      <c r="A386" s="11" t="n">
        <v>2021</v>
      </c>
      <c r="B386" s="12" t="inlineStr">
        <is>
          <t>4WD</t>
        </is>
      </c>
      <c r="C386" s="12" t="inlineStr">
        <is>
          <t>2.2 XD Lパッケージ</t>
        </is>
      </c>
      <c r="D386" s="13" t="n">
        <v>2.5</v>
      </c>
      <c r="E386" s="14" t="n">
        <v>263.8</v>
      </c>
      <c r="F386" s="14" t="n">
        <v>249.8</v>
      </c>
      <c r="G386" s="15" t="n">
        <v>7.3</v>
      </c>
      <c r="H386" s="12" t="inlineStr">
        <is>
          <t>なし</t>
        </is>
      </c>
      <c r="I386" s="12" t="inlineStr">
        <is>
          <t>車検整備付</t>
        </is>
      </c>
      <c r="J386" s="12" t="inlineStr">
        <is>
          <t>保証付</t>
        </is>
      </c>
      <c r="K386" s="16" t="inlineStr">
        <is>
          <t>走行が多め（7.3万km） / 修復歴なし / 車検整備付 / 保証付</t>
        </is>
      </c>
      <c r="L386" s="16" t="inlineStr">
        <is>
          <t>CX-8 2.2 XD Lパッケージ ディーゼルターボ 4WD ETC車載器 衝突被害軽減ブレーキ コネクティッドサービス 360°ビューモニター BOSEサウンドシステム 運転席パワーシート</t>
        </is>
      </c>
      <c r="M386" s="12" t="inlineStr">
        <is>
          <t>https://www.carsensor.net/usedcar/detail/AU7417813927/index.html</t>
        </is>
      </c>
    </row>
    <row r="387">
      <c r="A387" s="6" t="n">
        <v>2022</v>
      </c>
      <c r="B387" s="7" t="inlineStr">
        <is>
          <t>4WD</t>
        </is>
      </c>
      <c r="C387" s="7" t="inlineStr">
        <is>
          <t>2.2 XD プロアクティブ</t>
        </is>
      </c>
      <c r="D387" s="17" t="n">
        <v>2.5</v>
      </c>
      <c r="E387" s="9" t="n">
        <v>273.6</v>
      </c>
      <c r="F387" s="9" t="n">
        <v>259.8</v>
      </c>
      <c r="G387" s="10" t="n">
        <v>7</v>
      </c>
      <c r="H387" s="7" t="inlineStr">
        <is>
          <t>なし</t>
        </is>
      </c>
      <c r="I387" s="7" t="inlineStr">
        <is>
          <t>車検整備付</t>
        </is>
      </c>
      <c r="J387" s="7" t="inlineStr">
        <is>
          <t>保証付</t>
        </is>
      </c>
      <c r="K387" s="16" t="inlineStr">
        <is>
          <t>走行が多め（7.0万km） / 修復歴なし / 車検整備付 / 保証付</t>
        </is>
      </c>
      <c r="L387" s="16" t="inlineStr">
        <is>
          <t>CX-8 2.2 XD プロアクティブ ディーゼルターボ 4WD</t>
        </is>
      </c>
      <c r="M387" s="7" t="inlineStr">
        <is>
          <t>https://www.carsensor.net/usedcar/detail/AU7306613629/index.html</t>
        </is>
      </c>
    </row>
    <row r="388">
      <c r="A388" s="11" t="n">
        <v>2022</v>
      </c>
      <c r="B388" s="12" t="inlineStr">
        <is>
          <t>4WD</t>
        </is>
      </c>
      <c r="C388" s="12" t="inlineStr">
        <is>
          <t>2.2 XD ブラックトーン</t>
        </is>
      </c>
      <c r="D388" s="13" t="n">
        <v>2.5</v>
      </c>
      <c r="E388" s="14" t="n">
        <v>279.9</v>
      </c>
      <c r="F388" s="14" t="n">
        <v>264.8</v>
      </c>
      <c r="G388" s="15" t="n">
        <v>6.5</v>
      </c>
      <c r="H388" s="12" t="inlineStr">
        <is>
          <t>なし</t>
        </is>
      </c>
      <c r="I388" s="12" t="inlineStr">
        <is>
          <t>車検整備付</t>
        </is>
      </c>
      <c r="J388" s="12" t="inlineStr">
        <is>
          <t>保証付</t>
        </is>
      </c>
      <c r="K388" s="16" t="inlineStr">
        <is>
          <t>走行が多め（6.5万km） / 修復歴なし / 車検整備付 / 保証付</t>
        </is>
      </c>
      <c r="L388" s="16" t="inlineStr">
        <is>
          <t>CX-8 2.2 XD ブラックトーン エディション ディーゼルターボ 4WD BOSE リアシートモニター 360°ビュー・モニター 純正ナビ 前後ドライブレコーダー ETC 障害物センサー マツダ・レーダー・クルーズ・コントロール シートヒーター 電動シート 電動リアゲート Wエアコン</t>
        </is>
      </c>
      <c r="M388" s="12" t="inlineStr">
        <is>
          <t>https://www.carsensor.net/usedcar/detail/AU7224931692/index.html</t>
        </is>
      </c>
    </row>
    <row r="389">
      <c r="A389" s="6" t="n">
        <v>2023</v>
      </c>
      <c r="B389" s="7" t="inlineStr">
        <is>
          <t>4WD</t>
        </is>
      </c>
      <c r="C389" s="7" t="inlineStr">
        <is>
          <t>2.2 XD エクスクルーシブ</t>
        </is>
      </c>
      <c r="D389" s="17" t="n">
        <v>2.5</v>
      </c>
      <c r="E389" s="9" t="n">
        <v>304.5</v>
      </c>
      <c r="F389" s="9" t="n">
        <v>289.9</v>
      </c>
      <c r="G389" s="10" t="n">
        <v>7.5</v>
      </c>
      <c r="H389" s="7" t="inlineStr">
        <is>
          <t>なし</t>
        </is>
      </c>
      <c r="I389" s="7" t="inlineStr">
        <is>
          <t>車検整備無</t>
        </is>
      </c>
      <c r="J389" s="7" t="inlineStr">
        <is>
          <t>保証付</t>
        </is>
      </c>
      <c r="K389" s="16" t="inlineStr">
        <is>
          <t>走行が多め（7.5万km） / 修復歴なし / 保証付 / 同年式より安い（中央値 348万）</t>
        </is>
      </c>
      <c r="L389" s="16" t="inlineStr">
        <is>
          <t>CX-8 2.2 XD エクスクルーシブ モード ディーゼルターボ 4WD ワンオーナー/黒革シート/BOSE/衝突軽減/BSM/追従クルコン/LKAS/アダプティブLEDヘッドランプ/電動Bドア/1・2列目パワーシート・シートヒーター・ベンチレーション/360度ビュー/マツコネ/ドラレコ/ETC</t>
        </is>
      </c>
      <c r="M389" s="7" t="inlineStr">
        <is>
          <t>https://www.carsensor.net/usedcar/detail/AU7318317507/index.html</t>
        </is>
      </c>
    </row>
    <row r="390">
      <c r="A390" s="11" t="n">
        <v>2023</v>
      </c>
      <c r="B390" s="12" t="inlineStr">
        <is>
          <t>4WD</t>
        </is>
      </c>
      <c r="C390" s="12" t="inlineStr">
        <is>
          <t>2.2 XD スポーツ</t>
        </is>
      </c>
      <c r="D390" s="13" t="n">
        <v>2.5</v>
      </c>
      <c r="E390" s="14" t="n">
        <v>329.8</v>
      </c>
      <c r="F390" s="14" t="n">
        <v>320.9</v>
      </c>
      <c r="G390" s="15" t="n">
        <v>4.6</v>
      </c>
      <c r="H390" s="12" t="inlineStr">
        <is>
          <t>なし</t>
        </is>
      </c>
      <c r="I390" s="12" t="inlineStr">
        <is>
          <t>車検整備付</t>
        </is>
      </c>
      <c r="J390" s="12" t="inlineStr">
        <is>
          <t>保証付</t>
        </is>
      </c>
      <c r="K390" s="16" t="inlineStr">
        <is>
          <t>走行が多め（4.6万km） / 修復歴なし / 車検整備付 / 保証付</t>
        </is>
      </c>
      <c r="L390" s="16" t="inlineStr">
        <is>
          <t>CX-8 2.2 XD スポーツ アピアランス ディーゼルターボ 4WD 純正10.25インチナビ 360度ビューモニター BSM HUD ETC2.0 前後ドライブレコーダー シティブレーキサポート シートヒーター ベンチレーション ミラー一体型ドラレコ ワイヤレス充電</t>
        </is>
      </c>
      <c r="M390" s="12" t="inlineStr">
        <is>
          <t>https://www.carsensor.net/usedcar/detail/AU7422446727/index.html</t>
        </is>
      </c>
    </row>
    <row r="391">
      <c r="A391" s="6" t="n">
        <v>2023</v>
      </c>
      <c r="B391" s="7" t="inlineStr">
        <is>
          <t>4WD</t>
        </is>
      </c>
      <c r="C391" s="7" t="inlineStr">
        <is>
          <t>2.2 XD グランド</t>
        </is>
      </c>
      <c r="D391" s="17" t="n">
        <v>2.5</v>
      </c>
      <c r="E391" s="9" t="n">
        <v>329.8</v>
      </c>
      <c r="F391" s="9" t="n">
        <v>317.8</v>
      </c>
      <c r="G391" s="10" t="n">
        <v>4.9</v>
      </c>
      <c r="H391" s="7" t="inlineStr">
        <is>
          <t>なし</t>
        </is>
      </c>
      <c r="I391" s="7" t="inlineStr">
        <is>
          <t>車検整備付</t>
        </is>
      </c>
      <c r="J391" s="7" t="inlineStr">
        <is>
          <t>保証付</t>
        </is>
      </c>
      <c r="K391" s="16" t="inlineStr">
        <is>
          <t>走行が多め（4.9万km） / 修復歴なし / 車検整備付 / 保証付</t>
        </is>
      </c>
      <c r="L391" s="16" t="inlineStr">
        <is>
          <t>CX-8 2.2 XD グランド ジャーニー ディーゼルターボ 4WD 特別仕様/Apple CarPlay/レーダークルーズ/BSM全周囲カメラ/シートヒーター/ステアリングヒーター/電動リアゲート/BSM/コーナーセンサー/パワーシート/3列シート/ETC</t>
        </is>
      </c>
      <c r="M391" s="7" t="inlineStr">
        <is>
          <t>https://www.carsensor.net/usedcar/detail/AU7357218698/index.html</t>
        </is>
      </c>
    </row>
    <row r="392">
      <c r="A392" s="11" t="n">
        <v>2023</v>
      </c>
      <c r="B392" s="12" t="inlineStr">
        <is>
          <t>4WD</t>
        </is>
      </c>
      <c r="C392" s="12" t="inlineStr">
        <is>
          <t>2.2 XD グランド</t>
        </is>
      </c>
      <c r="D392" s="13" t="n">
        <v>2.5</v>
      </c>
      <c r="E392" s="14" t="n">
        <v>329.9</v>
      </c>
      <c r="F392" s="14" t="n">
        <v>312.6</v>
      </c>
      <c r="G392" s="15" t="n">
        <v>4.9</v>
      </c>
      <c r="H392" s="12" t="inlineStr">
        <is>
          <t>なし</t>
        </is>
      </c>
      <c r="I392" s="12" t="inlineStr">
        <is>
          <t>車検整備付</t>
        </is>
      </c>
      <c r="J392" s="12" t="inlineStr">
        <is>
          <t>保証付</t>
        </is>
      </c>
      <c r="K392" s="16" t="inlineStr">
        <is>
          <t>走行が多め（4.9万km） / 修復歴なし / 車検整備付 / 保証付</t>
        </is>
      </c>
      <c r="L392" s="16" t="inlineStr">
        <is>
          <t>CX-8 2.2 XD グランド ジャーニー ディーゼルターボ 4WD 4WD ターボ ディーゼル(軽油) 純正10型ナビ 全周囲カメラ 衝突被害軽減システム 禁煙車 電動リアゲート ハーフレザーシート ドラレコ コーナーセンサー スマートキー ルーフレール</t>
        </is>
      </c>
      <c r="M392" s="12" t="inlineStr">
        <is>
          <t>https://www.carsensor.net/usedcar/detail/AU7324149575/index.html</t>
        </is>
      </c>
    </row>
    <row r="393">
      <c r="A393" s="6" t="n">
        <v>2023</v>
      </c>
      <c r="B393" s="7" t="inlineStr">
        <is>
          <t>4WD</t>
        </is>
      </c>
      <c r="C393" s="7" t="inlineStr">
        <is>
          <t>2.2 XD グランド</t>
        </is>
      </c>
      <c r="D393" s="17" t="n">
        <v>2.5</v>
      </c>
      <c r="E393" s="9" t="n">
        <v>356.8</v>
      </c>
      <c r="F393" s="9" t="n">
        <v>347.9</v>
      </c>
      <c r="G393" s="10" t="n">
        <v>4.7</v>
      </c>
      <c r="H393" s="7" t="inlineStr">
        <is>
          <t>なし</t>
        </is>
      </c>
      <c r="I393" s="7" t="inlineStr">
        <is>
          <t>車検整備付</t>
        </is>
      </c>
      <c r="J393" s="7" t="inlineStr">
        <is>
          <t>保証付</t>
        </is>
      </c>
      <c r="K393" s="16" t="inlineStr">
        <is>
          <t>走行が多め（4.7万km） / 修復歴なし / 車検整備付 / 保証付</t>
        </is>
      </c>
      <c r="L393" s="16" t="inlineStr">
        <is>
          <t>CX-8 2.2 XD グランド ジャーニー ディーゼルターボ 4WD 10.25インチディスプレイ ETC フルセグTV 360°ビューモニター パワーバックドア ETC ドライブレコーダー Bluetooth シートヒーター パワーシート フリップダウンモニター</t>
        </is>
      </c>
      <c r="M393" s="7" t="inlineStr">
        <is>
          <t>https://www.carsensor.net/usedcar/detail/AU7326628375/index.html</t>
        </is>
      </c>
    </row>
    <row r="394">
      <c r="A394" s="11" t="n">
        <v>2023</v>
      </c>
      <c r="B394" s="12" t="inlineStr">
        <is>
          <t>4WD</t>
        </is>
      </c>
      <c r="C394" s="12" t="inlineStr">
        <is>
          <t>2.2 XD ブラックトーン</t>
        </is>
      </c>
      <c r="D394" s="13" t="n">
        <v>2.5</v>
      </c>
      <c r="E394" s="14" t="n">
        <v>336.5</v>
      </c>
      <c r="F394" s="14" t="n">
        <v>321.9</v>
      </c>
      <c r="G394" s="15" t="n">
        <v>5.9</v>
      </c>
      <c r="H394" s="12" t="inlineStr">
        <is>
          <t>なし</t>
        </is>
      </c>
      <c r="I394" s="12" t="inlineStr">
        <is>
          <t>車検整備付</t>
        </is>
      </c>
      <c r="J394" s="12" t="inlineStr">
        <is>
          <t>保証付</t>
        </is>
      </c>
      <c r="K394" s="16" t="inlineStr">
        <is>
          <t>走行が多め（5.9万km） / 修復歴なし / 車検整備付 / 保証付</t>
        </is>
      </c>
      <c r="L394" s="16" t="inlineStr">
        <is>
          <t>CX-8 2.2 XD ブラックトーン エディション ディーゼルターボ 4WD 6人乗り 360°モニター レーダークル</t>
        </is>
      </c>
      <c r="M394" s="12" t="inlineStr">
        <is>
          <t>https://www.carsensor.net/usedcar/detail/AU7051825834/index.html</t>
        </is>
      </c>
    </row>
    <row r="395">
      <c r="A395" s="6" t="n">
        <v>2023</v>
      </c>
      <c r="B395" s="7" t="inlineStr">
        <is>
          <t>4WD</t>
        </is>
      </c>
      <c r="C395" s="7" t="inlineStr">
        <is>
          <t>2.2 XD エクスクルーシブ</t>
        </is>
      </c>
      <c r="D395" s="17" t="n">
        <v>2.5</v>
      </c>
      <c r="E395" s="9" t="n">
        <v>387.5</v>
      </c>
      <c r="F395" s="9" t="n">
        <v>373.8</v>
      </c>
      <c r="G395" s="10" t="n">
        <v>5.2</v>
      </c>
      <c r="H395" s="7" t="inlineStr">
        <is>
          <t>なし</t>
        </is>
      </c>
      <c r="I395" s="7" t="inlineStr">
        <is>
          <t>車検整備付</t>
        </is>
      </c>
      <c r="J395" s="7" t="inlineStr">
        <is>
          <t>保証付</t>
        </is>
      </c>
      <c r="K395" s="16" t="inlineStr">
        <is>
          <t>走行が多め（5.2万km） / 修復歴なし / 車検整備付 / 保証付</t>
        </is>
      </c>
      <c r="L395" s="16" t="inlineStr">
        <is>
          <t>CX-8 2.2 XD エクスクルーシブ モード ディーゼルターボ 4WD ワンオーナー 衝突被害軽減ブレーキ 360°ビューモニター BOSEサウンドシステム ETC2.0 シートヒーター&amp;シートベンチレーション</t>
        </is>
      </c>
      <c r="M395" s="7" t="inlineStr">
        <is>
          <t>https://www.carsensor.net/usedcar/detail/AU7407728843/index.html</t>
        </is>
      </c>
    </row>
    <row r="396">
      <c r="A396" s="11" t="n">
        <v>2023</v>
      </c>
      <c r="B396" s="12" t="inlineStr">
        <is>
          <t>4WD</t>
        </is>
      </c>
      <c r="C396" s="12" t="inlineStr">
        <is>
          <t>2.2 XD グランド</t>
        </is>
      </c>
      <c r="D396" s="13" t="n">
        <v>2.5</v>
      </c>
      <c r="E396" s="14" t="n">
        <v>351.6</v>
      </c>
      <c r="F396" s="14" t="n">
        <v>338</v>
      </c>
      <c r="G396" s="15" t="n">
        <v>4.6</v>
      </c>
      <c r="H396" s="12" t="inlineStr">
        <is>
          <t>なし</t>
        </is>
      </c>
      <c r="I396" s="12" t="inlineStr">
        <is>
          <t>車検整備付</t>
        </is>
      </c>
      <c r="J396" s="12" t="inlineStr">
        <is>
          <t>保証付</t>
        </is>
      </c>
      <c r="K396" s="16" t="inlineStr">
        <is>
          <t>走行が多め（4.6万km） / 修復歴なし / 車検整備付 / 保証付</t>
        </is>
      </c>
      <c r="L396" s="16" t="inlineStr">
        <is>
          <t>CX-8 2.2 XD グランド ジャーニー ディーゼルターボ 4WD 衝突被害軽減ブレーキ360°ビューモニター 障害物センサー レーダークルーズコントロール 車線逸脱警報システム レーンキープアシスト AT誤発進抑制制御 BSM (ALH)</t>
        </is>
      </c>
      <c r="M396" s="12" t="inlineStr">
        <is>
          <t>https://www.carsensor.net/usedcar/detail/AU7291958241/index.html</t>
        </is>
      </c>
    </row>
    <row r="397">
      <c r="A397" s="6" t="n">
        <v>2024</v>
      </c>
      <c r="B397" s="7" t="inlineStr">
        <is>
          <t>4WD</t>
        </is>
      </c>
      <c r="C397" s="7" t="inlineStr">
        <is>
          <t>2.2 XD スポーツ</t>
        </is>
      </c>
      <c r="D397" s="17" t="n">
        <v>2.5</v>
      </c>
      <c r="E397" s="9" t="n">
        <v>318.6</v>
      </c>
      <c r="F397" s="9" t="n">
        <v>299.9</v>
      </c>
      <c r="G397" s="10" t="n">
        <v>5.8</v>
      </c>
      <c r="H397" s="7" t="inlineStr">
        <is>
          <t>なし</t>
        </is>
      </c>
      <c r="I397" s="7" t="inlineStr">
        <is>
          <t>車検整備付</t>
        </is>
      </c>
      <c r="J397" s="7" t="inlineStr">
        <is>
          <t>保証付</t>
        </is>
      </c>
      <c r="K397" s="16" t="inlineStr">
        <is>
          <t>走行が多め（5.8万km） / 修復歴なし / 車検整備付 / 保証付</t>
        </is>
      </c>
      <c r="L397" s="16" t="inlineStr">
        <is>
          <t>CX-8 2.2 XD スポーツ アピアランス ディーゼルターボ 4WD 最終モデル Sports Appearance 正規ディーラー下取車 純正19AW LEDヘッドライト パワーリアゲート ブラックレザー BOSEサウンド ACC レーンアシスト シートヒーター×4 ステアリングヒーター 前後ドラレコ 禁煙車</t>
        </is>
      </c>
      <c r="M397" s="7" t="inlineStr">
        <is>
          <t>https://www.carsensor.net/usedcar/detail/AU7445641682/index.html</t>
        </is>
      </c>
    </row>
    <row r="398">
      <c r="A398" s="11" t="n">
        <v>2022</v>
      </c>
      <c r="B398" s="12" t="inlineStr">
        <is>
          <t>4WD</t>
        </is>
      </c>
      <c r="C398" s="12" t="inlineStr">
        <is>
          <t>2.5 25S エクスクルーシブ</t>
        </is>
      </c>
      <c r="D398" s="13" t="n">
        <v>2.4</v>
      </c>
      <c r="E398" s="14" t="n">
        <v>296.4</v>
      </c>
      <c r="F398" s="14" t="n">
        <v>285.8</v>
      </c>
      <c r="G398" s="15" t="n">
        <v>4.4</v>
      </c>
      <c r="H398" s="12" t="inlineStr">
        <is>
          <t>なし</t>
        </is>
      </c>
      <c r="I398" s="12" t="inlineStr">
        <is>
          <t>2027(R09)年03月</t>
        </is>
      </c>
      <c r="J398" s="12" t="inlineStr">
        <is>
          <t>保証無</t>
        </is>
      </c>
      <c r="K398" s="16" t="inlineStr">
        <is>
          <t>修復歴なし / 車検 2027/03 まで（残り5ヶ月）</t>
        </is>
      </c>
      <c r="L398" s="16" t="inlineStr">
        <is>
          <t>CX-8 2.5 25S エクスクルーシブ モード 4WD</t>
        </is>
      </c>
      <c r="M398" s="12" t="inlineStr">
        <is>
          <t>https://www.carsensor.net/usedcar/detail/AU6947896466/index.html</t>
        </is>
      </c>
    </row>
    <row r="399">
      <c r="A399" s="6" t="n">
        <v>2020</v>
      </c>
      <c r="B399" s="7" t="inlineStr">
        <is>
          <t>4WD</t>
        </is>
      </c>
      <c r="C399" s="7" t="inlineStr">
        <is>
          <t>2.2 XD プロアクティブ</t>
        </is>
      </c>
      <c r="D399" s="17" t="n">
        <v>2.3</v>
      </c>
      <c r="E399" s="9" t="n">
        <v>175</v>
      </c>
      <c r="F399" s="9" t="n">
        <v>173</v>
      </c>
      <c r="G399" s="10" t="n">
        <v>10.3</v>
      </c>
      <c r="H399" s="7" t="inlineStr">
        <is>
          <t>なし</t>
        </is>
      </c>
      <c r="I399" s="7" t="inlineStr">
        <is>
          <t>2027(R09)年08月</t>
        </is>
      </c>
      <c r="J399" s="7" t="inlineStr">
        <is>
          <t>保証無</t>
        </is>
      </c>
      <c r="K399" s="16" t="inlineStr">
        <is>
          <t>走行が多め（10.3万km） / 修復歴なし / 車検 2027/08 まで（残り10ヶ月） / 同年式より安い（中央値 250万）</t>
        </is>
      </c>
      <c r="L399" s="16" t="inlineStr">
        <is>
          <t>CX-8 2.2 XD プロアクティブ Sパッケージ ディーゼルターボ 4WD 純正ナビ・パノラマモニター・ドライブレコーダー・TV・シートヒーター・シートベンチレーション・ハンドルヒーター</t>
        </is>
      </c>
      <c r="M399" s="7" t="inlineStr">
        <is>
          <t>https://www.carsensor.net/usedcar/detail/AU7375885817/index.html</t>
        </is>
      </c>
    </row>
    <row r="400">
      <c r="A400" s="11" t="n">
        <v>2022</v>
      </c>
      <c r="B400" s="12" t="inlineStr">
        <is>
          <t>4WD</t>
        </is>
      </c>
      <c r="C400" s="12" t="inlineStr">
        <is>
          <t>2.2 XD エクスクルーシブ</t>
        </is>
      </c>
      <c r="D400" s="13" t="n">
        <v>2.2</v>
      </c>
      <c r="E400" s="14" t="n">
        <v>299.9</v>
      </c>
      <c r="F400" s="14" t="n">
        <v>288.2</v>
      </c>
      <c r="G400" s="15" t="n">
        <v>7</v>
      </c>
      <c r="H400" s="12" t="inlineStr">
        <is>
          <t>なし</t>
        </is>
      </c>
      <c r="I400" s="12" t="inlineStr">
        <is>
          <t>2027(R09)年07月</t>
        </is>
      </c>
      <c r="J400" s="12" t="inlineStr">
        <is>
          <t>保証付</t>
        </is>
      </c>
      <c r="K400" s="16" t="inlineStr">
        <is>
          <t>走行が多め（7.0万km） / 修復歴なし / 車検 2027/07 まで（残り9ヶ月） / 保証付</t>
        </is>
      </c>
      <c r="L400" s="16" t="inlineStr">
        <is>
          <t>CX-8 2.2 XD エクスクルーシブ モード ディーゼルターボ 4WD 禁煙車 純正10.25型ナビ 全周囲カメラ DVD/Bluetooth/フルセグ フリップダウンモニター BOSEサウンド 衝突軽減装置 クリアランスソナー 前中席シートエアコン/シートヒーター</t>
        </is>
      </c>
      <c r="M400" s="12" t="inlineStr">
        <is>
          <t>https://www.carsensor.net/usedcar/detail/AU7441985872/index.html</t>
        </is>
      </c>
    </row>
    <row r="401">
      <c r="A401" s="6" t="n">
        <v>2017</v>
      </c>
      <c r="B401" s="7" t="inlineStr">
        <is>
          <t>4WD</t>
        </is>
      </c>
      <c r="C401" s="7" t="inlineStr">
        <is>
          <t>2.2 XD Lパッケージ</t>
        </is>
      </c>
      <c r="D401" s="17" t="n">
        <v>2.1</v>
      </c>
      <c r="E401" s="9" t="n">
        <v>160</v>
      </c>
      <c r="F401" s="9" t="n">
        <v>150</v>
      </c>
      <c r="G401" s="10" t="n">
        <v>13.9</v>
      </c>
      <c r="H401" s="7" t="inlineStr">
        <is>
          <t>なし</t>
        </is>
      </c>
      <c r="I401" s="7" t="inlineStr">
        <is>
          <t>2027(R09)年05月</t>
        </is>
      </c>
      <c r="J401" s="7" t="inlineStr">
        <is>
          <t>保証無</t>
        </is>
      </c>
      <c r="K401" s="16" t="inlineStr">
        <is>
          <t>走行が多め（13.9万km） / 修復歴なし / 車検 2027/05 まで（残り7ヶ月） / 同年式より安い（中央値 184万）</t>
        </is>
      </c>
      <c r="L401" s="16" t="inlineStr">
        <is>
          <t>CX-8 2.2 XD Lパッケージ ディーゼルターボ 4WD BOSEスピーカー 360°ビューモニター ドライブレコーダー</t>
        </is>
      </c>
      <c r="M401" s="7" t="inlineStr">
        <is>
          <t>https://www.carsensor.net/usedcar/detail/AU6763477166/index.html</t>
        </is>
      </c>
    </row>
    <row r="402">
      <c r="A402" s="11" t="n">
        <v>2018</v>
      </c>
      <c r="B402" s="12" t="inlineStr">
        <is>
          <t>4WD</t>
        </is>
      </c>
      <c r="C402" s="12" t="inlineStr">
        <is>
          <t>2.2 XD Lパッケージ</t>
        </is>
      </c>
      <c r="D402" s="13" t="n">
        <v>1.9</v>
      </c>
      <c r="E402" s="14" t="n">
        <v>182.9</v>
      </c>
      <c r="F402" s="14" t="n">
        <v>171.6</v>
      </c>
      <c r="G402" s="15" t="n">
        <v>10.3</v>
      </c>
      <c r="H402" s="12" t="inlineStr">
        <is>
          <t>なし</t>
        </is>
      </c>
      <c r="I402" s="12" t="inlineStr">
        <is>
          <t>2027(R09)年03月</t>
        </is>
      </c>
      <c r="J402" s="12" t="inlineStr">
        <is>
          <t>保証付</t>
        </is>
      </c>
      <c r="K402" s="16" t="inlineStr">
        <is>
          <t>走行が多め（10.3万km） / 修復歴なし / 車検 2027/03 まで（残り5ヶ月） / 保証付</t>
        </is>
      </c>
      <c r="L402" s="16" t="inlineStr">
        <is>
          <t>CX-8 2.2 XD Lパッケージ ディーゼルターボ 4WD BIG-X11型ナビ 全周囲カメラ 衝突軽減装置 レーダークルーズ 禁煙車 ETC AppleCarPlay フルセグ ドラレコ 前中列シートヒーター メモリー電動シート レザーシート 電動リアゲート</t>
        </is>
      </c>
      <c r="M402" s="12" t="inlineStr">
        <is>
          <t>https://www.carsensor.net/usedcar/detail/AU7422250229/index.html</t>
        </is>
      </c>
    </row>
    <row r="403">
      <c r="A403" s="6" t="n">
        <v>2018</v>
      </c>
      <c r="B403" s="7" t="inlineStr">
        <is>
          <t>4WD</t>
        </is>
      </c>
      <c r="C403" s="7" t="inlineStr">
        <is>
          <t>2.2 XD Lパッケージ</t>
        </is>
      </c>
      <c r="D403" s="17" t="n">
        <v>1.9</v>
      </c>
      <c r="E403" s="9" t="n">
        <v>119.8</v>
      </c>
      <c r="F403" s="9" t="n">
        <v>108.9</v>
      </c>
      <c r="G403" s="10" t="n">
        <v>11.6</v>
      </c>
      <c r="H403" s="7" t="inlineStr">
        <is>
          <t>なし</t>
        </is>
      </c>
      <c r="I403" s="7" t="inlineStr">
        <is>
          <t>2027(R09)年03月</t>
        </is>
      </c>
      <c r="J403" s="7" t="inlineStr">
        <is>
          <t>保証無</t>
        </is>
      </c>
      <c r="K403" s="16" t="inlineStr">
        <is>
          <t>走行が多め（11.6万km） / 修復歴なし / 車検 2027/03 まで（残り5ヶ月） / 同年式より安い（中央値 196万）</t>
        </is>
      </c>
      <c r="L403" s="16" t="inlineStr">
        <is>
          <t>CX-8 2.2 XD Lパッケージ ディーゼルターボ 4WD 禁煙車 黒革シート 純正ナビ フルセグTV 全周囲カメラ BOSEサウンド ALPINE後席モニター BSM レーダークルーズコントロール パワーバックドア アダプティブLEDヘッドライト ETC</t>
        </is>
      </c>
      <c r="M403" s="7" t="inlineStr">
        <is>
          <t>https://www.carsensor.net/usedcar/detail/AU7394389884/index.html</t>
        </is>
      </c>
    </row>
    <row r="404">
      <c r="A404" s="11" t="n">
        <v>2020</v>
      </c>
      <c r="B404" s="12" t="inlineStr">
        <is>
          <t>4WD</t>
        </is>
      </c>
      <c r="C404" s="12" t="inlineStr">
        <is>
          <t>2.2 XD プロアクティブ</t>
        </is>
      </c>
      <c r="D404" s="13" t="n">
        <v>1.9</v>
      </c>
      <c r="E404" s="14" t="n">
        <v>227</v>
      </c>
      <c r="F404" s="14" t="n">
        <v>215</v>
      </c>
      <c r="G404" s="15" t="n">
        <v>9.6</v>
      </c>
      <c r="H404" s="12" t="inlineStr">
        <is>
          <t>なし</t>
        </is>
      </c>
      <c r="I404" s="12" t="inlineStr">
        <is>
          <t>2027(R09)年03月</t>
        </is>
      </c>
      <c r="J404" s="12" t="inlineStr">
        <is>
          <t>保証付</t>
        </is>
      </c>
      <c r="K404" s="16" t="inlineStr">
        <is>
          <t>走行が多め（9.6万km） / 修復歴なし / 車検 2027/03 まで（残り5ヶ月） / 保証付</t>
        </is>
      </c>
      <c r="L404" s="16" t="inlineStr">
        <is>
          <t>CX-8 2.2 XD プロアクティブ Sパッケージ ディーゼルターボ 4WD 夏冬タイヤ付 全方位カメラ フルセグ</t>
        </is>
      </c>
      <c r="M404" s="12" t="inlineStr">
        <is>
          <t>https://www.carsensor.net/usedcar/detail/AU6940750256/index.html</t>
        </is>
      </c>
    </row>
    <row r="405">
      <c r="A405" s="6" t="n">
        <v>2021</v>
      </c>
      <c r="B405" s="7" t="inlineStr">
        <is>
          <t>4WD</t>
        </is>
      </c>
      <c r="C405" s="7" t="inlineStr">
        <is>
          <t>2.2 XD ブラックトーン</t>
        </is>
      </c>
      <c r="D405" s="17" t="n">
        <v>1.9</v>
      </c>
      <c r="E405" s="9" t="n">
        <v>163</v>
      </c>
      <c r="F405" s="9" t="n">
        <v>152.9</v>
      </c>
      <c r="G405" s="10" t="n">
        <v>10.7</v>
      </c>
      <c r="H405" s="7" t="inlineStr">
        <is>
          <t>なし</t>
        </is>
      </c>
      <c r="I405" s="7" t="inlineStr">
        <is>
          <t>2028(R10)年03月</t>
        </is>
      </c>
      <c r="J405" s="7" t="inlineStr">
        <is>
          <t>保証無</t>
        </is>
      </c>
      <c r="K405" s="16" t="inlineStr">
        <is>
          <t>走行が多め（10.7万km） / 修復歴なし / 車検 2028/03 まで（残り17ヶ月）</t>
        </is>
      </c>
      <c r="L405" s="16" t="inlineStr">
        <is>
          <t>CX-8 2.2 XD ブラックトーン エディション ディーゼルターボ 禁煙車 BOSEサウンド 純正10.25インチテレビ フルセグTV 全周囲カメラ ルーフレール シートヒーター レーダークルーズコントロール 電動リアゲート LEDヘッドライト 電動格納ミラー ETC</t>
        </is>
      </c>
      <c r="M405" s="7" t="inlineStr">
        <is>
          <t>https://www.carsensor.net/usedcar/detail/AU7381995074/index.html</t>
        </is>
      </c>
    </row>
    <row r="406">
      <c r="A406" s="11" t="n">
        <v>2020</v>
      </c>
      <c r="B406" s="12" t="inlineStr">
        <is>
          <t>4WD</t>
        </is>
      </c>
      <c r="C406" s="12" t="inlineStr">
        <is>
          <t>2.2 XD Lパッケージ</t>
        </is>
      </c>
      <c r="D406" s="13" t="n">
        <v>1.8</v>
      </c>
      <c r="E406" s="14" t="n">
        <v>241.2</v>
      </c>
      <c r="F406" s="14" t="n">
        <v>235.4</v>
      </c>
      <c r="G406" s="15" t="n">
        <v>8.1</v>
      </c>
      <c r="H406" s="12" t="inlineStr">
        <is>
          <t>なし</t>
        </is>
      </c>
      <c r="I406" s="12" t="inlineStr">
        <is>
          <t>2027(R09)年02月</t>
        </is>
      </c>
      <c r="J406" s="12" t="inlineStr">
        <is>
          <t>保証付</t>
        </is>
      </c>
      <c r="K406" s="16" t="inlineStr">
        <is>
          <t>走行が多め（8.1万km） / 修復歴なし / 車検 2027/02 まで（残り4ヶ月） / 保証付</t>
        </is>
      </c>
      <c r="L406" s="16" t="inlineStr">
        <is>
          <t>CX-8 2.2 XD Lパッケージ ディーゼルターボ 純正マツコネ/サンルーフ/BOSE/ローダウン</t>
        </is>
      </c>
      <c r="M406" s="12" t="inlineStr">
        <is>
          <t>https://www.carsensor.net/usedcar/detail/AU7453635135/index.html</t>
        </is>
      </c>
    </row>
    <row r="407">
      <c r="A407" s="6" t="n">
        <v>2022</v>
      </c>
      <c r="B407" s="7" t="inlineStr">
        <is>
          <t>4WD</t>
        </is>
      </c>
      <c r="C407" s="7" t="inlineStr">
        <is>
          <t>2.2 XD Lパッケージ</t>
        </is>
      </c>
      <c r="D407" s="17" t="n">
        <v>1.8</v>
      </c>
      <c r="E407" s="9" t="n">
        <v>289.9</v>
      </c>
      <c r="F407" s="9" t="n">
        <v>278.5</v>
      </c>
      <c r="G407" s="10" t="n">
        <v>6.3</v>
      </c>
      <c r="H407" s="7" t="inlineStr">
        <is>
          <t>なし</t>
        </is>
      </c>
      <c r="I407" s="7" t="inlineStr">
        <is>
          <t>2027(R09)年02月</t>
        </is>
      </c>
      <c r="J407" s="7" t="inlineStr">
        <is>
          <t>保証付</t>
        </is>
      </c>
      <c r="K407" s="16" t="inlineStr">
        <is>
          <t>走行が多め（6.3万km） / 修復歴なし / 車検 2027/02 まで（残り4ヶ月） / 保証付</t>
        </is>
      </c>
      <c r="L407" s="16" t="inlineStr">
        <is>
          <t>CX-8 2.2 XD Lパッケージ ディーゼルターボ 4WD 4WD ディーゼル ターボ BOSEサウンド 純正10.25型ナビ 全周囲カメラ シティブレーキサポート レーダークルーズ パワーバックドア シートベンチレーション メモリーパワーシート 革シート</t>
        </is>
      </c>
      <c r="M407" s="7" t="inlineStr">
        <is>
          <t>https://www.carsensor.net/usedcar/detail/AU7303076946/index.html</t>
        </is>
      </c>
    </row>
    <row r="408">
      <c r="A408" s="11" t="n">
        <v>2023</v>
      </c>
      <c r="B408" s="12" t="inlineStr">
        <is>
          <t>4WD</t>
        </is>
      </c>
      <c r="C408" s="12" t="inlineStr">
        <is>
          <t>2.2 XD グランド</t>
        </is>
      </c>
      <c r="D408" s="13" t="n">
        <v>1.5</v>
      </c>
      <c r="E408" s="14" t="n">
        <v>294.8</v>
      </c>
      <c r="F408" s="14" t="n">
        <v>274.9</v>
      </c>
      <c r="G408" s="15" t="n">
        <v>5.6</v>
      </c>
      <c r="H408" s="12" t="inlineStr">
        <is>
          <t>なし</t>
        </is>
      </c>
      <c r="I408" s="12" t="inlineStr">
        <is>
          <t>車検整備無</t>
        </is>
      </c>
      <c r="J408" s="12" t="inlineStr">
        <is>
          <t>保証無</t>
        </is>
      </c>
      <c r="K408" s="16" t="inlineStr">
        <is>
          <t>走行が多め（5.6万km） / 修復歴なし / 同年式より安い（中央値 348万）</t>
        </is>
      </c>
      <c r="L408" s="16" t="inlineStr">
        <is>
          <t>CX-8 2.2 XD グランド ジャーニー ディーゼルターボ 4WD フリップダウンモニター 禁煙車 純正10.25インチナビ フルセグ 全周囲カメラ 衝突軽減装置 アダクティブクルーズ レーンアシスト シートヒーター ハーフレザー ブラインドスポットモニター</t>
        </is>
      </c>
      <c r="M408" s="12" t="inlineStr">
        <is>
          <t>https://www.carsensor.net/usedcar/detail/AU7419754450/index.html</t>
        </is>
      </c>
    </row>
    <row r="409">
      <c r="A409" s="6" t="n">
        <v>2021</v>
      </c>
      <c r="B409" s="7" t="inlineStr">
        <is>
          <t>4WD</t>
        </is>
      </c>
      <c r="C409" s="7" t="inlineStr">
        <is>
          <t>2.5 25S ブラックトーン</t>
        </is>
      </c>
      <c r="D409" s="17" t="n">
        <v>0.5</v>
      </c>
      <c r="E409" s="9" t="n">
        <v>164.8</v>
      </c>
      <c r="F409" s="9" t="n">
        <v>145</v>
      </c>
      <c r="G409" s="10" t="n">
        <v>9.4</v>
      </c>
      <c r="H409" s="7" t="inlineStr">
        <is>
          <t>なし</t>
        </is>
      </c>
      <c r="I409" s="7" t="inlineStr">
        <is>
          <t>車検整備無</t>
        </is>
      </c>
      <c r="J409" s="7" t="inlineStr">
        <is>
          <t>保証無</t>
        </is>
      </c>
      <c r="K409" s="16" t="inlineStr">
        <is>
          <t>走行が多め（9.4万km） / 修復歴なし</t>
        </is>
      </c>
      <c r="L409" s="16" t="inlineStr">
        <is>
          <t>CX-8 2.5 25S ブラックトーン エディション 4WD 禁煙車 純正10.3インチナビ 全周囲カメラ フルセグTV シートヒーター 電動リアゲート アダプティブクルーズコントロール ステアリングヒーター パワーシート Bluetooth接続 ETC</t>
        </is>
      </c>
      <c r="M409" s="7" t="inlineStr">
        <is>
          <t>https://www.carsensor.net/usedcar/detail/AU7136637983/index.html</t>
        </is>
      </c>
    </row>
    <row r="410">
      <c r="A410" s="11" t="n">
        <v>2019</v>
      </c>
      <c r="B410" s="12" t="inlineStr">
        <is>
          <t>4WD</t>
        </is>
      </c>
      <c r="C410" s="12" t="inlineStr">
        <is>
          <t>2.2 XD Lパッケージ</t>
        </is>
      </c>
      <c r="D410" s="13" t="n">
        <v>-0.5</v>
      </c>
      <c r="E410" s="14" t="n">
        <v>254.5</v>
      </c>
      <c r="F410" s="14" t="n">
        <v>240</v>
      </c>
      <c r="G410" s="15" t="n">
        <v>3.5</v>
      </c>
      <c r="H410" s="12" t="inlineStr">
        <is>
          <t>あり</t>
        </is>
      </c>
      <c r="I410" s="12" t="inlineStr">
        <is>
          <t>車検整備付</t>
        </is>
      </c>
      <c r="J410" s="12" t="inlineStr">
        <is>
          <t>保証付</t>
        </is>
      </c>
      <c r="K410" s="16" t="inlineStr">
        <is>
          <t>走行が少なめ（3.5万km） / 修復歴あり / 車検整備付 / 保証付</t>
        </is>
      </c>
      <c r="L410" s="16" t="inlineStr">
        <is>
          <t>CX-8 2.2 XD Lパッケージ ディーゼルターボ 4WD 360°ビューモニター ETC オートライト</t>
        </is>
      </c>
      <c r="M410" s="12" t="inlineStr">
        <is>
          <t>https://www.carsensor.net/usedcar/detail/AU7358865060/index.html</t>
        </is>
      </c>
    </row>
    <row r="411">
      <c r="A411" s="6" t="n">
        <v>2020</v>
      </c>
      <c r="B411" s="7" t="inlineStr">
        <is>
          <t>4WD</t>
        </is>
      </c>
      <c r="C411" s="7" t="inlineStr">
        <is>
          <t>2.5 25S Lパッケージ</t>
        </is>
      </c>
      <c r="D411" s="17" t="n">
        <v>-1</v>
      </c>
      <c r="E411" s="9" t="n">
        <v>218</v>
      </c>
      <c r="F411" s="9" t="n">
        <v>205</v>
      </c>
      <c r="G411" s="10" t="n">
        <v>4.1</v>
      </c>
      <c r="H411" s="7" t="inlineStr">
        <is>
          <t>あり</t>
        </is>
      </c>
      <c r="I411" s="7" t="inlineStr">
        <is>
          <t>車検整備付</t>
        </is>
      </c>
      <c r="J411" s="7" t="inlineStr">
        <is>
          <t>保証付</t>
        </is>
      </c>
      <c r="K411" s="16" t="inlineStr">
        <is>
          <t>修復歴あり / 車検整備付 / 保証付 / 同年式より安い（中央値 250万）</t>
        </is>
      </c>
      <c r="L411" s="16" t="inlineStr">
        <is>
          <t>CX-8 2.5 25S Lパッケージ 4WD ロングラン保証付 シートヒーター 全周囲カメラ ナビ ドラレコ</t>
        </is>
      </c>
      <c r="M411" s="7" t="inlineStr">
        <is>
          <t>https://www.carsensor.net/usedcar/detail/AU7193186201/index.html</t>
        </is>
      </c>
    </row>
    <row r="412">
      <c r="A412" s="11" t="n">
        <v>2018</v>
      </c>
      <c r="B412" s="12" t="inlineStr">
        <is>
          <t>4WD</t>
        </is>
      </c>
      <c r="C412" s="12" t="inlineStr">
        <is>
          <t>2.2 XD プロアクティブ</t>
        </is>
      </c>
      <c r="D412" s="13" t="n">
        <v>-2.8</v>
      </c>
      <c r="E412" s="14" t="n">
        <v>161.6</v>
      </c>
      <c r="F412" s="14" t="n">
        <v>150</v>
      </c>
      <c r="G412" s="15" t="n">
        <v>10.7</v>
      </c>
      <c r="H412" s="12" t="inlineStr">
        <is>
          <t>あり</t>
        </is>
      </c>
      <c r="I412" s="12" t="inlineStr">
        <is>
          <t>2027(R09)年07月</t>
        </is>
      </c>
      <c r="J412" s="12" t="inlineStr">
        <is>
          <t>保証付</t>
        </is>
      </c>
      <c r="K412" s="16" t="inlineStr">
        <is>
          <t>走行が多め（10.7万km） / 修復歴あり / 車検 2027/07 まで（残り9ヶ月） / 保証付 / 同年式より安い（中央値 196万）</t>
        </is>
      </c>
      <c r="L412" s="16" t="inlineStr">
        <is>
          <t>CX-8 2.2 XD プロアクティブ ディーゼルターボ 4WD ワンオーナー 夏冬タイヤ 純正エンスタ アラウンドビューモニター SDナビ フルセグ Bluetooth バックカメラ 衝突軽減ブレーキ クリアランスソナー シートヒーター ETC 電動シート</t>
        </is>
      </c>
      <c r="M412" s="12" t="inlineStr">
        <is>
          <t>https://www.carsensor.net/usedcar/detail/AU7264476740/index.html</t>
        </is>
      </c>
    </row>
    <row r="413">
      <c r="A413" s="6" t="n">
        <v>2018</v>
      </c>
      <c r="B413" s="7" t="inlineStr">
        <is>
          <t>4WD</t>
        </is>
      </c>
      <c r="C413" s="7" t="inlineStr">
        <is>
          <t>2.2 XD Lパッケージ</t>
        </is>
      </c>
      <c r="D413" s="17" t="n">
        <v>-4</v>
      </c>
      <c r="E413" s="9" t="n">
        <v>322.4</v>
      </c>
      <c r="F413" s="9" t="n">
        <v>295</v>
      </c>
      <c r="G413" s="10" t="n">
        <v>5.8</v>
      </c>
      <c r="H413" s="7" t="inlineStr">
        <is>
          <t>あり</t>
        </is>
      </c>
      <c r="I413" s="7" t="inlineStr">
        <is>
          <t>車検整備無</t>
        </is>
      </c>
      <c r="J413" s="7" t="inlineStr">
        <is>
          <t>保証無</t>
        </is>
      </c>
      <c r="K413" s="16" t="inlineStr">
        <is>
          <t>修復歴あり</t>
        </is>
      </c>
      <c r="L413" s="16" t="inlineStr">
        <is>
          <t>CX-8 2.2 XD Lパッケージ ディーゼルターボ 4WD</t>
        </is>
      </c>
      <c r="M413" s="7" t="inlineStr">
        <is>
          <t>https://www.carsensor.net/usedcar/detail/AU6867123184/index.html</t>
        </is>
      </c>
    </row>
  </sheetData>
  <autoFilter ref="A1:M4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6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22" customWidth="1" min="5" max="5"/>
    <col width="22" customWidth="1" min="6" max="6"/>
    <col width="24" customWidth="1" min="7" max="7"/>
    <col width="10" customWidth="1" min="8" max="8"/>
    <col width="10" customWidth="1" min="9" max="9"/>
    <col width="10" customWidth="1" min="10" max="10"/>
    <col width="34" customWidth="1" min="11" max="11"/>
    <col width="34" customWidth="1" min="12" max="12"/>
    <col width="14" customWidth="1" min="13" max="13"/>
  </cols>
  <sheetData>
    <row r="1" ht="32" customHeight="1">
      <c r="A1" s="5" t="inlineStr">
        <is>
          <t>年式</t>
        </is>
      </c>
      <c r="B1" s="5" t="inlineStr">
        <is>
          <t>駆動</t>
        </is>
      </c>
      <c r="C1" s="5" t="inlineStr">
        <is>
          <t>グレード</t>
        </is>
      </c>
      <c r="D1" s="5" t="inlineStr">
        <is>
          <t>状態スコア</t>
        </is>
      </c>
      <c r="E1" s="5" t="inlineStr">
        <is>
          <t>支払総額
(万円)</t>
        </is>
      </c>
      <c r="F1" s="5" t="inlineStr">
        <is>
          <t>車両本体
(万円)</t>
        </is>
      </c>
      <c r="G1" s="5" t="inlineStr">
        <is>
          <t>走行距離
(万km)</t>
        </is>
      </c>
      <c r="H1" s="5" t="inlineStr">
        <is>
          <t>修復歴</t>
        </is>
      </c>
      <c r="I1" s="5" t="inlineStr">
        <is>
          <t>車検</t>
        </is>
      </c>
      <c r="J1" s="5" t="inlineStr">
        <is>
          <t>保証</t>
        </is>
      </c>
      <c r="K1" s="5" t="inlineStr">
        <is>
          <t>評価の理由</t>
        </is>
      </c>
      <c r="L1" s="5" t="inlineStr">
        <is>
          <t>装備（出品タイトル）</t>
        </is>
      </c>
      <c r="M1" s="5" t="inlineStr">
        <is>
          <t>掲載URL</t>
        </is>
      </c>
    </row>
    <row r="2">
      <c r="A2" s="11" t="n">
        <v>2021</v>
      </c>
      <c r="B2" s="12" t="inlineStr">
        <is>
          <t>2WD</t>
        </is>
      </c>
      <c r="C2" s="12" t="inlineStr">
        <is>
          <t>2.2 XD 100周年</t>
        </is>
      </c>
      <c r="D2" s="13" t="n">
        <v>4.5</v>
      </c>
      <c r="E2" s="14" t="n">
        <v>308.9</v>
      </c>
      <c r="F2" s="14" t="n">
        <v>301.8</v>
      </c>
      <c r="G2" s="15" t="n">
        <v>4.8</v>
      </c>
      <c r="H2" s="12" t="inlineStr">
        <is>
          <t>なし</t>
        </is>
      </c>
      <c r="I2" s="12" t="inlineStr">
        <is>
          <t>2028(R10)年04月</t>
        </is>
      </c>
      <c r="J2" s="12" t="inlineStr">
        <is>
          <t>保証付</t>
        </is>
      </c>
      <c r="K2" s="16" t="inlineStr">
        <is>
          <t>修復歴なし / 車検 2028/04 まで（残り18ヶ月） / 保証付</t>
        </is>
      </c>
      <c r="L2" s="16" t="inlineStr">
        <is>
          <t>CX-8 2.2 XD 100周年 特別記念車 ディーゼルターボ 新品タイヤ/BOSE/10インチ SDナビ/フリップダウン/衝突安全装置/シートヒーター/全方位モニター/車線逸脱防止支援システム/シート フルレザー/電動バックドア</t>
        </is>
      </c>
      <c r="M2" s="12" t="inlineStr">
        <is>
          <t>https://www.carsensor.net/usedcar/detail/AU7375124974/index.html</t>
        </is>
      </c>
    </row>
    <row r="3">
      <c r="A3" s="6" t="n">
        <v>2021</v>
      </c>
      <c r="B3" s="7" t="inlineStr">
        <is>
          <t>2WD</t>
        </is>
      </c>
      <c r="C3" s="7" t="inlineStr">
        <is>
          <t>2.2 XD 100周年</t>
        </is>
      </c>
      <c r="D3" s="17" t="n">
        <v>4</v>
      </c>
      <c r="E3" s="9" t="n">
        <v>317.9</v>
      </c>
      <c r="F3" s="9" t="n">
        <v>301.4</v>
      </c>
      <c r="G3" s="10" t="n">
        <v>5</v>
      </c>
      <c r="H3" s="7" t="inlineStr">
        <is>
          <t>なし</t>
        </is>
      </c>
      <c r="I3" s="7" t="inlineStr">
        <is>
          <t>車検整備付</t>
        </is>
      </c>
      <c r="J3" s="7" t="inlineStr">
        <is>
          <t>保証付</t>
        </is>
      </c>
      <c r="K3" s="16" t="inlineStr">
        <is>
          <t>修復歴なし / 車検整備付 / 保証付</t>
        </is>
      </c>
      <c r="L3" s="16" t="inlineStr">
        <is>
          <t>CX-8 2.2 XD 100周年 特別記念車 ディーゼルターボ サンルーフ 10.25インチマツダコネクト BOSEサウンドシステム 禁煙車 スマートブレーキサポート シートベンチレーション 前席中列パワーシート フルセグ Bluetooth ETC</t>
        </is>
      </c>
      <c r="M3" s="7" t="inlineStr">
        <is>
          <t>https://www.carsensor.net/usedcar/detail/AU7273341301/index.html</t>
        </is>
      </c>
    </row>
    <row r="4">
      <c r="A4" s="11" t="n">
        <v>2022</v>
      </c>
      <c r="B4" s="12" t="inlineStr">
        <is>
          <t>2WD</t>
        </is>
      </c>
      <c r="C4" s="12" t="inlineStr">
        <is>
          <t>2.2 XD Lパッケージ</t>
        </is>
      </c>
      <c r="D4" s="13" t="n">
        <v>7</v>
      </c>
      <c r="E4" s="14" t="n">
        <v>300.5</v>
      </c>
      <c r="F4" s="14" t="n">
        <v>285.8</v>
      </c>
      <c r="G4" s="15" t="n">
        <v>1.9</v>
      </c>
      <c r="H4" s="12" t="inlineStr">
        <is>
          <t>なし</t>
        </is>
      </c>
      <c r="I4" s="12" t="inlineStr">
        <is>
          <t>車検整備付</t>
        </is>
      </c>
      <c r="J4" s="12" t="inlineStr">
        <is>
          <t>保証付</t>
        </is>
      </c>
      <c r="K4" s="16" t="inlineStr">
        <is>
          <t>同年式の半分以下の走行（1.9万km） / 修復歴なし / 車検整備付 / 保証付</t>
        </is>
      </c>
      <c r="L4" s="16" t="inlineStr">
        <is>
          <t>CX-8 2.2 XD Lパッケージ ディーゼルターボ 赤レザーシート セカンドシートウォークスルー 純正SDナビ フルセグTV 360°カメラ ETC ドラレコ LEDヘッドライト パワーバックドア シートヒーター ハンドルヒーター シートベンチレーション</t>
        </is>
      </c>
      <c r="M4" s="12" t="inlineStr">
        <is>
          <t>https://www.carsensor.net/usedcar/detail/AU7340856645/index.html</t>
        </is>
      </c>
    </row>
    <row r="5">
      <c r="A5" s="6" t="n">
        <v>2019</v>
      </c>
      <c r="B5" s="7" t="inlineStr">
        <is>
          <t>2WD</t>
        </is>
      </c>
      <c r="C5" s="7" t="inlineStr">
        <is>
          <t>2.2 XD Lパッケージ</t>
        </is>
      </c>
      <c r="D5" s="17" t="n">
        <v>6.3</v>
      </c>
      <c r="E5" s="9" t="n">
        <v>231.8</v>
      </c>
      <c r="F5" s="9" t="n">
        <v>225.1</v>
      </c>
      <c r="G5" s="10" t="n">
        <v>3.7</v>
      </c>
      <c r="H5" s="7" t="inlineStr">
        <is>
          <t>なし</t>
        </is>
      </c>
      <c r="I5" s="7" t="inlineStr">
        <is>
          <t>2028(R10)年08月</t>
        </is>
      </c>
      <c r="J5" s="7" t="inlineStr">
        <is>
          <t>保証付</t>
        </is>
      </c>
      <c r="K5" s="16" t="inlineStr">
        <is>
          <t>走行が少なめ（3.7万km） / 修復歴なし / 車検 2028/08 まで（残り22ヶ月） / 保証付</t>
        </is>
      </c>
      <c r="L5" s="16" t="inlineStr">
        <is>
          <t>CX-8 2.2 XD Lパッケージ ディーゼルターボ 純正ナビ・360°ビューモニター・スマートシティブレーキサポート・ブラインドスポットモニタリング・パーキングセンサー・レーダークルーズコントロール・前後ドライブレコーダー・ビルトインETC・電動リアゲート</t>
        </is>
      </c>
      <c r="M5" s="7" t="inlineStr">
        <is>
          <t>https://www.carsensor.net/usedcar/detail/AU7444235627/index.html</t>
        </is>
      </c>
    </row>
    <row r="6">
      <c r="A6" s="11" t="n">
        <v>2022</v>
      </c>
      <c r="B6" s="12" t="inlineStr">
        <is>
          <t>2WD</t>
        </is>
      </c>
      <c r="C6" s="12" t="inlineStr">
        <is>
          <t>2.2 XD Lパッケージ</t>
        </is>
      </c>
      <c r="D6" s="13" t="n">
        <v>6.3</v>
      </c>
      <c r="E6" s="14" t="n">
        <v>319.8</v>
      </c>
      <c r="F6" s="14" t="n">
        <v>313.9</v>
      </c>
      <c r="G6" s="15" t="n">
        <v>1.6</v>
      </c>
      <c r="H6" s="12" t="inlineStr">
        <is>
          <t>なし</t>
        </is>
      </c>
      <c r="I6" s="12" t="inlineStr">
        <is>
          <t>2027(R09)年02月</t>
        </is>
      </c>
      <c r="J6" s="12" t="inlineStr">
        <is>
          <t>保証付</t>
        </is>
      </c>
      <c r="K6" s="16" t="inlineStr">
        <is>
          <t>同年式の半分以下の走行（1.6万km） / 修復歴なし / 車検 2027/02 まで（残り4ヶ月） / 保証付</t>
        </is>
      </c>
      <c r="L6" s="16" t="inlineStr">
        <is>
          <t>CX-8 2.2 XD Lパッケージ ディーゼルターボ 禁煙車 県外仕入れ 純正10.25型ナビ ETC</t>
        </is>
      </c>
      <c r="M6" s="12" t="inlineStr">
        <is>
          <t>https://www.carsensor.net/usedcar/detail/AU7446063031/index.html</t>
        </is>
      </c>
    </row>
    <row r="7">
      <c r="A7" s="6" t="n">
        <v>2018</v>
      </c>
      <c r="B7" s="7" t="inlineStr">
        <is>
          <t>2WD</t>
        </is>
      </c>
      <c r="C7" s="7" t="inlineStr">
        <is>
          <t>2.2 XD Lパッケージ</t>
        </is>
      </c>
      <c r="D7" s="17" t="n">
        <v>6.1</v>
      </c>
      <c r="E7" s="9" t="n">
        <v>229.9</v>
      </c>
      <c r="F7" s="9" t="n">
        <v>217.8</v>
      </c>
      <c r="G7" s="10" t="n">
        <v>5</v>
      </c>
      <c r="H7" s="7" t="inlineStr">
        <is>
          <t>なし</t>
        </is>
      </c>
      <c r="I7" s="7" t="inlineStr">
        <is>
          <t>2028(R10)年05月</t>
        </is>
      </c>
      <c r="J7" s="7" t="inlineStr">
        <is>
          <t>保証付</t>
        </is>
      </c>
      <c r="K7" s="16" t="inlineStr">
        <is>
          <t>走行が少なめ（5.0万km） / 修復歴なし / 車検 2028/05 まで（残り19ヶ月） / 保証付</t>
        </is>
      </c>
      <c r="L7" s="16" t="inlineStr">
        <is>
          <t>CX-8 2.2 XD Lパッケージ ディーゼルターボ ターボ ディーゼル(軽油) 純正SDナビ 全周囲カメラ BOSEサウンド 衝突被害軽減システム 禁煙車 電動リアゲート コーナーセンサー スマートキー LEDヘッド ルーフレール ETC2.0</t>
        </is>
      </c>
      <c r="M7" s="7" t="inlineStr">
        <is>
          <t>https://www.carsensor.net/usedcar/detail/AU7376718902/index.html</t>
        </is>
      </c>
    </row>
    <row r="8">
      <c r="A8" s="11" t="n">
        <v>2021</v>
      </c>
      <c r="B8" s="12" t="inlineStr">
        <is>
          <t>2WD</t>
        </is>
      </c>
      <c r="C8" s="12" t="inlineStr">
        <is>
          <t>2.2 XD Lパッケージ</t>
        </is>
      </c>
      <c r="D8" s="13" t="n">
        <v>6.1</v>
      </c>
      <c r="E8" s="14" t="n">
        <v>279.3</v>
      </c>
      <c r="F8" s="14" t="n">
        <v>266</v>
      </c>
      <c r="G8" s="15" t="n">
        <v>3.2</v>
      </c>
      <c r="H8" s="12" t="inlineStr">
        <is>
          <t>なし</t>
        </is>
      </c>
      <c r="I8" s="12" t="inlineStr">
        <is>
          <t>2028(R10)年05月</t>
        </is>
      </c>
      <c r="J8" s="12" t="inlineStr">
        <is>
          <t>保証付</t>
        </is>
      </c>
      <c r="K8" s="16" t="inlineStr">
        <is>
          <t>走行が少なめ（3.2万km） / 修復歴なし / 車検 2028/05 まで（残り19ヶ月） / 保証付</t>
        </is>
      </c>
      <c r="L8" s="16" t="inlineStr">
        <is>
          <t>CX-8 2.2 XD Lパッケージ ディーゼルターボ 認定中古車・純正ナビ・フルセグTV・全方位カメラ・ETC・レーダークルーズコントロール・レーンキープアシスト・シートヒーター/ベンチレーション・パワーバックドア・ヘッドアップディスプレイ</t>
        </is>
      </c>
      <c r="M8" s="12" t="inlineStr">
        <is>
          <t>https://www.carsensor.net/usedcar/detail/AU7263994370/index.html</t>
        </is>
      </c>
    </row>
    <row r="9">
      <c r="A9" s="6" t="n">
        <v>2018</v>
      </c>
      <c r="B9" s="7" t="inlineStr">
        <is>
          <t>2WD</t>
        </is>
      </c>
      <c r="C9" s="7" t="inlineStr">
        <is>
          <t>2.2 XD Lパッケージ</t>
        </is>
      </c>
      <c r="D9" s="17" t="n">
        <v>5.8</v>
      </c>
      <c r="E9" s="9" t="n">
        <v>245.8</v>
      </c>
      <c r="F9" s="9" t="n">
        <v>239</v>
      </c>
      <c r="G9" s="10" t="n">
        <v>3.9</v>
      </c>
      <c r="H9" s="7" t="inlineStr">
        <is>
          <t>なし</t>
        </is>
      </c>
      <c r="I9" s="7" t="inlineStr">
        <is>
          <t>2028(R10)年01月</t>
        </is>
      </c>
      <c r="J9" s="7" t="inlineStr">
        <is>
          <t>保証付</t>
        </is>
      </c>
      <c r="K9" s="16" t="inlineStr">
        <is>
          <t>走行が少なめ（3.9万km） / 修復歴なし / 車検 2028/01 まで（残り15ヶ月） / 保証付</t>
        </is>
      </c>
      <c r="L9" s="16" t="inlineStr">
        <is>
          <t>CX-8 2.2 XD Lパッケージ ディーゼルターボ バックモニター/パノラミックビュー/19インチ外アルミ/ローダウン/</t>
        </is>
      </c>
      <c r="M9" s="7" t="inlineStr">
        <is>
          <t>https://www.carsensor.net/usedcar/detail/AU6826001211/index.html</t>
        </is>
      </c>
    </row>
    <row r="10">
      <c r="A10" s="11" t="n">
        <v>2018</v>
      </c>
      <c r="B10" s="12" t="inlineStr">
        <is>
          <t>2WD</t>
        </is>
      </c>
      <c r="C10" s="12" t="inlineStr">
        <is>
          <t>2.2 XD Lパッケージ</t>
        </is>
      </c>
      <c r="D10" s="13" t="n">
        <v>5.7</v>
      </c>
      <c r="E10" s="14" t="n">
        <v>239.9</v>
      </c>
      <c r="F10" s="14" t="n">
        <v>228</v>
      </c>
      <c r="G10" s="15" t="n">
        <v>5.3</v>
      </c>
      <c r="H10" s="12" t="inlineStr">
        <is>
          <t>なし</t>
        </is>
      </c>
      <c r="I10" s="12" t="inlineStr">
        <is>
          <t>2027(R09)年12月</t>
        </is>
      </c>
      <c r="J10" s="12" t="inlineStr">
        <is>
          <t>保証付</t>
        </is>
      </c>
      <c r="K10" s="16" t="inlineStr">
        <is>
          <t>走行が少なめ（5.3万km） / 修復歴なし / 車検 2027/12 まで（残り14ヶ月） / 保証付</t>
        </is>
      </c>
      <c r="L10" s="16" t="inlineStr">
        <is>
          <t>CX-8 2.2 XD Lパッケージ ディーゼルターボ 後席モニター 純正ナビ 全周囲カメラ 禁煙車 衝突軽減 レーダークルーズ 電動リア レザーシート 前席シートヒーター/ベンチレーション ステアリングヒーター コーナーセンサー LEDヘッド/フォグ</t>
        </is>
      </c>
      <c r="M10" s="12" t="inlineStr">
        <is>
          <t>https://www.carsensor.net/usedcar/detail/AU7333177670/index.html</t>
        </is>
      </c>
    </row>
    <row r="11">
      <c r="A11" s="6" t="n">
        <v>2017</v>
      </c>
      <c r="B11" s="7" t="inlineStr">
        <is>
          <t>2WD</t>
        </is>
      </c>
      <c r="C11" s="7" t="inlineStr">
        <is>
          <t>2.2 XD Lパッケージ</t>
        </is>
      </c>
      <c r="D11" s="17" t="n">
        <v>5.5</v>
      </c>
      <c r="E11" s="9" t="n">
        <v>201.5</v>
      </c>
      <c r="F11" s="9" t="n">
        <v>189.9</v>
      </c>
      <c r="G11" s="10" t="n">
        <v>4.5</v>
      </c>
      <c r="H11" s="7" t="inlineStr">
        <is>
          <t>なし</t>
        </is>
      </c>
      <c r="I11" s="7" t="inlineStr">
        <is>
          <t>車検整備付</t>
        </is>
      </c>
      <c r="J11" s="7" t="inlineStr">
        <is>
          <t>保証付</t>
        </is>
      </c>
      <c r="K11" s="16" t="inlineStr">
        <is>
          <t>走行が少なめ（4.5万km） / 修復歴なし / 車検整備付 / 保証付</t>
        </is>
      </c>
      <c r="L11" s="16" t="inlineStr">
        <is>
          <t>CX-8 2.2 XD Lパッケージ ディーゼルターボ 6ヶ月走行距離無制限保証付 フリップダウンモニター 全周囲カメラ 純正SDナビ 禁煙車 電動リアゲート 衝突軽減ブレーキ レーダークルーズコントロール BOSEサウンド ステアリングヒーター 本革シート ETC</t>
        </is>
      </c>
      <c r="M11" s="7" t="inlineStr">
        <is>
          <t>https://www.carsensor.net/usedcar/detail/AU7308420556/index.html</t>
        </is>
      </c>
    </row>
    <row r="12">
      <c r="A12" s="11" t="n">
        <v>2017</v>
      </c>
      <c r="B12" s="12" t="inlineStr">
        <is>
          <t>2WD</t>
        </is>
      </c>
      <c r="C12" s="12" t="inlineStr">
        <is>
          <t>2.2 XD Lパッケージ</t>
        </is>
      </c>
      <c r="D12" s="13" t="n">
        <v>5.5</v>
      </c>
      <c r="E12" s="14" t="n">
        <v>233</v>
      </c>
      <c r="F12" s="14" t="n">
        <v>220</v>
      </c>
      <c r="G12" s="15" t="n">
        <v>5</v>
      </c>
      <c r="H12" s="12" t="inlineStr">
        <is>
          <t>なし</t>
        </is>
      </c>
      <c r="I12" s="12" t="inlineStr">
        <is>
          <t>車検整備付</t>
        </is>
      </c>
      <c r="J12" s="12" t="inlineStr">
        <is>
          <t>保証付</t>
        </is>
      </c>
      <c r="K12" s="16" t="inlineStr">
        <is>
          <t>走行が少なめ（5.0万km） / 修復歴なし / 車検整備付 / 保証付</t>
        </is>
      </c>
      <c r="L12" s="16" t="inlineStr">
        <is>
          <t>CX-8 2.2 XD Lパッケージ ディーゼルターボ</t>
        </is>
      </c>
      <c r="M12" s="12" t="inlineStr">
        <is>
          <t>https://www.carsensor.net/usedcar/detail/AU7452311421/index.html</t>
        </is>
      </c>
    </row>
    <row r="13">
      <c r="A13" s="6" t="n">
        <v>2018</v>
      </c>
      <c r="B13" s="7" t="inlineStr">
        <is>
          <t>2WD</t>
        </is>
      </c>
      <c r="C13" s="7" t="inlineStr">
        <is>
          <t>2.2 XD Lパッケージ</t>
        </is>
      </c>
      <c r="D13" s="17" t="n">
        <v>5.5</v>
      </c>
      <c r="E13" s="9" t="n">
        <v>193.8</v>
      </c>
      <c r="F13" s="9" t="n">
        <v>182.2</v>
      </c>
      <c r="G13" s="10" t="n">
        <v>4</v>
      </c>
      <c r="H13" s="7" t="inlineStr">
        <is>
          <t>なし</t>
        </is>
      </c>
      <c r="I13" s="7" t="inlineStr">
        <is>
          <t>車検整備付</t>
        </is>
      </c>
      <c r="J13" s="7" t="inlineStr">
        <is>
          <t>保証付</t>
        </is>
      </c>
      <c r="K13" s="16" t="inlineStr">
        <is>
          <t>走行が少なめ（4.0万km） / 修復歴なし / 車検整備付 / 保証付</t>
        </is>
      </c>
      <c r="L13" s="16" t="inlineStr">
        <is>
          <t>CX-8 2.2 XD Lパッケージ ディーゼルターボ BOSEサウンド/後席フリップダウン/全周囲カメラ/ルーフレール/白革/シートベンチレーション/純正ナビ地デジ/追従クルコン/レーンキープアシスト/パワーバックドア/LEDヘッドライト</t>
        </is>
      </c>
      <c r="M13" s="7" t="inlineStr">
        <is>
          <t>https://www.carsensor.net/usedcar/detail/AU7350260858/index.html</t>
        </is>
      </c>
    </row>
    <row r="14">
      <c r="A14" s="11" t="n">
        <v>2018</v>
      </c>
      <c r="B14" s="12" t="inlineStr">
        <is>
          <t>2WD</t>
        </is>
      </c>
      <c r="C14" s="12" t="inlineStr">
        <is>
          <t>2.2 XD Lパッケージ</t>
        </is>
      </c>
      <c r="D14" s="13" t="n">
        <v>5.5</v>
      </c>
      <c r="E14" s="14" t="n">
        <v>226.8</v>
      </c>
      <c r="F14" s="14" t="n">
        <v>215.1</v>
      </c>
      <c r="G14" s="15" t="n">
        <v>4.7</v>
      </c>
      <c r="H14" s="12" t="inlineStr">
        <is>
          <t>なし</t>
        </is>
      </c>
      <c r="I14" s="12" t="inlineStr">
        <is>
          <t>2027(R09)年10月</t>
        </is>
      </c>
      <c r="J14" s="12" t="inlineStr">
        <is>
          <t>保証付</t>
        </is>
      </c>
      <c r="K14" s="16" t="inlineStr">
        <is>
          <t>走行が少なめ（4.7万km） / 修復歴なし / 車検 2027/10 まで（残り12ヶ月） / 保証付</t>
        </is>
      </c>
      <c r="L14" s="16" t="inlineStr">
        <is>
          <t>CX-8 2.2 XD Lパッケージ ディーゼルターボ 衝突軽減ブレーキ ACC マツダコネクトナビ BOSEサウンド CD フルセグ Bluetoothオーディオ ETC 全方位モニター Bカメ パワーシート シートヒーター フロントドラレコ 6人乗</t>
        </is>
      </c>
      <c r="M14" s="12" t="inlineStr">
        <is>
          <t>https://www.carsensor.net/usedcar/detail/AU7248119427/index.html</t>
        </is>
      </c>
    </row>
    <row r="15">
      <c r="A15" s="6" t="n">
        <v>2018</v>
      </c>
      <c r="B15" s="7" t="inlineStr">
        <is>
          <t>2WD</t>
        </is>
      </c>
      <c r="C15" s="7" t="inlineStr">
        <is>
          <t>2.2 XD Lパッケージ</t>
        </is>
      </c>
      <c r="D15" s="17" t="n">
        <v>5.5</v>
      </c>
      <c r="E15" s="9" t="n">
        <v>189</v>
      </c>
      <c r="F15" s="9" t="n">
        <v>177</v>
      </c>
      <c r="G15" s="10" t="n">
        <v>4.8</v>
      </c>
      <c r="H15" s="7" t="inlineStr">
        <is>
          <t>なし</t>
        </is>
      </c>
      <c r="I15" s="7" t="inlineStr">
        <is>
          <t>車検整備付</t>
        </is>
      </c>
      <c r="J15" s="7" t="inlineStr">
        <is>
          <t>保証付</t>
        </is>
      </c>
      <c r="K15" s="16" t="inlineStr">
        <is>
          <t>走行が少なめ（4.8万km） / 修復歴なし / 車検整備付 / 保証付</t>
        </is>
      </c>
      <c r="L15" s="16" t="inlineStr">
        <is>
          <t>CX-8 2.2 XD Lパッケージ ディーゼルターボ 360°ビューカメラ 純正ナビ フルセグTV Bluetooth バックカメラ ETC シートヒーター ステアリングヒーター 電動リアゲート レーダークルーズコントロール ブラインドスポットモニター 純正19インチAW</t>
        </is>
      </c>
      <c r="M15" s="7" t="inlineStr">
        <is>
          <t>https://www.carsensor.net/usedcar/detail/AU7231740341/index.html</t>
        </is>
      </c>
    </row>
    <row r="16">
      <c r="A16" s="11" t="n">
        <v>2018</v>
      </c>
      <c r="B16" s="12" t="inlineStr">
        <is>
          <t>2WD</t>
        </is>
      </c>
      <c r="C16" s="12" t="inlineStr">
        <is>
          <t>2.2 XD Lパッケージ</t>
        </is>
      </c>
      <c r="D16" s="13" t="n">
        <v>5.5</v>
      </c>
      <c r="E16" s="14" t="n">
        <v>216.6</v>
      </c>
      <c r="F16" s="14" t="n">
        <v>198</v>
      </c>
      <c r="G16" s="15" t="n">
        <v>3.9</v>
      </c>
      <c r="H16" s="12" t="inlineStr">
        <is>
          <t>なし</t>
        </is>
      </c>
      <c r="I16" s="12" t="inlineStr">
        <is>
          <t>車検整備付</t>
        </is>
      </c>
      <c r="J16" s="12" t="inlineStr">
        <is>
          <t>保証付</t>
        </is>
      </c>
      <c r="K16" s="16" t="inlineStr">
        <is>
          <t>走行が少なめ（3.9万km） / 修復歴なし / 車検整備付 / 保証付</t>
        </is>
      </c>
      <c r="L16" s="16" t="inlineStr">
        <is>
          <t>CX-8 2.2 XD Lパッケージ ディーゼルターボ 純正ナビ・バックモニター/マツダコネクト/レザーシート/全方位カメラ/レーダークルーズコントロール/シートヒーター/BSM/SBS/SCBS/ヘッドアップディスプレイ</t>
        </is>
      </c>
      <c r="M16" s="12" t="inlineStr">
        <is>
          <t>https://www.carsensor.net/usedcar/detail/AU7381996590/index.html</t>
        </is>
      </c>
    </row>
    <row r="17">
      <c r="A17" s="6" t="n">
        <v>2018</v>
      </c>
      <c r="B17" s="7" t="inlineStr">
        <is>
          <t>2WD</t>
        </is>
      </c>
      <c r="C17" s="7" t="inlineStr">
        <is>
          <t>2.2 XD Lパッケージ</t>
        </is>
      </c>
      <c r="D17" s="17" t="n">
        <v>5.5</v>
      </c>
      <c r="E17" s="9" t="n">
        <v>212.6</v>
      </c>
      <c r="F17" s="9" t="n">
        <v>194</v>
      </c>
      <c r="G17" s="10" t="n">
        <v>4.5</v>
      </c>
      <c r="H17" s="7" t="inlineStr">
        <is>
          <t>なし</t>
        </is>
      </c>
      <c r="I17" s="7" t="inlineStr">
        <is>
          <t>車検整備付</t>
        </is>
      </c>
      <c r="J17" s="7" t="inlineStr">
        <is>
          <t>保証付</t>
        </is>
      </c>
      <c r="K17" s="16" t="inlineStr">
        <is>
          <t>走行が少なめ（4.5万km） / 修復歴なし / 車検整備付 / 保証付</t>
        </is>
      </c>
      <c r="L17" s="16" t="inlineStr">
        <is>
          <t>CX-8 2.2 XD Lパッケージ ディーゼルターボ 革シート/純正ナビ/全周囲カメラ/衝突軽減B/BSM/ハンドル・シートヒーター/LEDヘッド/レーダークルーズ/電動リアゲート/ドライブレコーダー/ETC</t>
        </is>
      </c>
      <c r="M17" s="7" t="inlineStr">
        <is>
          <t>https://www.carsensor.net/usedcar/detail/AU7391266974/index.html</t>
        </is>
      </c>
    </row>
    <row r="18">
      <c r="A18" s="11" t="n">
        <v>2019</v>
      </c>
      <c r="B18" s="12" t="inlineStr">
        <is>
          <t>2WD</t>
        </is>
      </c>
      <c r="C18" s="12" t="inlineStr">
        <is>
          <t>2.2 XD Lパッケージ</t>
        </is>
      </c>
      <c r="D18" s="13" t="n">
        <v>5.5</v>
      </c>
      <c r="E18" s="14" t="n">
        <v>249.9</v>
      </c>
      <c r="F18" s="14" t="n">
        <v>232.7</v>
      </c>
      <c r="G18" s="15" t="n">
        <v>3.7</v>
      </c>
      <c r="H18" s="12" t="inlineStr">
        <is>
          <t>なし</t>
        </is>
      </c>
      <c r="I18" s="12" t="inlineStr">
        <is>
          <t>車検整備付</t>
        </is>
      </c>
      <c r="J18" s="12" t="inlineStr">
        <is>
          <t>保証付</t>
        </is>
      </c>
      <c r="K18" s="16" t="inlineStr">
        <is>
          <t>走行が少なめ（3.7万km） / 修復歴なし / 車検整備付 / 保証付</t>
        </is>
      </c>
      <c r="L18" s="16" t="inlineStr">
        <is>
          <t>CX-8 2.2 XD Lパッケージ ディーゼルターボ BOSE 純正ナビ 全周囲カメラ 衝突軽減装置 禁煙車 電動リアゲート レーダークルーズ シートエアコン コーナーセンサー ステアリングヒーター スマートキー LEDヘッド ETC</t>
        </is>
      </c>
      <c r="M18" s="12" t="inlineStr">
        <is>
          <t>https://www.carsensor.net/usedcar/detail/AU7360250758/index.html</t>
        </is>
      </c>
    </row>
    <row r="19">
      <c r="A19" s="6" t="n">
        <v>2019</v>
      </c>
      <c r="B19" s="7" t="inlineStr">
        <is>
          <t>2WD</t>
        </is>
      </c>
      <c r="C19" s="7" t="inlineStr">
        <is>
          <t>2.2 XD Lパッケージ</t>
        </is>
      </c>
      <c r="D19" s="17" t="n">
        <v>5.5</v>
      </c>
      <c r="E19" s="9" t="n">
        <v>245.9</v>
      </c>
      <c r="F19" s="9" t="n">
        <v>232.9</v>
      </c>
      <c r="G19" s="10" t="n">
        <v>3</v>
      </c>
      <c r="H19" s="7" t="inlineStr">
        <is>
          <t>なし</t>
        </is>
      </c>
      <c r="I19" s="7" t="inlineStr">
        <is>
          <t>車検整備付</t>
        </is>
      </c>
      <c r="J19" s="7" t="inlineStr">
        <is>
          <t>保証付</t>
        </is>
      </c>
      <c r="K19" s="16" t="inlineStr">
        <is>
          <t>走行が少なめ（3.0万km） / 修復歴なし / 車検整備付 / 保証付</t>
        </is>
      </c>
      <c r="L19" s="16" t="inlineStr">
        <is>
          <t>CX-8 2.2 XD Lパッケージ ディーゼルターボ 新品タイヤ/SDナビ/衝突安全装置/シートヒーター 全席/360°ビューモニター/車線逸脱防止支援システム/シート フルレザー/電動バックドア/ヘッドランプ LED</t>
        </is>
      </c>
      <c r="M19" s="7" t="inlineStr">
        <is>
          <t>https://www.carsensor.net/usedcar/detail/AU7088386489/index.html</t>
        </is>
      </c>
    </row>
    <row r="20">
      <c r="A20" s="11" t="n">
        <v>2021</v>
      </c>
      <c r="B20" s="12" t="inlineStr">
        <is>
          <t>2WD</t>
        </is>
      </c>
      <c r="C20" s="12" t="inlineStr">
        <is>
          <t>2.2 XD Lパッケージ</t>
        </is>
      </c>
      <c r="D20" s="13" t="n">
        <v>5.5</v>
      </c>
      <c r="E20" s="14" t="n">
        <v>302.3</v>
      </c>
      <c r="F20" s="14" t="n">
        <v>285</v>
      </c>
      <c r="G20" s="15" t="n">
        <v>3.5</v>
      </c>
      <c r="H20" s="12" t="inlineStr">
        <is>
          <t>なし</t>
        </is>
      </c>
      <c r="I20" s="12" t="inlineStr">
        <is>
          <t>車検整備付</t>
        </is>
      </c>
      <c r="J20" s="12" t="inlineStr">
        <is>
          <t>保証付</t>
        </is>
      </c>
      <c r="K20" s="16" t="inlineStr">
        <is>
          <t>走行が少なめ（3.5万km） / 修復歴なし / 車検整備付 / 保証付</t>
        </is>
      </c>
      <c r="L20" s="16" t="inlineStr">
        <is>
          <t>CX-8 2.2 XD Lパッケージ ディーゼルターボ 7人乗り 純正10ナビ 全周囲カメラ 衝突被害軽減システム レーダークルーズ ブラインドスポットモニター 電動リアゲート 本革シート 前席シートエアコン 前席中列シートヒーター コーナーセンサー</t>
        </is>
      </c>
      <c r="M20" s="12" t="inlineStr">
        <is>
          <t>https://www.carsensor.net/usedcar/detail/AU7444233965/index.html</t>
        </is>
      </c>
    </row>
    <row r="21">
      <c r="A21" s="6" t="n">
        <v>2022</v>
      </c>
      <c r="B21" s="7" t="inlineStr">
        <is>
          <t>2WD</t>
        </is>
      </c>
      <c r="C21" s="7" t="inlineStr">
        <is>
          <t>2.2 XD Lパッケージ</t>
        </is>
      </c>
      <c r="D21" s="17" t="n">
        <v>5.5</v>
      </c>
      <c r="E21" s="9" t="n">
        <v>315.8</v>
      </c>
      <c r="F21" s="9" t="n">
        <v>296.8</v>
      </c>
      <c r="G21" s="10" t="n">
        <v>2.6</v>
      </c>
      <c r="H21" s="7" t="inlineStr">
        <is>
          <t>なし</t>
        </is>
      </c>
      <c r="I21" s="7" t="inlineStr">
        <is>
          <t>車検整備付</t>
        </is>
      </c>
      <c r="J21" s="7" t="inlineStr">
        <is>
          <t>保証付</t>
        </is>
      </c>
      <c r="K21" s="16" t="inlineStr">
        <is>
          <t>走行が少なめ（2.6万km） / 修復歴なし / 車検整備付 / 保証付</t>
        </is>
      </c>
      <c r="L21" s="16" t="inlineStr">
        <is>
          <t>CX-8 2.2 XD Lパッケージ ディーゼルターボ サンルーフ BOSEサウンド シートヒーター/クーラー 衝突軽減B 障害物センサー HUD BSM 全方位C パワーゲート ワイヤレス充電 本革シート 電動シート LEDライト スマートキー 純正AW TV Bluetooth ETC 前後ドラレコ</t>
        </is>
      </c>
      <c r="M21" s="7" t="inlineStr">
        <is>
          <t>https://www.carsensor.net/usedcar/detail/AU7302092810/index.html</t>
        </is>
      </c>
    </row>
    <row r="22">
      <c r="A22" s="11" t="n">
        <v>2022</v>
      </c>
      <c r="B22" s="12" t="inlineStr">
        <is>
          <t>2WD</t>
        </is>
      </c>
      <c r="C22" s="12" t="inlineStr">
        <is>
          <t>2.2 XD Lパッケージ</t>
        </is>
      </c>
      <c r="D22" s="13" t="n">
        <v>5.5</v>
      </c>
      <c r="E22" s="14" t="n">
        <v>288.7</v>
      </c>
      <c r="F22" s="14" t="n">
        <v>275</v>
      </c>
      <c r="G22" s="15" t="n">
        <v>2.4</v>
      </c>
      <c r="H22" s="12" t="inlineStr">
        <is>
          <t>なし</t>
        </is>
      </c>
      <c r="I22" s="12" t="inlineStr">
        <is>
          <t>車検整備付</t>
        </is>
      </c>
      <c r="J22" s="12" t="inlineStr">
        <is>
          <t>保証付</t>
        </is>
      </c>
      <c r="K22" s="16" t="inlineStr">
        <is>
          <t>走行が少なめ（2.4万km） / 修復歴なし / 車検整備付 / 保証付</t>
        </is>
      </c>
      <c r="L22" s="16" t="inlineStr">
        <is>
          <t>CX-8 2.2 XD Lパッケージ ディーゼルターボ 1オーナー サンルーフ 黒革シート BOSEサウンド シートヒーター レーダークルーズ ヘッドアップディスプレイ ブラインドスポットモニター 全方位カメラ パワーバックドア パワーシート 純正19インチAW</t>
        </is>
      </c>
      <c r="M22" s="12" t="inlineStr">
        <is>
          <t>https://www.carsensor.net/usedcar/detail/AU7367525828/index.html</t>
        </is>
      </c>
    </row>
    <row r="23">
      <c r="A23" s="6" t="n">
        <v>2017</v>
      </c>
      <c r="B23" s="7" t="inlineStr">
        <is>
          <t>2WD</t>
        </is>
      </c>
      <c r="C23" s="7" t="inlineStr">
        <is>
          <t>2.2 XD Lパッケージ</t>
        </is>
      </c>
      <c r="D23" s="17" t="n">
        <v>5.4</v>
      </c>
      <c r="E23" s="9" t="n">
        <v>194.8</v>
      </c>
      <c r="F23" s="9" t="n">
        <v>183.5</v>
      </c>
      <c r="G23" s="10" t="n">
        <v>3.3</v>
      </c>
      <c r="H23" s="7" t="inlineStr">
        <is>
          <t>なし</t>
        </is>
      </c>
      <c r="I23" s="7" t="inlineStr">
        <is>
          <t>2027(R09)年03月</t>
        </is>
      </c>
      <c r="J23" s="7" t="inlineStr">
        <is>
          <t>保証無</t>
        </is>
      </c>
      <c r="K23" s="16" t="inlineStr">
        <is>
          <t>同年式の半分以下の走行（3.3万km） / 修復歴なし / 車検 2027/03 まで（残り5ヶ月）</t>
        </is>
      </c>
      <c r="L23" s="16" t="inlineStr">
        <is>
          <t>CX-8 2.2 XD Lパッケージ ディーゼルターボ BOSEサウンド 黒革シート 6人乗り 純正ナビ フルセグTV 全周囲カメラ シートヒーター アダプティブクルーズコントロール 電動リアゲート パワーシート ステアリングヒーター クリアランスソナー</t>
        </is>
      </c>
      <c r="M23" s="7" t="inlineStr">
        <is>
          <t>https://www.carsensor.net/usedcar/detail/AU7273195734/index.html</t>
        </is>
      </c>
    </row>
    <row r="24">
      <c r="A24" s="11" t="n">
        <v>2018</v>
      </c>
      <c r="B24" s="12" t="inlineStr">
        <is>
          <t>2WD</t>
        </is>
      </c>
      <c r="C24" s="12" t="inlineStr">
        <is>
          <t>2.2 XD Lパッケージ</t>
        </is>
      </c>
      <c r="D24" s="13" t="n">
        <v>5.4</v>
      </c>
      <c r="E24" s="14" t="n">
        <v>245.2</v>
      </c>
      <c r="F24" s="14" t="n">
        <v>234.7</v>
      </c>
      <c r="G24" s="15" t="n">
        <v>4.6</v>
      </c>
      <c r="H24" s="12" t="inlineStr">
        <is>
          <t>なし</t>
        </is>
      </c>
      <c r="I24" s="12" t="inlineStr">
        <is>
          <t>2027(R09)年09月</t>
        </is>
      </c>
      <c r="J24" s="12" t="inlineStr">
        <is>
          <t>保証付</t>
        </is>
      </c>
      <c r="K24" s="16" t="inlineStr">
        <is>
          <t>走行が少なめ（4.6万km） / 修復歴なし / 車検 2027/09 まで（残り11ヶ月） / 保証付</t>
        </is>
      </c>
      <c r="L24" s="16" t="inlineStr">
        <is>
          <t>CX-8 2.2 XD Lパッケージ ディーゼルターボ 360°モニター ETC マツコネナビ アドバ</t>
        </is>
      </c>
      <c r="M24" s="12" t="inlineStr">
        <is>
          <t>https://www.carsensor.net/usedcar/detail/AU7431165484/index.html</t>
        </is>
      </c>
    </row>
    <row r="25">
      <c r="A25" s="6" t="n">
        <v>2018</v>
      </c>
      <c r="B25" s="7" t="inlineStr">
        <is>
          <t>2WD</t>
        </is>
      </c>
      <c r="C25" s="7" t="inlineStr">
        <is>
          <t>2.2 XD Lパッケージ</t>
        </is>
      </c>
      <c r="D25" s="17" t="n">
        <v>5.3</v>
      </c>
      <c r="E25" s="9" t="n">
        <v>240.3</v>
      </c>
      <c r="F25" s="9" t="n">
        <v>232.8</v>
      </c>
      <c r="G25" s="10" t="n">
        <v>4.1</v>
      </c>
      <c r="H25" s="7" t="inlineStr">
        <is>
          <t>なし</t>
        </is>
      </c>
      <c r="I25" s="7" t="inlineStr">
        <is>
          <t>2027(R09)年08月</t>
        </is>
      </c>
      <c r="J25" s="7" t="inlineStr">
        <is>
          <t>保証付</t>
        </is>
      </c>
      <c r="K25" s="16" t="inlineStr">
        <is>
          <t>走行が少なめ（4.1万km） / 修復歴なし / 車検 2027/08 まで（残り10ヶ月） / 保証付</t>
        </is>
      </c>
      <c r="L25" s="16" t="inlineStr">
        <is>
          <t>CX-8 2.2 XD Lパッケージ ディーゼルターボ 7人乗り SDナビ ETC</t>
        </is>
      </c>
      <c r="M25" s="7" t="inlineStr">
        <is>
          <t>https://www.carsensor.net/usedcar/detail/AU7276069483/index.html</t>
        </is>
      </c>
    </row>
    <row r="26">
      <c r="A26" s="11" t="n">
        <v>2019</v>
      </c>
      <c r="B26" s="12" t="inlineStr">
        <is>
          <t>2WD</t>
        </is>
      </c>
      <c r="C26" s="12" t="inlineStr">
        <is>
          <t>2.2 XD Lパッケージ</t>
        </is>
      </c>
      <c r="D26" s="13" t="n">
        <v>5.3</v>
      </c>
      <c r="E26" s="14" t="n">
        <v>203.8</v>
      </c>
      <c r="F26" s="14" t="n">
        <v>195</v>
      </c>
      <c r="G26" s="15" t="n">
        <v>4.9</v>
      </c>
      <c r="H26" s="12" t="inlineStr">
        <is>
          <t>なし</t>
        </is>
      </c>
      <c r="I26" s="12" t="inlineStr">
        <is>
          <t>2028(R10)年02月</t>
        </is>
      </c>
      <c r="J26" s="12" t="inlineStr">
        <is>
          <t>保証付</t>
        </is>
      </c>
      <c r="K26" s="16" t="inlineStr">
        <is>
          <t>修復歴なし / 車検 2028/02 まで（残り16ヶ月） / 保証付 / 同年式より安い（中央値 231万）</t>
        </is>
      </c>
      <c r="L26" s="16" t="inlineStr">
        <is>
          <t>CX-8 2.2 XD Lパッケージ ディーゼルターボ AppleCarPlay/全方位カメラ/シートベンチレーション/前後シートヒーター/ステアリングヒーター/フルセグTV/メモリー付きパワーシート/パワーバックドア/レーダークルーズコントロール/ブラインドスポットモニター</t>
        </is>
      </c>
      <c r="M26" s="12" t="inlineStr">
        <is>
          <t>https://www.carsensor.net/usedcar/detail/AU7196482051/index.html</t>
        </is>
      </c>
    </row>
    <row r="27">
      <c r="A27" s="6" t="n">
        <v>2018</v>
      </c>
      <c r="B27" s="7" t="inlineStr">
        <is>
          <t>2WD</t>
        </is>
      </c>
      <c r="C27" s="7" t="inlineStr">
        <is>
          <t>2.2 XD Lパッケージ</t>
        </is>
      </c>
      <c r="D27" s="17" t="n">
        <v>5.2</v>
      </c>
      <c r="E27" s="9" t="n">
        <v>215.8</v>
      </c>
      <c r="F27" s="9" t="n">
        <v>209.9</v>
      </c>
      <c r="G27" s="10" t="n">
        <v>5.1</v>
      </c>
      <c r="H27" s="7" t="inlineStr">
        <is>
          <t>なし</t>
        </is>
      </c>
      <c r="I27" s="7" t="inlineStr">
        <is>
          <t>2027(R09)年07月</t>
        </is>
      </c>
      <c r="J27" s="7" t="inlineStr">
        <is>
          <t>保証付</t>
        </is>
      </c>
      <c r="K27" s="16" t="inlineStr">
        <is>
          <t>走行が少なめ（5.1万km） / 修復歴なし / 車検 2027/07 まで（残り9ヶ月） / 保証付</t>
        </is>
      </c>
      <c r="L27" s="16" t="inlineStr">
        <is>
          <t>CX-8 2.2 XD Lパッケージ ディーゼルターボ 4WD BOSEサウンド/純正メモリナビ/BT/地デジ/バック/サイドカメラ/パワーバックドア/レーダークルーズコントロール/LEDオートライト/革シート/純正ETC/禁煙車/純正19インチアルミ/シートヒーター</t>
        </is>
      </c>
      <c r="M27" s="7" t="inlineStr">
        <is>
          <t>https://www.carsensor.net/usedcar/detail/AU7248306692/index.html</t>
        </is>
      </c>
    </row>
    <row r="28">
      <c r="A28" s="11" t="n">
        <v>2018</v>
      </c>
      <c r="B28" s="12" t="inlineStr">
        <is>
          <t>2WD</t>
        </is>
      </c>
      <c r="C28" s="12" t="inlineStr">
        <is>
          <t>2.2 XD Lパッケージ</t>
        </is>
      </c>
      <c r="D28" s="13" t="n">
        <v>5.2</v>
      </c>
      <c r="E28" s="14" t="n">
        <v>216.6</v>
      </c>
      <c r="F28" s="14" t="n">
        <v>206.8</v>
      </c>
      <c r="G28" s="15" t="n">
        <v>3.9</v>
      </c>
      <c r="H28" s="12" t="inlineStr">
        <is>
          <t>なし</t>
        </is>
      </c>
      <c r="I28" s="12" t="inlineStr">
        <is>
          <t>2027(R09)年07月</t>
        </is>
      </c>
      <c r="J28" s="12" t="inlineStr">
        <is>
          <t>保証付</t>
        </is>
      </c>
      <c r="K28" s="16" t="inlineStr">
        <is>
          <t>走行が少なめ（3.9万km） / 修復歴なし / 車検 2027/07 まで（残り9ヶ月） / 保証付</t>
        </is>
      </c>
      <c r="L28" s="16" t="inlineStr">
        <is>
          <t>CX-8 2.2 XD Lパッケージ ディーゼルターボ 当社下取り ワンオーナー 360°ビュー</t>
        </is>
      </c>
      <c r="M28" s="12" t="inlineStr">
        <is>
          <t>https://www.carsensor.net/usedcar/detail/AU7403321338/index.html</t>
        </is>
      </c>
    </row>
    <row r="29">
      <c r="A29" s="6" t="n">
        <v>2018</v>
      </c>
      <c r="B29" s="7" t="inlineStr">
        <is>
          <t>2WD</t>
        </is>
      </c>
      <c r="C29" s="7" t="inlineStr">
        <is>
          <t>2.2 XD Lパッケージ</t>
        </is>
      </c>
      <c r="D29" s="17" t="n">
        <v>5.2</v>
      </c>
      <c r="E29" s="9" t="n">
        <v>214.8</v>
      </c>
      <c r="F29" s="9" t="n">
        <v>206</v>
      </c>
      <c r="G29" s="10" t="n">
        <v>3.5</v>
      </c>
      <c r="H29" s="7" t="inlineStr">
        <is>
          <t>なし</t>
        </is>
      </c>
      <c r="I29" s="7" t="inlineStr">
        <is>
          <t>2027(R09)年06月</t>
        </is>
      </c>
      <c r="J29" s="7" t="inlineStr">
        <is>
          <t>保証付</t>
        </is>
      </c>
      <c r="K29" s="16" t="inlineStr">
        <is>
          <t>走行が少なめ（3.5万km） / 修復歴なし / 車検 2027/06 まで（残り8ヶ月） / 保証付</t>
        </is>
      </c>
      <c r="L29" s="16" t="inlineStr">
        <is>
          <t>CX-8 2.2 XD Lパッケージ ディーゼルターボ 全周囲カメラ 後席モニター ローダウン車 ルーフレール BLITZタワーバー 前席後席シートヒーター BSM 茶革シート ステアリングヒーター パドルシフト レーダ ークルーズ 電動トランク BOSEサウンド</t>
        </is>
      </c>
      <c r="M29" s="7" t="inlineStr">
        <is>
          <t>https://www.carsensor.net/usedcar/detail/AU7327613976/index.html</t>
        </is>
      </c>
    </row>
    <row r="30">
      <c r="A30" s="11" t="n">
        <v>2018</v>
      </c>
      <c r="B30" s="12" t="inlineStr">
        <is>
          <t>2WD</t>
        </is>
      </c>
      <c r="C30" s="12" t="inlineStr">
        <is>
          <t>2.2 XD Lパッケージ</t>
        </is>
      </c>
      <c r="D30" s="13" t="n">
        <v>5.2</v>
      </c>
      <c r="E30" s="14" t="n">
        <v>168.8</v>
      </c>
      <c r="F30" s="14" t="n">
        <v>159</v>
      </c>
      <c r="G30" s="15" t="n">
        <v>9</v>
      </c>
      <c r="H30" s="12" t="inlineStr">
        <is>
          <t>なし</t>
        </is>
      </c>
      <c r="I30" s="12" t="inlineStr">
        <is>
          <t>2027(R09)年12月</t>
        </is>
      </c>
      <c r="J30" s="12" t="inlineStr">
        <is>
          <t>保証付</t>
        </is>
      </c>
      <c r="K30" s="16" t="inlineStr">
        <is>
          <t>修復歴なし / 車検 2027/12 まで（残り14ヶ月） / 保証付 / 同年式より安い（中央値 196万）</t>
        </is>
      </c>
      <c r="L30" s="16" t="inlineStr">
        <is>
          <t>CX-8 2.2 XD Lパッケージ ディーゼルターボ ルーフレール 全周囲カメラ BOSEサウンド 前席後席シートヒーター TVキャンセラー BSM ステアリングヒーター 電動トランク 電動シート シートメモリ LEDヘッドライト コーナーセンサー レーダークルーズ</t>
        </is>
      </c>
      <c r="M30" s="12" t="inlineStr">
        <is>
          <t>https://www.carsensor.net/usedcar/detail/AU7325290309/index.html</t>
        </is>
      </c>
    </row>
    <row r="31">
      <c r="A31" s="6" t="n">
        <v>2022</v>
      </c>
      <c r="B31" s="7" t="inlineStr">
        <is>
          <t>2WD</t>
        </is>
      </c>
      <c r="C31" s="7" t="inlineStr">
        <is>
          <t>2.2 XD Lパッケージ</t>
        </is>
      </c>
      <c r="D31" s="17" t="n">
        <v>5.2</v>
      </c>
      <c r="E31" s="9" t="n">
        <v>340</v>
      </c>
      <c r="F31" s="9" t="n">
        <v>329.6</v>
      </c>
      <c r="G31" s="10" t="n">
        <v>3</v>
      </c>
      <c r="H31" s="7" t="inlineStr">
        <is>
          <t>なし</t>
        </is>
      </c>
      <c r="I31" s="7" t="inlineStr">
        <is>
          <t>2027(R09)年07月</t>
        </is>
      </c>
      <c r="J31" s="7" t="inlineStr">
        <is>
          <t>保証付</t>
        </is>
      </c>
      <c r="K31" s="16" t="inlineStr">
        <is>
          <t>走行が少なめ（3.0万km） / 修復歴なし / 車検 2027/07 まで（残り9ヶ月） / 保証付</t>
        </is>
      </c>
      <c r="L31" s="16" t="inlineStr">
        <is>
          <t>CX-8 2.2 XD Lパッケージ ディーゼルターボ ・MTモード付AT・LEDヘッドライト・オート</t>
        </is>
      </c>
      <c r="M31" s="7" t="inlineStr">
        <is>
          <t>https://www.carsensor.net/usedcar/detail/AU7419560184/index.html</t>
        </is>
      </c>
    </row>
    <row r="32">
      <c r="A32" s="11" t="n">
        <v>2017</v>
      </c>
      <c r="B32" s="12" t="inlineStr">
        <is>
          <t>2WD</t>
        </is>
      </c>
      <c r="C32" s="12" t="inlineStr">
        <is>
          <t>2.2 XD Lパッケージ</t>
        </is>
      </c>
      <c r="D32" s="13" t="n">
        <v>5</v>
      </c>
      <c r="E32" s="14" t="n">
        <v>154.4</v>
      </c>
      <c r="F32" s="14" t="n">
        <v>139.9</v>
      </c>
      <c r="G32" s="15" t="n">
        <v>9.800000000000001</v>
      </c>
      <c r="H32" s="12" t="inlineStr">
        <is>
          <t>なし</t>
        </is>
      </c>
      <c r="I32" s="12" t="inlineStr">
        <is>
          <t>車検整備付</t>
        </is>
      </c>
      <c r="J32" s="12" t="inlineStr">
        <is>
          <t>保証付</t>
        </is>
      </c>
      <c r="K32" s="16" t="inlineStr">
        <is>
          <t>修復歴なし / 車検整備付 / 保証付 / 同年式より安い（中央値 184万）</t>
        </is>
      </c>
      <c r="L32" s="16" t="inlineStr">
        <is>
          <t>CX-8 2.2 XD Lパッケージ ディーゼルターボ 3列6人乗/ALPINEフリップ/360度ビュー/BOSE/衝突軽減/BSM/前後障害物センサー/追従クルコン/LKAS/アダプティブLED/ルーフレール/深赤革シート/Pシート/シートヒーター/電動Bドア/マツコネ/フルセグ/ETC/ドラレコ</t>
        </is>
      </c>
      <c r="M32" s="12" t="inlineStr">
        <is>
          <t>https://www.carsensor.net/usedcar/detail/AU7322413052/index.html</t>
        </is>
      </c>
    </row>
    <row r="33">
      <c r="A33" s="6" t="n">
        <v>2017</v>
      </c>
      <c r="B33" s="7" t="inlineStr">
        <is>
          <t>2WD</t>
        </is>
      </c>
      <c r="C33" s="7" t="inlineStr">
        <is>
          <t>2.2 XD Lパッケージ</t>
        </is>
      </c>
      <c r="D33" s="17" t="n">
        <v>5</v>
      </c>
      <c r="E33" s="9" t="n">
        <v>152.9</v>
      </c>
      <c r="F33" s="9" t="n">
        <v>134</v>
      </c>
      <c r="G33" s="10" t="n">
        <v>8.699999999999999</v>
      </c>
      <c r="H33" s="7" t="inlineStr">
        <is>
          <t>なし</t>
        </is>
      </c>
      <c r="I33" s="7" t="inlineStr">
        <is>
          <t>車検整備付</t>
        </is>
      </c>
      <c r="J33" s="7" t="inlineStr">
        <is>
          <t>保証付</t>
        </is>
      </c>
      <c r="K33" s="16" t="inlineStr">
        <is>
          <t>修復歴なし / 車検整備付 / 保証付 / 同年式より安い（中央値 184万）</t>
        </is>
      </c>
      <c r="L33" s="16" t="inlineStr">
        <is>
          <t>CX-8 2.2 XD Lパッケージ ディーゼルターボ 純正ナビ・バックカメラ/BOSEサウンドシステム/ALPINE後席モニター/革シート/マツダコネクト/全方位カメラ/パワーシート/パーキングセンサー/ETC</t>
        </is>
      </c>
      <c r="M33" s="7" t="inlineStr">
        <is>
          <t>https://www.carsensor.net/usedcar/detail/AU7358160656/index.html</t>
        </is>
      </c>
    </row>
    <row r="34">
      <c r="A34" s="11" t="n">
        <v>2017</v>
      </c>
      <c r="B34" s="12" t="inlineStr">
        <is>
          <t>2WD</t>
        </is>
      </c>
      <c r="C34" s="12" t="inlineStr">
        <is>
          <t>2.2 XD Lパッケージ</t>
        </is>
      </c>
      <c r="D34" s="13" t="n">
        <v>5</v>
      </c>
      <c r="E34" s="14" t="n">
        <v>145.8</v>
      </c>
      <c r="F34" s="14" t="n">
        <v>134.3</v>
      </c>
      <c r="G34" s="15" t="n">
        <v>6.6</v>
      </c>
      <c r="H34" s="12" t="inlineStr">
        <is>
          <t>なし</t>
        </is>
      </c>
      <c r="I34" s="12" t="inlineStr">
        <is>
          <t>車検整備付</t>
        </is>
      </c>
      <c r="J34" s="12" t="inlineStr">
        <is>
          <t>保証付</t>
        </is>
      </c>
      <c r="K34" s="16" t="inlineStr">
        <is>
          <t>修復歴なし / 車検整備付 / 保証付 / 同年式より安い（中央値 184万）</t>
        </is>
      </c>
      <c r="L34" s="16" t="inlineStr">
        <is>
          <t>CX-8 2.2 XD Lパッケージ ディーゼルターボ 新品タイヤ/BOSEサウンド/全周囲カメラ/6人/黒革シート/電動リアゲート/ステアリングヒーター/パワーシート/クリアランスソナー/ブレーキホールド/スマートキー/ETC/BSM/電子パーキング/フルセグTV</t>
        </is>
      </c>
      <c r="M34" s="12" t="inlineStr">
        <is>
          <t>https://www.carsensor.net/usedcar/detail/AU7072558875/index.html</t>
        </is>
      </c>
    </row>
    <row r="35">
      <c r="A35" s="6" t="n">
        <v>2017</v>
      </c>
      <c r="B35" s="7" t="inlineStr">
        <is>
          <t>2WD</t>
        </is>
      </c>
      <c r="C35" s="7" t="inlineStr">
        <is>
          <t>2.2 XD Lパッケージ</t>
        </is>
      </c>
      <c r="D35" s="17" t="n">
        <v>5</v>
      </c>
      <c r="E35" s="9" t="n">
        <v>155.5</v>
      </c>
      <c r="F35" s="9" t="n">
        <v>142</v>
      </c>
      <c r="G35" s="10" t="n">
        <v>6.6</v>
      </c>
      <c r="H35" s="7" t="inlineStr">
        <is>
          <t>なし</t>
        </is>
      </c>
      <c r="I35" s="7" t="inlineStr">
        <is>
          <t>車検整備付</t>
        </is>
      </c>
      <c r="J35" s="7" t="inlineStr">
        <is>
          <t>保証付</t>
        </is>
      </c>
      <c r="K35" s="16" t="inlineStr">
        <is>
          <t>修復歴なし / 車検整備付 / 保証付 / 同年式より安い（中央値 184万）</t>
        </is>
      </c>
      <c r="L35" s="16" t="inlineStr">
        <is>
          <t>CX-8 2.2 XD Lパッケージ ディーゼルターボ 黒革 純正ナビTV フリップダウンモニター 全方位カメラ ヘッドアップディスプレイ ステア&amp;前後シートヒーター パワーテールゲート BOSEサウンド レーダークルーズ LEDヘッドライト ETC</t>
        </is>
      </c>
      <c r="M35" s="7" t="inlineStr">
        <is>
          <t>https://www.carsensor.net/usedcar/detail/AU7242164374/index.html</t>
        </is>
      </c>
    </row>
    <row r="36">
      <c r="A36" s="11" t="n">
        <v>2017</v>
      </c>
      <c r="B36" s="12" t="inlineStr">
        <is>
          <t>2WD</t>
        </is>
      </c>
      <c r="C36" s="12" t="inlineStr">
        <is>
          <t>2.2 XD Lパッケージ</t>
        </is>
      </c>
      <c r="D36" s="13" t="n">
        <v>5</v>
      </c>
      <c r="E36" s="14" t="n">
        <v>158.7</v>
      </c>
      <c r="F36" s="14" t="n">
        <v>141.9</v>
      </c>
      <c r="G36" s="15" t="n">
        <v>9.9</v>
      </c>
      <c r="H36" s="12" t="inlineStr">
        <is>
          <t>なし</t>
        </is>
      </c>
      <c r="I36" s="12" t="inlineStr">
        <is>
          <t>車検整備付</t>
        </is>
      </c>
      <c r="J36" s="12" t="inlineStr">
        <is>
          <t>保証付</t>
        </is>
      </c>
      <c r="K36" s="16" t="inlineStr">
        <is>
          <t>修復歴なし / 車検整備付 / 保証付 / 同年式より安い（中央値 184万）</t>
        </is>
      </c>
      <c r="L36" s="16" t="inlineStr">
        <is>
          <t>CX-8 2.2 XD Lパッケージ ディーゼルターボ 純正ナビ BOSEサウンド 全方位カメラ 全本革シート 衝突軽減ブレーキ レーンアシスト ヘッドアップディスプレイ レーダークルーズコントロール クリアランスソナー ブラインドスポット ETC2.0</t>
        </is>
      </c>
      <c r="M36" s="12" t="inlineStr">
        <is>
          <t>https://www.carsensor.net/usedcar/detail/AU7212294061/index.html</t>
        </is>
      </c>
    </row>
    <row r="37">
      <c r="A37" s="6" t="n">
        <v>2018</v>
      </c>
      <c r="B37" s="7" t="inlineStr">
        <is>
          <t>2WD</t>
        </is>
      </c>
      <c r="C37" s="7" t="inlineStr">
        <is>
          <t>2.2 XD Lパッケージ</t>
        </is>
      </c>
      <c r="D37" s="17" t="n">
        <v>5</v>
      </c>
      <c r="E37" s="9" t="n">
        <v>203.6</v>
      </c>
      <c r="F37" s="9" t="n">
        <v>183.9</v>
      </c>
      <c r="G37" s="10" t="n">
        <v>2.2</v>
      </c>
      <c r="H37" s="7" t="inlineStr">
        <is>
          <t>なし</t>
        </is>
      </c>
      <c r="I37" s="7" t="inlineStr">
        <is>
          <t>車検整備無</t>
        </is>
      </c>
      <c r="J37" s="7" t="inlineStr">
        <is>
          <t>保証無</t>
        </is>
      </c>
      <c r="K37" s="16" t="inlineStr">
        <is>
          <t>同年式の半分以下の走行（2.2万km） / 修復歴なし</t>
        </is>
      </c>
      <c r="L37" s="16" t="inlineStr">
        <is>
          <t>CX-8 2.2 XD Lパッケージ ディーゼルターボ 禁煙車 黒革シート ALPINEフリップダウンモニター 純正8インチナビ アラウンドビューモニター フルセグ アダクティブクルーズコントロール パワーシート アダクティブクルーズコントロール 雹害</t>
        </is>
      </c>
      <c r="M37" s="7" t="inlineStr">
        <is>
          <t>https://www.carsensor.net/usedcar/detail/AU7401895224/index.html</t>
        </is>
      </c>
    </row>
    <row r="38">
      <c r="A38" s="11" t="n">
        <v>2018</v>
      </c>
      <c r="B38" s="12" t="inlineStr">
        <is>
          <t>2WD</t>
        </is>
      </c>
      <c r="C38" s="12" t="inlineStr">
        <is>
          <t>2.2 XD Lパッケージ</t>
        </is>
      </c>
      <c r="D38" s="13" t="n">
        <v>5</v>
      </c>
      <c r="E38" s="14" t="n">
        <v>169.6</v>
      </c>
      <c r="F38" s="14" t="n">
        <v>152.6</v>
      </c>
      <c r="G38" s="15" t="n">
        <v>8.1</v>
      </c>
      <c r="H38" s="12" t="inlineStr">
        <is>
          <t>なし</t>
        </is>
      </c>
      <c r="I38" s="12" t="inlineStr">
        <is>
          <t>車検整備付</t>
        </is>
      </c>
      <c r="J38" s="12" t="inlineStr">
        <is>
          <t>保証付</t>
        </is>
      </c>
      <c r="K38" s="16" t="inlineStr">
        <is>
          <t>修復歴なし / 車検整備付 / 保証付 / 同年式より安い（中央値 196万）</t>
        </is>
      </c>
      <c r="L38" s="16" t="inlineStr">
        <is>
          <t>CX-8 2.2 XD Lパッケージ ディーゼルターボ ブラウンレザーシート BOSEサウンド 360°カメラ メモリー付パワーシート 電動リアゲート ウッド調内装 純正ナビ 衝突軽減ブレーキ 前後シートヒーター フルセグ 19インチ純正AW LEDライト</t>
        </is>
      </c>
      <c r="M38" s="12" t="inlineStr">
        <is>
          <t>https://www.carsensor.net/usedcar/detail/AU6929249779/index.html</t>
        </is>
      </c>
    </row>
    <row r="39">
      <c r="A39" s="6" t="n">
        <v>2018</v>
      </c>
      <c r="B39" s="7" t="inlineStr">
        <is>
          <t>2WD</t>
        </is>
      </c>
      <c r="C39" s="7" t="inlineStr">
        <is>
          <t>2.2 XD Lパッケージ</t>
        </is>
      </c>
      <c r="D39" s="17" t="n">
        <v>5</v>
      </c>
      <c r="E39" s="9" t="n">
        <v>175.9</v>
      </c>
      <c r="F39" s="9" t="n">
        <v>164.9</v>
      </c>
      <c r="G39" s="10" t="n">
        <v>7.6</v>
      </c>
      <c r="H39" s="7" t="inlineStr">
        <is>
          <t>なし</t>
        </is>
      </c>
      <c r="I39" s="7" t="inlineStr">
        <is>
          <t>車検整備付</t>
        </is>
      </c>
      <c r="J39" s="7" t="inlineStr">
        <is>
          <t>保証付</t>
        </is>
      </c>
      <c r="K39" s="16" t="inlineStr">
        <is>
          <t>修復歴なし / 車検整備付 / 保証付 / 同年式より安い（中央値 196万）</t>
        </is>
      </c>
      <c r="L39" s="16" t="inlineStr">
        <is>
          <t>CX-8 2.2 XD Lパッケージ ディーゼルターボ (禁煙車)(6人乗り)(黒本革)(メーカーナビ)(アラウンドビュー)(レーダークルーズ)(コーナーセンサー)(パワーシート)(電動リアゲート)(シートヒーター)(ETC)(純正19インチAW)</t>
        </is>
      </c>
      <c r="M39" s="7" t="inlineStr">
        <is>
          <t>https://www.carsensor.net/usedcar/detail/AU7283073835/index.html</t>
        </is>
      </c>
    </row>
    <row r="40">
      <c r="A40" s="11" t="n">
        <v>2018</v>
      </c>
      <c r="B40" s="12" t="inlineStr">
        <is>
          <t>2WD</t>
        </is>
      </c>
      <c r="C40" s="12" t="inlineStr">
        <is>
          <t>2.2 XD Lパッケージ</t>
        </is>
      </c>
      <c r="D40" s="13" t="n">
        <v>5</v>
      </c>
      <c r="E40" s="14" t="n">
        <v>162.8</v>
      </c>
      <c r="F40" s="14" t="n">
        <v>146</v>
      </c>
      <c r="G40" s="15" t="n">
        <v>9.6</v>
      </c>
      <c r="H40" s="12" t="inlineStr">
        <is>
          <t>なし</t>
        </is>
      </c>
      <c r="I40" s="12" t="inlineStr">
        <is>
          <t>車検整備付</t>
        </is>
      </c>
      <c r="J40" s="12" t="inlineStr">
        <is>
          <t>保証付</t>
        </is>
      </c>
      <c r="K40" s="16" t="inlineStr">
        <is>
          <t>修復歴なし / 車検整備付 / 保証付 / 同年式より安い（中央値 196万）</t>
        </is>
      </c>
      <c r="L40" s="16" t="inlineStr">
        <is>
          <t>CX-8 2.2 XD Lパッケージ ディーゼルターボ 衝突軽減ブレーキ レーンアシスト ヘッドアップディスプレイ レーダークルーズ クリアランスソナー ブラインドスポット BOSEサウンド 純正ナビ 全方位カメラ 後席モニター Bluetooth</t>
        </is>
      </c>
      <c r="M40" s="12" t="inlineStr">
        <is>
          <t>https://www.carsensor.net/usedcar/detail/AU7373659951/index.html</t>
        </is>
      </c>
    </row>
    <row r="41">
      <c r="A41" s="6" t="n">
        <v>2018</v>
      </c>
      <c r="B41" s="7" t="inlineStr">
        <is>
          <t>2WD</t>
        </is>
      </c>
      <c r="C41" s="7" t="inlineStr">
        <is>
          <t>2.2 XD Lパッケージ</t>
        </is>
      </c>
      <c r="D41" s="17" t="n">
        <v>5</v>
      </c>
      <c r="E41" s="9" t="n">
        <v>146.9</v>
      </c>
      <c r="F41" s="9" t="n">
        <v>130</v>
      </c>
      <c r="G41" s="10" t="n">
        <v>9.4</v>
      </c>
      <c r="H41" s="7" t="inlineStr">
        <is>
          <t>なし</t>
        </is>
      </c>
      <c r="I41" s="7" t="inlineStr">
        <is>
          <t>車検整備付</t>
        </is>
      </c>
      <c r="J41" s="7" t="inlineStr">
        <is>
          <t>保証付</t>
        </is>
      </c>
      <c r="K41" s="16" t="inlineStr">
        <is>
          <t>修復歴なし / 車検整備付 / 保証付 / 同年式より安い（中央値 196万）</t>
        </is>
      </c>
      <c r="L41" s="16" t="inlineStr">
        <is>
          <t>CX-8 2.2 XD Lパッケージ ディーゼルターボ 衝突軽減ブレーキ レーンアシスト ヘッドアップディスプレイ クリアランスソナー ブラインドスポット レーダークルーズコントロール BOSEサウンド 純正ナビ 全方位カメラ Bluetooth フルセグ</t>
        </is>
      </c>
      <c r="M41" s="7" t="inlineStr">
        <is>
          <t>https://www.carsensor.net/usedcar/detail/AU7292614953/index.html</t>
        </is>
      </c>
    </row>
    <row r="42">
      <c r="A42" s="11" t="n">
        <v>2021</v>
      </c>
      <c r="B42" s="12" t="inlineStr">
        <is>
          <t>2WD</t>
        </is>
      </c>
      <c r="C42" s="12" t="inlineStr">
        <is>
          <t>2.2 XD Lパッケージ</t>
        </is>
      </c>
      <c r="D42" s="13" t="n">
        <v>5</v>
      </c>
      <c r="E42" s="14" t="n">
        <v>247.8</v>
      </c>
      <c r="F42" s="14" t="n">
        <v>235.8</v>
      </c>
      <c r="G42" s="15" t="n">
        <v>6.9</v>
      </c>
      <c r="H42" s="12" t="inlineStr">
        <is>
          <t>なし</t>
        </is>
      </c>
      <c r="I42" s="12" t="inlineStr">
        <is>
          <t>車検整備付</t>
        </is>
      </c>
      <c r="J42" s="12" t="inlineStr">
        <is>
          <t>保証付</t>
        </is>
      </c>
      <c r="K42" s="16" t="inlineStr">
        <is>
          <t>修復歴なし / 車検整備付 / 保証付 / 同年式より安い（中央値 279万）</t>
        </is>
      </c>
      <c r="L42" s="16" t="inlineStr">
        <is>
          <t>CX-8 2.2 XD Lパッケージ ディーゼルターボ 全周囲カメラ/BOSEサウンド/シートクーラー/レザーシート/Bluetooth/シートメモリー/電動リアゲート/クリアランスソナー/レーンキープ/後席シートヒーター/Bluetooth/クルコン</t>
        </is>
      </c>
      <c r="M42" s="12" t="inlineStr">
        <is>
          <t>https://www.carsensor.net/usedcar/detail/AU7357775614/index.html</t>
        </is>
      </c>
    </row>
    <row r="43">
      <c r="A43" s="6" t="n">
        <v>2018</v>
      </c>
      <c r="B43" s="7" t="inlineStr">
        <is>
          <t>2WD</t>
        </is>
      </c>
      <c r="C43" s="7" t="inlineStr">
        <is>
          <t>2.2 XD Lパッケージ</t>
        </is>
      </c>
      <c r="D43" s="17" t="n">
        <v>4.9</v>
      </c>
      <c r="E43" s="9" t="n">
        <v>227.4</v>
      </c>
      <c r="F43" s="9" t="n">
        <v>218</v>
      </c>
      <c r="G43" s="10" t="n">
        <v>5</v>
      </c>
      <c r="H43" s="7" t="inlineStr">
        <is>
          <t>なし</t>
        </is>
      </c>
      <c r="I43" s="7" t="inlineStr">
        <is>
          <t>2027(R09)年03月</t>
        </is>
      </c>
      <c r="J43" s="7" t="inlineStr">
        <is>
          <t>保証付</t>
        </is>
      </c>
      <c r="K43" s="16" t="inlineStr">
        <is>
          <t>走行が少なめ（5.0万km） / 修復歴なし / 車検 2027/03 まで（残り5ヶ月） / 保証付</t>
        </is>
      </c>
      <c r="L43" s="16" t="inlineStr">
        <is>
          <t>CX-8 2.2 XD Lパッケージ ディーゼルターボ ワンオーナー 1年保証付 禁煙車 ヴェネルディ19インチアルミホイール 純正ナビ フルセグTV Bluetooth CD/DVD AUX USB 全方位カメラ レザーシート シートヒーター ETC 新品タイヤ</t>
        </is>
      </c>
      <c r="M43" s="7" t="inlineStr">
        <is>
          <t>https://www.carsensor.net/usedcar/detail/AU6950323403/index.html</t>
        </is>
      </c>
    </row>
    <row r="44">
      <c r="A44" s="11" t="n">
        <v>2018</v>
      </c>
      <c r="B44" s="12" t="inlineStr">
        <is>
          <t>2WD</t>
        </is>
      </c>
      <c r="C44" s="12" t="inlineStr">
        <is>
          <t>2.2 XD Lパッケージ</t>
        </is>
      </c>
      <c r="D44" s="13" t="n">
        <v>4.9</v>
      </c>
      <c r="E44" s="14" t="n">
        <v>229.9</v>
      </c>
      <c r="F44" s="14" t="n">
        <v>218.6</v>
      </c>
      <c r="G44" s="15" t="n">
        <v>4.6</v>
      </c>
      <c r="H44" s="12" t="inlineStr">
        <is>
          <t>なし</t>
        </is>
      </c>
      <c r="I44" s="12" t="inlineStr">
        <is>
          <t>2027(R09)年03月</t>
        </is>
      </c>
      <c r="J44" s="12" t="inlineStr">
        <is>
          <t>保証付</t>
        </is>
      </c>
      <c r="K44" s="16" t="inlineStr">
        <is>
          <t>走行が少なめ（4.6万km） / 修復歴なし / 車検 2027/03 まで（残り5ヶ月） / 保証付</t>
        </is>
      </c>
      <c r="L44" s="16" t="inlineStr">
        <is>
          <t>CX-8 2.2 XD Lパッケージ ディーゼルターボ 後席モニター 全周囲カメラ 純正ナビ 衝突軽減装置 電動リアゲート BOSEサウンド レーダークルーズ 前中列シートヒーター CD/DVD再生 白革シート 純正19AW ルーフレール ETC 禁煙車</t>
        </is>
      </c>
      <c r="M44" s="12" t="inlineStr">
        <is>
          <t>https://www.carsensor.net/usedcar/detail/AU7399511188/index.html</t>
        </is>
      </c>
    </row>
    <row r="45">
      <c r="A45" s="6" t="n">
        <v>2020</v>
      </c>
      <c r="B45" s="7" t="inlineStr">
        <is>
          <t>2WD</t>
        </is>
      </c>
      <c r="C45" s="7" t="inlineStr">
        <is>
          <t>2.2 XD Lパッケージ</t>
        </is>
      </c>
      <c r="D45" s="17" t="n">
        <v>4.9</v>
      </c>
      <c r="E45" s="9" t="n">
        <v>249.9</v>
      </c>
      <c r="F45" s="9" t="n">
        <v>238.5</v>
      </c>
      <c r="G45" s="10" t="n">
        <v>3.9</v>
      </c>
      <c r="H45" s="7" t="inlineStr">
        <is>
          <t>なし</t>
        </is>
      </c>
      <c r="I45" s="7" t="inlineStr">
        <is>
          <t>2027(R09)年03月</t>
        </is>
      </c>
      <c r="J45" s="7" t="inlineStr">
        <is>
          <t>保証付</t>
        </is>
      </c>
      <c r="K45" s="16" t="inlineStr">
        <is>
          <t>走行が少なめ（3.9万km） / 修復歴なし / 車検 2027/03 まで（残り5ヶ月） / 保証付</t>
        </is>
      </c>
      <c r="L45" s="16" t="inlineStr">
        <is>
          <t>CX-8 2.2 XD Lパッケージ ディーゼルターボ ディーゼル(軽油) サンルーフ 純正SDナビ 全周囲カメラ BOSEサウンド 衝突被害軽減システム ブラインドスポットモニター 禁煙車 電動リアゲート レザーシート 前席シートエアコン LEDヘッド</t>
        </is>
      </c>
      <c r="M45" s="7" t="inlineStr">
        <is>
          <t>https://www.carsensor.net/usedcar/detail/AU7428149568/index.html</t>
        </is>
      </c>
    </row>
    <row r="46">
      <c r="A46" s="11" t="n">
        <v>2018</v>
      </c>
      <c r="B46" s="12" t="inlineStr">
        <is>
          <t>2WD</t>
        </is>
      </c>
      <c r="C46" s="12" t="inlineStr">
        <is>
          <t>2.2 XD Lパッケージ</t>
        </is>
      </c>
      <c r="D46" s="13" t="n">
        <v>4.8</v>
      </c>
      <c r="E46" s="14" t="n">
        <v>229.8</v>
      </c>
      <c r="F46" s="14" t="n">
        <v>224.1</v>
      </c>
      <c r="G46" s="15" t="n">
        <v>4.9</v>
      </c>
      <c r="H46" s="12" t="inlineStr">
        <is>
          <t>なし</t>
        </is>
      </c>
      <c r="I46" s="12" t="inlineStr">
        <is>
          <t>2027(R09)年02月</t>
        </is>
      </c>
      <c r="J46" s="12" t="inlineStr">
        <is>
          <t>保証付</t>
        </is>
      </c>
      <c r="K46" s="16" t="inlineStr">
        <is>
          <t>走行が少なめ（4.9万km） / 修復歴なし / 車検 2027/02 まで（残り4ヶ月） / 保証付</t>
        </is>
      </c>
      <c r="L46" s="16" t="inlineStr">
        <is>
          <t>CX-8 2.2 XD Lパッケージ ディーゼルターボ BOSE 茶革 純正DAナビTV BSM HUD 全方位 ETC パワーシート シートヒーター ハンドルヒーター 電動リア LEDヘッド フォグ 純正19インチAW 純正フロアマット パドルシフト</t>
        </is>
      </c>
      <c r="M46" s="12" t="inlineStr">
        <is>
          <t>https://www.carsensor.net/usedcar/detail/AU7282634158/index.html</t>
        </is>
      </c>
    </row>
    <row r="47">
      <c r="A47" s="6" t="n">
        <v>2018</v>
      </c>
      <c r="B47" s="7" t="inlineStr">
        <is>
          <t>2WD</t>
        </is>
      </c>
      <c r="C47" s="7" t="inlineStr">
        <is>
          <t>2.2 XD Lパッケージ</t>
        </is>
      </c>
      <c r="D47" s="17" t="n">
        <v>4.8</v>
      </c>
      <c r="E47" s="9" t="n">
        <v>164.8</v>
      </c>
      <c r="F47" s="9" t="n">
        <v>148.9</v>
      </c>
      <c r="G47" s="10" t="n">
        <v>5.6</v>
      </c>
      <c r="H47" s="7" t="inlineStr">
        <is>
          <t>なし</t>
        </is>
      </c>
      <c r="I47" s="7" t="inlineStr">
        <is>
          <t>2027(R09)年08月</t>
        </is>
      </c>
      <c r="J47" s="7" t="inlineStr">
        <is>
          <t>保証付</t>
        </is>
      </c>
      <c r="K47" s="16" t="inlineStr">
        <is>
          <t>修復歴なし / 車検 2027/08 まで（残り10ヶ月） / 保証付 / 同年式より安い（中央値 196万）</t>
        </is>
      </c>
      <c r="L47" s="16" t="inlineStr">
        <is>
          <t>CX-8 2.2 XD Lパッケージ ディーゼルターボ i-ACTIVSENSE・フルセグナビ・バックカメラ・BTオーディオ・パワーリアゲート・LEDライト・19AW・ACC・LKA・BSM・AHB・HUD・Cソナー・本革シート・シートヒーター・ETC</t>
        </is>
      </c>
      <c r="M47" s="7" t="inlineStr">
        <is>
          <t>https://www.carsensor.net/usedcar/detail/AU7271113768/index.html</t>
        </is>
      </c>
    </row>
    <row r="48">
      <c r="A48" s="11" t="n">
        <v>2019</v>
      </c>
      <c r="B48" s="12" t="inlineStr">
        <is>
          <t>2WD</t>
        </is>
      </c>
      <c r="C48" s="12" t="inlineStr">
        <is>
          <t>2.2 XD Lパッケージ</t>
        </is>
      </c>
      <c r="D48" s="13" t="n">
        <v>4.8</v>
      </c>
      <c r="E48" s="14" t="n">
        <v>209.9</v>
      </c>
      <c r="F48" s="14" t="n">
        <v>197.5</v>
      </c>
      <c r="G48" s="15" t="n">
        <v>7.1</v>
      </c>
      <c r="H48" s="12" t="inlineStr">
        <is>
          <t>なし</t>
        </is>
      </c>
      <c r="I48" s="12" t="inlineStr">
        <is>
          <t>2028(R10)年08月</t>
        </is>
      </c>
      <c r="J48" s="12" t="inlineStr">
        <is>
          <t>保証付</t>
        </is>
      </c>
      <c r="K48" s="16" t="inlineStr">
        <is>
          <t>修復歴なし / 車検 2028/08 まで（残り22ヶ月） / 保証付</t>
        </is>
      </c>
      <c r="L48" s="16" t="inlineStr">
        <is>
          <t>CX-8 2.2 XD Lパッケージ ディーゼルターボ ディーゼル(軽油) 純正ナビ 全周囲カメラ 衝突被害軽減 禁煙車 電動リアゲート レザーシート 前席シートエアコン ドラレコ コーナーセンサー スマートキー LEDヘッド ルーフレール ETC</t>
        </is>
      </c>
      <c r="M48" s="12" t="inlineStr">
        <is>
          <t>https://www.carsensor.net/usedcar/detail/AU7344955044/index.html</t>
        </is>
      </c>
    </row>
    <row r="49">
      <c r="A49" s="6" t="n">
        <v>2019</v>
      </c>
      <c r="B49" s="7" t="inlineStr">
        <is>
          <t>2WD</t>
        </is>
      </c>
      <c r="C49" s="7" t="inlineStr">
        <is>
          <t>2.2 XD Lパッケージ</t>
        </is>
      </c>
      <c r="D49" s="17" t="n">
        <v>4.8</v>
      </c>
      <c r="E49" s="9" t="n">
        <v>212.3</v>
      </c>
      <c r="F49" s="9" t="n">
        <v>200</v>
      </c>
      <c r="G49" s="10" t="n">
        <v>7.7</v>
      </c>
      <c r="H49" s="7" t="inlineStr">
        <is>
          <t>なし</t>
        </is>
      </c>
      <c r="I49" s="7" t="inlineStr">
        <is>
          <t>2028(R10)年07月</t>
        </is>
      </c>
      <c r="J49" s="7" t="inlineStr">
        <is>
          <t>保証付</t>
        </is>
      </c>
      <c r="K49" s="16" t="inlineStr">
        <is>
          <t>修復歴なし / 車検 2028/07 まで（残り21ヶ月） / 保証付</t>
        </is>
      </c>
      <c r="L49" s="16" t="inlineStr">
        <is>
          <t>CX-8 2.2 XD Lパッケージ ディーゼルターボ 衝突軽減 純正ナビ 全周囲カメラ シートベンチレーション ブラインドスポットモニター 電動リアゲート パワーシート ステアリングヒーター コーナーセンサー 車線逸脱警報 電動パーキングブレーキ</t>
        </is>
      </c>
      <c r="M49" s="7" t="inlineStr">
        <is>
          <t>https://www.carsensor.net/usedcar/detail/AU7453637090/index.html</t>
        </is>
      </c>
    </row>
    <row r="50">
      <c r="A50" s="11" t="n">
        <v>2017</v>
      </c>
      <c r="B50" s="12" t="inlineStr">
        <is>
          <t>2WD</t>
        </is>
      </c>
      <c r="C50" s="12" t="inlineStr">
        <is>
          <t>2.2 XD Lパッケージ</t>
        </is>
      </c>
      <c r="D50" s="13" t="n">
        <v>4.6</v>
      </c>
      <c r="E50" s="14" t="n">
        <v>189</v>
      </c>
      <c r="F50" s="14" t="n">
        <v>179</v>
      </c>
      <c r="G50" s="15" t="n">
        <v>5.1</v>
      </c>
      <c r="H50" s="12" t="inlineStr">
        <is>
          <t>なし</t>
        </is>
      </c>
      <c r="I50" s="12" t="inlineStr">
        <is>
          <t>2026(R08)年11月</t>
        </is>
      </c>
      <c r="J50" s="12" t="inlineStr">
        <is>
          <t>保証付</t>
        </is>
      </c>
      <c r="K50" s="16" t="inlineStr">
        <is>
          <t>走行が少なめ（5.1万km） / 修復歴なし / 車検 2026/11 まで（残り1ヶ月） / 保証付</t>
        </is>
      </c>
      <c r="L50" s="16" t="inlineStr">
        <is>
          <t>CX-8 2.2 XD Lパッケージ ディーゼルターボ BOSEサウンド/全周囲カメラ/レザーシート/1/2列目シートヒーター/電動リアゲート/衝突軽減ブレーキ/レーンアシスト/ブラインドスポットモニター/DVDデッキ/純正ナビ/パワーシート/HUD/禁煙</t>
        </is>
      </c>
      <c r="M50" s="12" t="inlineStr">
        <is>
          <t>https://www.carsensor.net/usedcar/detail/AU7221721992/index.html</t>
        </is>
      </c>
    </row>
    <row r="51">
      <c r="A51" s="6" t="n">
        <v>2017</v>
      </c>
      <c r="B51" s="7" t="inlineStr">
        <is>
          <t>2WD</t>
        </is>
      </c>
      <c r="C51" s="7" t="inlineStr">
        <is>
          <t>2.2 XD Lパッケージ</t>
        </is>
      </c>
      <c r="D51" s="17" t="n">
        <v>4.6</v>
      </c>
      <c r="E51" s="9" t="n">
        <v>246.2</v>
      </c>
      <c r="F51" s="9" t="n">
        <v>232.3</v>
      </c>
      <c r="G51" s="10" t="n">
        <v>3.7</v>
      </c>
      <c r="H51" s="7" t="inlineStr">
        <is>
          <t>なし</t>
        </is>
      </c>
      <c r="I51" s="7" t="inlineStr">
        <is>
          <t>2026(R08)年11月</t>
        </is>
      </c>
      <c r="J51" s="7" t="inlineStr">
        <is>
          <t>保証付</t>
        </is>
      </c>
      <c r="K51" s="16" t="inlineStr">
        <is>
          <t>走行が少なめ（3.7万km） / 修復歴なし / 車検 2026/11 まで（残り1ヶ月） / 保証付</t>
        </is>
      </c>
      <c r="L51" s="16" t="inlineStr">
        <is>
          <t>CX-8 2.2 XD Lパッケージ ディーゼルターボ</t>
        </is>
      </c>
      <c r="M51" s="7" t="inlineStr">
        <is>
          <t>https://www.carsensor.net/usedcar/detail/AU7275147735/index.html</t>
        </is>
      </c>
    </row>
    <row r="52">
      <c r="A52" s="11" t="n">
        <v>2018</v>
      </c>
      <c r="B52" s="12" t="inlineStr">
        <is>
          <t>2WD</t>
        </is>
      </c>
      <c r="C52" s="12" t="inlineStr">
        <is>
          <t>2.2 XD Lパッケージ</t>
        </is>
      </c>
      <c r="D52" s="13" t="n">
        <v>4.5</v>
      </c>
      <c r="E52" s="14" t="n">
        <v>151.1</v>
      </c>
      <c r="F52" s="14" t="n">
        <v>139.8</v>
      </c>
      <c r="G52" s="15" t="n">
        <v>8.1</v>
      </c>
      <c r="H52" s="12" t="inlineStr">
        <is>
          <t>なし</t>
        </is>
      </c>
      <c r="I52" s="12" t="inlineStr">
        <is>
          <t>2027(R09)年04月</t>
        </is>
      </c>
      <c r="J52" s="12" t="inlineStr">
        <is>
          <t>保証付</t>
        </is>
      </c>
      <c r="K52" s="16" t="inlineStr">
        <is>
          <t>修復歴なし / 車検 2027/04 まで（残り6ヶ月） / 保証付 / 同年式より安い（中央値 196万）</t>
        </is>
      </c>
      <c r="L52" s="16" t="inlineStr">
        <is>
          <t>CX-8 2.2 XD Lパッケージ ディーゼルターボ</t>
        </is>
      </c>
      <c r="M52" s="12" t="inlineStr">
        <is>
          <t>https://www.carsensor.net/usedcar/detail/AU7165354388/index.html</t>
        </is>
      </c>
    </row>
    <row r="53">
      <c r="A53" s="6" t="n">
        <v>2019</v>
      </c>
      <c r="B53" s="7" t="inlineStr">
        <is>
          <t>2WD</t>
        </is>
      </c>
      <c r="C53" s="7" t="inlineStr">
        <is>
          <t>2.2 XD Lパッケージ</t>
        </is>
      </c>
      <c r="D53" s="17" t="n">
        <v>4.5</v>
      </c>
      <c r="E53" s="9" t="n">
        <v>219.2</v>
      </c>
      <c r="F53" s="9" t="n">
        <v>208.6</v>
      </c>
      <c r="G53" s="10" t="n">
        <v>6.2</v>
      </c>
      <c r="H53" s="7" t="inlineStr">
        <is>
          <t>なし</t>
        </is>
      </c>
      <c r="I53" s="7" t="inlineStr">
        <is>
          <t>2028(R10)年04月</t>
        </is>
      </c>
      <c r="J53" s="7" t="inlineStr">
        <is>
          <t>保証付</t>
        </is>
      </c>
      <c r="K53" s="16" t="inlineStr">
        <is>
          <t>修復歴なし / 車検 2028/04 まで（残り18ヶ月） / 保証付</t>
        </is>
      </c>
      <c r="L53" s="16" t="inlineStr">
        <is>
          <t>CX-8 2.2 XD Lパッケージ ディーゼルターボ</t>
        </is>
      </c>
      <c r="M53" s="7" t="inlineStr">
        <is>
          <t>https://www.carsensor.net/usedcar/detail/AU7442723027/index.html</t>
        </is>
      </c>
    </row>
    <row r="54">
      <c r="A54" s="11" t="n">
        <v>2018</v>
      </c>
      <c r="B54" s="12" t="inlineStr">
        <is>
          <t>2WD</t>
        </is>
      </c>
      <c r="C54" s="12" t="inlineStr">
        <is>
          <t>2.2 XD Lパッケージ</t>
        </is>
      </c>
      <c r="D54" s="13" t="n">
        <v>4.4</v>
      </c>
      <c r="E54" s="14" t="n">
        <v>259.9</v>
      </c>
      <c r="F54" s="14" t="n">
        <v>247.9</v>
      </c>
      <c r="G54" s="15" t="n">
        <v>6.1</v>
      </c>
      <c r="H54" s="12" t="inlineStr">
        <is>
          <t>なし</t>
        </is>
      </c>
      <c r="I54" s="12" t="inlineStr">
        <is>
          <t>2028(R10)年03月</t>
        </is>
      </c>
      <c r="J54" s="12" t="inlineStr">
        <is>
          <t>保証付</t>
        </is>
      </c>
      <c r="K54" s="16" t="inlineStr">
        <is>
          <t>修復歴なし / 車検 2028/03 まで（残り17ヶ月） / 保証付</t>
        </is>
      </c>
      <c r="L54" s="16" t="inlineStr">
        <is>
          <t>CX-8 2.2 XD Lパッケージ ディーゼルターボ BOSE コネクトナビ バックカメラ 6人乗り レーダークルーズ ブラインドスポットモニター 衝突軽減 シートヒーター パワーバックドア クリアランスソナー レザーシート Bluetooth再生</t>
        </is>
      </c>
      <c r="M54" s="12" t="inlineStr">
        <is>
          <t>https://www.carsensor.net/usedcar/detail/AU7329136570/index.html</t>
        </is>
      </c>
    </row>
    <row r="55">
      <c r="A55" s="6" t="n">
        <v>2019</v>
      </c>
      <c r="B55" s="7" t="inlineStr">
        <is>
          <t>2WD</t>
        </is>
      </c>
      <c r="C55" s="7" t="inlineStr">
        <is>
          <t>2.2 XD Lパッケージ</t>
        </is>
      </c>
      <c r="D55" s="17" t="n">
        <v>4.4</v>
      </c>
      <c r="E55" s="9" t="n">
        <v>254.9</v>
      </c>
      <c r="F55" s="9" t="n">
        <v>242.8</v>
      </c>
      <c r="G55" s="10" t="n">
        <v>6.1</v>
      </c>
      <c r="H55" s="7" t="inlineStr">
        <is>
          <t>なし</t>
        </is>
      </c>
      <c r="I55" s="7" t="inlineStr">
        <is>
          <t>2028(R10)年03月</t>
        </is>
      </c>
      <c r="J55" s="7" t="inlineStr">
        <is>
          <t>保証付</t>
        </is>
      </c>
      <c r="K55" s="16" t="inlineStr">
        <is>
          <t>修復歴なし / 車検 2028/03 まで（残り17ヶ月） / 保証付</t>
        </is>
      </c>
      <c r="L55" s="16" t="inlineStr">
        <is>
          <t>CX-8 2.2 XD Lパッケージ ディーゼルターボ 禁煙車 ディーゼル(軽油) サンルーフ 全周囲カメラ i-ACTIVESENSE 電動リアゲート レザーシート ドラレコ コーナーセンサー スマートキー LEDヘッド ビルトインETC</t>
        </is>
      </c>
      <c r="M55" s="7" t="inlineStr">
        <is>
          <t>https://www.carsensor.net/usedcar/detail/AU7312275737/index.html</t>
        </is>
      </c>
    </row>
    <row r="56">
      <c r="A56" s="11" t="n">
        <v>2019</v>
      </c>
      <c r="B56" s="12" t="inlineStr">
        <is>
          <t>2WD</t>
        </is>
      </c>
      <c r="C56" s="12" t="inlineStr">
        <is>
          <t>2.2 XD Lパッケージ</t>
        </is>
      </c>
      <c r="D56" s="13" t="n">
        <v>4.4</v>
      </c>
      <c r="E56" s="14" t="n">
        <v>248.3</v>
      </c>
      <c r="F56" s="14" t="n">
        <v>238.7</v>
      </c>
      <c r="G56" s="15" t="n">
        <v>5.7</v>
      </c>
      <c r="H56" s="12" t="inlineStr">
        <is>
          <t>なし</t>
        </is>
      </c>
      <c r="I56" s="12" t="inlineStr">
        <is>
          <t>2028(R10)年03月</t>
        </is>
      </c>
      <c r="J56" s="12" t="inlineStr">
        <is>
          <t>保証付</t>
        </is>
      </c>
      <c r="K56" s="16" t="inlineStr">
        <is>
          <t>修復歴なし / 車検 2028/03 まで（残り17ヶ月） / 保証付</t>
        </is>
      </c>
      <c r="L56" s="16" t="inlineStr">
        <is>
          <t>CX-8 2.2 XD Lパッケージ ディーゼルターボ 運転席・助手席シートベンチレーション パワーリフトゲート 6スピーカー</t>
        </is>
      </c>
      <c r="M56" s="12" t="inlineStr">
        <is>
          <t>https://www.carsensor.net/usedcar/detail/AU7215926199/index.html</t>
        </is>
      </c>
    </row>
    <row r="57">
      <c r="A57" s="6" t="n">
        <v>2019</v>
      </c>
      <c r="B57" s="7" t="inlineStr">
        <is>
          <t>2WD</t>
        </is>
      </c>
      <c r="C57" s="7" t="inlineStr">
        <is>
          <t>2.2 XD Lパッケージ</t>
        </is>
      </c>
      <c r="D57" s="17" t="n">
        <v>4.3</v>
      </c>
      <c r="E57" s="9" t="n">
        <v>229.9</v>
      </c>
      <c r="F57" s="9" t="n">
        <v>217.9</v>
      </c>
      <c r="G57" s="10" t="n">
        <v>5.6</v>
      </c>
      <c r="H57" s="7" t="inlineStr">
        <is>
          <t>なし</t>
        </is>
      </c>
      <c r="I57" s="7" t="inlineStr">
        <is>
          <t>2028(R10)年02月</t>
        </is>
      </c>
      <c r="J57" s="7" t="inlineStr">
        <is>
          <t>保証付</t>
        </is>
      </c>
      <c r="K57" s="16" t="inlineStr">
        <is>
          <t>修復歴なし / 車検 2028/02 まで（残り16ヶ月） / 保証付</t>
        </is>
      </c>
      <c r="L57" s="16" t="inlineStr">
        <is>
          <t>CX-8 2.2 XD Lパッケージ ディーゼルターボ 禁煙車 純正8型ナビ 全周囲カメラ レーダークルーズ ブラインドスポットモニター レーンアシスト パワーバックドア 黒革 メモリーシート シートヒーター LEDヘッド 純正19インチアルミ ETC</t>
        </is>
      </c>
      <c r="M57" s="7" t="inlineStr">
        <is>
          <t>https://www.carsensor.net/usedcar/detail/AU7452156382/index.html</t>
        </is>
      </c>
    </row>
    <row r="58">
      <c r="A58" s="11" t="n">
        <v>2017</v>
      </c>
      <c r="B58" s="12" t="inlineStr">
        <is>
          <t>2WD</t>
        </is>
      </c>
      <c r="C58" s="12" t="inlineStr">
        <is>
          <t>2.2 XD Lパッケージ</t>
        </is>
      </c>
      <c r="D58" s="13" t="n">
        <v>4.2</v>
      </c>
      <c r="E58" s="14" t="n">
        <v>146</v>
      </c>
      <c r="F58" s="14" t="n">
        <v>134</v>
      </c>
      <c r="G58" s="15" t="n">
        <v>9.4</v>
      </c>
      <c r="H58" s="12" t="inlineStr">
        <is>
          <t>なし</t>
        </is>
      </c>
      <c r="I58" s="12" t="inlineStr">
        <is>
          <t>2026(R08)年12月</t>
        </is>
      </c>
      <c r="J58" s="12" t="inlineStr">
        <is>
          <t>保証付</t>
        </is>
      </c>
      <c r="K58" s="16" t="inlineStr">
        <is>
          <t>修復歴なし / 車検 2026/12 まで（残り2ヶ月） / 保証付 / 同年式より安い（中央値 184万）</t>
        </is>
      </c>
      <c r="L58" s="16" t="inlineStr">
        <is>
          <t>CX-8 2.2 XD Lパッケージ ディーゼルターボ 6ヶ月走行距離無制限保証付 レーダークルーズコントロール コーナーセンサー 360°ビューモニター シートヒーター ETC 禁煙車 BOSEサウンド フロントパーキングセンサー ステアリングヒーター 本革シート</t>
        </is>
      </c>
      <c r="M58" s="12" t="inlineStr">
        <is>
          <t>https://www.carsensor.net/usedcar/detail/AU7254437423/index.html</t>
        </is>
      </c>
    </row>
    <row r="59">
      <c r="A59" s="6" t="n">
        <v>2018</v>
      </c>
      <c r="B59" s="7" t="inlineStr">
        <is>
          <t>2WD</t>
        </is>
      </c>
      <c r="C59" s="7" t="inlineStr">
        <is>
          <t>2.2 XD Lパッケージ</t>
        </is>
      </c>
      <c r="D59" s="17" t="n">
        <v>4.2</v>
      </c>
      <c r="E59" s="9" t="n">
        <v>239.9</v>
      </c>
      <c r="F59" s="9" t="n">
        <v>228</v>
      </c>
      <c r="G59" s="10" t="n">
        <v>5.5</v>
      </c>
      <c r="H59" s="7" t="inlineStr">
        <is>
          <t>なし</t>
        </is>
      </c>
      <c r="I59" s="7" t="inlineStr">
        <is>
          <t>2028(R10)年01月</t>
        </is>
      </c>
      <c r="J59" s="7" t="inlineStr">
        <is>
          <t>保証付</t>
        </is>
      </c>
      <c r="K59" s="16" t="inlineStr">
        <is>
          <t>修復歴なし / 車検 2028/01 まで（残り15ヶ月） / 保証付</t>
        </is>
      </c>
      <c r="L59" s="16" t="inlineStr">
        <is>
          <t>CX-8 2.2 XD Lパッケージ ディーゼルターボ 禁煙車 後席モニター マツダコネクトナビ CD/DVDキット バックカメラ ETC パワーバックドア ディープレッド内装 後席大型コンソール付キャプテンシート LEDヘッドライト フォグランプ</t>
        </is>
      </c>
      <c r="M59" s="7" t="inlineStr">
        <is>
          <t>https://www.carsensor.net/usedcar/detail/AU7148991604/index.html</t>
        </is>
      </c>
    </row>
    <row r="60">
      <c r="A60" s="11" t="n">
        <v>2018</v>
      </c>
      <c r="B60" s="12" t="inlineStr">
        <is>
          <t>2WD</t>
        </is>
      </c>
      <c r="C60" s="12" t="inlineStr">
        <is>
          <t>2.2 XD Lパッケージ</t>
        </is>
      </c>
      <c r="D60" s="13" t="n">
        <v>4.2</v>
      </c>
      <c r="E60" s="14" t="n">
        <v>193</v>
      </c>
      <c r="F60" s="14" t="n">
        <v>183</v>
      </c>
      <c r="G60" s="15" t="n">
        <v>6.1</v>
      </c>
      <c r="H60" s="12" t="inlineStr">
        <is>
          <t>なし</t>
        </is>
      </c>
      <c r="I60" s="12" t="inlineStr">
        <is>
          <t>2028(R10)年01月</t>
        </is>
      </c>
      <c r="J60" s="12" t="inlineStr">
        <is>
          <t>保証付</t>
        </is>
      </c>
      <c r="K60" s="16" t="inlineStr">
        <is>
          <t>修復歴なし / 車検 2028/01 まで（残り15ヶ月） / 保証付</t>
        </is>
      </c>
      <c r="L60" s="16" t="inlineStr">
        <is>
          <t>CX-8 2.2 XD Lパッケージ ディーゼルターボ BOSEサウンドシステム 茶革シート パノラマビューモニター 純正ナビ シートベンチレーション・ヒーター 電動リアゲート クリアランスソナー レーダークルーズコントロール ETC フルセグTV Bluetooth バックカメラ</t>
        </is>
      </c>
      <c r="M60" s="12" t="inlineStr">
        <is>
          <t>https://www.carsensor.net/usedcar/detail/AU7445893384/index.html</t>
        </is>
      </c>
    </row>
    <row r="61">
      <c r="A61" s="6" t="n">
        <v>2018</v>
      </c>
      <c r="B61" s="7" t="inlineStr">
        <is>
          <t>2WD</t>
        </is>
      </c>
      <c r="C61" s="7" t="inlineStr">
        <is>
          <t>2.2 XD Lパッケージ</t>
        </is>
      </c>
      <c r="D61" s="17" t="n">
        <v>4.1</v>
      </c>
      <c r="E61" s="9" t="n">
        <v>159.5</v>
      </c>
      <c r="F61" s="9" t="n">
        <v>147.6</v>
      </c>
      <c r="G61" s="10" t="n">
        <v>9.300000000000001</v>
      </c>
      <c r="H61" s="7" t="inlineStr">
        <is>
          <t>なし</t>
        </is>
      </c>
      <c r="I61" s="7" t="inlineStr">
        <is>
          <t>2027(R09)年11月</t>
        </is>
      </c>
      <c r="J61" s="7" t="inlineStr">
        <is>
          <t>保証無</t>
        </is>
      </c>
      <c r="K61" s="16" t="inlineStr">
        <is>
          <t>修復歴なし / 車検 2027/11 まで（残り13ヶ月） / 同年式より安い（中央値 196万）</t>
        </is>
      </c>
      <c r="L61" s="16" t="inlineStr">
        <is>
          <t>CX-8 2.2 XD Lパッケージ ディーゼルターボ BOSEサウンド ワンオーナー 禁煙車 後席モニター 全周囲カメラ ETC フルセグTV レーダークルーズ パワーシート 革シート スマートキー プッシュスタート</t>
        </is>
      </c>
      <c r="M61" s="7" t="inlineStr">
        <is>
          <t>https://www.carsensor.net/usedcar/detail/AU7448780309/index.html</t>
        </is>
      </c>
    </row>
    <row r="62">
      <c r="A62" s="11" t="n">
        <v>2017</v>
      </c>
      <c r="B62" s="12" t="inlineStr">
        <is>
          <t>2WD</t>
        </is>
      </c>
      <c r="C62" s="12" t="inlineStr">
        <is>
          <t>2.2 XD Lパッケージ</t>
        </is>
      </c>
      <c r="D62" s="13" t="n">
        <v>4</v>
      </c>
      <c r="E62" s="14" t="n">
        <v>197.9</v>
      </c>
      <c r="F62" s="14" t="n">
        <v>185</v>
      </c>
      <c r="G62" s="15" t="n">
        <v>7.8</v>
      </c>
      <c r="H62" s="12" t="inlineStr">
        <is>
          <t>なし</t>
        </is>
      </c>
      <c r="I62" s="12" t="inlineStr">
        <is>
          <t>車検整備付</t>
        </is>
      </c>
      <c r="J62" s="12" t="inlineStr">
        <is>
          <t>保証付</t>
        </is>
      </c>
      <c r="K62" s="16" t="inlineStr">
        <is>
          <t>修復歴なし / 車検整備付 / 保証付</t>
        </is>
      </c>
      <c r="L62" s="16" t="inlineStr">
        <is>
          <t>CX-8 2.2 XD Lパッケージ ディーゼルターボ BOSE/SDナビ/衝突安全装置/シートヒーター/360°ビューモニター/車線逸脱防止支援システム/シート 合皮/電動バックドア/ヘッドランプ LED/Bluetooth接続/ETC</t>
        </is>
      </c>
      <c r="M62" s="12" t="inlineStr">
        <is>
          <t>https://www.carsensor.net/usedcar/detail/AU7422429174/index.html</t>
        </is>
      </c>
    </row>
    <row r="63">
      <c r="A63" s="6" t="n">
        <v>2017</v>
      </c>
      <c r="B63" s="7" t="inlineStr">
        <is>
          <t>2WD</t>
        </is>
      </c>
      <c r="C63" s="7" t="inlineStr">
        <is>
          <t>2.2 XD Lパッケージ</t>
        </is>
      </c>
      <c r="D63" s="17" t="n">
        <v>4</v>
      </c>
      <c r="E63" s="9" t="n">
        <v>183.8</v>
      </c>
      <c r="F63" s="9" t="n">
        <v>171.9</v>
      </c>
      <c r="G63" s="10" t="n">
        <v>6.8</v>
      </c>
      <c r="H63" s="7" t="inlineStr">
        <is>
          <t>なし</t>
        </is>
      </c>
      <c r="I63" s="7" t="inlineStr">
        <is>
          <t>車検整備付</t>
        </is>
      </c>
      <c r="J63" s="7" t="inlineStr">
        <is>
          <t>保証付</t>
        </is>
      </c>
      <c r="K63" s="16" t="inlineStr">
        <is>
          <t>修復歴なし / 車検整備付 / 保証付</t>
        </is>
      </c>
      <c r="L63" s="16" t="inlineStr">
        <is>
          <t>CX-8 2.2 XD Lパッケージ ディーゼルターボ 6人/BOSEサウンド/全周囲/シートヒーター/ステアリングヒーター/電動リアゲート/ブラインドスポットモニター/ヘッドアップディスプレイ/クリアランスソナー/パワーシート/シートメモリ</t>
        </is>
      </c>
      <c r="M63" s="7" t="inlineStr">
        <is>
          <t>https://www.carsensor.net/usedcar/detail/AU7077237348/index.html</t>
        </is>
      </c>
    </row>
    <row r="64">
      <c r="A64" s="11" t="n">
        <v>2017</v>
      </c>
      <c r="B64" s="12" t="inlineStr">
        <is>
          <t>2WD</t>
        </is>
      </c>
      <c r="C64" s="12" t="inlineStr">
        <is>
          <t>2.2 XD Lパッケージ</t>
        </is>
      </c>
      <c r="D64" s="13" t="n">
        <v>4</v>
      </c>
      <c r="E64" s="14" t="n">
        <v>175.2</v>
      </c>
      <c r="F64" s="14" t="n">
        <v>158</v>
      </c>
      <c r="G64" s="15" t="n">
        <v>9.199999999999999</v>
      </c>
      <c r="H64" s="12" t="inlineStr">
        <is>
          <t>なし</t>
        </is>
      </c>
      <c r="I64" s="12" t="inlineStr">
        <is>
          <t>車検整備付</t>
        </is>
      </c>
      <c r="J64" s="12" t="inlineStr">
        <is>
          <t>保証付</t>
        </is>
      </c>
      <c r="K64" s="16" t="inlineStr">
        <is>
          <t>修復歴なし / 車検整備付 / 保証付</t>
        </is>
      </c>
      <c r="L64" s="16" t="inlineStr">
        <is>
          <t>CX-8 2.2 XD Lパッケージ ディーゼルターボ 白革 フリップダウンモニター 360°カメラ 衝突被害軽減ブレーキ Bluetooth フルセグ 電動リアゲート メモリー付パワーシート LEDヘッドライト ブラインドスポットモニター ETC2.0</t>
        </is>
      </c>
      <c r="M64" s="12" t="inlineStr">
        <is>
          <t>https://www.carsensor.net/usedcar/detail/AU7378955922/index.html</t>
        </is>
      </c>
    </row>
    <row r="65">
      <c r="A65" s="6" t="n">
        <v>2017</v>
      </c>
      <c r="B65" s="7" t="inlineStr">
        <is>
          <t>2WD</t>
        </is>
      </c>
      <c r="C65" s="7" t="inlineStr">
        <is>
          <t>2.2 XD Lパッケージ</t>
        </is>
      </c>
      <c r="D65" s="17" t="n">
        <v>4</v>
      </c>
      <c r="E65" s="9" t="n">
        <v>168.9</v>
      </c>
      <c r="F65" s="9" t="n">
        <v>152</v>
      </c>
      <c r="G65" s="10" t="n">
        <v>7.4</v>
      </c>
      <c r="H65" s="7" t="inlineStr">
        <is>
          <t>なし</t>
        </is>
      </c>
      <c r="I65" s="7" t="inlineStr">
        <is>
          <t>車検整備付</t>
        </is>
      </c>
      <c r="J65" s="7" t="inlineStr">
        <is>
          <t>保証付</t>
        </is>
      </c>
      <c r="K65" s="16" t="inlineStr">
        <is>
          <t>修復歴なし / 車検整備付 / 保証付</t>
        </is>
      </c>
      <c r="L65" s="16" t="inlineStr">
        <is>
          <t>CX-8 2.2 XD Lパッケージ ディーゼルターボ (99)黒革シート シートヒーター 全方位カメラ Wエアコン ステアリングヒーター パワーバックドア アダプティブクルーズコントロール ヘッドアップディスプレイ ルーフレール 純正ナビ フルセグTV</t>
        </is>
      </c>
      <c r="M65" s="7" t="inlineStr">
        <is>
          <t>https://www.carsensor.net/usedcar/detail/AU7446352344/index.html</t>
        </is>
      </c>
    </row>
    <row r="66">
      <c r="A66" s="11" t="n">
        <v>2017</v>
      </c>
      <c r="B66" s="12" t="inlineStr">
        <is>
          <t>2WD</t>
        </is>
      </c>
      <c r="C66" s="12" t="inlineStr">
        <is>
          <t>2.2 XD Lパッケージ</t>
        </is>
      </c>
      <c r="D66" s="13" t="n">
        <v>4</v>
      </c>
      <c r="E66" s="14" t="n">
        <v>200.7</v>
      </c>
      <c r="F66" s="14" t="n">
        <v>187</v>
      </c>
      <c r="G66" s="15" t="n">
        <v>7.3</v>
      </c>
      <c r="H66" s="12" t="inlineStr">
        <is>
          <t>なし</t>
        </is>
      </c>
      <c r="I66" s="12" t="inlineStr">
        <is>
          <t>車検整備付</t>
        </is>
      </c>
      <c r="J66" s="12" t="inlineStr">
        <is>
          <t>保証付</t>
        </is>
      </c>
      <c r="K66" s="16" t="inlineStr">
        <is>
          <t>修復歴なし / 車検整備付 / 保証付</t>
        </is>
      </c>
      <c r="L66" s="16" t="inlineStr">
        <is>
          <t>CX-8 2.2 XD Lパッケージ ディーゼルターボ メモリーナビ BOSE シートヒーター</t>
        </is>
      </c>
      <c r="M66" s="12" t="inlineStr">
        <is>
          <t>https://www.carsensor.net/usedcar/detail/AU7163372005/index.html</t>
        </is>
      </c>
    </row>
    <row r="67">
      <c r="A67" s="6" t="n">
        <v>2018</v>
      </c>
      <c r="B67" s="7" t="inlineStr">
        <is>
          <t>2WD</t>
        </is>
      </c>
      <c r="C67" s="7" t="inlineStr">
        <is>
          <t>2.2 XD Lパッケージ</t>
        </is>
      </c>
      <c r="D67" s="17" t="n">
        <v>4</v>
      </c>
      <c r="E67" s="9" t="n">
        <v>179.9</v>
      </c>
      <c r="F67" s="9" t="n">
        <v>164</v>
      </c>
      <c r="G67" s="10" t="n">
        <v>7.4</v>
      </c>
      <c r="H67" s="7" t="inlineStr">
        <is>
          <t>なし</t>
        </is>
      </c>
      <c r="I67" s="7" t="inlineStr">
        <is>
          <t>車検整備付</t>
        </is>
      </c>
      <c r="J67" s="7" t="inlineStr">
        <is>
          <t>保証付</t>
        </is>
      </c>
      <c r="K67" s="16" t="inlineStr">
        <is>
          <t>修復歴なし / 車検整備付 / 保証付</t>
        </is>
      </c>
      <c r="L67" s="16" t="inlineStr">
        <is>
          <t>CX-8 2.2 XD Lパッケージ ディーゼルターボ 後席モニター マツダコネクトナビ 全周囲カメラ Bluetooth レーダークルーズ 衝突被害軽減 禁煙車 電動リヤゲート 茶革 ドラレコ ETC メモリーシート シートヒーター LEDヘッドライト</t>
        </is>
      </c>
      <c r="M67" s="7" t="inlineStr">
        <is>
          <t>https://www.carsensor.net/usedcar/detail/AU7352122876/index.html</t>
        </is>
      </c>
    </row>
    <row r="68">
      <c r="A68" s="11" t="n">
        <v>2018</v>
      </c>
      <c r="B68" s="12" t="inlineStr">
        <is>
          <t>2WD</t>
        </is>
      </c>
      <c r="C68" s="12" t="inlineStr">
        <is>
          <t>2.2 XD Lパッケージ</t>
        </is>
      </c>
      <c r="D68" s="13" t="n">
        <v>4</v>
      </c>
      <c r="E68" s="14" t="n">
        <v>191.3</v>
      </c>
      <c r="F68" s="14" t="n">
        <v>179</v>
      </c>
      <c r="G68" s="15" t="n">
        <v>6.1</v>
      </c>
      <c r="H68" s="12" t="inlineStr">
        <is>
          <t>なし</t>
        </is>
      </c>
      <c r="I68" s="12" t="inlineStr">
        <is>
          <t>車検整備付</t>
        </is>
      </c>
      <c r="J68" s="12" t="inlineStr">
        <is>
          <t>保証付</t>
        </is>
      </c>
      <c r="K68" s="16" t="inlineStr">
        <is>
          <t>修復歴なし / 車検整備付 / 保証付</t>
        </is>
      </c>
      <c r="L68" s="16" t="inlineStr">
        <is>
          <t>CX-8 2.2 XD Lパッケージ ディーゼルターボ 6ヶ月走行距離無制限保証付 純正SDナビ BOSEサウンド 全方位カメラ 衝突軽減ブレーキ 禁煙車 Bluetooth 電動リアゲート ETC 本革シート ステアリングヒーター レーダークルーズコントロール</t>
        </is>
      </c>
      <c r="M68" s="12" t="inlineStr">
        <is>
          <t>https://www.carsensor.net/usedcar/detail/AU7352697853/index.html</t>
        </is>
      </c>
    </row>
    <row r="69">
      <c r="A69" s="6" t="n">
        <v>2018</v>
      </c>
      <c r="B69" s="7" t="inlineStr">
        <is>
          <t>2WD</t>
        </is>
      </c>
      <c r="C69" s="7" t="inlineStr">
        <is>
          <t>2.2 XD Lパッケージ</t>
        </is>
      </c>
      <c r="D69" s="17" t="n">
        <v>4</v>
      </c>
      <c r="E69" s="9" t="n">
        <v>218.8</v>
      </c>
      <c r="F69" s="9" t="n">
        <v>212.1</v>
      </c>
      <c r="G69" s="10" t="n">
        <v>6.3</v>
      </c>
      <c r="H69" s="7" t="inlineStr">
        <is>
          <t>なし</t>
        </is>
      </c>
      <c r="I69" s="7" t="inlineStr">
        <is>
          <t>車検整備付</t>
        </is>
      </c>
      <c r="J69" s="7" t="inlineStr">
        <is>
          <t>保証付</t>
        </is>
      </c>
      <c r="K69" s="16" t="inlineStr">
        <is>
          <t>修復歴なし / 車検整備付 / 保証付</t>
        </is>
      </c>
      <c r="L69" s="16" t="inlineStr">
        <is>
          <t>CX-8 2.2 XD Lパッケージ ディーゼルターボ 黒革シート 純正ナビTV 360カメラ レーダクルーズ 衝突軽減B ブラインドSM レーンアシスト ヘッドアップディスプレイ パワーシート/ヒーター パワーバックドア クリアランスソナー オートLEDライト ドラレコ ETC2.0</t>
        </is>
      </c>
      <c r="M69" s="7" t="inlineStr">
        <is>
          <t>https://www.carsensor.net/usedcar/detail/AU6922552866/index.html</t>
        </is>
      </c>
    </row>
    <row r="70">
      <c r="A70" s="11" t="n">
        <v>2018</v>
      </c>
      <c r="B70" s="12" t="inlineStr">
        <is>
          <t>2WD</t>
        </is>
      </c>
      <c r="C70" s="12" t="inlineStr">
        <is>
          <t>2.2 XD Lパッケージ</t>
        </is>
      </c>
      <c r="D70" s="13" t="n">
        <v>4</v>
      </c>
      <c r="E70" s="14" t="n">
        <v>199.9</v>
      </c>
      <c r="F70" s="14" t="n">
        <v>184</v>
      </c>
      <c r="G70" s="15" t="n">
        <v>7.3</v>
      </c>
      <c r="H70" s="12" t="inlineStr">
        <is>
          <t>なし</t>
        </is>
      </c>
      <c r="I70" s="12" t="inlineStr">
        <is>
          <t>車検整備付</t>
        </is>
      </c>
      <c r="J70" s="12" t="inlineStr">
        <is>
          <t>保証付</t>
        </is>
      </c>
      <c r="K70" s="16" t="inlineStr">
        <is>
          <t>修復歴なし / 車検整備付 / 保証付</t>
        </is>
      </c>
      <c r="L70" s="16" t="inlineStr">
        <is>
          <t>CX-8 2.2 XD Lパッケージ ディーゼルターボ 禁煙車 衝突軽減 BOSE付純正ナビ 全周囲カメラ パワーシート シートヒーター 電動リアゲート ブラインドスポットモニター ヘッドアップディスプレイ ステアリングヒーター コーナーセンサー ETC</t>
        </is>
      </c>
      <c r="M70" s="12" t="inlineStr">
        <is>
          <t>https://www.carsensor.net/usedcar/detail/AU7268524806/index.html</t>
        </is>
      </c>
    </row>
    <row r="71">
      <c r="A71" s="6" t="n">
        <v>2018</v>
      </c>
      <c r="B71" s="7" t="inlineStr">
        <is>
          <t>2WD</t>
        </is>
      </c>
      <c r="C71" s="7" t="inlineStr">
        <is>
          <t>2.2 XD Lパッケージ</t>
        </is>
      </c>
      <c r="D71" s="17" t="n">
        <v>4</v>
      </c>
      <c r="E71" s="9" t="n">
        <v>228.8</v>
      </c>
      <c r="F71" s="9" t="n">
        <v>222.1</v>
      </c>
      <c r="G71" s="10" t="n">
        <v>6.3</v>
      </c>
      <c r="H71" s="7" t="inlineStr">
        <is>
          <t>なし</t>
        </is>
      </c>
      <c r="I71" s="7" t="inlineStr">
        <is>
          <t>車検整備付</t>
        </is>
      </c>
      <c r="J71" s="7" t="inlineStr">
        <is>
          <t>保証付</t>
        </is>
      </c>
      <c r="K71" s="16" t="inlineStr">
        <is>
          <t>修復歴なし / 車検整備付 / 保証付</t>
        </is>
      </c>
      <c r="L71" s="16" t="inlineStr">
        <is>
          <t>CX-8 2.2 XD Lパッケージ ディーゼルターボ 本革シート 修復歴無し</t>
        </is>
      </c>
      <c r="M71" s="7" t="inlineStr">
        <is>
          <t>https://www.carsensor.net/usedcar/detail/AU7445892798/index.html</t>
        </is>
      </c>
    </row>
    <row r="72">
      <c r="A72" s="11" t="n">
        <v>2018</v>
      </c>
      <c r="B72" s="12" t="inlineStr">
        <is>
          <t>2WD</t>
        </is>
      </c>
      <c r="C72" s="12" t="inlineStr">
        <is>
          <t>2.2 XD Lパッケージ</t>
        </is>
      </c>
      <c r="D72" s="13" t="n">
        <v>4</v>
      </c>
      <c r="E72" s="14" t="n">
        <v>176.5</v>
      </c>
      <c r="F72" s="14" t="n">
        <v>159.9</v>
      </c>
      <c r="G72" s="15" t="n">
        <v>6</v>
      </c>
      <c r="H72" s="12" t="inlineStr">
        <is>
          <t>なし</t>
        </is>
      </c>
      <c r="I72" s="12" t="inlineStr">
        <is>
          <t>2027(R09)年10月</t>
        </is>
      </c>
      <c r="J72" s="12" t="inlineStr">
        <is>
          <t>保証付</t>
        </is>
      </c>
      <c r="K72" s="16" t="inlineStr">
        <is>
          <t>修復歴なし / 車検 2027/10 まで（残り12ヶ月） / 保証付</t>
        </is>
      </c>
      <c r="L72" s="16" t="inlineStr">
        <is>
          <t>CX-8 2.2 XD Lパッケージ ディーゼルターボ i-ACTIVSENSE・本革シート・BOSEサウンド・フルセグナビ・全周囲カメラ・BTオーディオ・ETC・パワーバックドア・Cソナー・BSM・HUD・アイドリングストップ・純正19AW・フロアマット</t>
        </is>
      </c>
      <c r="M72" s="12" t="inlineStr">
        <is>
          <t>https://www.carsensor.net/usedcar/detail/AU7327944435/index.html</t>
        </is>
      </c>
    </row>
    <row r="73">
      <c r="A73" s="6" t="n">
        <v>2018</v>
      </c>
      <c r="B73" s="7" t="inlineStr">
        <is>
          <t>2WD</t>
        </is>
      </c>
      <c r="C73" s="7" t="inlineStr">
        <is>
          <t>2.2 XD Lパッケージ</t>
        </is>
      </c>
      <c r="D73" s="17" t="n">
        <v>4</v>
      </c>
      <c r="E73" s="9" t="n">
        <v>220.4</v>
      </c>
      <c r="F73" s="9" t="n">
        <v>204.8</v>
      </c>
      <c r="G73" s="10" t="n">
        <v>7.2</v>
      </c>
      <c r="H73" s="7" t="inlineStr">
        <is>
          <t>なし</t>
        </is>
      </c>
      <c r="I73" s="7" t="inlineStr">
        <is>
          <t>車検整備付</t>
        </is>
      </c>
      <c r="J73" s="7" t="inlineStr">
        <is>
          <t>保証付</t>
        </is>
      </c>
      <c r="K73" s="16" t="inlineStr">
        <is>
          <t>修復歴なし / 車検整備付 / 保証付</t>
        </is>
      </c>
      <c r="L73" s="16" t="inlineStr">
        <is>
          <t>CX-8 2.2 XD Lパッケージ ディーゼルターボ ワンオーナー 全周囲カメラ ETC2.0</t>
        </is>
      </c>
      <c r="M73" s="7" t="inlineStr">
        <is>
          <t>https://www.carsensor.net/usedcar/detail/AU7168563168/index.html</t>
        </is>
      </c>
    </row>
    <row r="74">
      <c r="A74" s="11" t="n">
        <v>2018</v>
      </c>
      <c r="B74" s="12" t="inlineStr">
        <is>
          <t>2WD</t>
        </is>
      </c>
      <c r="C74" s="12" t="inlineStr">
        <is>
          <t>2.2 XD Lパッケージ</t>
        </is>
      </c>
      <c r="D74" s="13" t="n">
        <v>4</v>
      </c>
      <c r="E74" s="14" t="n">
        <v>214</v>
      </c>
      <c r="F74" s="14" t="n">
        <v>199.8</v>
      </c>
      <c r="G74" s="15" t="n">
        <v>7.6</v>
      </c>
      <c r="H74" s="12" t="inlineStr">
        <is>
          <t>なし</t>
        </is>
      </c>
      <c r="I74" s="12" t="inlineStr">
        <is>
          <t>車検整備付</t>
        </is>
      </c>
      <c r="J74" s="12" t="inlineStr">
        <is>
          <t>保証付</t>
        </is>
      </c>
      <c r="K74" s="16" t="inlineStr">
        <is>
          <t>修復歴なし / 車検整備付 / 保証付</t>
        </is>
      </c>
      <c r="L74" s="16" t="inlineStr">
        <is>
          <t>CX-8 2.2 XD Lパッケージ ディーゼルターボ ETC 360°ビュー フロントシートヒーター アクティブドライイングディスプレイ 衝突被害軽減ブレーキ</t>
        </is>
      </c>
      <c r="M74" s="12" t="inlineStr">
        <is>
          <t>https://www.carsensor.net/usedcar/detail/AU7377736826/index.html</t>
        </is>
      </c>
    </row>
    <row r="75">
      <c r="A75" s="6" t="n">
        <v>2018</v>
      </c>
      <c r="B75" s="7" t="inlineStr">
        <is>
          <t>2WD</t>
        </is>
      </c>
      <c r="C75" s="7" t="inlineStr">
        <is>
          <t>2.2 XD Lパッケージ</t>
        </is>
      </c>
      <c r="D75" s="17" t="n">
        <v>4</v>
      </c>
      <c r="E75" s="9" t="n">
        <v>182.1</v>
      </c>
      <c r="F75" s="9" t="n">
        <v>168</v>
      </c>
      <c r="G75" s="10" t="n">
        <v>6.4</v>
      </c>
      <c r="H75" s="7" t="inlineStr">
        <is>
          <t>なし</t>
        </is>
      </c>
      <c r="I75" s="7" t="inlineStr">
        <is>
          <t>車検整備付</t>
        </is>
      </c>
      <c r="J75" s="7" t="inlineStr">
        <is>
          <t>保証付</t>
        </is>
      </c>
      <c r="K75" s="16" t="inlineStr">
        <is>
          <t>修復歴なし / 車検整備付 / 保証付</t>
        </is>
      </c>
      <c r="L75" s="16" t="inlineStr">
        <is>
          <t>CX-8 2.2 XD Lパッケージ ディーゼルターボ Boseサウンド ブラウン本革シート</t>
        </is>
      </c>
      <c r="M75" s="7" t="inlineStr">
        <is>
          <t>https://www.carsensor.net/usedcar/detail/AU7441473837/index.html</t>
        </is>
      </c>
    </row>
    <row r="76">
      <c r="A76" s="11" t="n">
        <v>2018</v>
      </c>
      <c r="B76" s="12" t="inlineStr">
        <is>
          <t>2WD</t>
        </is>
      </c>
      <c r="C76" s="12" t="inlineStr">
        <is>
          <t>2.2 XD Lパッケージ</t>
        </is>
      </c>
      <c r="D76" s="13" t="n">
        <v>4</v>
      </c>
      <c r="E76" s="14" t="n">
        <v>234.5</v>
      </c>
      <c r="F76" s="14" t="n">
        <v>221</v>
      </c>
      <c r="G76" s="15" t="n">
        <v>6</v>
      </c>
      <c r="H76" s="12" t="inlineStr">
        <is>
          <t>なし</t>
        </is>
      </c>
      <c r="I76" s="12" t="inlineStr">
        <is>
          <t>車検整備付</t>
        </is>
      </c>
      <c r="J76" s="12" t="inlineStr">
        <is>
          <t>保証付</t>
        </is>
      </c>
      <c r="K76" s="16" t="inlineStr">
        <is>
          <t>修復歴なし / 車検整備付 / 保証付</t>
        </is>
      </c>
      <c r="L76" s="16" t="inlineStr">
        <is>
          <t>CX-8 2.2 XD Lパッケージ ディーゼルターボ 1オーナー 7インチモニター ナビSD 360度カメラ ETC2.0 社外前後2カメラタイプドライブレコーダー リモコンエンジンスターター レーンキープアシスト ドライバーアテンションアラート</t>
        </is>
      </c>
      <c r="M76" s="12" t="inlineStr">
        <is>
          <t>https://www.carsensor.net/usedcar/detail/AU7441971532/index.html</t>
        </is>
      </c>
    </row>
    <row r="77">
      <c r="A77" s="6" t="n">
        <v>2019</v>
      </c>
      <c r="B77" s="7" t="inlineStr">
        <is>
          <t>2WD</t>
        </is>
      </c>
      <c r="C77" s="7" t="inlineStr">
        <is>
          <t>2.2 XD Lパッケージ</t>
        </is>
      </c>
      <c r="D77" s="17" t="n">
        <v>4</v>
      </c>
      <c r="E77" s="9" t="n">
        <v>224.5</v>
      </c>
      <c r="F77" s="9" t="n">
        <v>209.9</v>
      </c>
      <c r="G77" s="10" t="n">
        <v>7</v>
      </c>
      <c r="H77" s="7" t="inlineStr">
        <is>
          <t>なし</t>
        </is>
      </c>
      <c r="I77" s="7" t="inlineStr">
        <is>
          <t>車検整備付</t>
        </is>
      </c>
      <c r="J77" s="7" t="inlineStr">
        <is>
          <t>保証付</t>
        </is>
      </c>
      <c r="K77" s="16" t="inlineStr">
        <is>
          <t>修復歴なし / 車検整備付 / 保証付</t>
        </is>
      </c>
      <c r="L77" s="16" t="inlineStr">
        <is>
          <t>CX-8 2.2 XD Lパッケージ ディーゼルターボ 360度ビュー/BOSEサウンド/深赤革シート/衝突軽減ブレーキ/BSM/前後パーキングセンサー/レーダークルコン/LKA/パワーシート/シートベンチレーション/パワーバックドア/マツコネナビ/フルセグTV/DVD/BT/AppleCarPlay</t>
        </is>
      </c>
      <c r="M77" s="7" t="inlineStr">
        <is>
          <t>https://www.carsensor.net/usedcar/detail/AU7279015790/index.html</t>
        </is>
      </c>
    </row>
    <row r="78">
      <c r="A78" s="11" t="n">
        <v>2019</v>
      </c>
      <c r="B78" s="12" t="inlineStr">
        <is>
          <t>2WD</t>
        </is>
      </c>
      <c r="C78" s="12" t="inlineStr">
        <is>
          <t>2.2 XD Lパッケージ</t>
        </is>
      </c>
      <c r="D78" s="13" t="n">
        <v>4</v>
      </c>
      <c r="E78" s="14" t="n">
        <v>239.9</v>
      </c>
      <c r="F78" s="14" t="n">
        <v>222.7</v>
      </c>
      <c r="G78" s="15" t="n">
        <v>5.8</v>
      </c>
      <c r="H78" s="12" t="inlineStr">
        <is>
          <t>なし</t>
        </is>
      </c>
      <c r="I78" s="12" t="inlineStr">
        <is>
          <t>車検整備付</t>
        </is>
      </c>
      <c r="J78" s="12" t="inlineStr">
        <is>
          <t>保証付</t>
        </is>
      </c>
      <c r="K78" s="16" t="inlineStr">
        <is>
          <t>修復歴なし / 車検整備付 / 保証付</t>
        </is>
      </c>
      <c r="L78" s="16" t="inlineStr">
        <is>
          <t>CX-8 2.2 XD Lパッケージ ディーゼルターボ ディーゼル 7人乗 純正コネクトナビ 全周囲カメラ フルセグ/DVD再生 パワーバックドア コーナーセンサー BSM スマートブレーキサポート レーダークルース 黒革シート シートヒーター ETC</t>
        </is>
      </c>
      <c r="M78" s="12" t="inlineStr">
        <is>
          <t>https://www.carsensor.net/usedcar/detail/AU7327621812/index.html</t>
        </is>
      </c>
    </row>
    <row r="79">
      <c r="A79" s="6" t="n">
        <v>2019</v>
      </c>
      <c r="B79" s="7" t="inlineStr">
        <is>
          <t>2WD</t>
        </is>
      </c>
      <c r="C79" s="7" t="inlineStr">
        <is>
          <t>2.2 XD Lパッケージ</t>
        </is>
      </c>
      <c r="D79" s="17" t="n">
        <v>4</v>
      </c>
      <c r="E79" s="9" t="n">
        <v>226</v>
      </c>
      <c r="F79" s="9" t="n">
        <v>213.8</v>
      </c>
      <c r="G79" s="10" t="n">
        <v>6.9</v>
      </c>
      <c r="H79" s="7" t="inlineStr">
        <is>
          <t>なし</t>
        </is>
      </c>
      <c r="I79" s="7" t="inlineStr">
        <is>
          <t>車検整備付</t>
        </is>
      </c>
      <c r="J79" s="7" t="inlineStr">
        <is>
          <t>保証付</t>
        </is>
      </c>
      <c r="K79" s="16" t="inlineStr">
        <is>
          <t>修復歴なし / 車検整備付 / 保証付</t>
        </is>
      </c>
      <c r="L79" s="16" t="inlineStr">
        <is>
          <t>CX-8 2.2 XD Lパッケージ ディーゼルターボ 衝突軽減ブレーキシステム テレビ AW アクティブクルーズコントロール エアコン 黒革シート 地デジTV DVD再生機能 リアエアコン LED ワンオーナー バックカメラ付き Pシート ETC PS</t>
        </is>
      </c>
      <c r="M79" s="7" t="inlineStr">
        <is>
          <t>https://www.carsensor.net/usedcar/detail/AU7374895312/index.html</t>
        </is>
      </c>
    </row>
    <row r="80">
      <c r="A80" s="11" t="n">
        <v>2019</v>
      </c>
      <c r="B80" s="12" t="inlineStr">
        <is>
          <t>2WD</t>
        </is>
      </c>
      <c r="C80" s="12" t="inlineStr">
        <is>
          <t>2.2 XD Lパッケージ</t>
        </is>
      </c>
      <c r="D80" s="13" t="n">
        <v>4</v>
      </c>
      <c r="E80" s="14" t="n">
        <v>243.8</v>
      </c>
      <c r="F80" s="14" t="n">
        <v>236.9</v>
      </c>
      <c r="G80" s="15" t="n">
        <v>5.4</v>
      </c>
      <c r="H80" s="12" t="inlineStr">
        <is>
          <t>なし</t>
        </is>
      </c>
      <c r="I80" s="12" t="inlineStr">
        <is>
          <t>車検整備付</t>
        </is>
      </c>
      <c r="J80" s="12" t="inlineStr">
        <is>
          <t>保証付</t>
        </is>
      </c>
      <c r="K80" s="16" t="inlineStr">
        <is>
          <t>修復歴なし / 車検整備付 / 保証付</t>
        </is>
      </c>
      <c r="L80" s="16" t="inlineStr">
        <is>
          <t>CX-8 2.2 XD Lパッケージ ディーゼルターボ 本革シート/純正8インチマツダコネクトナビ/フルセグTV/CD/DVD/USB/Bluetooth/BOSEサウンドシステム/フリップダウンモニター/360°ビューモニター/前方ドライブレコーダー/ETC/LEDヘッドライト/純正アルミホイール</t>
        </is>
      </c>
      <c r="M80" s="12" t="inlineStr">
        <is>
          <t>https://www.carsensor.net/usedcar/detail/AU7371963407/index.html</t>
        </is>
      </c>
    </row>
    <row r="81">
      <c r="A81" s="6" t="n">
        <v>2019</v>
      </c>
      <c r="B81" s="7" t="inlineStr">
        <is>
          <t>2WD</t>
        </is>
      </c>
      <c r="C81" s="7" t="inlineStr">
        <is>
          <t>2.2 XD Lパッケージ</t>
        </is>
      </c>
      <c r="D81" s="17" t="n">
        <v>4</v>
      </c>
      <c r="E81" s="9" t="n">
        <v>229.9</v>
      </c>
      <c r="F81" s="9" t="n">
        <v>214</v>
      </c>
      <c r="G81" s="10" t="n">
        <v>5.7</v>
      </c>
      <c r="H81" s="7" t="inlineStr">
        <is>
          <t>なし</t>
        </is>
      </c>
      <c r="I81" s="7" t="inlineStr">
        <is>
          <t>車検整備付</t>
        </is>
      </c>
      <c r="J81" s="7" t="inlineStr">
        <is>
          <t>保証付</t>
        </is>
      </c>
      <c r="K81" s="16" t="inlineStr">
        <is>
          <t>修復歴なし / 車検整備付 / 保証付</t>
        </is>
      </c>
      <c r="L81" s="16" t="inlineStr">
        <is>
          <t>CX-8 2.2 XD Lパッケージ ディーゼルターボ フリップダウン マツダコネクト 全周囲カメラ 衝突軽減 電動リアゲート レーダークルーズ シートベンチレーション 革シート 7人乗り クリアランスソナー ブラインドスポットモニター ETC ドラレコ</t>
        </is>
      </c>
      <c r="M81" s="7" t="inlineStr">
        <is>
          <t>https://www.carsensor.net/usedcar/detail/AU7179878169/index.html</t>
        </is>
      </c>
    </row>
    <row r="82">
      <c r="A82" s="11" t="n">
        <v>2019</v>
      </c>
      <c r="B82" s="12" t="inlineStr">
        <is>
          <t>2WD</t>
        </is>
      </c>
      <c r="C82" s="12" t="inlineStr">
        <is>
          <t>2.2 XD Lパッケージ</t>
        </is>
      </c>
      <c r="D82" s="13" t="n">
        <v>4</v>
      </c>
      <c r="E82" s="14" t="n">
        <v>274.9</v>
      </c>
      <c r="F82" s="14" t="n">
        <v>257.7</v>
      </c>
      <c r="G82" s="15" t="n">
        <v>5.2</v>
      </c>
      <c r="H82" s="12" t="inlineStr">
        <is>
          <t>なし</t>
        </is>
      </c>
      <c r="I82" s="12" t="inlineStr">
        <is>
          <t>車検整備付</t>
        </is>
      </c>
      <c r="J82" s="12" t="inlineStr">
        <is>
          <t>保証付</t>
        </is>
      </c>
      <c r="K82" s="16" t="inlineStr">
        <is>
          <t>修復歴なし / 車検整備付 / 保証付</t>
        </is>
      </c>
      <c r="L82" s="16" t="inlineStr">
        <is>
          <t>CX-8 2.2 XD Lパッケージ ディーゼルターボ 禁煙車 サンルーフ BOSEサウンド マツダコネクト 360°ビューモニター シートベンチレーション 本革シート パワーバックドア ヘッドアップディスプレイ アダプティブクルーズ</t>
        </is>
      </c>
      <c r="M82" s="12" t="inlineStr">
        <is>
          <t>https://www.carsensor.net/usedcar/detail/AU7345304249/index.html</t>
        </is>
      </c>
    </row>
    <row r="83">
      <c r="A83" s="6" t="n">
        <v>2019</v>
      </c>
      <c r="B83" s="7" t="inlineStr">
        <is>
          <t>2WD</t>
        </is>
      </c>
      <c r="C83" s="7" t="inlineStr">
        <is>
          <t>2.2 XD Lパッケージ</t>
        </is>
      </c>
      <c r="D83" s="17" t="n">
        <v>4</v>
      </c>
      <c r="E83" s="9" t="n">
        <v>272.7</v>
      </c>
      <c r="F83" s="9" t="n">
        <v>258.2</v>
      </c>
      <c r="G83" s="10" t="n">
        <v>6.3</v>
      </c>
      <c r="H83" s="7" t="inlineStr">
        <is>
          <t>なし</t>
        </is>
      </c>
      <c r="I83" s="7" t="inlineStr">
        <is>
          <t>車検整備付</t>
        </is>
      </c>
      <c r="J83" s="7" t="inlineStr">
        <is>
          <t>保証付</t>
        </is>
      </c>
      <c r="K83" s="16" t="inlineStr">
        <is>
          <t>修復歴なし / 車検整備付 / 保証付</t>
        </is>
      </c>
      <c r="L83" s="16" t="inlineStr">
        <is>
          <t>CX-8 2.2 XD Lパッケージ ディーゼルターボ 自社下取 さわやか保証1年走行無制限 魂動デザイン 人馬一体 オルガンペダル 衝突被害軽減ブレーキ 全周囲カメラ サンルーフ</t>
        </is>
      </c>
      <c r="M83" s="7" t="inlineStr">
        <is>
          <t>https://www.carsensor.net/usedcar/detail/AU7357774910/index.html</t>
        </is>
      </c>
    </row>
    <row r="84">
      <c r="A84" s="11" t="n">
        <v>2019</v>
      </c>
      <c r="B84" s="12" t="inlineStr">
        <is>
          <t>2WD</t>
        </is>
      </c>
      <c r="C84" s="12" t="inlineStr">
        <is>
          <t>2.2 XD Lパッケージ</t>
        </is>
      </c>
      <c r="D84" s="13" t="n">
        <v>4</v>
      </c>
      <c r="E84" s="14" t="n">
        <v>225</v>
      </c>
      <c r="F84" s="14" t="n">
        <v>212</v>
      </c>
      <c r="G84" s="15" t="n">
        <v>6.4</v>
      </c>
      <c r="H84" s="12" t="inlineStr">
        <is>
          <t>なし</t>
        </is>
      </c>
      <c r="I84" s="12" t="inlineStr">
        <is>
          <t>車検整備付</t>
        </is>
      </c>
      <c r="J84" s="12" t="inlineStr">
        <is>
          <t>保証付</t>
        </is>
      </c>
      <c r="K84" s="16" t="inlineStr">
        <is>
          <t>修復歴なし / 車検整備付 / 保証付</t>
        </is>
      </c>
      <c r="L84" s="16" t="inlineStr">
        <is>
          <t>CX-8 2.2 XD Lパッケージ ディーゼルターボ ロングラン保証付 シートヒーター 後席モニター 全周囲カメラ ナビ ドラレコ</t>
        </is>
      </c>
      <c r="M84" s="12" t="inlineStr">
        <is>
          <t>https://www.carsensor.net/usedcar/detail/AU7357021576/index.html</t>
        </is>
      </c>
    </row>
    <row r="85">
      <c r="A85" s="6" t="n">
        <v>2019</v>
      </c>
      <c r="B85" s="7" t="inlineStr">
        <is>
          <t>2WD</t>
        </is>
      </c>
      <c r="C85" s="7" t="inlineStr">
        <is>
          <t>2.2 XD Lパッケージ</t>
        </is>
      </c>
      <c r="D85" s="17" t="n">
        <v>4</v>
      </c>
      <c r="E85" s="9" t="n">
        <v>246.9</v>
      </c>
      <c r="F85" s="9" t="n">
        <v>233</v>
      </c>
      <c r="G85" s="10" t="n">
        <v>5.7</v>
      </c>
      <c r="H85" s="7" t="inlineStr">
        <is>
          <t>なし</t>
        </is>
      </c>
      <c r="I85" s="7" t="inlineStr">
        <is>
          <t>車検整備付</t>
        </is>
      </c>
      <c r="J85" s="7" t="inlineStr">
        <is>
          <t>保証付</t>
        </is>
      </c>
      <c r="K85" s="16" t="inlineStr">
        <is>
          <t>修復歴なし / 車検整備付 / 保証付</t>
        </is>
      </c>
      <c r="L85" s="16" t="inlineStr">
        <is>
          <t>CX-8 2.2 XD Lパッケージ ディーゼルターボ ETC/ナビ/2カメラドライブレコーダー/シートヒーター/シートクーラー/CD/DVDプレイヤー</t>
        </is>
      </c>
      <c r="M85" s="7" t="inlineStr">
        <is>
          <t>https://www.carsensor.net/usedcar/detail/AU7361576970/index.html</t>
        </is>
      </c>
    </row>
    <row r="86">
      <c r="A86" s="11" t="n">
        <v>2019</v>
      </c>
      <c r="B86" s="12" t="inlineStr">
        <is>
          <t>2WD</t>
        </is>
      </c>
      <c r="C86" s="12" t="inlineStr">
        <is>
          <t>2.2 XD Lパッケージ</t>
        </is>
      </c>
      <c r="D86" s="13" t="n">
        <v>4</v>
      </c>
      <c r="E86" s="14" t="n">
        <v>234</v>
      </c>
      <c r="F86" s="14" t="n">
        <v>219.8</v>
      </c>
      <c r="G86" s="15" t="n">
        <v>6.3</v>
      </c>
      <c r="H86" s="12" t="inlineStr">
        <is>
          <t>なし</t>
        </is>
      </c>
      <c r="I86" s="12" t="inlineStr">
        <is>
          <t>車検整備付</t>
        </is>
      </c>
      <c r="J86" s="12" t="inlineStr">
        <is>
          <t>保証付</t>
        </is>
      </c>
      <c r="K86" s="16" t="inlineStr">
        <is>
          <t>修復歴なし / 車検整備付 / 保証付</t>
        </is>
      </c>
      <c r="L86" s="16" t="inlineStr">
        <is>
          <t>CX-8 2.2 XD Lパッケージ ディーゼルターボ BOSE ETC車載器 360°ビューモニター レーダークルーズコントロール 運転席助手席シートヒーター 衝突被害軽減ブレーキ</t>
        </is>
      </c>
      <c r="M86" s="12" t="inlineStr">
        <is>
          <t>https://www.carsensor.net/usedcar/detail/AU7353012788/index.html</t>
        </is>
      </c>
    </row>
    <row r="87">
      <c r="A87" s="6" t="n">
        <v>2020</v>
      </c>
      <c r="B87" s="7" t="inlineStr">
        <is>
          <t>2WD</t>
        </is>
      </c>
      <c r="C87" s="7" t="inlineStr">
        <is>
          <t>2.2 XD Lパッケージ</t>
        </is>
      </c>
      <c r="D87" s="17" t="n">
        <v>4</v>
      </c>
      <c r="E87" s="9" t="n">
        <v>239.9</v>
      </c>
      <c r="F87" s="9" t="n">
        <v>223.5</v>
      </c>
      <c r="G87" s="10" t="n">
        <v>6.9</v>
      </c>
      <c r="H87" s="7" t="inlineStr">
        <is>
          <t>なし</t>
        </is>
      </c>
      <c r="I87" s="7" t="inlineStr">
        <is>
          <t>車検整備付</t>
        </is>
      </c>
      <c r="J87" s="7" t="inlineStr">
        <is>
          <t>保証付</t>
        </is>
      </c>
      <c r="K87" s="16" t="inlineStr">
        <is>
          <t>修復歴なし / 車検整備付 / 保証付</t>
        </is>
      </c>
      <c r="L87" s="16" t="inlineStr">
        <is>
          <t>CX-8 2.2 XD Lパッケージ ディーゼルターボ 禁煙車 純正SDナビ 全周囲カメラ 衝突軽減 レーダークルーズコントロール ブラウンレザーシート シートベンチレーション コーナーセンサー レーンアシスト LEDヘッドライト ETC スマートキー</t>
        </is>
      </c>
      <c r="M87" s="7" t="inlineStr">
        <is>
          <t>https://www.carsensor.net/usedcar/detail/AU7317986011/index.html</t>
        </is>
      </c>
    </row>
    <row r="88">
      <c r="A88" s="11" t="n">
        <v>2020</v>
      </c>
      <c r="B88" s="12" t="inlineStr">
        <is>
          <t>2WD</t>
        </is>
      </c>
      <c r="C88" s="12" t="inlineStr">
        <is>
          <t>2.2 XD Lパッケージ</t>
        </is>
      </c>
      <c r="D88" s="13" t="n">
        <v>4</v>
      </c>
      <c r="E88" s="14" t="n">
        <v>290</v>
      </c>
      <c r="F88" s="14" t="n">
        <v>275.8</v>
      </c>
      <c r="G88" s="15" t="n">
        <v>5.9</v>
      </c>
      <c r="H88" s="12" t="inlineStr">
        <is>
          <t>なし</t>
        </is>
      </c>
      <c r="I88" s="12" t="inlineStr">
        <is>
          <t>車検整備付</t>
        </is>
      </c>
      <c r="J88" s="12" t="inlineStr">
        <is>
          <t>保証付</t>
        </is>
      </c>
      <c r="K88" s="16" t="inlineStr">
        <is>
          <t>修復歴なし / 車検整備付 / 保証付</t>
        </is>
      </c>
      <c r="L88" s="16" t="inlineStr">
        <is>
          <t>CX-8 2.2 XD Lパッケージ ディーゼルターボ マツダ認定中古車 衝突被害軽減ブレーキ BOSEサウンドシステム 360°ビューモニター 運転席助手席シートヒーター ETC車載器</t>
        </is>
      </c>
      <c r="M88" s="12" t="inlineStr">
        <is>
          <t>https://www.carsensor.net/usedcar/detail/AU7186426683/index.html</t>
        </is>
      </c>
    </row>
    <row r="89">
      <c r="A89" s="6" t="n">
        <v>2020</v>
      </c>
      <c r="B89" s="7" t="inlineStr">
        <is>
          <t>2WD</t>
        </is>
      </c>
      <c r="C89" s="7" t="inlineStr">
        <is>
          <t>2.2 XD Lパッケージ</t>
        </is>
      </c>
      <c r="D89" s="17" t="n">
        <v>4</v>
      </c>
      <c r="E89" s="9" t="n">
        <v>276.7</v>
      </c>
      <c r="F89" s="9" t="n">
        <v>258</v>
      </c>
      <c r="G89" s="10" t="n">
        <v>4.4</v>
      </c>
      <c r="H89" s="7" t="inlineStr">
        <is>
          <t>なし</t>
        </is>
      </c>
      <c r="I89" s="7" t="inlineStr">
        <is>
          <t>車検整備付</t>
        </is>
      </c>
      <c r="J89" s="7" t="inlineStr">
        <is>
          <t>保証付</t>
        </is>
      </c>
      <c r="K89" s="16" t="inlineStr">
        <is>
          <t>修復歴なし / 車検整備付 / 保証付</t>
        </is>
      </c>
      <c r="L89" s="16" t="inlineStr">
        <is>
          <t>CX-8 2.2 XD Lパッケージ ディーゼルターボ ナビ バックカメラ ETC ドラレコ付き</t>
        </is>
      </c>
      <c r="M89" s="7" t="inlineStr">
        <is>
          <t>https://www.carsensor.net/usedcar/detail/AU6246041762/index.html</t>
        </is>
      </c>
    </row>
    <row r="90">
      <c r="A90" s="11" t="n">
        <v>2021</v>
      </c>
      <c r="B90" s="12" t="inlineStr">
        <is>
          <t>2WD</t>
        </is>
      </c>
      <c r="C90" s="12" t="inlineStr">
        <is>
          <t>2.2 XD Lパッケージ</t>
        </is>
      </c>
      <c r="D90" s="13" t="n">
        <v>4</v>
      </c>
      <c r="E90" s="14" t="n">
        <v>259.8</v>
      </c>
      <c r="F90" s="14" t="n">
        <v>252.9</v>
      </c>
      <c r="G90" s="15" t="n">
        <v>4.7</v>
      </c>
      <c r="H90" s="12" t="inlineStr">
        <is>
          <t>なし</t>
        </is>
      </c>
      <c r="I90" s="12" t="inlineStr">
        <is>
          <t>車検整備付</t>
        </is>
      </c>
      <c r="J90" s="12" t="inlineStr">
        <is>
          <t>保証付</t>
        </is>
      </c>
      <c r="K90" s="16" t="inlineStr">
        <is>
          <t>修復歴なし / 車検整備付 / 保証付</t>
        </is>
      </c>
      <c r="L90" s="16" t="inlineStr">
        <is>
          <t>CX-8 2.2 XD Lパッケージ ディーゼルターボ 黒レザーシート/純正10.25インチナビ/bluetooth/フルセグTV/BOSEサウンド/360°カメラ/レーダークルーズコントロール/電動テールゲート/純正前後ドライブレコーダー/ETC/ステアリングヒーター/LEDライト</t>
        </is>
      </c>
      <c r="M90" s="12" t="inlineStr">
        <is>
          <t>https://www.carsensor.net/usedcar/detail/AU7340507413/index.html</t>
        </is>
      </c>
    </row>
    <row r="91">
      <c r="A91" s="6" t="n">
        <v>2021</v>
      </c>
      <c r="B91" s="7" t="inlineStr">
        <is>
          <t>2WD</t>
        </is>
      </c>
      <c r="C91" s="7" t="inlineStr">
        <is>
          <t>2.2 XD Lパッケージ</t>
        </is>
      </c>
      <c r="D91" s="17" t="n">
        <v>4</v>
      </c>
      <c r="E91" s="9" t="n">
        <v>293.4</v>
      </c>
      <c r="F91" s="9" t="n">
        <v>279.8</v>
      </c>
      <c r="G91" s="10" t="n">
        <v>3.9</v>
      </c>
      <c r="H91" s="7" t="inlineStr">
        <is>
          <t>なし</t>
        </is>
      </c>
      <c r="I91" s="7" t="inlineStr">
        <is>
          <t>車検整備付</t>
        </is>
      </c>
      <c r="J91" s="7" t="inlineStr">
        <is>
          <t>保証付</t>
        </is>
      </c>
      <c r="K91" s="16" t="inlineStr">
        <is>
          <t>修復歴なし / 車検整備付 / 保証付</t>
        </is>
      </c>
      <c r="L91" s="16" t="inlineStr">
        <is>
          <t>CX-8 2.2 XD Lパッケージ ディーゼルターボ ナビ ETC</t>
        </is>
      </c>
      <c r="M91" s="7" t="inlineStr">
        <is>
          <t>https://www.carsensor.net/usedcar/detail/AU7306521504/index.html</t>
        </is>
      </c>
    </row>
    <row r="92">
      <c r="A92" s="11" t="n">
        <v>2021</v>
      </c>
      <c r="B92" s="12" t="inlineStr">
        <is>
          <t>2WD</t>
        </is>
      </c>
      <c r="C92" s="12" t="inlineStr">
        <is>
          <t>2.2 XD Lパッケージ</t>
        </is>
      </c>
      <c r="D92" s="13" t="n">
        <v>4</v>
      </c>
      <c r="E92" s="14" t="n">
        <v>259.8</v>
      </c>
      <c r="F92" s="14" t="n">
        <v>250.9</v>
      </c>
      <c r="G92" s="15" t="n">
        <v>6.5</v>
      </c>
      <c r="H92" s="12" t="inlineStr">
        <is>
          <t>なし</t>
        </is>
      </c>
      <c r="I92" s="12" t="inlineStr">
        <is>
          <t>車検整備付</t>
        </is>
      </c>
      <c r="J92" s="12" t="inlineStr">
        <is>
          <t>保証付</t>
        </is>
      </c>
      <c r="K92" s="16" t="inlineStr">
        <is>
          <t>修復歴なし / 車検整備付 / 保証付</t>
        </is>
      </c>
      <c r="L92" s="16" t="inlineStr">
        <is>
          <t>CX-8 2.2 XD Lパッケージ ディーゼルターボ 禁煙車/純正10.25インチナビ/360度ビューモニター/ドラレコ/ETC/追従クルーズコントロール/アクティブドラインビングディスプレイ/レザーシート/パワーシート/シートヒーター/ベンチレーション</t>
        </is>
      </c>
      <c r="M92" s="12" t="inlineStr">
        <is>
          <t>https://www.carsensor.net/usedcar/detail/AU7386490209/index.html</t>
        </is>
      </c>
    </row>
    <row r="93">
      <c r="A93" s="6" t="n">
        <v>2021</v>
      </c>
      <c r="B93" s="7" t="inlineStr">
        <is>
          <t>2WD</t>
        </is>
      </c>
      <c r="C93" s="7" t="inlineStr">
        <is>
          <t>2.2 XD Lパッケージ</t>
        </is>
      </c>
      <c r="D93" s="17" t="n">
        <v>4</v>
      </c>
      <c r="E93" s="9" t="n">
        <v>309.8</v>
      </c>
      <c r="F93" s="9" t="n">
        <v>302.9</v>
      </c>
      <c r="G93" s="10" t="n">
        <v>4</v>
      </c>
      <c r="H93" s="7" t="inlineStr">
        <is>
          <t>なし</t>
        </is>
      </c>
      <c r="I93" s="7" t="inlineStr">
        <is>
          <t>車検整備付</t>
        </is>
      </c>
      <c r="J93" s="7" t="inlineStr">
        <is>
          <t>保証付</t>
        </is>
      </c>
      <c r="K93" s="16" t="inlineStr">
        <is>
          <t>修復歴なし / 車検整備付 / 保証付</t>
        </is>
      </c>
      <c r="L93" s="16" t="inlineStr">
        <is>
          <t>CX-8 2.2 XD Lパッケージ ディーゼルターボ BOSE 全方位 純正ナビ フルセグTV Bluetooth ヘッドアップディスプレイ ステアリングヒーター レーダークルーズコントロール ETC 赤革 LEDヘッドライト フォグランプ</t>
        </is>
      </c>
      <c r="M93" s="7" t="inlineStr">
        <is>
          <t>https://www.carsensor.net/usedcar/detail/AU7264460670/index.html</t>
        </is>
      </c>
    </row>
    <row r="94">
      <c r="A94" s="11" t="n">
        <v>2021</v>
      </c>
      <c r="B94" s="12" t="inlineStr">
        <is>
          <t>2WD</t>
        </is>
      </c>
      <c r="C94" s="12" t="inlineStr">
        <is>
          <t>2.2 XD Lパッケージ</t>
        </is>
      </c>
      <c r="D94" s="13" t="n">
        <v>4</v>
      </c>
      <c r="E94" s="14" t="n">
        <v>358.6</v>
      </c>
      <c r="F94" s="14" t="n">
        <v>342.6</v>
      </c>
      <c r="G94" s="15" t="n">
        <v>3.8</v>
      </c>
      <c r="H94" s="12" t="inlineStr">
        <is>
          <t>なし</t>
        </is>
      </c>
      <c r="I94" s="12" t="inlineStr">
        <is>
          <t>車検整備付</t>
        </is>
      </c>
      <c r="J94" s="12" t="inlineStr">
        <is>
          <t>保証付</t>
        </is>
      </c>
      <c r="K94" s="16" t="inlineStr">
        <is>
          <t>修復歴なし / 車検整備付 / 保証付</t>
        </is>
      </c>
      <c r="L94" s="16" t="inlineStr">
        <is>
          <t>CX-8 2.2 XD Lパッケージ ディーゼルターボ サンルーフ BOSEサウンド 10型ナビ フルセグ 全周囲カメラ 6人乗りウォークスルー 禁煙車 パワーバックドア シートエアコン ブラインドスポットモニター ヘッドアップディスプレイ ワイヤレス充電</t>
        </is>
      </c>
      <c r="M94" s="12" t="inlineStr">
        <is>
          <t>https://www.carsensor.net/usedcar/detail/AU7405103273/index.html</t>
        </is>
      </c>
    </row>
    <row r="95">
      <c r="A95" s="6" t="n">
        <v>2021</v>
      </c>
      <c r="B95" s="7" t="inlineStr">
        <is>
          <t>2WD</t>
        </is>
      </c>
      <c r="C95" s="7" t="inlineStr">
        <is>
          <t>2.2 XD Lパッケージ</t>
        </is>
      </c>
      <c r="D95" s="17" t="n">
        <v>4</v>
      </c>
      <c r="E95" s="9" t="n">
        <v>275.9</v>
      </c>
      <c r="F95" s="9" t="n">
        <v>259.7</v>
      </c>
      <c r="G95" s="10" t="n">
        <v>6</v>
      </c>
      <c r="H95" s="7" t="inlineStr">
        <is>
          <t>なし</t>
        </is>
      </c>
      <c r="I95" s="7" t="inlineStr">
        <is>
          <t>車検整備付</t>
        </is>
      </c>
      <c r="J95" s="7" t="inlineStr">
        <is>
          <t>保証付</t>
        </is>
      </c>
      <c r="K95" s="16" t="inlineStr">
        <is>
          <t>修復歴なし / 車検整備付 / 保証付</t>
        </is>
      </c>
      <c r="L95" s="16" t="inlineStr">
        <is>
          <t>CX-8 2.2 XD Lパッケージ ディーゼルターボ ワンオーナー ETC</t>
        </is>
      </c>
      <c r="M95" s="7" t="inlineStr">
        <is>
          <t>https://www.carsensor.net/usedcar/detail/AU7360247834/index.html</t>
        </is>
      </c>
    </row>
    <row r="96">
      <c r="A96" s="11" t="n">
        <v>2022</v>
      </c>
      <c r="B96" s="12" t="inlineStr">
        <is>
          <t>2WD</t>
        </is>
      </c>
      <c r="C96" s="12" t="inlineStr">
        <is>
          <t>2.2 XD Lパッケージ</t>
        </is>
      </c>
      <c r="D96" s="13" t="n">
        <v>4</v>
      </c>
      <c r="E96" s="14" t="n">
        <v>266.8</v>
      </c>
      <c r="F96" s="14" t="n">
        <v>258</v>
      </c>
      <c r="G96" s="15" t="n">
        <v>6</v>
      </c>
      <c r="H96" s="12" t="inlineStr">
        <is>
          <t>なし</t>
        </is>
      </c>
      <c r="I96" s="12" t="inlineStr">
        <is>
          <t>車検整備付</t>
        </is>
      </c>
      <c r="J96" s="12" t="inlineStr">
        <is>
          <t>保証付</t>
        </is>
      </c>
      <c r="K96" s="16" t="inlineStr">
        <is>
          <t>修復歴なし / 車検整備付 / 保証付</t>
        </is>
      </c>
      <c r="L96" s="16" t="inlineStr">
        <is>
          <t>CX-8 2.2 XD Lパッケージ ディーゼルターボ 禁煙 赤革シート マツダコネクト10.25インチナビ 360度ビューモニター AppleCarplay ETC アダプティブLEDヘッドライト レーダークルーズコントロール BSM HUD スマートキー プッシュスタート</t>
        </is>
      </c>
      <c r="M96" s="12" t="inlineStr">
        <is>
          <t>https://www.carsensor.net/usedcar/detail/AU7365822203/index.html</t>
        </is>
      </c>
    </row>
    <row r="97">
      <c r="A97" s="6" t="n">
        <v>2022</v>
      </c>
      <c r="B97" s="7" t="inlineStr">
        <is>
          <t>2WD</t>
        </is>
      </c>
      <c r="C97" s="7" t="inlineStr">
        <is>
          <t>2.2 XD Lパッケージ</t>
        </is>
      </c>
      <c r="D97" s="17" t="n">
        <v>4</v>
      </c>
      <c r="E97" s="9" t="n">
        <v>330.3</v>
      </c>
      <c r="F97" s="9" t="n">
        <v>319.8</v>
      </c>
      <c r="G97" s="10" t="n">
        <v>3.9</v>
      </c>
      <c r="H97" s="7" t="inlineStr">
        <is>
          <t>なし</t>
        </is>
      </c>
      <c r="I97" s="7" t="inlineStr">
        <is>
          <t>2027(R09)年10月</t>
        </is>
      </c>
      <c r="J97" s="7" t="inlineStr">
        <is>
          <t>保証付</t>
        </is>
      </c>
      <c r="K97" s="16" t="inlineStr">
        <is>
          <t>修復歴なし / 車検 2027/10 まで（残り12ヶ月） / 保証付</t>
        </is>
      </c>
      <c r="L97" s="16" t="inlineStr">
        <is>
          <t>CX-8 2.2 XD Lパッケージ ディーゼルターボ マツダ認定中古車</t>
        </is>
      </c>
      <c r="M97" s="7" t="inlineStr">
        <is>
          <t>https://www.carsensor.net/usedcar/detail/AU7275999841/index.html</t>
        </is>
      </c>
    </row>
    <row r="98">
      <c r="A98" s="11" t="n">
        <v>2022</v>
      </c>
      <c r="B98" s="12" t="inlineStr">
        <is>
          <t>2WD</t>
        </is>
      </c>
      <c r="C98" s="12" t="inlineStr">
        <is>
          <t>2.2 XD Lパッケージ</t>
        </is>
      </c>
      <c r="D98" s="13" t="n">
        <v>4</v>
      </c>
      <c r="E98" s="14" t="n">
        <v>336</v>
      </c>
      <c r="F98" s="14" t="n">
        <v>319.8</v>
      </c>
      <c r="G98" s="15" t="n">
        <v>4.5</v>
      </c>
      <c r="H98" s="12" t="inlineStr">
        <is>
          <t>なし</t>
        </is>
      </c>
      <c r="I98" s="12" t="inlineStr">
        <is>
          <t>車検整備付</t>
        </is>
      </c>
      <c r="J98" s="12" t="inlineStr">
        <is>
          <t>保証付</t>
        </is>
      </c>
      <c r="K98" s="16" t="inlineStr">
        <is>
          <t>修復歴なし / 車検整備付 / 保証付</t>
        </is>
      </c>
      <c r="L98" s="16" t="inlineStr">
        <is>
          <t>CX-8 2.2 XD Lパッケージ ディーゼルターボ BOSEサウンドシステム パワーリフトゲート ハンドルヒーター サンルーフ 革シート シートベンチレーション ワイヤレス充電 360度ビューモニター LEDヘッドライト アダプティブクルコン</t>
        </is>
      </c>
      <c r="M98" s="12" t="inlineStr">
        <is>
          <t>https://www.carsensor.net/usedcar/detail/AU7310528911/index.html</t>
        </is>
      </c>
    </row>
    <row r="99">
      <c r="A99" s="6" t="n">
        <v>2022</v>
      </c>
      <c r="B99" s="7" t="inlineStr">
        <is>
          <t>2WD</t>
        </is>
      </c>
      <c r="C99" s="7" t="inlineStr">
        <is>
          <t>2.2 XD Lパッケージ</t>
        </is>
      </c>
      <c r="D99" s="17" t="n">
        <v>4</v>
      </c>
      <c r="E99" s="9" t="n">
        <v>287.9</v>
      </c>
      <c r="F99" s="9" t="n">
        <v>281.2</v>
      </c>
      <c r="G99" s="10" t="n">
        <v>4.9</v>
      </c>
      <c r="H99" s="7" t="inlineStr">
        <is>
          <t>なし</t>
        </is>
      </c>
      <c r="I99" s="7" t="inlineStr">
        <is>
          <t>2027(R09)年10月</t>
        </is>
      </c>
      <c r="J99" s="7" t="inlineStr">
        <is>
          <t>保証付</t>
        </is>
      </c>
      <c r="K99" s="16" t="inlineStr">
        <is>
          <t>修復歴なし / 車検 2027/10 まで（残り12ヶ月） / 保証付</t>
        </is>
      </c>
      <c r="L99" s="16" t="inlineStr">
        <is>
          <t>CX-8 2.2 XD Lパッケージ ディーゼルターボ BOSE/10インチ SDナビ/衝突安全装置/シートヒーター/360°ビューモニター/車線逸脱防止支援システム/シート フルレザー/電動バックドア/ドライブレコーダー 前後</t>
        </is>
      </c>
      <c r="M99" s="7" t="inlineStr">
        <is>
          <t>https://www.carsensor.net/usedcar/detail/AU7377743521/index.html</t>
        </is>
      </c>
    </row>
    <row r="100">
      <c r="A100" s="11" t="n">
        <v>2022</v>
      </c>
      <c r="B100" s="12" t="inlineStr">
        <is>
          <t>2WD</t>
        </is>
      </c>
      <c r="C100" s="12" t="inlineStr">
        <is>
          <t>2.2 XD Lパッケージ</t>
        </is>
      </c>
      <c r="D100" s="13" t="n">
        <v>4</v>
      </c>
      <c r="E100" s="14" t="n">
        <v>352.9</v>
      </c>
      <c r="F100" s="14" t="n">
        <v>338</v>
      </c>
      <c r="G100" s="15" t="n">
        <v>3.6</v>
      </c>
      <c r="H100" s="12" t="inlineStr">
        <is>
          <t>なし</t>
        </is>
      </c>
      <c r="I100" s="12" t="inlineStr">
        <is>
          <t>車検整備付</t>
        </is>
      </c>
      <c r="J100" s="12" t="inlineStr">
        <is>
          <t>保証付</t>
        </is>
      </c>
      <c r="K100" s="16" t="inlineStr">
        <is>
          <t>修復歴なし / 車検整備付 / 保証付</t>
        </is>
      </c>
      <c r="L100" s="16" t="inlineStr">
        <is>
          <t>CX-8 2.2 XD Lパッケージ ディーゼルターボ 360度カメラ 19AW シートヒーター</t>
        </is>
      </c>
      <c r="M100" s="12" t="inlineStr">
        <is>
          <t>https://www.carsensor.net/usedcar/detail/AU7204047260/index.html</t>
        </is>
      </c>
    </row>
    <row r="101">
      <c r="A101" s="6" t="n">
        <v>2018</v>
      </c>
      <c r="B101" s="7" t="inlineStr">
        <is>
          <t>2WD</t>
        </is>
      </c>
      <c r="C101" s="7" t="inlineStr">
        <is>
          <t>2.2 XD Lパッケージ</t>
        </is>
      </c>
      <c r="D101" s="17" t="n">
        <v>3.9</v>
      </c>
      <c r="E101" s="9" t="n">
        <v>212.8</v>
      </c>
      <c r="F101" s="9" t="n">
        <v>206.7</v>
      </c>
      <c r="G101" s="10" t="n">
        <v>5.4</v>
      </c>
      <c r="H101" s="7" t="inlineStr">
        <is>
          <t>なし</t>
        </is>
      </c>
      <c r="I101" s="7" t="inlineStr">
        <is>
          <t>2027(R09)年09月</t>
        </is>
      </c>
      <c r="J101" s="7" t="inlineStr">
        <is>
          <t>保証付</t>
        </is>
      </c>
      <c r="K101" s="16" t="inlineStr">
        <is>
          <t>修復歴なし / 車検 2027/09 まで（残り11ヶ月） / 保証付</t>
        </is>
      </c>
      <c r="L101" s="16" t="inlineStr">
        <is>
          <t>CX-8 2.2 XD Lパッケージ ディーゼルターボ 禁煙 純正7インチメモリナビTV DVD Bluetooth 全方位カメラ レザーシート シートヒーター メモリー付パワーシート スマートキー アダプティブLED HUD BSM ビルトインETC</t>
        </is>
      </c>
      <c r="M101" s="7" t="inlineStr">
        <is>
          <t>https://www.carsensor.net/usedcar/detail/AU7242165927/index.html</t>
        </is>
      </c>
    </row>
    <row r="102">
      <c r="A102" s="11" t="n">
        <v>2020</v>
      </c>
      <c r="B102" s="12" t="inlineStr">
        <is>
          <t>2WD</t>
        </is>
      </c>
      <c r="C102" s="12" t="inlineStr">
        <is>
          <t>2.2 XD Lパッケージ</t>
        </is>
      </c>
      <c r="D102" s="13" t="n">
        <v>3.9</v>
      </c>
      <c r="E102" s="14" t="n">
        <v>262.9</v>
      </c>
      <c r="F102" s="14" t="n">
        <v>256.7</v>
      </c>
      <c r="G102" s="15" t="n">
        <v>5</v>
      </c>
      <c r="H102" s="12" t="inlineStr">
        <is>
          <t>なし</t>
        </is>
      </c>
      <c r="I102" s="12" t="inlineStr">
        <is>
          <t>2027(R09)年09月</t>
        </is>
      </c>
      <c r="J102" s="12" t="inlineStr">
        <is>
          <t>保証付</t>
        </is>
      </c>
      <c r="K102" s="16" t="inlineStr">
        <is>
          <t>修復歴なし / 車検 2027/09 まで（残り11ヶ月） / 保証付</t>
        </is>
      </c>
      <c r="L102" s="16" t="inlineStr">
        <is>
          <t>CX-8 2.2 XD Lパッケージ ディーゼルターボ 4WD 修復歴無し</t>
        </is>
      </c>
      <c r="M102" s="12" t="inlineStr">
        <is>
          <t>https://www.carsensor.net/usedcar/detail/AU7450695043/index.html</t>
        </is>
      </c>
    </row>
    <row r="103">
      <c r="A103" s="6" t="n">
        <v>2021</v>
      </c>
      <c r="B103" s="7" t="inlineStr">
        <is>
          <t>2WD</t>
        </is>
      </c>
      <c r="C103" s="7" t="inlineStr">
        <is>
          <t>2.2 XD Lパッケージ</t>
        </is>
      </c>
      <c r="D103" s="17" t="n">
        <v>3.9</v>
      </c>
      <c r="E103" s="9" t="n">
        <v>239.9</v>
      </c>
      <c r="F103" s="9" t="n">
        <v>227.8</v>
      </c>
      <c r="G103" s="10" t="n">
        <v>8.800000000000001</v>
      </c>
      <c r="H103" s="7" t="inlineStr">
        <is>
          <t>なし</t>
        </is>
      </c>
      <c r="I103" s="7" t="inlineStr">
        <is>
          <t>2028(R10)年03月</t>
        </is>
      </c>
      <c r="J103" s="7" t="inlineStr">
        <is>
          <t>保証付</t>
        </is>
      </c>
      <c r="K103" s="16" t="inlineStr">
        <is>
          <t>走行が多め（8.8万km） / 修復歴なし / 車検 2028/03 まで（残り17ヶ月） / 保証付 / 同年式より安い（中央値 279万）</t>
        </is>
      </c>
      <c r="L103" s="16" t="inlineStr">
        <is>
          <t>CX-8 2.2 XD Lパッケージ ディーゼルターボ 純正10型ナビ 後席モニター 全方位カメラ BOSEサウンド ETC ドラレコ BSM ベンチレーション シート/ステアリングヒーター USB ワイヤレス充電 本革/パワーシート 衝突軽減 禁煙車</t>
        </is>
      </c>
      <c r="M103" s="7" t="inlineStr">
        <is>
          <t>https://www.carsensor.net/usedcar/detail/AU7448590805/index.html</t>
        </is>
      </c>
    </row>
    <row r="104">
      <c r="A104" s="11" t="n">
        <v>2021</v>
      </c>
      <c r="B104" s="12" t="inlineStr">
        <is>
          <t>2WD</t>
        </is>
      </c>
      <c r="C104" s="12" t="inlineStr">
        <is>
          <t>2.2 XD Lパッケージ</t>
        </is>
      </c>
      <c r="D104" s="13" t="n">
        <v>3.9</v>
      </c>
      <c r="E104" s="14" t="n">
        <v>241.9</v>
      </c>
      <c r="F104" s="14" t="n">
        <v>234.9</v>
      </c>
      <c r="G104" s="15" t="n">
        <v>7.1</v>
      </c>
      <c r="H104" s="12" t="inlineStr">
        <is>
          <t>なし</t>
        </is>
      </c>
      <c r="I104" s="12" t="inlineStr">
        <is>
          <t>2028(R10)年03月</t>
        </is>
      </c>
      <c r="J104" s="12" t="inlineStr">
        <is>
          <t>保証付</t>
        </is>
      </c>
      <c r="K104" s="16" t="inlineStr">
        <is>
          <t>走行が多め（7.1万km） / 修復歴なし / 車検 2028/03 まで（残り17ヶ月） / 保証付 / 同年式より安い（中央値 279万）</t>
        </is>
      </c>
      <c r="L104" s="16" t="inlineStr">
        <is>
          <t>CX-8 2.2 XD Lパッケージ ディーゼルターボ エアロ/BOSE/SDナビ/アイアクティブセンス/シートヒーター 前席/360°ビューモニター/車線逸脱防止支援システム/シート 合皮/電動バックドア/ドライブレコーダー 前後</t>
        </is>
      </c>
      <c r="M104" s="12" t="inlineStr">
        <is>
          <t>https://www.carsensor.net/usedcar/detail/AU7441676466/index.html</t>
        </is>
      </c>
    </row>
    <row r="105">
      <c r="A105" s="6" t="n">
        <v>2022</v>
      </c>
      <c r="B105" s="7" t="inlineStr">
        <is>
          <t>2WD</t>
        </is>
      </c>
      <c r="C105" s="7" t="inlineStr">
        <is>
          <t>2.2 XD Lパッケージ</t>
        </is>
      </c>
      <c r="D105" s="17" t="n">
        <v>3.9</v>
      </c>
      <c r="E105" s="9" t="n">
        <v>319.9</v>
      </c>
      <c r="F105" s="9" t="n">
        <v>308.1</v>
      </c>
      <c r="G105" s="10" t="n">
        <v>3.7</v>
      </c>
      <c r="H105" s="7" t="inlineStr">
        <is>
          <t>なし</t>
        </is>
      </c>
      <c r="I105" s="7" t="inlineStr">
        <is>
          <t>2027(R09)年09月</t>
        </is>
      </c>
      <c r="J105" s="7" t="inlineStr">
        <is>
          <t>保証付</t>
        </is>
      </c>
      <c r="K105" s="16" t="inlineStr">
        <is>
          <t>修復歴なし / 車検 2027/09 まで（残り11ヶ月） / 保証付</t>
        </is>
      </c>
      <c r="L105" s="16" t="inlineStr">
        <is>
          <t>CX-8 2.2 XD Lパッケージ ディーゼルターボ 純正10.25インチナビ 10.1インチ後席モニター 全周囲カメラ 衝突被害軽減システム 禁煙車 電動リアゲート レザーシート 前席シートエアコン リアシートエアコン 前後席パワーシート ドラレコ</t>
        </is>
      </c>
      <c r="M105" s="7" t="inlineStr">
        <is>
          <t>https://www.carsensor.net/usedcar/detail/AU7444841472/index.html</t>
        </is>
      </c>
    </row>
    <row r="106">
      <c r="A106" s="11" t="n">
        <v>2022</v>
      </c>
      <c r="B106" s="12" t="inlineStr">
        <is>
          <t>2WD</t>
        </is>
      </c>
      <c r="C106" s="12" t="inlineStr">
        <is>
          <t>2.2 XD Lパッケージ</t>
        </is>
      </c>
      <c r="D106" s="13" t="n">
        <v>3.8</v>
      </c>
      <c r="E106" s="14" t="n">
        <v>321.9</v>
      </c>
      <c r="F106" s="14" t="n">
        <v>309</v>
      </c>
      <c r="G106" s="15" t="n">
        <v>2.6</v>
      </c>
      <c r="H106" s="12" t="inlineStr">
        <is>
          <t>なし</t>
        </is>
      </c>
      <c r="I106" s="12" t="inlineStr">
        <is>
          <t>2027(R09)年02月</t>
        </is>
      </c>
      <c r="J106" s="12" t="inlineStr">
        <is>
          <t>保証無</t>
        </is>
      </c>
      <c r="K106" s="16" t="inlineStr">
        <is>
          <t>走行が少なめ（2.6万km） / 修復歴なし / 車検 2027/02 まで（残り4ヶ月）</t>
        </is>
      </c>
      <c r="L106" s="16" t="inlineStr">
        <is>
          <t>CX-8 2.2 XD Lパッケージ ディーゼルターボ 全方位モニター ヘッドアップディスプレイ シートベンチレーション</t>
        </is>
      </c>
      <c r="M106" s="12" t="inlineStr">
        <is>
          <t>https://www.carsensor.net/usedcar/detail/AU7015952973/index.html</t>
        </is>
      </c>
    </row>
    <row r="107">
      <c r="A107" s="6" t="n">
        <v>2017</v>
      </c>
      <c r="B107" s="7" t="inlineStr">
        <is>
          <t>2WD</t>
        </is>
      </c>
      <c r="C107" s="7" t="inlineStr">
        <is>
          <t>2.2 XD Lパッケージ</t>
        </is>
      </c>
      <c r="D107" s="17" t="n">
        <v>3.7</v>
      </c>
      <c r="E107" s="9" t="n">
        <v>174</v>
      </c>
      <c r="F107" s="9" t="n">
        <v>160</v>
      </c>
      <c r="G107" s="10" t="n">
        <v>8.199999999999999</v>
      </c>
      <c r="H107" s="7" t="inlineStr">
        <is>
          <t>なし</t>
        </is>
      </c>
      <c r="I107" s="7" t="inlineStr">
        <is>
          <t>2027(R09)年06月</t>
        </is>
      </c>
      <c r="J107" s="7" t="inlineStr">
        <is>
          <t>保証付</t>
        </is>
      </c>
      <c r="K107" s="16" t="inlineStr">
        <is>
          <t>修復歴なし / 車検 2027/06 まで（残り8ヶ月） / 保証付</t>
        </is>
      </c>
      <c r="L107" s="16" t="inlineStr">
        <is>
          <t>CX-8 2.2 XD Lパッケージ ディーゼルターボ BOSEスピーカー/アルパALPINEBIGX11インチ専用ナビ/BOSEサウンド/360°ビューモニター/パワーバックドア/禁煙/ETC/純正19インチAW/パワーシート/レザーシート/シートヒーター/フルセグ/USB入力イン11インチナビ</t>
        </is>
      </c>
      <c r="M107" s="7" t="inlineStr">
        <is>
          <t>https://www.carsensor.net/usedcar/detail/AU7379128573/index.html</t>
        </is>
      </c>
    </row>
    <row r="108">
      <c r="A108" s="11" t="n">
        <v>2018</v>
      </c>
      <c r="B108" s="12" t="inlineStr">
        <is>
          <t>2WD</t>
        </is>
      </c>
      <c r="C108" s="12" t="inlineStr">
        <is>
          <t>2.2 XD Lパッケージ</t>
        </is>
      </c>
      <c r="D108" s="13" t="n">
        <v>3.7</v>
      </c>
      <c r="E108" s="14" t="n">
        <v>194.9</v>
      </c>
      <c r="F108" s="14" t="n">
        <v>189</v>
      </c>
      <c r="G108" s="15" t="n">
        <v>7.8</v>
      </c>
      <c r="H108" s="12" t="inlineStr">
        <is>
          <t>なし</t>
        </is>
      </c>
      <c r="I108" s="12" t="inlineStr">
        <is>
          <t>2027(R09)年06月</t>
        </is>
      </c>
      <c r="J108" s="12" t="inlineStr">
        <is>
          <t>保証付</t>
        </is>
      </c>
      <c r="K108" s="16" t="inlineStr">
        <is>
          <t>修復歴なし / 車検 2027/06 まで（残り8ヶ月） / 保証付</t>
        </is>
      </c>
      <c r="L108" s="16" t="inlineStr">
        <is>
          <t>CX-8 2.2 XD Lパッケージ ディーゼルターボ 禁煙車 純正ナビ 全方位カメラ BSM HUD ドラレコ ETC フルセグ DVD パワーバックドア 茶革 シートヒーター 衝突軽減 追従クルコン パーキングセンサー LEDオートライト ルーフレール ヘッドアップディスプレイ</t>
        </is>
      </c>
      <c r="M108" s="12" t="inlineStr">
        <is>
          <t>https://www.carsensor.net/usedcar/detail/AU7258475574/index.html</t>
        </is>
      </c>
    </row>
    <row r="109">
      <c r="A109" s="6" t="n">
        <v>2018</v>
      </c>
      <c r="B109" s="7" t="inlineStr">
        <is>
          <t>2WD</t>
        </is>
      </c>
      <c r="C109" s="7" t="inlineStr">
        <is>
          <t>2.2 XD Lパッケージ</t>
        </is>
      </c>
      <c r="D109" s="17" t="n">
        <v>3.7</v>
      </c>
      <c r="E109" s="9" t="n">
        <v>139.9</v>
      </c>
      <c r="F109" s="9" t="n">
        <v>125</v>
      </c>
      <c r="G109" s="10" t="n">
        <v>16.2</v>
      </c>
      <c r="H109" s="7" t="inlineStr">
        <is>
          <t>なし</t>
        </is>
      </c>
      <c r="I109" s="7" t="inlineStr">
        <is>
          <t>2027(R09)年12月</t>
        </is>
      </c>
      <c r="J109" s="7" t="inlineStr">
        <is>
          <t>保証付</t>
        </is>
      </c>
      <c r="K109" s="16" t="inlineStr">
        <is>
          <t>走行が多め（16.2万km） / 修復歴なし / 車検 2027/12 まで（残り14ヶ月） / 保証付 / 同年式より安い（中央値 196万）</t>
        </is>
      </c>
      <c r="L109" s="16" t="inlineStr">
        <is>
          <t>CX-8 2.2 XD Lパッケージ ディーゼルターボ 法人ワンオーナー/買取直売車/7人乗/本革パワーシート/シートヒーター&amp;クーラー/リアシートヒーター/パワーリアゲート/純正ナビ/フルセグ/BT/全方位カメラ/前後ソナー/ドラレコ/ETC/スマートキー/BSM/オートLED/</t>
        </is>
      </c>
      <c r="M109" s="7" t="inlineStr">
        <is>
          <t>https://www.carsensor.net/usedcar/detail/AU7439108075/index.html</t>
        </is>
      </c>
    </row>
    <row r="110">
      <c r="A110" s="11" t="n">
        <v>2018</v>
      </c>
      <c r="B110" s="12" t="inlineStr">
        <is>
          <t>2WD</t>
        </is>
      </c>
      <c r="C110" s="12" t="inlineStr">
        <is>
          <t>2.2 XD Lパッケージ</t>
        </is>
      </c>
      <c r="D110" s="13" t="n">
        <v>3.7</v>
      </c>
      <c r="E110" s="14" t="n">
        <v>159.8</v>
      </c>
      <c r="F110" s="14" t="n">
        <v>152.5</v>
      </c>
      <c r="G110" s="15" t="n">
        <v>11.5</v>
      </c>
      <c r="H110" s="12" t="inlineStr">
        <is>
          <t>なし</t>
        </is>
      </c>
      <c r="I110" s="12" t="inlineStr">
        <is>
          <t>2027(R09)年12月</t>
        </is>
      </c>
      <c r="J110" s="12" t="inlineStr">
        <is>
          <t>保証付</t>
        </is>
      </c>
      <c r="K110" s="16" t="inlineStr">
        <is>
          <t>走行が多め（11.5万km） / 修復歴なし / 車検 2027/12 まで（残り14ヶ月） / 保証付 / 同年式より安い（中央値 196万）</t>
        </is>
      </c>
      <c r="L110" s="16" t="inlineStr">
        <is>
          <t>CX-8 2.2 XD Lパッケージ ディーゼルターボ 衝突軽減 ACC レーンキープ BSM HUD 全周囲カメラ 純正ナビ 地デジ BT接続 スマートフォン連携 ETC ドラレコ パワーシート シートヒーター ベンチレーション ステアヒーター 純正19AW</t>
        </is>
      </c>
      <c r="M110" s="12" t="inlineStr">
        <is>
          <t>https://www.carsensor.net/usedcar/detail/AU7320967497/index.html</t>
        </is>
      </c>
    </row>
    <row r="111">
      <c r="A111" s="6" t="n">
        <v>2019</v>
      </c>
      <c r="B111" s="7" t="inlineStr">
        <is>
          <t>2WD</t>
        </is>
      </c>
      <c r="C111" s="7" t="inlineStr">
        <is>
          <t>2.2 XD Lパッケージ</t>
        </is>
      </c>
      <c r="D111" s="17" t="n">
        <v>3.7</v>
      </c>
      <c r="E111" s="9" t="n">
        <v>201.9</v>
      </c>
      <c r="F111" s="9" t="n">
        <v>195.1</v>
      </c>
      <c r="G111" s="10" t="n">
        <v>9.699999999999999</v>
      </c>
      <c r="H111" s="7" t="inlineStr">
        <is>
          <t>なし</t>
        </is>
      </c>
      <c r="I111" s="7" t="inlineStr">
        <is>
          <t>2027(R09)年12月</t>
        </is>
      </c>
      <c r="J111" s="7" t="inlineStr">
        <is>
          <t>保証付</t>
        </is>
      </c>
      <c r="K111" s="16" t="inlineStr">
        <is>
          <t>走行が多め（9.7万km） / 修復歴なし / 車検 2027/12 まで（残り14ヶ月） / 保証付 / 同年式より安い（中央値 231万）</t>
        </is>
      </c>
      <c r="L111" s="16" t="inlineStr">
        <is>
          <t>CX-8 2.2 XD Lパッケージ ディーゼルターボ BOSE/SDナビ/アイアクティブセンス/シートヒーター 前席/360°ビューモニター/車線逸脱防止支援システム/シート 合皮/電動バックドア/ヘッドランプ LED/ETC</t>
        </is>
      </c>
      <c r="M111" s="7" t="inlineStr">
        <is>
          <t>https://www.carsensor.net/usedcar/detail/AU7245476234/index.html</t>
        </is>
      </c>
    </row>
    <row r="112">
      <c r="A112" s="11" t="n">
        <v>2022</v>
      </c>
      <c r="B112" s="12" t="inlineStr">
        <is>
          <t>2WD</t>
        </is>
      </c>
      <c r="C112" s="12" t="inlineStr">
        <is>
          <t>2.2 XD Lパッケージ</t>
        </is>
      </c>
      <c r="D112" s="13" t="n">
        <v>3.7</v>
      </c>
      <c r="E112" s="14" t="n">
        <v>283.5</v>
      </c>
      <c r="F112" s="14" t="n">
        <v>271.9</v>
      </c>
      <c r="G112" s="15" t="n">
        <v>4.8</v>
      </c>
      <c r="H112" s="12" t="inlineStr">
        <is>
          <t>なし</t>
        </is>
      </c>
      <c r="I112" s="12" t="inlineStr">
        <is>
          <t>2027(R09)年06月</t>
        </is>
      </c>
      <c r="J112" s="12" t="inlineStr">
        <is>
          <t>保証付</t>
        </is>
      </c>
      <c r="K112" s="16" t="inlineStr">
        <is>
          <t>修復歴なし / 車検 2027/06 まで（残り8ヶ月） / 保証付</t>
        </is>
      </c>
      <c r="L112" s="16" t="inlineStr">
        <is>
          <t>CX-8 2.2 XD Lパッケージ ディーゼルターボ 純正10型ナビ 全周囲カメラ 衝突軽減 レッドレザーシート シートベンチレーション パワーシート パワーバックドア ステアリングヒーター BSM HUD ワイヤレス充電</t>
        </is>
      </c>
      <c r="M112" s="12" t="inlineStr">
        <is>
          <t>https://www.carsensor.net/usedcar/detail/AU7228425430/index.html</t>
        </is>
      </c>
    </row>
    <row r="113">
      <c r="A113" s="6" t="n">
        <v>2018</v>
      </c>
      <c r="B113" s="7" t="inlineStr">
        <is>
          <t>2WD</t>
        </is>
      </c>
      <c r="C113" s="7" t="inlineStr">
        <is>
          <t>2.2 XD Lパッケージ</t>
        </is>
      </c>
      <c r="D113" s="17" t="n">
        <v>3.6</v>
      </c>
      <c r="E113" s="9" t="n">
        <v>204.8</v>
      </c>
      <c r="F113" s="9" t="n">
        <v>199</v>
      </c>
      <c r="G113" s="10" t="n">
        <v>6.5</v>
      </c>
      <c r="H113" s="7" t="inlineStr">
        <is>
          <t>なし</t>
        </is>
      </c>
      <c r="I113" s="7" t="inlineStr">
        <is>
          <t>2027(R09)年05月</t>
        </is>
      </c>
      <c r="J113" s="7" t="inlineStr">
        <is>
          <t>保証付</t>
        </is>
      </c>
      <c r="K113" s="16" t="inlineStr">
        <is>
          <t>修復歴なし / 車検 2027/05 まで（残り7ヶ月） / 保証付</t>
        </is>
      </c>
      <c r="L113" s="16" t="inlineStr">
        <is>
          <t>CX-8 2.2 XD Lパッケージ ディーゼルターボ 6人 純正ナビ 全方位 フリップダウンモニター 衝突軽減ブレーキ レーダークルーズコントロール ビルトインETC2.0 シートヒーター LEDヘッドライト ドライブレコーダー パワーシート パワーバックドア ISOFIX</t>
        </is>
      </c>
      <c r="M113" s="7" t="inlineStr">
        <is>
          <t>https://www.carsensor.net/usedcar/detail/AU7259184197/index.html</t>
        </is>
      </c>
    </row>
    <row r="114">
      <c r="A114" s="11" t="n">
        <v>2020</v>
      </c>
      <c r="B114" s="12" t="inlineStr">
        <is>
          <t>2WD</t>
        </is>
      </c>
      <c r="C114" s="12" t="inlineStr">
        <is>
          <t>2.2 XD Lパッケージ</t>
        </is>
      </c>
      <c r="D114" s="13" t="n">
        <v>3.6</v>
      </c>
      <c r="E114" s="14" t="n">
        <v>289.9</v>
      </c>
      <c r="F114" s="14" t="n">
        <v>278.4</v>
      </c>
      <c r="G114" s="15" t="n">
        <v>5.4</v>
      </c>
      <c r="H114" s="12" t="inlineStr">
        <is>
          <t>なし</t>
        </is>
      </c>
      <c r="I114" s="12" t="inlineStr">
        <is>
          <t>2027(R09)年05月</t>
        </is>
      </c>
      <c r="J114" s="12" t="inlineStr">
        <is>
          <t>保証付</t>
        </is>
      </c>
      <c r="K114" s="16" t="inlineStr">
        <is>
          <t>修復歴なし / 車検 2027/05 まで（残り7ヶ月） / 保証付</t>
        </is>
      </c>
      <c r="L114" s="16" t="inlineStr">
        <is>
          <t>CX-8 2.2 XD Lパッケージ ディーゼルターボ サンルーフ 全周囲カメラ 純正ナビ 衝突軽減装置 電動リアゲート 前中列シートヒーター コーナーセンサー ステアリングヒーター レーダークルーズ ルーフレール 純正19インチAW ETC 禁煙車</t>
        </is>
      </c>
      <c r="M114" s="12" t="inlineStr">
        <is>
          <t>https://www.carsensor.net/usedcar/detail/AU7371008844/index.html</t>
        </is>
      </c>
    </row>
    <row r="115">
      <c r="A115" s="6" t="n">
        <v>2020</v>
      </c>
      <c r="B115" s="7" t="inlineStr">
        <is>
          <t>2WD</t>
        </is>
      </c>
      <c r="C115" s="7" t="inlineStr">
        <is>
          <t>2.2 XD Lパッケージ</t>
        </is>
      </c>
      <c r="D115" s="17" t="n">
        <v>3.6</v>
      </c>
      <c r="E115" s="9" t="n">
        <v>269.5</v>
      </c>
      <c r="F115" s="9" t="n">
        <v>259.8</v>
      </c>
      <c r="G115" s="10" t="n">
        <v>5</v>
      </c>
      <c r="H115" s="7" t="inlineStr">
        <is>
          <t>なし</t>
        </is>
      </c>
      <c r="I115" s="7" t="inlineStr">
        <is>
          <t>2027(R09)年05月</t>
        </is>
      </c>
      <c r="J115" s="7" t="inlineStr">
        <is>
          <t>保証付</t>
        </is>
      </c>
      <c r="K115" s="16" t="inlineStr">
        <is>
          <t>修復歴なし / 車検 2027/05 まで（残り7ヶ月） / 保証付</t>
        </is>
      </c>
      <c r="L115" s="16" t="inlineStr">
        <is>
          <t>CX-8 2.2 XD Lパッケージ ディーゼルターボ シートベンチレーション</t>
        </is>
      </c>
      <c r="M115" s="7" t="inlineStr">
        <is>
          <t>https://www.carsensor.net/usedcar/detail/AU7407545274/index.html</t>
        </is>
      </c>
    </row>
    <row r="116">
      <c r="A116" s="11" t="n">
        <v>2017</v>
      </c>
      <c r="B116" s="12" t="inlineStr">
        <is>
          <t>2WD</t>
        </is>
      </c>
      <c r="C116" s="12" t="inlineStr">
        <is>
          <t>2.2 XD Lパッケージ</t>
        </is>
      </c>
      <c r="D116" s="13" t="n">
        <v>3.5</v>
      </c>
      <c r="E116" s="14" t="n">
        <v>199.9</v>
      </c>
      <c r="F116" s="14" t="n">
        <v>194.2</v>
      </c>
      <c r="G116" s="15" t="n">
        <v>7.3</v>
      </c>
      <c r="H116" s="12" t="inlineStr">
        <is>
          <t>なし</t>
        </is>
      </c>
      <c r="I116" s="12" t="inlineStr">
        <is>
          <t>2027(R09)年04月</t>
        </is>
      </c>
      <c r="J116" s="12" t="inlineStr">
        <is>
          <t>保証付</t>
        </is>
      </c>
      <c r="K116" s="16" t="inlineStr">
        <is>
          <t>修復歴なし / 車検 2027/04 まで（残り6ヶ月） / 保証付</t>
        </is>
      </c>
      <c r="L116" s="16" t="inlineStr">
        <is>
          <t>CX-8 2.2 XD Lパッケージ ディーゼルターボ 純正ナビ(AM FM BT フルセグTV USB)</t>
        </is>
      </c>
      <c r="M116" s="12" t="inlineStr">
        <is>
          <t>https://www.carsensor.net/usedcar/detail/AU7336065938/index.html</t>
        </is>
      </c>
    </row>
    <row r="117">
      <c r="A117" s="6" t="n">
        <v>2018</v>
      </c>
      <c r="B117" s="7" t="inlineStr">
        <is>
          <t>2WD</t>
        </is>
      </c>
      <c r="C117" s="7" t="inlineStr">
        <is>
          <t>2.2 XD Lパッケージ</t>
        </is>
      </c>
      <c r="D117" s="17" t="n">
        <v>3.5</v>
      </c>
      <c r="E117" s="9" t="n">
        <v>162.8</v>
      </c>
      <c r="F117" s="9" t="n">
        <v>151.1</v>
      </c>
      <c r="G117" s="10" t="n">
        <v>11.7</v>
      </c>
      <c r="H117" s="7" t="inlineStr">
        <is>
          <t>なし</t>
        </is>
      </c>
      <c r="I117" s="7" t="inlineStr">
        <is>
          <t>2027(R09)年10月</t>
        </is>
      </c>
      <c r="J117" s="7" t="inlineStr">
        <is>
          <t>保証付</t>
        </is>
      </c>
      <c r="K117" s="16" t="inlineStr">
        <is>
          <t>走行が多め（11.7万km） / 修復歴なし / 車検 2027/10 まで（残り12ヶ月） / 保証付 / 同年式より安い（中央値 196万）</t>
        </is>
      </c>
      <c r="L117" s="16" t="inlineStr">
        <is>
          <t>CX-8 2.2 XD Lパッケージ ディーゼルターボ 純正ナビ 全周囲カメラ BOSEサウンドシステム アドバンスドスマートシティブレーキサポート レーダークルーズ 禁煙車 ETC ドラレコ パワーバックドア 本革シート シートヒーター</t>
        </is>
      </c>
      <c r="M117" s="7" t="inlineStr">
        <is>
          <t>https://www.carsensor.net/usedcar/detail/AU7375486147/index.html</t>
        </is>
      </c>
    </row>
    <row r="118">
      <c r="A118" s="11" t="n">
        <v>2018</v>
      </c>
      <c r="B118" s="12" t="inlineStr">
        <is>
          <t>2WD</t>
        </is>
      </c>
      <c r="C118" s="12" t="inlineStr">
        <is>
          <t>2.2 XD Lパッケージ</t>
        </is>
      </c>
      <c r="D118" s="13" t="n">
        <v>3.5</v>
      </c>
      <c r="E118" s="14" t="n">
        <v>189.9</v>
      </c>
      <c r="F118" s="14" t="n">
        <v>179.8</v>
      </c>
      <c r="G118" s="15" t="n">
        <v>5.4</v>
      </c>
      <c r="H118" s="12" t="inlineStr">
        <is>
          <t>なし</t>
        </is>
      </c>
      <c r="I118" s="12" t="inlineStr">
        <is>
          <t>2027(R09)年04月</t>
        </is>
      </c>
      <c r="J118" s="12" t="inlineStr">
        <is>
          <t>保証付</t>
        </is>
      </c>
      <c r="K118" s="16" t="inlineStr">
        <is>
          <t>修復歴なし / 車検 2027/04 まで（残り6ヶ月） / 保証付</t>
        </is>
      </c>
      <c r="L118" s="16" t="inlineStr">
        <is>
          <t>CX-8 2.2 XD Lパッケージ ディーゼルターボ ディーゼル(軽油) 純正SDナビ バックカメラ BOSEサウンド 衝突被害軽減システム 禁煙車 電動リアゲート レザーシート 全席シートヒーター ドラレコ コーナーセンサー スマートキー</t>
        </is>
      </c>
      <c r="M118" s="12" t="inlineStr">
        <is>
          <t>https://www.carsensor.net/usedcar/detail/AU7331877338/index.html</t>
        </is>
      </c>
    </row>
    <row r="119">
      <c r="A119" s="6" t="n">
        <v>2021</v>
      </c>
      <c r="B119" s="7" t="inlineStr">
        <is>
          <t>2WD</t>
        </is>
      </c>
      <c r="C119" s="7" t="inlineStr">
        <is>
          <t>2.2 XD Lパッケージ</t>
        </is>
      </c>
      <c r="D119" s="17" t="n">
        <v>3.5</v>
      </c>
      <c r="E119" s="9" t="n">
        <v>234.5</v>
      </c>
      <c r="F119" s="9" t="n">
        <v>219.9</v>
      </c>
      <c r="G119" s="10" t="n">
        <v>7.8</v>
      </c>
      <c r="H119" s="7" t="inlineStr">
        <is>
          <t>なし</t>
        </is>
      </c>
      <c r="I119" s="7" t="inlineStr">
        <is>
          <t>車検整備付</t>
        </is>
      </c>
      <c r="J119" s="7" t="inlineStr">
        <is>
          <t>保証付</t>
        </is>
      </c>
      <c r="K119" s="16" t="inlineStr">
        <is>
          <t>走行が多め（7.8万km） / 修復歴なし / 車検整備付 / 保証付 / 同年式より安い（中央値 279万）</t>
        </is>
      </c>
      <c r="L119" s="16" t="inlineStr">
        <is>
          <t>CX-8 2.2 XD Lパッケージ ディーゼルターボ 3列7人乗/OP:レッド革シート/360度ビュー/BOSE/前後衝突軽減/BSM/パーキングセンサー/レーダークルコン/LKA/アダプティブLEDヘッド/Fフォグ/ルーフレール/10.25型マツコネナビ/360度ビュー/BOSE/AppleCarPlay/ETC</t>
        </is>
      </c>
      <c r="M119" s="7" t="inlineStr">
        <is>
          <t>https://www.carsensor.net/usedcar/detail/AU7296169300/index.html</t>
        </is>
      </c>
    </row>
    <row r="120">
      <c r="A120" s="11" t="n">
        <v>2021</v>
      </c>
      <c r="B120" s="12" t="inlineStr">
        <is>
          <t>2WD</t>
        </is>
      </c>
      <c r="C120" s="12" t="inlineStr">
        <is>
          <t>2.2 XD Lパッケージ</t>
        </is>
      </c>
      <c r="D120" s="13" t="n">
        <v>3.5</v>
      </c>
      <c r="E120" s="14" t="n">
        <v>299.9</v>
      </c>
      <c r="F120" s="14" t="n">
        <v>288.4</v>
      </c>
      <c r="G120" s="15" t="n">
        <v>5.3</v>
      </c>
      <c r="H120" s="12" t="inlineStr">
        <is>
          <t>なし</t>
        </is>
      </c>
      <c r="I120" s="12" t="inlineStr">
        <is>
          <t>2027(R09)年04月</t>
        </is>
      </c>
      <c r="J120" s="12" t="inlineStr">
        <is>
          <t>保証付</t>
        </is>
      </c>
      <c r="K120" s="16" t="inlineStr">
        <is>
          <t>修復歴なし / 車検 2027/04 まで（残り6ヶ月） / 保証付</t>
        </is>
      </c>
      <c r="L120" s="16" t="inlineStr">
        <is>
          <t>CX-8 2.2 XD Lパッケージ ディーゼルターボ 禁煙車 純正10.25型ナビ 後席モニター 全方位モニター BOSEサウンド スマートシティブレーキ レーダークルーズ BSM ETC ドラレコ ヘッドアップディスプレイ レッド革シート</t>
        </is>
      </c>
      <c r="M120" s="12" t="inlineStr">
        <is>
          <t>https://www.carsensor.net/usedcar/detail/AU7248601758/index.html</t>
        </is>
      </c>
    </row>
    <row r="121">
      <c r="A121" s="6" t="n">
        <v>2018</v>
      </c>
      <c r="B121" s="7" t="inlineStr">
        <is>
          <t>2WD</t>
        </is>
      </c>
      <c r="C121" s="7" t="inlineStr">
        <is>
          <t>2.2 XD Lパッケージ</t>
        </is>
      </c>
      <c r="D121" s="17" t="n">
        <v>3.4</v>
      </c>
      <c r="E121" s="9" t="n">
        <v>195</v>
      </c>
      <c r="F121" s="9" t="n">
        <v>181</v>
      </c>
      <c r="G121" s="10" t="n">
        <v>6.8</v>
      </c>
      <c r="H121" s="7" t="inlineStr">
        <is>
          <t>なし</t>
        </is>
      </c>
      <c r="I121" s="7" t="inlineStr">
        <is>
          <t>2027(R09)年03月</t>
        </is>
      </c>
      <c r="J121" s="7" t="inlineStr">
        <is>
          <t>保証付</t>
        </is>
      </c>
      <c r="K121" s="16" t="inlineStr">
        <is>
          <t>修復歴なし / 車検 2027/03 まで（残り5ヶ月） / 保証付</t>
        </is>
      </c>
      <c r="L121" s="16" t="inlineStr">
        <is>
          <t>CX-8 2.2 XD Lパッケージ ディーゼルターボ 本革シート パワーシート シートヒーター 2列目シートヒーター ビルトインETC 純正アルミ 純正ナビ フルセグ 360度カメラ 車検R9.3.29 スマートキー パワーバックドア</t>
        </is>
      </c>
      <c r="M121" s="7" t="inlineStr">
        <is>
          <t>https://www.carsensor.net/usedcar/detail/AU7326025919/index.html</t>
        </is>
      </c>
    </row>
    <row r="122">
      <c r="A122" s="11" t="n">
        <v>2018</v>
      </c>
      <c r="B122" s="12" t="inlineStr">
        <is>
          <t>2WD</t>
        </is>
      </c>
      <c r="C122" s="12" t="inlineStr">
        <is>
          <t>2.2 XD Lパッケージ</t>
        </is>
      </c>
      <c r="D122" s="13" t="n">
        <v>3.4</v>
      </c>
      <c r="E122" s="14" t="n">
        <v>198.8</v>
      </c>
      <c r="F122" s="14" t="n">
        <v>188.8</v>
      </c>
      <c r="G122" s="15" t="n">
        <v>5.5</v>
      </c>
      <c r="H122" s="12" t="inlineStr">
        <is>
          <t>なし</t>
        </is>
      </c>
      <c r="I122" s="12" t="inlineStr">
        <is>
          <t>2027(R09)年03月</t>
        </is>
      </c>
      <c r="J122" s="12" t="inlineStr">
        <is>
          <t>保証付</t>
        </is>
      </c>
      <c r="K122" s="16" t="inlineStr">
        <is>
          <t>修復歴なし / 車検 2027/03 まで（残り5ヶ月） / 保証付</t>
        </is>
      </c>
      <c r="L122" s="16" t="inlineStr">
        <is>
          <t>CX-8 2.2 XD Lパッケージ ディーゼルターボ 禁煙 ワンオーナー 白革 後席モニター パワーシートヒーター Bluetooth USB BSM HUD ドラレコ レーダークルーズ パワーバックドア LEDヘッド アラウンドビュー ETC2.0 ステアリングヒーター</t>
        </is>
      </c>
      <c r="M122" s="12" t="inlineStr">
        <is>
          <t>https://www.carsensor.net/usedcar/detail/AU7082890325/index.html</t>
        </is>
      </c>
    </row>
    <row r="123">
      <c r="A123" s="6" t="n">
        <v>2019</v>
      </c>
      <c r="B123" s="7" t="inlineStr">
        <is>
          <t>2WD</t>
        </is>
      </c>
      <c r="C123" s="7" t="inlineStr">
        <is>
          <t>2.2 XD Lパッケージ</t>
        </is>
      </c>
      <c r="D123" s="17" t="n">
        <v>3.4</v>
      </c>
      <c r="E123" s="9" t="n">
        <v>216.3</v>
      </c>
      <c r="F123" s="9" t="n">
        <v>209.6</v>
      </c>
      <c r="G123" s="10" t="n">
        <v>10.4</v>
      </c>
      <c r="H123" s="7" t="inlineStr">
        <is>
          <t>なし</t>
        </is>
      </c>
      <c r="I123" s="7" t="inlineStr">
        <is>
          <t>2028(R10)年09月</t>
        </is>
      </c>
      <c r="J123" s="7" t="inlineStr">
        <is>
          <t>保証付</t>
        </is>
      </c>
      <c r="K123" s="16" t="inlineStr">
        <is>
          <t>走行が多め（10.4万km） / 修復歴なし / 車検 2028/09 まで（残り23ヶ月） / 保証付</t>
        </is>
      </c>
      <c r="L123" s="16" t="inlineStr">
        <is>
          <t>CX-8 2.2 XD Lパッケージ ディーゼルターボ BOSEサウンド 純正ナビ 全方位カメラ ETC ドラレコ レーダークルーズコントロール 電動リアゲート オートライト パワーシート シートメモリ シートベンチレーション ロールサンシェード</t>
        </is>
      </c>
      <c r="M123" s="7" t="inlineStr">
        <is>
          <t>https://www.carsensor.net/usedcar/detail/AU7414406064/index.html</t>
        </is>
      </c>
    </row>
    <row r="124">
      <c r="A124" s="11" t="n">
        <v>2020</v>
      </c>
      <c r="B124" s="12" t="inlineStr">
        <is>
          <t>2WD</t>
        </is>
      </c>
      <c r="C124" s="12" t="inlineStr">
        <is>
          <t>2.2 XD Lパッケージ</t>
        </is>
      </c>
      <c r="D124" s="13" t="n">
        <v>3.4</v>
      </c>
      <c r="E124" s="14" t="n">
        <v>269.8</v>
      </c>
      <c r="F124" s="14" t="n">
        <v>264</v>
      </c>
      <c r="G124" s="15" t="n">
        <v>5.4</v>
      </c>
      <c r="H124" s="12" t="inlineStr">
        <is>
          <t>なし</t>
        </is>
      </c>
      <c r="I124" s="12" t="inlineStr">
        <is>
          <t>2027(R09)年03月</t>
        </is>
      </c>
      <c r="J124" s="12" t="inlineStr">
        <is>
          <t>保証付</t>
        </is>
      </c>
      <c r="K124" s="16" t="inlineStr">
        <is>
          <t>修復歴なし / 車検 2027/03 まで（残り5ヶ月） / 保証付</t>
        </is>
      </c>
      <c r="L124" s="16" t="inlineStr">
        <is>
          <t>CX-8 2.2 XD Lパッケージ ディーゼルターボ 禁煙車 純正8型ナビ アルパイン後席モニター 全方位カメラ 黒革 エアシート HUD BSM フルセグ DVD 前後ドラレコ ETC 追従クルコン 衝突軽減 コーナーセンサー LEDライト 純正マット</t>
        </is>
      </c>
      <c r="M124" s="12" t="inlineStr">
        <is>
          <t>https://www.carsensor.net/usedcar/detail/AU7258475768/index.html</t>
        </is>
      </c>
    </row>
    <row r="125">
      <c r="A125" s="6" t="n">
        <v>2022</v>
      </c>
      <c r="B125" s="7" t="inlineStr">
        <is>
          <t>2WD</t>
        </is>
      </c>
      <c r="C125" s="7" t="inlineStr">
        <is>
          <t>2.2 XD Lパッケージ</t>
        </is>
      </c>
      <c r="D125" s="17" t="n">
        <v>3.4</v>
      </c>
      <c r="E125" s="9" t="n">
        <v>246.4</v>
      </c>
      <c r="F125" s="9" t="n">
        <v>234.9</v>
      </c>
      <c r="G125" s="10" t="n">
        <v>7.9</v>
      </c>
      <c r="H125" s="7" t="inlineStr">
        <is>
          <t>なし</t>
        </is>
      </c>
      <c r="I125" s="7" t="inlineStr">
        <is>
          <t>2027(R09)年09月</t>
        </is>
      </c>
      <c r="J125" s="7" t="inlineStr">
        <is>
          <t>保証付</t>
        </is>
      </c>
      <c r="K125" s="16" t="inlineStr">
        <is>
          <t>走行が多め（7.9万km） / 修復歴なし / 車検 2027/09 まで（残り11ヶ月） / 保証付 / 同年式より安い（中央値 296万）</t>
        </is>
      </c>
      <c r="L125" s="16" t="inlineStr">
        <is>
          <t>CX-8 2.2 XD Lパッケージ ディーゼルターボ 3列7人乗/360度ビュー/BOSE/前後衝突軽減/BSM/パーキングセンサー/レーダークルコン/LKA/アダプティブLEDヘッド/Fフォグ/ルーフレール/黒革シート/Pシート/ベンチレーション/10.25型マツコネナビ/AppleCarPlay/ETC</t>
        </is>
      </c>
      <c r="M125" s="7" t="inlineStr">
        <is>
          <t>https://www.carsensor.net/usedcar/detail/AU7234228569/index.html</t>
        </is>
      </c>
    </row>
    <row r="126">
      <c r="A126" s="11" t="n">
        <v>2022</v>
      </c>
      <c r="B126" s="12" t="inlineStr">
        <is>
          <t>2WD</t>
        </is>
      </c>
      <c r="C126" s="12" t="inlineStr">
        <is>
          <t>2.2 XD Lパッケージ</t>
        </is>
      </c>
      <c r="D126" s="13" t="n">
        <v>3.3</v>
      </c>
      <c r="E126" s="14" t="n">
        <v>289.9</v>
      </c>
      <c r="F126" s="14" t="n">
        <v>278.5</v>
      </c>
      <c r="G126" s="15" t="n">
        <v>4.3</v>
      </c>
      <c r="H126" s="12" t="inlineStr">
        <is>
          <t>なし</t>
        </is>
      </c>
      <c r="I126" s="12" t="inlineStr">
        <is>
          <t>2027(R09)年02月</t>
        </is>
      </c>
      <c r="J126" s="12" t="inlineStr">
        <is>
          <t>保証付</t>
        </is>
      </c>
      <c r="K126" s="16" t="inlineStr">
        <is>
          <t>修復歴なし / 車検 2027/02 まで（残り4ヶ月） / 保証付</t>
        </is>
      </c>
      <c r="L126" s="16" t="inlineStr">
        <is>
          <t>CX-8 2.2 XD Lパッケージ ディーゼルターボ 禁煙車 純正10型ナビ 全周囲カメラ レーダークルーズ ブラインドスポットモニター パワーバックドア ベンチレーション メモリーシート LEDヘッド 純正19インチアルミ パドルシフト</t>
        </is>
      </c>
      <c r="M126" s="12" t="inlineStr">
        <is>
          <t>https://www.carsensor.net/usedcar/detail/AU7185919943/index.html</t>
        </is>
      </c>
    </row>
    <row r="127">
      <c r="A127" s="6" t="n">
        <v>2020</v>
      </c>
      <c r="B127" s="7" t="inlineStr">
        <is>
          <t>2WD</t>
        </is>
      </c>
      <c r="C127" s="7" t="inlineStr">
        <is>
          <t>2.2 XD Lパッケージ</t>
        </is>
      </c>
      <c r="D127" s="17" t="n">
        <v>3.2</v>
      </c>
      <c r="E127" s="9" t="n">
        <v>208.9</v>
      </c>
      <c r="F127" s="9" t="n">
        <v>202.5</v>
      </c>
      <c r="G127" s="10" t="n">
        <v>8.199999999999999</v>
      </c>
      <c r="H127" s="7" t="inlineStr">
        <is>
          <t>なし</t>
        </is>
      </c>
      <c r="I127" s="7" t="inlineStr">
        <is>
          <t>2027(R09)年06月</t>
        </is>
      </c>
      <c r="J127" s="7" t="inlineStr">
        <is>
          <t>保証付</t>
        </is>
      </c>
      <c r="K127" s="16" t="inlineStr">
        <is>
          <t>走行が多め（8.2万km） / 修復歴なし / 車検 2027/06 まで（残り8ヶ月） / 保証付 / 同年式より安い（中央値 250万）</t>
        </is>
      </c>
      <c r="L127" s="16" t="inlineStr">
        <is>
          <t>CX-8 2.2 XD Lパッケージ ディーゼルターボ 新品タイヤ/SDナビ/衝突安全装置/エアーシート 前席/360°ビューモニター/車線逸脱防止支援システム/シート 合皮/電動バックドア/ヘッドランプ LED/Bluetooth接続</t>
        </is>
      </c>
      <c r="M127" s="7" t="inlineStr">
        <is>
          <t>https://www.carsensor.net/usedcar/detail/AU7177306780/index.html</t>
        </is>
      </c>
    </row>
    <row r="128">
      <c r="A128" s="11" t="n">
        <v>2017</v>
      </c>
      <c r="B128" s="12" t="inlineStr">
        <is>
          <t>2WD</t>
        </is>
      </c>
      <c r="C128" s="12" t="inlineStr">
        <is>
          <t>2.2 XD Lパッケージ</t>
        </is>
      </c>
      <c r="D128" s="13" t="n">
        <v>3.1</v>
      </c>
      <c r="E128" s="14" t="n">
        <v>199.8</v>
      </c>
      <c r="F128" s="14" t="n">
        <v>189.8</v>
      </c>
      <c r="G128" s="15" t="n">
        <v>7</v>
      </c>
      <c r="H128" s="12" t="inlineStr">
        <is>
          <t>なし</t>
        </is>
      </c>
      <c r="I128" s="12" t="inlineStr">
        <is>
          <t>2026(R08)年11月</t>
        </is>
      </c>
      <c r="J128" s="12" t="inlineStr">
        <is>
          <t>保証付</t>
        </is>
      </c>
      <c r="K128" s="16" t="inlineStr">
        <is>
          <t>修復歴なし / 車検 2026/11 まで（残り1ヶ月） / 保証付</t>
        </is>
      </c>
      <c r="L128" s="16" t="inlineStr">
        <is>
          <t>CX-8 2.2 XD Lパッケージ ディーゼルターボ 純正ナビ TV Bluetooth 全方位カメラ ドライブレコーダー ETC クルーズコントロール LEDヘッドライト オートライト プッシュスタート BOSEサウンド コーナーセンサー パワーシート</t>
        </is>
      </c>
      <c r="M128" s="12" t="inlineStr">
        <is>
          <t>https://www.carsensor.net/usedcar/detail/AU7285584773/index.html</t>
        </is>
      </c>
    </row>
    <row r="129">
      <c r="A129" s="6" t="n">
        <v>2019</v>
      </c>
      <c r="B129" s="7" t="inlineStr">
        <is>
          <t>2WD</t>
        </is>
      </c>
      <c r="C129" s="7" t="inlineStr">
        <is>
          <t>2.2 XD Lパッケージ</t>
        </is>
      </c>
      <c r="D129" s="17" t="n">
        <v>3.1</v>
      </c>
      <c r="E129" s="9" t="n">
        <v>233.8</v>
      </c>
      <c r="F129" s="9" t="n">
        <v>227</v>
      </c>
      <c r="G129" s="10" t="n">
        <v>5.5</v>
      </c>
      <c r="H129" s="7" t="inlineStr">
        <is>
          <t>なし</t>
        </is>
      </c>
      <c r="I129" s="7" t="inlineStr">
        <is>
          <t>2026(R08)年11月</t>
        </is>
      </c>
      <c r="J129" s="7" t="inlineStr">
        <is>
          <t>保証付</t>
        </is>
      </c>
      <c r="K129" s="16" t="inlineStr">
        <is>
          <t>修復歴なし / 車検 2026/11 まで（残り1ヶ月） / 保証付</t>
        </is>
      </c>
      <c r="L129" s="16" t="inlineStr">
        <is>
          <t>CX-8 2.2 XD Lパッケージ ディーゼルターボ サンルーフ 純正8インチナビ 360度ビュー BSM HUD 黒レザーシート BOSE シティブレーキサポート レーダークルーズ シートヒーター ステアリングヒーター 純正アルミホイール LEDライト</t>
        </is>
      </c>
      <c r="M129" s="7" t="inlineStr">
        <is>
          <t>https://www.carsensor.net/usedcar/detail/AU7193644987/index.html</t>
        </is>
      </c>
    </row>
    <row r="130">
      <c r="A130" s="11" t="n">
        <v>2017</v>
      </c>
      <c r="B130" s="12" t="inlineStr">
        <is>
          <t>2WD</t>
        </is>
      </c>
      <c r="C130" s="12" t="inlineStr">
        <is>
          <t>2.2 XD Lパッケージ</t>
        </is>
      </c>
      <c r="D130" s="13" t="n">
        <v>3</v>
      </c>
      <c r="E130" s="14" t="n">
        <v>136.7</v>
      </c>
      <c r="F130" s="14" t="n">
        <v>117</v>
      </c>
      <c r="G130" s="15" t="n">
        <v>7.8</v>
      </c>
      <c r="H130" s="12" t="inlineStr">
        <is>
          <t>なし</t>
        </is>
      </c>
      <c r="I130" s="12" t="inlineStr">
        <is>
          <t>車検整備無</t>
        </is>
      </c>
      <c r="J130" s="12" t="inlineStr">
        <is>
          <t>保証無</t>
        </is>
      </c>
      <c r="K130" s="16" t="inlineStr">
        <is>
          <t>修復歴なし / 同年式より安い（中央値 184万）</t>
        </is>
      </c>
      <c r="L130" s="16" t="inlineStr">
        <is>
          <t>CX-8 2.2 XD Lパッケージ ディーゼルターボ 禁煙車 黒革シート BOSEサウンド 純正ナビ TV 全周囲カメラ 電動Rゲート シートヒーター アダプティブクルーズコントロール ブラインドスポットモニタ LEDヘッド 社外17インチAW ETC</t>
        </is>
      </c>
      <c r="M130" s="12" t="inlineStr">
        <is>
          <t>https://www.carsensor.net/usedcar/detail/AU7050351704/index.html</t>
        </is>
      </c>
    </row>
    <row r="131">
      <c r="A131" s="6" t="n">
        <v>2017</v>
      </c>
      <c r="B131" s="7" t="inlineStr">
        <is>
          <t>2WD</t>
        </is>
      </c>
      <c r="C131" s="7" t="inlineStr">
        <is>
          <t>2.2 XD Lパッケージ</t>
        </is>
      </c>
      <c r="D131" s="17" t="n">
        <v>3</v>
      </c>
      <c r="E131" s="9" t="n">
        <v>209</v>
      </c>
      <c r="F131" s="9" t="n">
        <v>193</v>
      </c>
      <c r="G131" s="10" t="n">
        <v>6.2</v>
      </c>
      <c r="H131" s="7" t="inlineStr">
        <is>
          <t>なし</t>
        </is>
      </c>
      <c r="I131" s="7" t="inlineStr">
        <is>
          <t>車検整備付</t>
        </is>
      </c>
      <c r="J131" s="7" t="inlineStr">
        <is>
          <t>保証無</t>
        </is>
      </c>
      <c r="K131" s="16" t="inlineStr">
        <is>
          <t>修復歴なし / 車検整備付</t>
        </is>
      </c>
      <c r="L131" s="16" t="inlineStr">
        <is>
          <t>CX-8 2.2 XD Lパッケージ ディーゼルターボ i-アクティブセンス レザーシート BOSEスピーカー ステアリングヒーター パワーシート シートヒーター 全方位カメラ 純正SDナビ フルセグTV スマートキー ドラレコ前後 純19インチAW</t>
        </is>
      </c>
      <c r="M131" s="7" t="inlineStr">
        <is>
          <t>https://www.carsensor.net/usedcar/detail/AU6025924160/index.html</t>
        </is>
      </c>
    </row>
    <row r="132">
      <c r="A132" s="11" t="n">
        <v>2018</v>
      </c>
      <c r="B132" s="12" t="inlineStr">
        <is>
          <t>2WD</t>
        </is>
      </c>
      <c r="C132" s="12" t="inlineStr">
        <is>
          <t>2.2 XD Lパッケージ</t>
        </is>
      </c>
      <c r="D132" s="13" t="n">
        <v>3</v>
      </c>
      <c r="E132" s="14" t="n">
        <v>153.8</v>
      </c>
      <c r="F132" s="14" t="n">
        <v>133.8</v>
      </c>
      <c r="G132" s="15" t="n">
        <v>9</v>
      </c>
      <c r="H132" s="12" t="inlineStr">
        <is>
          <t>なし</t>
        </is>
      </c>
      <c r="I132" s="12" t="inlineStr">
        <is>
          <t>車検整備無</t>
        </is>
      </c>
      <c r="J132" s="12" t="inlineStr">
        <is>
          <t>保証無</t>
        </is>
      </c>
      <c r="K132" s="16" t="inlineStr">
        <is>
          <t>修復歴なし / 同年式より安い（中央値 196万）</t>
        </is>
      </c>
      <c r="L132" s="16" t="inlineStr">
        <is>
          <t>CX-8 2.2 XD Lパッケージ ディーゼルターボ 禁煙車 純正ナビ 全周囲カメラ フルセグTV レーダークルーズコントロール 衝突被害軽減システム 黒革シート シートヒーター パワーシート ブラインドスポットモニター 電動リアゲート ETC</t>
        </is>
      </c>
      <c r="M132" s="12" t="inlineStr">
        <is>
          <t>https://www.carsensor.net/usedcar/detail/AU7302076954/index.html</t>
        </is>
      </c>
    </row>
    <row r="133">
      <c r="A133" s="6" t="n">
        <v>2018</v>
      </c>
      <c r="B133" s="7" t="inlineStr">
        <is>
          <t>2WD</t>
        </is>
      </c>
      <c r="C133" s="7" t="inlineStr">
        <is>
          <t>2.2 XD Lパッケージ</t>
        </is>
      </c>
      <c r="D133" s="17" t="n">
        <v>3</v>
      </c>
      <c r="E133" s="9" t="n">
        <v>149.6</v>
      </c>
      <c r="F133" s="9" t="n">
        <v>129.9</v>
      </c>
      <c r="G133" s="10" t="n">
        <v>9.4</v>
      </c>
      <c r="H133" s="7" t="inlineStr">
        <is>
          <t>なし</t>
        </is>
      </c>
      <c r="I133" s="7" t="inlineStr">
        <is>
          <t>車検整備無</t>
        </is>
      </c>
      <c r="J133" s="7" t="inlineStr">
        <is>
          <t>保証無</t>
        </is>
      </c>
      <c r="K133" s="16" t="inlineStr">
        <is>
          <t>修復歴なし / 同年式より安い（中央値 196万）</t>
        </is>
      </c>
      <c r="L133" s="16" t="inlineStr">
        <is>
          <t>CX-8 2.2 XD Lパッケージ ディーゼルターボ 禁煙車 後席モニター 純正ナビ フルセグTV 全周囲カメラ ETC レーダークルーズ LEDヘッドライト シートヒーター パワーシート Bluetooth接続可 衝突軽減ブレーキ レーンアシスト</t>
        </is>
      </c>
      <c r="M133" s="7" t="inlineStr">
        <is>
          <t>https://www.carsensor.net/usedcar/detail/AU7234226903/index.html</t>
        </is>
      </c>
    </row>
    <row r="134">
      <c r="A134" s="11" t="n">
        <v>2018</v>
      </c>
      <c r="B134" s="12" t="inlineStr">
        <is>
          <t>2WD</t>
        </is>
      </c>
      <c r="C134" s="12" t="inlineStr">
        <is>
          <t>2.2 XD Lパッケージ</t>
        </is>
      </c>
      <c r="D134" s="13" t="n">
        <v>3</v>
      </c>
      <c r="E134" s="14" t="n">
        <v>147.8</v>
      </c>
      <c r="F134" s="14" t="n">
        <v>128.1</v>
      </c>
      <c r="G134" s="15" t="n">
        <v>9.199999999999999</v>
      </c>
      <c r="H134" s="12" t="inlineStr">
        <is>
          <t>なし</t>
        </is>
      </c>
      <c r="I134" s="12" t="inlineStr">
        <is>
          <t>車検整備無</t>
        </is>
      </c>
      <c r="J134" s="12" t="inlineStr">
        <is>
          <t>保証無</t>
        </is>
      </c>
      <c r="K134" s="16" t="inlineStr">
        <is>
          <t>修復歴なし / 同年式より安い（中央値 196万）</t>
        </is>
      </c>
      <c r="L134" s="16" t="inlineStr">
        <is>
          <t>CX-8 2.2 XD Lパッケージ ディーゼルターボ 禁煙車 純正ナビ フルセグ アラウンドビューモニター アダプティブクルーズコントロール 電動リアゲート 白革シート シートヒーター ステアリングヒーター クリアランスソナー Bluetooth ETC</t>
        </is>
      </c>
      <c r="M134" s="12" t="inlineStr">
        <is>
          <t>https://www.carsensor.net/usedcar/detail/AU7338267612/index.html</t>
        </is>
      </c>
    </row>
    <row r="135">
      <c r="A135" s="6" t="n">
        <v>2018</v>
      </c>
      <c r="B135" s="7" t="inlineStr">
        <is>
          <t>2WD</t>
        </is>
      </c>
      <c r="C135" s="7" t="inlineStr">
        <is>
          <t>2.2 XD Lパッケージ</t>
        </is>
      </c>
      <c r="D135" s="17" t="n">
        <v>3</v>
      </c>
      <c r="E135" s="9" t="n">
        <v>159.8</v>
      </c>
      <c r="F135" s="9" t="n">
        <v>153.4</v>
      </c>
      <c r="G135" s="10" t="n">
        <v>10.7</v>
      </c>
      <c r="H135" s="7" t="inlineStr">
        <is>
          <t>なし</t>
        </is>
      </c>
      <c r="I135" s="7" t="inlineStr">
        <is>
          <t>2027(R09)年04月</t>
        </is>
      </c>
      <c r="J135" s="7" t="inlineStr">
        <is>
          <t>保証付</t>
        </is>
      </c>
      <c r="K135" s="16" t="inlineStr">
        <is>
          <t>走行が多め（10.7万km） / 修復歴なし / 車検 2027/04 まで（残り6ヶ月） / 保証付 / 同年式より安い（中央値 196万）</t>
        </is>
      </c>
      <c r="L135" s="16" t="inlineStr">
        <is>
          <t>CX-8 2.2 XD Lパッケージ ディーゼルターボ 衝突軽減 レーンキープ BSM HUD LEDライト ACC 360°カメラ 純正ナビ 地デジ BT接続 CD&amp;DVD再生 ETC ドラレコ パワーシート シートヒーター パワーバックドア 純正19AW</t>
        </is>
      </c>
      <c r="M135" s="7" t="inlineStr">
        <is>
          <t>https://www.carsensor.net/usedcar/detail/AU7216724223/index.html</t>
        </is>
      </c>
    </row>
    <row r="136">
      <c r="A136" s="11" t="n">
        <v>2020</v>
      </c>
      <c r="B136" s="12" t="inlineStr">
        <is>
          <t>2WD</t>
        </is>
      </c>
      <c r="C136" s="12" t="inlineStr">
        <is>
          <t>2.2 XD Lパッケージ</t>
        </is>
      </c>
      <c r="D136" s="13" t="n">
        <v>2.9</v>
      </c>
      <c r="E136" s="14" t="n">
        <v>219.8</v>
      </c>
      <c r="F136" s="14" t="n">
        <v>214.1</v>
      </c>
      <c r="G136" s="15" t="n">
        <v>9.1</v>
      </c>
      <c r="H136" s="12" t="inlineStr">
        <is>
          <t>なし</t>
        </is>
      </c>
      <c r="I136" s="12" t="inlineStr">
        <is>
          <t>2027(R09)年03月</t>
        </is>
      </c>
      <c r="J136" s="12" t="inlineStr">
        <is>
          <t>保証付</t>
        </is>
      </c>
      <c r="K136" s="16" t="inlineStr">
        <is>
          <t>走行が多め（9.1万km） / 修復歴なし / 車検 2027/03 まで（残り5ヶ月） / 保証付 / 同年式より安い（中央値 250万）</t>
        </is>
      </c>
      <c r="L136" s="16" t="inlineStr">
        <is>
          <t>CX-8 2.2 XD Lパッケージ ディーゼルターボ 純正ナビ 全方位モニター フルセグ BT CD DVD クリアランスソナー レーンキープアシスト BOSEプレミアムサウンド ステアリングヒーター エアシート シートヒーター パワーバックドア</t>
        </is>
      </c>
      <c r="M136" s="12" t="inlineStr">
        <is>
          <t>https://www.carsensor.net/usedcar/detail/AU7350620854/index.html</t>
        </is>
      </c>
    </row>
    <row r="137">
      <c r="A137" s="6" t="n">
        <v>2021</v>
      </c>
      <c r="B137" s="7" t="inlineStr">
        <is>
          <t>2WD</t>
        </is>
      </c>
      <c r="C137" s="7" t="inlineStr">
        <is>
          <t>2.2 XD Lパッケージ</t>
        </is>
      </c>
      <c r="D137" s="17" t="n">
        <v>2.9</v>
      </c>
      <c r="E137" s="9" t="n">
        <v>259.9</v>
      </c>
      <c r="F137" s="9" t="n">
        <v>247.8</v>
      </c>
      <c r="G137" s="10" t="n">
        <v>7.1</v>
      </c>
      <c r="H137" s="7" t="inlineStr">
        <is>
          <t>なし</t>
        </is>
      </c>
      <c r="I137" s="7" t="inlineStr">
        <is>
          <t>2028(R10)年03月</t>
        </is>
      </c>
      <c r="J137" s="7" t="inlineStr">
        <is>
          <t>保証付</t>
        </is>
      </c>
      <c r="K137" s="16" t="inlineStr">
        <is>
          <t>走行が多め（7.1万km） / 修復歴なし / 車検 2028/03 まで（残り17ヶ月） / 保証付</t>
        </is>
      </c>
      <c r="L137" s="16" t="inlineStr">
        <is>
          <t>CX-8 2.2 XD Lパッケージ ディーゼルターボ サンルーフ 衝突軽減 10.25インチマツダコネクト BOSEサウンド 全周囲カメラ BSM レーダークルーズ シートベンチレーション ドラレコ ETC 電動リアゲート</t>
        </is>
      </c>
      <c r="M137" s="7" t="inlineStr">
        <is>
          <t>https://www.carsensor.net/usedcar/detail/AU7434273632/index.html</t>
        </is>
      </c>
    </row>
    <row r="138">
      <c r="A138" s="11" t="n">
        <v>2018</v>
      </c>
      <c r="B138" s="12" t="inlineStr">
        <is>
          <t>2WD</t>
        </is>
      </c>
      <c r="C138" s="12" t="inlineStr">
        <is>
          <t>2.2 XD Lパッケージ</t>
        </is>
      </c>
      <c r="D138" s="13" t="n">
        <v>2.7</v>
      </c>
      <c r="E138" s="14" t="n">
        <v>199.9</v>
      </c>
      <c r="F138" s="14" t="n">
        <v>188</v>
      </c>
      <c r="G138" s="15" t="n">
        <v>10.4</v>
      </c>
      <c r="H138" s="12" t="inlineStr">
        <is>
          <t>なし</t>
        </is>
      </c>
      <c r="I138" s="12" t="inlineStr">
        <is>
          <t>2027(R09)年12月</t>
        </is>
      </c>
      <c r="J138" s="12" t="inlineStr">
        <is>
          <t>保証付</t>
        </is>
      </c>
      <c r="K138" s="16" t="inlineStr">
        <is>
          <t>走行が多め（10.4万km） / 修復歴なし / 車検 2027/12 まで（残り14ヶ月） / 保証付</t>
        </is>
      </c>
      <c r="L138" s="16" t="inlineStr">
        <is>
          <t>CX-8 2.2 XD Lパッケージ ディーゼルターボ ディーゼル(軽油) マツダコネクトナビ 全周囲カメラ BOSEサウンド 衝突被害軽減システム 電動リアゲート レザーシート 前席シートエアコン コーナーセンサー スマートキー LEDヘッド ETC</t>
        </is>
      </c>
      <c r="M138" s="12" t="inlineStr">
        <is>
          <t>https://www.carsensor.net/usedcar/detail/AU7371980463/index.html</t>
        </is>
      </c>
    </row>
    <row r="139">
      <c r="A139" s="6" t="n">
        <v>2019</v>
      </c>
      <c r="B139" s="7" t="inlineStr">
        <is>
          <t>2WD</t>
        </is>
      </c>
      <c r="C139" s="7" t="inlineStr">
        <is>
          <t>2.2 XD Lパッケージ</t>
        </is>
      </c>
      <c r="D139" s="17" t="n">
        <v>2.5</v>
      </c>
      <c r="E139" s="9" t="n">
        <v>238.8</v>
      </c>
      <c r="F139" s="9" t="n">
        <v>222.9</v>
      </c>
      <c r="G139" s="10" t="n">
        <v>8.9</v>
      </c>
      <c r="H139" s="7" t="inlineStr">
        <is>
          <t>なし</t>
        </is>
      </c>
      <c r="I139" s="7" t="inlineStr">
        <is>
          <t>車検整備付</t>
        </is>
      </c>
      <c r="J139" s="7" t="inlineStr">
        <is>
          <t>保証付</t>
        </is>
      </c>
      <c r="K139" s="16" t="inlineStr">
        <is>
          <t>走行が多め（8.9万km） / 修復歴なし / 車検整備付 / 保証付</t>
        </is>
      </c>
      <c r="L139" s="16" t="inlineStr">
        <is>
          <t>CX-8 2.2 XD Lパッケージ ディーゼルターボ 白革 360度カメラ 衝突軽減ブレーキ 前後センサー 電動リアゲート 追従クルコン 地デジTV Bluetooth バックカメラ ETC シートヒーター ハンドルヒーター リア&amp;オートエアコン オートライト</t>
        </is>
      </c>
      <c r="M139" s="7" t="inlineStr">
        <is>
          <t>https://www.carsensor.net/usedcar/detail/AU7069982193/index.html</t>
        </is>
      </c>
    </row>
    <row r="140">
      <c r="A140" s="11" t="n">
        <v>2022</v>
      </c>
      <c r="B140" s="12" t="inlineStr">
        <is>
          <t>2WD</t>
        </is>
      </c>
      <c r="C140" s="12" t="inlineStr">
        <is>
          <t>2.2 XD Lパッケージ</t>
        </is>
      </c>
      <c r="D140" s="13" t="n">
        <v>2.5</v>
      </c>
      <c r="E140" s="14" t="n">
        <v>302.5</v>
      </c>
      <c r="F140" s="14" t="n">
        <v>289.8</v>
      </c>
      <c r="G140" s="15" t="n">
        <v>6.7</v>
      </c>
      <c r="H140" s="12" t="inlineStr">
        <is>
          <t>なし</t>
        </is>
      </c>
      <c r="I140" s="12" t="inlineStr">
        <is>
          <t>車検整備付</t>
        </is>
      </c>
      <c r="J140" s="12" t="inlineStr">
        <is>
          <t>保証付</t>
        </is>
      </c>
      <c r="K140" s="16" t="inlineStr">
        <is>
          <t>走行が多め（6.7万km） / 修復歴なし / 車検整備付 / 保証付</t>
        </is>
      </c>
      <c r="L140" s="16" t="inlineStr">
        <is>
          <t>CX-8 2.2 XD Lパッケージ ディーゼルターボ ワンオーナー BOSE 革シート ETC ドラレコ ナビ</t>
        </is>
      </c>
      <c r="M140" s="12" t="inlineStr">
        <is>
          <t>https://www.carsensor.net/usedcar/detail/AU7441667999/index.html</t>
        </is>
      </c>
    </row>
    <row r="141">
      <c r="A141" s="6" t="n">
        <v>2018</v>
      </c>
      <c r="B141" s="7" t="inlineStr">
        <is>
          <t>2WD</t>
        </is>
      </c>
      <c r="C141" s="7" t="inlineStr">
        <is>
          <t>2.2 XD Lパッケージ</t>
        </is>
      </c>
      <c r="D141" s="17" t="n">
        <v>2</v>
      </c>
      <c r="E141" s="9" t="n">
        <v>190.4</v>
      </c>
      <c r="F141" s="9" t="n">
        <v>170.6</v>
      </c>
      <c r="G141" s="10" t="n">
        <v>5.6</v>
      </c>
      <c r="H141" s="7" t="inlineStr">
        <is>
          <t>なし</t>
        </is>
      </c>
      <c r="I141" s="7" t="inlineStr">
        <is>
          <t>車検整備無</t>
        </is>
      </c>
      <c r="J141" s="7" t="inlineStr">
        <is>
          <t>保証無</t>
        </is>
      </c>
      <c r="K141" s="16" t="inlineStr">
        <is>
          <t>修復歴なし</t>
        </is>
      </c>
      <c r="L141" s="16" t="inlineStr">
        <is>
          <t>CX-8 2.2 XD Lパッケージ ディーゼルターボ 禁煙車 黒革シート BOSEサウンドシステム 純正ナビ フルセグTV 全周囲カメラ レーダークルーズコントロール 後席モニター パワーバックドア 左右シートヒーター ステアリングヒーター ETC</t>
        </is>
      </c>
      <c r="M141" s="7" t="inlineStr">
        <is>
          <t>https://www.carsensor.net/usedcar/detail/AU7442168000/index.html</t>
        </is>
      </c>
    </row>
    <row r="142">
      <c r="A142" s="11" t="n">
        <v>2022</v>
      </c>
      <c r="B142" s="12" t="inlineStr">
        <is>
          <t>2WD</t>
        </is>
      </c>
      <c r="C142" s="12" t="inlineStr">
        <is>
          <t>2.2 XD Lパッケージ</t>
        </is>
      </c>
      <c r="D142" s="13" t="n">
        <v>2</v>
      </c>
      <c r="E142" s="14" t="n">
        <v>279.2</v>
      </c>
      <c r="F142" s="14" t="n">
        <v>269.8</v>
      </c>
      <c r="G142" s="15" t="n">
        <v>6.5</v>
      </c>
      <c r="H142" s="12" t="inlineStr">
        <is>
          <t>なし</t>
        </is>
      </c>
      <c r="I142" s="12" t="inlineStr">
        <is>
          <t>2027(R09)年04月</t>
        </is>
      </c>
      <c r="J142" s="12" t="inlineStr">
        <is>
          <t>保証付</t>
        </is>
      </c>
      <c r="K142" s="16" t="inlineStr">
        <is>
          <t>走行が多め（6.5万km） / 修復歴なし / 車検 2027/04 まで（残り6ヶ月） / 保証付</t>
        </is>
      </c>
      <c r="L142" s="16" t="inlineStr">
        <is>
          <t>CX-8 2.2 XD Lパッケージ ディーゼルターボ 新品タイヤ4本交換 純正ナビ 全方位カメラ ETC フルセグTV シートヒーター BOSEサウンド ヘッドアップディスプレイ パワーシート メモリーシート 革シート パワーバックドア BSM</t>
        </is>
      </c>
      <c r="M142" s="12" t="inlineStr">
        <is>
          <t>https://www.carsensor.net/usedcar/detail/AU7271116592/index.html</t>
        </is>
      </c>
    </row>
    <row r="143">
      <c r="A143" s="6" t="n">
        <v>2018</v>
      </c>
      <c r="B143" s="7" t="inlineStr">
        <is>
          <t>2WD</t>
        </is>
      </c>
      <c r="C143" s="7" t="inlineStr">
        <is>
          <t>2.2 XD Lパッケージ</t>
        </is>
      </c>
      <c r="D143" s="17" t="n">
        <v>1.9</v>
      </c>
      <c r="E143" s="9" t="n">
        <v>149</v>
      </c>
      <c r="F143" s="9" t="n">
        <v>139</v>
      </c>
      <c r="G143" s="10" t="n">
        <v>12.6</v>
      </c>
      <c r="H143" s="7" t="inlineStr">
        <is>
          <t>なし</t>
        </is>
      </c>
      <c r="I143" s="7" t="inlineStr">
        <is>
          <t>2027(R09)年03月</t>
        </is>
      </c>
      <c r="J143" s="7" t="inlineStr">
        <is>
          <t>保証無</t>
        </is>
      </c>
      <c r="K143" s="16" t="inlineStr">
        <is>
          <t>走行が多め（12.6万km） / 修復歴なし / 車検 2027/03 まで（残り5ヶ月） / 同年式より安い（中央値 196万）</t>
        </is>
      </c>
      <c r="L143" s="16" t="inlineStr">
        <is>
          <t>CX-8 2.2 XD Lパッケージ ディーゼルターボ</t>
        </is>
      </c>
      <c r="M143" s="7" t="inlineStr">
        <is>
          <t>https://www.carsensor.net/usedcar/detail/AU7111518628/index.html</t>
        </is>
      </c>
    </row>
    <row r="144">
      <c r="A144" s="11" t="n">
        <v>2022</v>
      </c>
      <c r="B144" s="12" t="inlineStr">
        <is>
          <t>2WD</t>
        </is>
      </c>
      <c r="C144" s="12" t="inlineStr">
        <is>
          <t>2.2 XD Lパッケージ</t>
        </is>
      </c>
      <c r="D144" s="13" t="n">
        <v>1.8</v>
      </c>
      <c r="E144" s="14" t="n">
        <v>273.8</v>
      </c>
      <c r="F144" s="14" t="n">
        <v>268.1</v>
      </c>
      <c r="G144" s="15" t="n">
        <v>6.2</v>
      </c>
      <c r="H144" s="12" t="inlineStr">
        <is>
          <t>なし</t>
        </is>
      </c>
      <c r="I144" s="12" t="inlineStr">
        <is>
          <t>2027(R09)年01月</t>
        </is>
      </c>
      <c r="J144" s="12" t="inlineStr">
        <is>
          <t>保証付</t>
        </is>
      </c>
      <c r="K144" s="16" t="inlineStr">
        <is>
          <t>走行が多め（6.2万km） / 修復歴なし / 車検 2027/01 まで（残り3ヶ月） / 保証付</t>
        </is>
      </c>
      <c r="L144" s="16" t="inlineStr">
        <is>
          <t>CX-8 2.2 XD Lパッケージ ディーゼルターボ 全方位カメラ 純正メーカーナビ BOSEサウンド フルセグ BT 前後ドラレコ ETC 前席パワーシート 前席シートヒーター 純正LEDヘッドライト クルコン 前後コーナーセンサー 電動リアゲート</t>
        </is>
      </c>
      <c r="M144" s="12" t="inlineStr">
        <is>
          <t>https://www.carsensor.net/usedcar/detail/AU7391265334/index.html</t>
        </is>
      </c>
    </row>
    <row r="145">
      <c r="A145" s="6" t="n">
        <v>2017</v>
      </c>
      <c r="B145" s="7" t="inlineStr">
        <is>
          <t>2WD</t>
        </is>
      </c>
      <c r="C145" s="7" t="inlineStr">
        <is>
          <t>2.2 XD Lパッケージ</t>
        </is>
      </c>
      <c r="D145" s="17" t="n">
        <v>1.5</v>
      </c>
      <c r="E145" s="9" t="n">
        <v>124.6</v>
      </c>
      <c r="F145" s="9" t="n">
        <v>104.9</v>
      </c>
      <c r="G145" s="10" t="n">
        <v>11.2</v>
      </c>
      <c r="H145" s="7" t="inlineStr">
        <is>
          <t>なし</t>
        </is>
      </c>
      <c r="I145" s="7" t="inlineStr">
        <is>
          <t>車検整備無</t>
        </is>
      </c>
      <c r="J145" s="7" t="inlineStr">
        <is>
          <t>保証無</t>
        </is>
      </c>
      <c r="K145" s="16" t="inlineStr">
        <is>
          <t>走行が多め（11.2万km） / 修復歴なし / 同年式より安い（中央値 184万）</t>
        </is>
      </c>
      <c r="L145" s="16" t="inlineStr">
        <is>
          <t>CX-8 2.2 XD Lパッケージ ディーゼルターボ 走行11.2万km 禁煙車 6人乗 レザーシート 純正ナビ 360度カメラ フルセグ パワーバックドア ETC シートヒーター パワーシート レーダークルーズコントロール スマートキー Bluetooth接続</t>
        </is>
      </c>
      <c r="M145" s="7" t="inlineStr">
        <is>
          <t>https://www.carsensor.net/usedcar/detail/AU7373830430/index.html</t>
        </is>
      </c>
    </row>
    <row r="146">
      <c r="A146" s="11" t="n">
        <v>2021</v>
      </c>
      <c r="B146" s="12" t="inlineStr">
        <is>
          <t>2WD</t>
        </is>
      </c>
      <c r="C146" s="12" t="inlineStr">
        <is>
          <t>2.2 XD Lパッケージ</t>
        </is>
      </c>
      <c r="D146" s="13" t="n">
        <v>0.5</v>
      </c>
      <c r="E146" s="14" t="n">
        <v>249.8</v>
      </c>
      <c r="F146" s="14" t="n">
        <v>234.8</v>
      </c>
      <c r="G146" s="15" t="n">
        <v>3.4</v>
      </c>
      <c r="H146" s="12" t="inlineStr">
        <is>
          <t>あり</t>
        </is>
      </c>
      <c r="I146" s="12" t="inlineStr">
        <is>
          <t>車検整備付</t>
        </is>
      </c>
      <c r="J146" s="12" t="inlineStr">
        <is>
          <t>保証付</t>
        </is>
      </c>
      <c r="K146" s="16" t="inlineStr">
        <is>
          <t>走行が少なめ（3.4万km） / 修復歴あり / 車検整備付 / 保証付 / 同年式より安い（中央値 279万）</t>
        </is>
      </c>
      <c r="L146" s="16" t="inlineStr">
        <is>
          <t>CX-8 2.2 XD Lパッケージ ディーゼルターボ 純正SDDナビTV 全方位モニター ETC ハンドルヒーター LEDヘッドライト 革シート 衝突被害軽減ブレーキ オートクルーズコントロール 6人乗り</t>
        </is>
      </c>
      <c r="M146" s="12" t="inlineStr">
        <is>
          <t>https://www.carsensor.net/usedcar/detail/AU7357986319/index.html</t>
        </is>
      </c>
    </row>
    <row r="147">
      <c r="A147" s="6" t="n">
        <v>2022</v>
      </c>
      <c r="B147" s="7" t="inlineStr">
        <is>
          <t>2WD</t>
        </is>
      </c>
      <c r="C147" s="7" t="inlineStr">
        <is>
          <t>2.2 XD Lパッケージ</t>
        </is>
      </c>
      <c r="D147" s="17" t="n">
        <v>-1.1</v>
      </c>
      <c r="E147" s="9" t="n">
        <v>240</v>
      </c>
      <c r="F147" s="9" t="n">
        <v>223.9</v>
      </c>
      <c r="G147" s="10" t="n">
        <v>4</v>
      </c>
      <c r="H147" s="7" t="inlineStr">
        <is>
          <t>あり</t>
        </is>
      </c>
      <c r="I147" s="7" t="inlineStr">
        <is>
          <t>2027(R09)年09月</t>
        </is>
      </c>
      <c r="J147" s="7" t="inlineStr">
        <is>
          <t>保証付</t>
        </is>
      </c>
      <c r="K147" s="16" t="inlineStr">
        <is>
          <t>修復歴あり / 車検 2027/09 まで（残り11ヶ月） / 保証付 / 同年式より安い（中央値 296万）</t>
        </is>
      </c>
      <c r="L147" s="16" t="inlineStr">
        <is>
          <t>CX-8 2.2 XD Lパッケージ ディーゼルターボ ワンオーナー・i-ACTIVSENSE・フルセグナビ・全周囲カメラ・BTオーディオ・パワーリアゲート・LEDライト・フォグLED・LKA・ACC・BSM・AHB・Cソナー・ETC・本革シート</t>
        </is>
      </c>
      <c r="M147" s="7" t="inlineStr">
        <is>
          <t>https://www.carsensor.net/usedcar/detail/AU7310877163/index.html</t>
        </is>
      </c>
    </row>
    <row r="148">
      <c r="A148" s="11" t="n">
        <v>2018</v>
      </c>
      <c r="B148" s="12" t="inlineStr">
        <is>
          <t>2WD</t>
        </is>
      </c>
      <c r="C148" s="12" t="inlineStr">
        <is>
          <t>2.2 XD Lパッケージ</t>
        </is>
      </c>
      <c r="D148" s="13" t="n">
        <v>-1.7</v>
      </c>
      <c r="E148" s="14" t="n">
        <v>190.4</v>
      </c>
      <c r="F148" s="14" t="n">
        <v>179.9</v>
      </c>
      <c r="G148" s="15" t="n">
        <v>5</v>
      </c>
      <c r="H148" s="12" t="inlineStr">
        <is>
          <t>あり</t>
        </is>
      </c>
      <c r="I148" s="12" t="inlineStr">
        <is>
          <t>2027(R09)年08月</t>
        </is>
      </c>
      <c r="J148" s="12" t="inlineStr">
        <is>
          <t>保証無</t>
        </is>
      </c>
      <c r="K148" s="16" t="inlineStr">
        <is>
          <t>走行が少なめ（5.0万km） / 修復歴あり / 車検 2027/08 まで（残り10ヶ月）</t>
        </is>
      </c>
      <c r="L148" s="16" t="inlineStr">
        <is>
          <t>CX-8 2.2 XD Lパッケージ ディーゼルターボ BOSEサウンドスピーカー ナビ フルセグ Bluetooth バックモニター 電動バックドア ブラウンレザーシート パワーシート 前後シートヒーター クルコン スマートキー×2 コーナーセンサー ETC 記録簿</t>
        </is>
      </c>
      <c r="M148" s="12" t="inlineStr">
        <is>
          <t>https://www.carsensor.net/usedcar/detail/AU7327760594/index.html</t>
        </is>
      </c>
    </row>
    <row r="149">
      <c r="A149" s="6" t="n">
        <v>2019</v>
      </c>
      <c r="B149" s="7" t="inlineStr">
        <is>
          <t>2WD</t>
        </is>
      </c>
      <c r="C149" s="7" t="inlineStr">
        <is>
          <t>2.2 XD Lパッケージ</t>
        </is>
      </c>
      <c r="D149" s="17" t="n">
        <v>-1.8</v>
      </c>
      <c r="E149" s="9" t="n">
        <v>222.2</v>
      </c>
      <c r="F149" s="9" t="n">
        <v>208</v>
      </c>
      <c r="G149" s="10" t="n">
        <v>7.8</v>
      </c>
      <c r="H149" s="7" t="inlineStr">
        <is>
          <t>あり</t>
        </is>
      </c>
      <c r="I149" s="7" t="inlineStr">
        <is>
          <t>2028(R10)年01月</t>
        </is>
      </c>
      <c r="J149" s="7" t="inlineStr">
        <is>
          <t>保証付</t>
        </is>
      </c>
      <c r="K149" s="16" t="inlineStr">
        <is>
          <t>修復歴あり / 車検 2028/01 まで（残り15ヶ月） / 保証付</t>
        </is>
      </c>
      <c r="L149" s="16" t="inlineStr">
        <is>
          <t>CX-8 2.2 XD Lパッケージ ディーゼルターボ ワンオーナー/センターコンソールボックス付キャプテンシート/ディープレッド内装/フロントドライブレコーダー/運転席助手席ベンチレーション</t>
        </is>
      </c>
      <c r="M149" s="7" t="inlineStr">
        <is>
          <t>https://www.carsensor.net/usedcar/detail/AU7282947435/index.html</t>
        </is>
      </c>
    </row>
    <row r="150">
      <c r="A150" s="11" t="n">
        <v>2021</v>
      </c>
      <c r="B150" s="12" t="inlineStr">
        <is>
          <t>2WD</t>
        </is>
      </c>
      <c r="C150" s="12" t="inlineStr">
        <is>
          <t>2.2 XD エクスクルーシブ</t>
        </is>
      </c>
      <c r="D150" s="13" t="n">
        <v>7.4</v>
      </c>
      <c r="E150" s="14" t="n">
        <v>351.5</v>
      </c>
      <c r="F150" s="14" t="n">
        <v>339.8</v>
      </c>
      <c r="G150" s="15" t="n">
        <v>2.1</v>
      </c>
      <c r="H150" s="12" t="inlineStr">
        <is>
          <t>なし</t>
        </is>
      </c>
      <c r="I150" s="12" t="inlineStr">
        <is>
          <t>2028(R10)年03月</t>
        </is>
      </c>
      <c r="J150" s="12" t="inlineStr">
        <is>
          <t>保証付</t>
        </is>
      </c>
      <c r="K150" s="16" t="inlineStr">
        <is>
          <t>同年式の半分以下の走行（2.1万km） / 修復歴なし / 車検 2028/03 まで（残り17ヶ月） / 保証付</t>
        </is>
      </c>
      <c r="L150" s="16" t="inlineStr">
        <is>
          <t>CX-8 2.2 XD エクスクルーシブ モード ディーゼルターボ マツコネナビ/360°モニター/前後ベンチレーション/2カメラドラレコ/シートヒーター/ハンドルヒーター/レーダークルーズ/電動リアゲート/3列シート/6人乗り/サンルーフ/BOSE/アドバンストキー/ETC</t>
        </is>
      </c>
      <c r="M150" s="12" t="inlineStr">
        <is>
          <t>https://www.carsensor.net/usedcar/detail/AU7378466320/index.html</t>
        </is>
      </c>
    </row>
    <row r="151">
      <c r="A151" s="6" t="n">
        <v>2021</v>
      </c>
      <c r="B151" s="7" t="inlineStr">
        <is>
          <t>2WD</t>
        </is>
      </c>
      <c r="C151" s="7" t="inlineStr">
        <is>
          <t>2.2 XD エクスクルーシブ</t>
        </is>
      </c>
      <c r="D151" s="17" t="n">
        <v>7</v>
      </c>
      <c r="E151" s="9" t="n">
        <v>333</v>
      </c>
      <c r="F151" s="9" t="n">
        <v>319.8</v>
      </c>
      <c r="G151" s="10" t="n">
        <v>1</v>
      </c>
      <c r="H151" s="7" t="inlineStr">
        <is>
          <t>なし</t>
        </is>
      </c>
      <c r="I151" s="7" t="inlineStr">
        <is>
          <t>車検整備付</t>
        </is>
      </c>
      <c r="J151" s="7" t="inlineStr">
        <is>
          <t>保証付</t>
        </is>
      </c>
      <c r="K151" s="16" t="inlineStr">
        <is>
          <t>同年式の半分以下の走行（1.0万km） / 修復歴なし / 車検整備付 / 保証付</t>
        </is>
      </c>
      <c r="L151" s="16" t="inlineStr">
        <is>
          <t>CX-8 2.2 XD エクスクルーシブ モード ディーゼルターボ 茶革シート BOSE 電動スライドガラスサンルーフ 360°ビュー・モニター 純正ナビ 前後ドライブレコーダー ETC2.0 障害物センサー パドルシフト マツダ・レーダー・クルーズ・コントロール シートヒーター</t>
        </is>
      </c>
      <c r="M151" s="7" t="inlineStr">
        <is>
          <t>https://www.carsensor.net/usedcar/detail/AU7376054245/index.html</t>
        </is>
      </c>
    </row>
    <row r="152">
      <c r="A152" s="11" t="n">
        <v>2022</v>
      </c>
      <c r="B152" s="12" t="inlineStr">
        <is>
          <t>2WD</t>
        </is>
      </c>
      <c r="C152" s="12" t="inlineStr">
        <is>
          <t>2.2 XD エクスクルーシブ</t>
        </is>
      </c>
      <c r="D152" s="13" t="n">
        <v>7</v>
      </c>
      <c r="E152" s="14" t="n">
        <v>404.7</v>
      </c>
      <c r="F152" s="14" t="n">
        <v>389</v>
      </c>
      <c r="G152" s="15" t="n">
        <v>1.8</v>
      </c>
      <c r="H152" s="12" t="inlineStr">
        <is>
          <t>なし</t>
        </is>
      </c>
      <c r="I152" s="12" t="inlineStr">
        <is>
          <t>車検整備付</t>
        </is>
      </c>
      <c r="J152" s="12" t="inlineStr">
        <is>
          <t>保証付</t>
        </is>
      </c>
      <c r="K152" s="16" t="inlineStr">
        <is>
          <t>同年式の半分以下の走行（1.8万km） / 修復歴なし / 車検整備付 / 保証付</t>
        </is>
      </c>
      <c r="L152" s="16" t="inlineStr">
        <is>
          <t>CX-8 2.2 XD エクスクルーシブ モード ディーゼルターボ ナビETC安全装備付き</t>
        </is>
      </c>
      <c r="M152" s="12" t="inlineStr">
        <is>
          <t>https://www.carsensor.net/usedcar/detail/AU6031155827/index.html</t>
        </is>
      </c>
    </row>
    <row r="153">
      <c r="A153" s="6" t="n">
        <v>2022</v>
      </c>
      <c r="B153" s="7" t="inlineStr">
        <is>
          <t>2WD</t>
        </is>
      </c>
      <c r="C153" s="7" t="inlineStr">
        <is>
          <t>2.2 XD エクスクルーシブ</t>
        </is>
      </c>
      <c r="D153" s="17" t="n">
        <v>7</v>
      </c>
      <c r="E153" s="9" t="n">
        <v>383.1</v>
      </c>
      <c r="F153" s="9" t="n">
        <v>368</v>
      </c>
      <c r="G153" s="10" t="n">
        <v>1.5</v>
      </c>
      <c r="H153" s="7" t="inlineStr">
        <is>
          <t>なし</t>
        </is>
      </c>
      <c r="I153" s="7" t="inlineStr">
        <is>
          <t>車検整備付</t>
        </is>
      </c>
      <c r="J153" s="7" t="inlineStr">
        <is>
          <t>保証付</t>
        </is>
      </c>
      <c r="K153" s="16" t="inlineStr">
        <is>
          <t>同年式の半分以下の走行（1.5万km） / 修復歴なし / 車検整備付 / 保証付</t>
        </is>
      </c>
      <c r="L153" s="16" t="inlineStr">
        <is>
          <t>CX-8 2.2 XD エクスクルーシブ モード ディーゼルターボ 茶革シート BOSE 電動スライドガラスサンルーフ 360°ビュー・モニター 純正ナビ 前後ドライブレコーダー ETC 障害物センサー マツダ・レーダー・クルーズ・コントロール シートヒーター 電動リアゲート</t>
        </is>
      </c>
      <c r="M153" s="7" t="inlineStr">
        <is>
          <t>https://www.carsensor.net/usedcar/detail/AU7412787875/index.html</t>
        </is>
      </c>
    </row>
    <row r="154">
      <c r="A154" s="11" t="n">
        <v>2022</v>
      </c>
      <c r="B154" s="12" t="inlineStr">
        <is>
          <t>2WD</t>
        </is>
      </c>
      <c r="C154" s="12" t="inlineStr">
        <is>
          <t>2.2 XD エクスクルーシブ</t>
        </is>
      </c>
      <c r="D154" s="13" t="n">
        <v>6.8</v>
      </c>
      <c r="E154" s="14" t="n">
        <v>369.6</v>
      </c>
      <c r="F154" s="14" t="n">
        <v>359.7</v>
      </c>
      <c r="G154" s="15" t="n">
        <v>1.7</v>
      </c>
      <c r="H154" s="12" t="inlineStr">
        <is>
          <t>なし</t>
        </is>
      </c>
      <c r="I154" s="12" t="inlineStr">
        <is>
          <t>2027(R09)年07月</t>
        </is>
      </c>
      <c r="J154" s="12" t="inlineStr">
        <is>
          <t>保証付</t>
        </is>
      </c>
      <c r="K154" s="16" t="inlineStr">
        <is>
          <t>同年式の半分以下の走行（1.7万km） / 修復歴なし / 車検 2027/07 まで（残り9ヶ月） / 保証付</t>
        </is>
      </c>
      <c r="L154" s="16" t="inlineStr">
        <is>
          <t>CX-8 2.2 XD エクスクルーシブ モード ディーゼルターボ 7人乗り ノーマルルーフ BOSEサウンドシステム</t>
        </is>
      </c>
      <c r="M154" s="12" t="inlineStr">
        <is>
          <t>https://www.carsensor.net/usedcar/detail/AU7186958874/index.html</t>
        </is>
      </c>
    </row>
    <row r="155">
      <c r="A155" s="6" t="n">
        <v>2023</v>
      </c>
      <c r="B155" s="7" t="inlineStr">
        <is>
          <t>2WD</t>
        </is>
      </c>
      <c r="C155" s="7" t="inlineStr">
        <is>
          <t>2.2 XD エクスクルーシブ</t>
        </is>
      </c>
      <c r="D155" s="17" t="n">
        <v>6.5</v>
      </c>
      <c r="E155" s="9" t="n">
        <v>372.9</v>
      </c>
      <c r="F155" s="9" t="n">
        <v>365.5</v>
      </c>
      <c r="G155" s="10" t="n">
        <v>1.8</v>
      </c>
      <c r="H155" s="7" t="inlineStr">
        <is>
          <t>なし</t>
        </is>
      </c>
      <c r="I155" s="7" t="inlineStr">
        <is>
          <t>2028(R10)年10月</t>
        </is>
      </c>
      <c r="J155" s="7" t="inlineStr">
        <is>
          <t>保証付</t>
        </is>
      </c>
      <c r="K155" s="16" t="inlineStr">
        <is>
          <t>走行が少なめ（1.8万km） / 修復歴なし / 車検 2028/10 まで（残り24ヶ月） / 保証付</t>
        </is>
      </c>
      <c r="L155" s="16" t="inlineStr">
        <is>
          <t>CX-8 2.2 XD エクスクルーシブ モード ディーゼルターボ サンルーフ/BOSE/ディスプレイオーディオ/衝突安全装置/シートヒーター/360°ビューモニター/車線逸脱防止支援システム/シート 合皮/電動バックドア/ドライブレコーダー 前後</t>
        </is>
      </c>
      <c r="M155" s="7" t="inlineStr">
        <is>
          <t>https://www.carsensor.net/usedcar/detail/AU7446351486/index.html</t>
        </is>
      </c>
    </row>
    <row r="156">
      <c r="A156" s="11" t="n">
        <v>2023</v>
      </c>
      <c r="B156" s="12" t="inlineStr">
        <is>
          <t>2WD</t>
        </is>
      </c>
      <c r="C156" s="12" t="inlineStr">
        <is>
          <t>2.2 XD エクスクルーシブ</t>
        </is>
      </c>
      <c r="D156" s="13" t="n">
        <v>6.1</v>
      </c>
      <c r="E156" s="14" t="n">
        <v>422.3</v>
      </c>
      <c r="F156" s="14" t="n">
        <v>411.1</v>
      </c>
      <c r="G156" s="15" t="n">
        <v>1.8</v>
      </c>
      <c r="H156" s="12" t="inlineStr">
        <is>
          <t>なし</t>
        </is>
      </c>
      <c r="I156" s="12" t="inlineStr">
        <is>
          <t>2028(R10)年05月</t>
        </is>
      </c>
      <c r="J156" s="12" t="inlineStr">
        <is>
          <t>保証付</t>
        </is>
      </c>
      <c r="K156" s="16" t="inlineStr">
        <is>
          <t>走行が少なめ（1.8万km） / 修復歴なし / 車検 2028/05 まで（残り19ヶ月） / 保証付</t>
        </is>
      </c>
      <c r="L156" s="16" t="inlineStr">
        <is>
          <t>CX-8 2.2 XD エクスクルーシブ モード ディーゼルターボ 当社下取りワンオーナー 360度モニター</t>
        </is>
      </c>
      <c r="M156" s="12" t="inlineStr">
        <is>
          <t>https://www.carsensor.net/usedcar/detail/AU7407702746/index.html</t>
        </is>
      </c>
    </row>
    <row r="157">
      <c r="A157" s="6" t="n">
        <v>2021</v>
      </c>
      <c r="B157" s="7" t="inlineStr">
        <is>
          <t>2WD</t>
        </is>
      </c>
      <c r="C157" s="7" t="inlineStr">
        <is>
          <t>2.2 XD エクスクルーシブ</t>
        </is>
      </c>
      <c r="D157" s="17" t="n">
        <v>5.9</v>
      </c>
      <c r="E157" s="9" t="n">
        <v>330.5</v>
      </c>
      <c r="F157" s="9" t="n">
        <v>318</v>
      </c>
      <c r="G157" s="10" t="n">
        <v>2.8</v>
      </c>
      <c r="H157" s="7" t="inlineStr">
        <is>
          <t>なし</t>
        </is>
      </c>
      <c r="I157" s="7" t="inlineStr">
        <is>
          <t>2028(R10)年03月</t>
        </is>
      </c>
      <c r="J157" s="7" t="inlineStr">
        <is>
          <t>保証付</t>
        </is>
      </c>
      <c r="K157" s="16" t="inlineStr">
        <is>
          <t>走行が少なめ（2.8万km） / 修復歴なし / 車検 2028/03 まで（残り17ヶ月） / 保証付</t>
        </is>
      </c>
      <c r="L157" s="16" t="inlineStr">
        <is>
          <t>CX-8 2.2 XD エクスクルーシブ モード ディーゼルターボ 茶革エアシート アルパイン後席モニター 360°カメラ DVDデッキ フルセグTV ブルートゥース BSM シティブレーキサポート アダプティブクルーズ BOSEサウンド ワイヤレス充電 電動リアゲート</t>
        </is>
      </c>
      <c r="M157" s="7" t="inlineStr">
        <is>
          <t>https://www.carsensor.net/usedcar/detail/AU7186106739/index.html</t>
        </is>
      </c>
    </row>
    <row r="158">
      <c r="A158" s="11" t="n">
        <v>2021</v>
      </c>
      <c r="B158" s="12" t="inlineStr">
        <is>
          <t>2WD</t>
        </is>
      </c>
      <c r="C158" s="12" t="inlineStr">
        <is>
          <t>2.2 XD エクスクルーシブ</t>
        </is>
      </c>
      <c r="D158" s="13" t="n">
        <v>5.8</v>
      </c>
      <c r="E158" s="14" t="n">
        <v>346.9</v>
      </c>
      <c r="F158" s="14" t="n">
        <v>335.9</v>
      </c>
      <c r="G158" s="15" t="n">
        <v>2.6</v>
      </c>
      <c r="H158" s="12" t="inlineStr">
        <is>
          <t>なし</t>
        </is>
      </c>
      <c r="I158" s="12" t="inlineStr">
        <is>
          <t>2028(R10)年02月</t>
        </is>
      </c>
      <c r="J158" s="12" t="inlineStr">
        <is>
          <t>保証付</t>
        </is>
      </c>
      <c r="K158" s="16" t="inlineStr">
        <is>
          <t>走行が少なめ（2.6万km） / 修復歴なし / 車検 2028/02 まで（残り16ヶ月） / 保証付</t>
        </is>
      </c>
      <c r="L158" s="16" t="inlineStr">
        <is>
          <t>CX-8 2.2 XD エクスクルーシブ モード ディーゼルターボ ・MTモード付AT・LEDヘッドライト・オート</t>
        </is>
      </c>
      <c r="M158" s="12" t="inlineStr">
        <is>
          <t>https://www.carsensor.net/usedcar/detail/AU7396340008/index.html</t>
        </is>
      </c>
    </row>
    <row r="159">
      <c r="A159" s="6" t="n">
        <v>2019</v>
      </c>
      <c r="B159" s="7" t="inlineStr">
        <is>
          <t>2WD</t>
        </is>
      </c>
      <c r="C159" s="7" t="inlineStr">
        <is>
          <t>2.2 XD エクスクルーシブ</t>
        </is>
      </c>
      <c r="D159" s="17" t="n">
        <v>5.5</v>
      </c>
      <c r="E159" s="9" t="n">
        <v>264.5</v>
      </c>
      <c r="F159" s="9" t="n">
        <v>249.9</v>
      </c>
      <c r="G159" s="10" t="n">
        <v>4.2</v>
      </c>
      <c r="H159" s="7" t="inlineStr">
        <is>
          <t>なし</t>
        </is>
      </c>
      <c r="I159" s="7" t="inlineStr">
        <is>
          <t>車検整備付</t>
        </is>
      </c>
      <c r="J159" s="7" t="inlineStr">
        <is>
          <t>保証付</t>
        </is>
      </c>
      <c r="K159" s="16" t="inlineStr">
        <is>
          <t>走行が少なめ（4.2万km） / 修復歴なし / 車検整備付 / 保証付</t>
        </is>
      </c>
      <c r="L159" s="16" t="inlineStr">
        <is>
          <t>CX-8 2.2 XD エクスクルーシブ モード ディーゼルターボ サンルーフ/360度ビュー/BOSEサウンド/深赤革シート/衝突軽減ブレーキ/BSM/前後パーキングセンサー/レーダークルコン/LKA/Pシート/シートベンチレーション/Pバックドア/マツコネナビ/フルセグ/DVD/BT/AppleCarPlay</t>
        </is>
      </c>
      <c r="M159" s="7" t="inlineStr">
        <is>
          <t>https://www.carsensor.net/usedcar/detail/AU7338792743/index.html</t>
        </is>
      </c>
    </row>
    <row r="160">
      <c r="A160" s="11" t="n">
        <v>2019</v>
      </c>
      <c r="B160" s="12" t="inlineStr">
        <is>
          <t>2WD</t>
        </is>
      </c>
      <c r="C160" s="12" t="inlineStr">
        <is>
          <t>2.2 XD エクスクルーシブ</t>
        </is>
      </c>
      <c r="D160" s="13" t="n">
        <v>5.5</v>
      </c>
      <c r="E160" s="14" t="n">
        <v>297.9</v>
      </c>
      <c r="F160" s="14" t="n">
        <v>282</v>
      </c>
      <c r="G160" s="15" t="n">
        <v>3</v>
      </c>
      <c r="H160" s="12" t="inlineStr">
        <is>
          <t>なし</t>
        </is>
      </c>
      <c r="I160" s="12" t="inlineStr">
        <is>
          <t>車検整備付</t>
        </is>
      </c>
      <c r="J160" s="12" t="inlineStr">
        <is>
          <t>保証付</t>
        </is>
      </c>
      <c r="K160" s="16" t="inlineStr">
        <is>
          <t>走行が少なめ（3.0万km） / 修復歴なし / 車検整備付 / 保証付</t>
        </is>
      </c>
      <c r="L160" s="16" t="inlineStr">
        <is>
          <t>CX-8 2.2 XD エクスクルーシブ モード ディーゼルターボ サンルーフ BOSEサウンドシステム 8インチマツダコネクト 全周囲カメラ 禁煙車 電動リアゲート 前席シートエアコン パワーシート シートヒーター 横滑り防止装置 ルーフレール コーナーセンサー</t>
        </is>
      </c>
      <c r="M160" s="12" t="inlineStr">
        <is>
          <t>https://www.carsensor.net/usedcar/detail/AU7335603284/index.html</t>
        </is>
      </c>
    </row>
    <row r="161">
      <c r="A161" s="6" t="n">
        <v>2019</v>
      </c>
      <c r="B161" s="7" t="inlineStr">
        <is>
          <t>2WD</t>
        </is>
      </c>
      <c r="C161" s="7" t="inlineStr">
        <is>
          <t>2.2 XD エクスクルーシブ</t>
        </is>
      </c>
      <c r="D161" s="17" t="n">
        <v>5.5</v>
      </c>
      <c r="E161" s="9" t="n">
        <v>289.9</v>
      </c>
      <c r="F161" s="9" t="n">
        <v>272.7</v>
      </c>
      <c r="G161" s="10" t="n">
        <v>4.1</v>
      </c>
      <c r="H161" s="7" t="inlineStr">
        <is>
          <t>なし</t>
        </is>
      </c>
      <c r="I161" s="7" t="inlineStr">
        <is>
          <t>車検整備付</t>
        </is>
      </c>
      <c r="J161" s="7" t="inlineStr">
        <is>
          <t>保証付</t>
        </is>
      </c>
      <c r="K161" s="16" t="inlineStr">
        <is>
          <t>走行が少なめ（4.1万km） / 修復歴なし / 車検整備付 / 保証付</t>
        </is>
      </c>
      <c r="L161" s="16" t="inlineStr">
        <is>
          <t>CX-8 2.2 XD エクスクルーシブ モード ディーゼルターボ サンルーフ 8型マツダコネクト 全周囲カメラ BOSEサウンド 衝突軽減システム レーダークルーズ ブラインドスポットモニター シートエアコン メモリーシート 電動リアゲート 革シート LEDヘッド</t>
        </is>
      </c>
      <c r="M161" s="7" t="inlineStr">
        <is>
          <t>https://www.carsensor.net/usedcar/detail/AU7327935469/index.html</t>
        </is>
      </c>
    </row>
    <row r="162">
      <c r="A162" s="11" t="n">
        <v>2019</v>
      </c>
      <c r="B162" s="12" t="inlineStr">
        <is>
          <t>2WD</t>
        </is>
      </c>
      <c r="C162" s="12" t="inlineStr">
        <is>
          <t>2.2 XD エクスクルーシブ</t>
        </is>
      </c>
      <c r="D162" s="13" t="n">
        <v>5.5</v>
      </c>
      <c r="E162" s="14" t="n">
        <v>299.7</v>
      </c>
      <c r="F162" s="14" t="n">
        <v>285</v>
      </c>
      <c r="G162" s="15" t="n">
        <v>2.9</v>
      </c>
      <c r="H162" s="12" t="inlineStr">
        <is>
          <t>なし</t>
        </is>
      </c>
      <c r="I162" s="12" t="inlineStr">
        <is>
          <t>車検整備付</t>
        </is>
      </c>
      <c r="J162" s="12" t="inlineStr">
        <is>
          <t>保証付</t>
        </is>
      </c>
      <c r="K162" s="16" t="inlineStr">
        <is>
          <t>走行が少なめ（2.9万km） / 修復歴なし / 車検整備付 / 保証付</t>
        </is>
      </c>
      <c r="L162" s="16" t="inlineStr">
        <is>
          <t>CX-8 2.2 XD エクスクルーシブ モード ディーゼルターボ サンルーフ BOSEサウンド ベンチレーション ナビ 全方位モニター CD DVD</t>
        </is>
      </c>
      <c r="M162" s="12" t="inlineStr">
        <is>
          <t>https://www.carsensor.net/usedcar/detail/AU7357213425/index.html</t>
        </is>
      </c>
    </row>
    <row r="163">
      <c r="A163" s="6" t="n">
        <v>2021</v>
      </c>
      <c r="B163" s="7" t="inlineStr">
        <is>
          <t>2WD</t>
        </is>
      </c>
      <c r="C163" s="7" t="inlineStr">
        <is>
          <t>2.2 XD エクスクルーシブ</t>
        </is>
      </c>
      <c r="D163" s="17" t="n">
        <v>5.5</v>
      </c>
      <c r="E163" s="9" t="n">
        <v>304.8</v>
      </c>
      <c r="F163" s="9" t="n">
        <v>289.7</v>
      </c>
      <c r="G163" s="10" t="n">
        <v>3</v>
      </c>
      <c r="H163" s="7" t="inlineStr">
        <is>
          <t>なし</t>
        </is>
      </c>
      <c r="I163" s="7" t="inlineStr">
        <is>
          <t>車検整備付</t>
        </is>
      </c>
      <c r="J163" s="7" t="inlineStr">
        <is>
          <t>保証付</t>
        </is>
      </c>
      <c r="K163" s="16" t="inlineStr">
        <is>
          <t>走行が少なめ（3.0万km） / 修復歴なし / 車検整備付 / 保証付</t>
        </is>
      </c>
      <c r="L163" s="16" t="inlineStr">
        <is>
          <t>CX-8 2.2 XD エクスクルーシブ モード ディーゼルターボ 衝突被害軽減システム 全方位モニター レーンアシスト レーダークルーズ BSM 純正ディスプレイオーディオ スマホ連携 フルセグ スマートキー ETC2.0 電動リアゲート BOSE ドライブレコーダ</t>
        </is>
      </c>
      <c r="M163" s="7" t="inlineStr">
        <is>
          <t>https://www.carsensor.net/usedcar/detail/AU7343688589/index.html</t>
        </is>
      </c>
    </row>
    <row r="164">
      <c r="A164" s="11" t="n">
        <v>2021</v>
      </c>
      <c r="B164" s="12" t="inlineStr">
        <is>
          <t>2WD</t>
        </is>
      </c>
      <c r="C164" s="12" t="inlineStr">
        <is>
          <t>2.2 XD エクスクルーシブ</t>
        </is>
      </c>
      <c r="D164" s="13" t="n">
        <v>5.5</v>
      </c>
      <c r="E164" s="14" t="n">
        <v>326.8</v>
      </c>
      <c r="F164" s="14" t="n">
        <v>308</v>
      </c>
      <c r="G164" s="15" t="n">
        <v>2.8</v>
      </c>
      <c r="H164" s="12" t="inlineStr">
        <is>
          <t>なし</t>
        </is>
      </c>
      <c r="I164" s="12" t="inlineStr">
        <is>
          <t>車検整備付</t>
        </is>
      </c>
      <c r="J164" s="12" t="inlineStr">
        <is>
          <t>保証付</t>
        </is>
      </c>
      <c r="K164" s="16" t="inlineStr">
        <is>
          <t>走行が少なめ（2.8万km） / 修復歴なし / 車検整備付 / 保証付</t>
        </is>
      </c>
      <c r="L164" s="16" t="inlineStr">
        <is>
          <t>CX-8 2.2 XD エクスクルーシブ モード ディーゼルターボ ナビSDカード 360°ビュー BOSEスピーカー ETC フルセグTVチューナー Bluetooth機能 USB接続端子 ワイヤレス充電Qi シートヒーター シートベンチレーション ステアリングヒーター</t>
        </is>
      </c>
      <c r="M164" s="12" t="inlineStr">
        <is>
          <t>https://www.carsensor.net/usedcar/detail/AU7115485946/index.html</t>
        </is>
      </c>
    </row>
    <row r="165">
      <c r="A165" s="6" t="n">
        <v>2020</v>
      </c>
      <c r="B165" s="7" t="inlineStr">
        <is>
          <t>2WD</t>
        </is>
      </c>
      <c r="C165" s="7" t="inlineStr">
        <is>
          <t>2.2 XD エクスクルーシブ</t>
        </is>
      </c>
      <c r="D165" s="17" t="n">
        <v>5.4</v>
      </c>
      <c r="E165" s="9" t="n">
        <v>279.1</v>
      </c>
      <c r="F165" s="9" t="n">
        <v>269.8</v>
      </c>
      <c r="G165" s="10" t="n">
        <v>2.8</v>
      </c>
      <c r="H165" s="7" t="inlineStr">
        <is>
          <t>なし</t>
        </is>
      </c>
      <c r="I165" s="7" t="inlineStr">
        <is>
          <t>2027(R09)年09月</t>
        </is>
      </c>
      <c r="J165" s="7" t="inlineStr">
        <is>
          <t>保証付</t>
        </is>
      </c>
      <c r="K165" s="16" t="inlineStr">
        <is>
          <t>走行が少なめ（2.8万km） / 修復歴なし / 車検 2027/09 まで（残り11ヶ月） / 保証付</t>
        </is>
      </c>
      <c r="L165" s="16" t="inlineStr">
        <is>
          <t>CX-8 2.2 XD エクスクルーシブ モード ディーゼルターボ ディーゼル車 サンルーフ BOSEスピーカー 360°モニター 禁煙車</t>
        </is>
      </c>
      <c r="M165" s="7" t="inlineStr">
        <is>
          <t>https://www.carsensor.net/usedcar/detail/AU7181891680/index.html</t>
        </is>
      </c>
    </row>
    <row r="166">
      <c r="A166" s="11" t="n">
        <v>2020</v>
      </c>
      <c r="B166" s="12" t="inlineStr">
        <is>
          <t>2WD</t>
        </is>
      </c>
      <c r="C166" s="12" t="inlineStr">
        <is>
          <t>2.2 XD エクスクルーシブ</t>
        </is>
      </c>
      <c r="D166" s="13" t="n">
        <v>5</v>
      </c>
      <c r="E166" s="14" t="n">
        <v>279.8</v>
      </c>
      <c r="F166" s="14" t="n">
        <v>273.9</v>
      </c>
      <c r="G166" s="15" t="n">
        <v>3.1</v>
      </c>
      <c r="H166" s="12" t="inlineStr">
        <is>
          <t>なし</t>
        </is>
      </c>
      <c r="I166" s="12" t="inlineStr">
        <is>
          <t>2027(R09)年04月</t>
        </is>
      </c>
      <c r="J166" s="12" t="inlineStr">
        <is>
          <t>保証付</t>
        </is>
      </c>
      <c r="K166" s="16" t="inlineStr">
        <is>
          <t>走行が少なめ（3.1万km） / 修復歴なし / 車検 2027/04 まで（残り6ヶ月） / 保証付</t>
        </is>
      </c>
      <c r="L166" s="16" t="inlineStr">
        <is>
          <t>CX-8 2.2 XD エクスクルーシブ モード ディーゼルターボ ワンオーナー 8型コネクトナビ 地デジTV BOSEサウンド レザーシート ベンチレーション アダプティブLED 純正19インチAW パワーバックドア レーダークルーズ 衝突軽減ブレーキ ブラインドスポットモニター</t>
        </is>
      </c>
      <c r="M166" s="12" t="inlineStr">
        <is>
          <t>https://www.carsensor.net/usedcar/detail/AU7396373850/index.html</t>
        </is>
      </c>
    </row>
    <row r="167">
      <c r="A167" s="6" t="n">
        <v>2021</v>
      </c>
      <c r="B167" s="7" t="inlineStr">
        <is>
          <t>2WD</t>
        </is>
      </c>
      <c r="C167" s="7" t="inlineStr">
        <is>
          <t>2.2 XD エクスクルーシブ</t>
        </is>
      </c>
      <c r="D167" s="17" t="n">
        <v>5</v>
      </c>
      <c r="E167" s="9" t="n">
        <v>309</v>
      </c>
      <c r="F167" s="9" t="n">
        <v>298</v>
      </c>
      <c r="G167" s="10" t="n">
        <v>5.8</v>
      </c>
      <c r="H167" s="7" t="inlineStr">
        <is>
          <t>なし</t>
        </is>
      </c>
      <c r="I167" s="7" t="inlineStr">
        <is>
          <t>2028(R10)年10月</t>
        </is>
      </c>
      <c r="J167" s="7" t="inlineStr">
        <is>
          <t>保証付</t>
        </is>
      </c>
      <c r="K167" s="16" t="inlineStr">
        <is>
          <t>修復歴なし / 車検 2028/10 まで（残り24ヶ月） / 保証付</t>
        </is>
      </c>
      <c r="L167" s="16" t="inlineStr">
        <is>
          <t>CX-8 2.2 XD エクスクルーシブ モード ディーゼルターボ マツダ認定中古車 ナビ 360度カメラ ETC BOSEサウンドシステム 19AW ハンズフリーゲート ワイヤレス充電 ベンチレーション ルーフレール AT誤発進 衝突被害軽減ブレーキ 車線逸脱警報 禁煙車 7人乗り</t>
        </is>
      </c>
      <c r="M167" s="7" t="inlineStr">
        <is>
          <t>https://www.carsensor.net/usedcar/detail/AU7211959070/index.html</t>
        </is>
      </c>
    </row>
    <row r="168">
      <c r="A168" s="11" t="n">
        <v>2022</v>
      </c>
      <c r="B168" s="12" t="inlineStr">
        <is>
          <t>2WD</t>
        </is>
      </c>
      <c r="C168" s="12" t="inlineStr">
        <is>
          <t>2.2 XD エクスクルーシブ</t>
        </is>
      </c>
      <c r="D168" s="13" t="n">
        <v>5</v>
      </c>
      <c r="E168" s="14" t="n">
        <v>258.2</v>
      </c>
      <c r="F168" s="14" t="n">
        <v>245.5</v>
      </c>
      <c r="G168" s="15" t="n">
        <v>4.1</v>
      </c>
      <c r="H168" s="12" t="inlineStr">
        <is>
          <t>なし</t>
        </is>
      </c>
      <c r="I168" s="12" t="inlineStr">
        <is>
          <t>車検整備付</t>
        </is>
      </c>
      <c r="J168" s="12" t="inlineStr">
        <is>
          <t>保証付</t>
        </is>
      </c>
      <c r="K168" s="16" t="inlineStr">
        <is>
          <t>修復歴なし / 車検整備付 / 保証付 / 同年式より安い（中央値 296万）</t>
        </is>
      </c>
      <c r="L168" s="16" t="inlineStr">
        <is>
          <t>CX-8 2.2 XD エクスクルーシブ モード ディーゼルターボ 衝突被害軽減ブレーキ ETC スマートキー リモコンスターター ドラレコ バックモニター ナビ フルセグTV 後席モニター</t>
        </is>
      </c>
      <c r="M168" s="12" t="inlineStr">
        <is>
          <t>https://www.carsensor.net/usedcar/detail/AU7132983465/index.html</t>
        </is>
      </c>
    </row>
    <row r="169">
      <c r="A169" s="6" t="n">
        <v>2021</v>
      </c>
      <c r="B169" s="7" t="inlineStr">
        <is>
          <t>2WD</t>
        </is>
      </c>
      <c r="C169" s="7" t="inlineStr">
        <is>
          <t>2.2 XD エクスクルーシブ</t>
        </is>
      </c>
      <c r="D169" s="17" t="n">
        <v>4.8</v>
      </c>
      <c r="E169" s="9" t="n">
        <v>268.8</v>
      </c>
      <c r="F169" s="9" t="n">
        <v>260.6</v>
      </c>
      <c r="G169" s="10" t="n">
        <v>6.1</v>
      </c>
      <c r="H169" s="7" t="inlineStr">
        <is>
          <t>なし</t>
        </is>
      </c>
      <c r="I169" s="7" t="inlineStr">
        <is>
          <t>2028(R10)年07月</t>
        </is>
      </c>
      <c r="J169" s="7" t="inlineStr">
        <is>
          <t>保証付</t>
        </is>
      </c>
      <c r="K169" s="16" t="inlineStr">
        <is>
          <t>修復歴なし / 車検 2028/07 まで（残り21ヶ月） / 保証付</t>
        </is>
      </c>
      <c r="L169" s="16" t="inlineStr">
        <is>
          <t>CX-8 2.2 XD エクスクルーシブ モード ディーゼルターボ 本土仕入/純正10.25インチナビ/全周囲モニター/フリップダウンモニター/AppleCarPlay/ナッパーレザーシート/ブラインドスポットモニター/電動リアゲート/レーダークルーズコントロール/スマートキー/ETC</t>
        </is>
      </c>
      <c r="M169" s="7" t="inlineStr">
        <is>
          <t>https://www.carsensor.net/usedcar/detail/AU7443256286/index.html</t>
        </is>
      </c>
    </row>
    <row r="170">
      <c r="A170" s="11" t="n">
        <v>2021</v>
      </c>
      <c r="B170" s="12" t="inlineStr">
        <is>
          <t>2WD</t>
        </is>
      </c>
      <c r="C170" s="12" t="inlineStr">
        <is>
          <t>2.2 XD エクスクルーシブ</t>
        </is>
      </c>
      <c r="D170" s="13" t="n">
        <v>4.5</v>
      </c>
      <c r="E170" s="14" t="n">
        <v>280.9</v>
      </c>
      <c r="F170" s="14" t="n">
        <v>273.8</v>
      </c>
      <c r="G170" s="15" t="n">
        <v>6.5</v>
      </c>
      <c r="H170" s="12" t="inlineStr">
        <is>
          <t>なし</t>
        </is>
      </c>
      <c r="I170" s="12" t="inlineStr">
        <is>
          <t>2028(R10)年04月</t>
        </is>
      </c>
      <c r="J170" s="12" t="inlineStr">
        <is>
          <t>保証付</t>
        </is>
      </c>
      <c r="K170" s="16" t="inlineStr">
        <is>
          <t>修復歴なし / 車検 2028/04 まで（残り18ヶ月） / 保証付</t>
        </is>
      </c>
      <c r="L170" s="16" t="inlineStr">
        <is>
          <t>CX-8 2.2 XD エクスクルーシブ モード ディーゼルターボ サンルーフ/BOSE/11インチ SDナビ/アイアクティブセンス/シートヒーター 前席/360°ビューモニター/車線逸脱防止支援システム/シート フルレザー/電動バックドア</t>
        </is>
      </c>
      <c r="M170" s="12" t="inlineStr">
        <is>
          <t>https://www.carsensor.net/usedcar/detail/AU7147899163/index.html</t>
        </is>
      </c>
    </row>
    <row r="171">
      <c r="A171" s="6" t="n">
        <v>2021</v>
      </c>
      <c r="B171" s="7" t="inlineStr">
        <is>
          <t>2WD</t>
        </is>
      </c>
      <c r="C171" s="7" t="inlineStr">
        <is>
          <t>2.2 XD エクスクルーシブ</t>
        </is>
      </c>
      <c r="D171" s="17" t="n">
        <v>4.4</v>
      </c>
      <c r="E171" s="9" t="n">
        <v>313</v>
      </c>
      <c r="F171" s="9" t="n">
        <v>298</v>
      </c>
      <c r="G171" s="10" t="n">
        <v>6.4</v>
      </c>
      <c r="H171" s="7" t="inlineStr">
        <is>
          <t>なし</t>
        </is>
      </c>
      <c r="I171" s="7" t="inlineStr">
        <is>
          <t>2028(R10)年03月</t>
        </is>
      </c>
      <c r="J171" s="7" t="inlineStr">
        <is>
          <t>保証付</t>
        </is>
      </c>
      <c r="K171" s="16" t="inlineStr">
        <is>
          <t>修復歴なし / 車検 2028/03 まで（残り17ヶ月） / 保証付</t>
        </is>
      </c>
      <c r="L171" s="16" t="inlineStr">
        <is>
          <t>CX-8 2.2 XD エクスクルーシブ モード ディーゼルターボ シートエアコン</t>
        </is>
      </c>
      <c r="M171" s="7" t="inlineStr">
        <is>
          <t>https://www.carsensor.net/usedcar/detail/AU7128859753/index.html</t>
        </is>
      </c>
    </row>
    <row r="172">
      <c r="A172" s="11" t="n">
        <v>2021</v>
      </c>
      <c r="B172" s="12" t="inlineStr">
        <is>
          <t>2WD</t>
        </is>
      </c>
      <c r="C172" s="12" t="inlineStr">
        <is>
          <t>2.2 XD エクスクルーシブ</t>
        </is>
      </c>
      <c r="D172" s="13" t="n">
        <v>4.4</v>
      </c>
      <c r="E172" s="14" t="n">
        <v>319.9</v>
      </c>
      <c r="F172" s="14" t="n">
        <v>307.8</v>
      </c>
      <c r="G172" s="15" t="n">
        <v>5.3</v>
      </c>
      <c r="H172" s="12" t="inlineStr">
        <is>
          <t>なし</t>
        </is>
      </c>
      <c r="I172" s="12" t="inlineStr">
        <is>
          <t>2028(R10)年03月</t>
        </is>
      </c>
      <c r="J172" s="12" t="inlineStr">
        <is>
          <t>保証付</t>
        </is>
      </c>
      <c r="K172" s="16" t="inlineStr">
        <is>
          <t>修復歴なし / 車検 2028/03 まで（残り17ヶ月） / 保証付</t>
        </is>
      </c>
      <c r="L172" s="16" t="inlineStr">
        <is>
          <t>CX-8 2.2 XD エクスクルーシブ モード ディーゼルターボ ディーゼル(軽油) 純正ナビ 後席モニター 全周囲カメラ 衝突被害軽減システム 禁煙車 電動リアゲート レザーシート 前席シートエアコン ドラレコ コーナーセンサー スマートキー LEDヘッド</t>
        </is>
      </c>
      <c r="M172" s="12" t="inlineStr">
        <is>
          <t>https://www.carsensor.net/usedcar/detail/AU7356349922/index.html</t>
        </is>
      </c>
    </row>
    <row r="173">
      <c r="A173" s="6" t="n">
        <v>2021</v>
      </c>
      <c r="B173" s="7" t="inlineStr">
        <is>
          <t>2WD</t>
        </is>
      </c>
      <c r="C173" s="7" t="inlineStr">
        <is>
          <t>2.2 XD エクスクルーシブ</t>
        </is>
      </c>
      <c r="D173" s="17" t="n">
        <v>4.4</v>
      </c>
      <c r="E173" s="9" t="n">
        <v>319.9</v>
      </c>
      <c r="F173" s="9" t="n">
        <v>303.4</v>
      </c>
      <c r="G173" s="10" t="n">
        <v>4.1</v>
      </c>
      <c r="H173" s="7" t="inlineStr">
        <is>
          <t>なし</t>
        </is>
      </c>
      <c r="I173" s="7" t="inlineStr">
        <is>
          <t>2028(R10)年03月</t>
        </is>
      </c>
      <c r="J173" s="7" t="inlineStr">
        <is>
          <t>保証付</t>
        </is>
      </c>
      <c r="K173" s="16" t="inlineStr">
        <is>
          <t>修復歴なし / 車検 2028/03 まで（残り17ヶ月） / 保証付</t>
        </is>
      </c>
      <c r="L173" s="16" t="inlineStr">
        <is>
          <t>CX-8 2.2 XD エクスクルーシブ モード ディーゼルターボ 禁煙車 6人乗 BOSEサウンド 360°ビューモニター 本革エアシート メモリパワーシート パワーバックドア レーダークルーズ クリアランスソナー ブラインドスポットモニター ヘッドアップディスプレイ</t>
        </is>
      </c>
      <c r="M173" s="7" t="inlineStr">
        <is>
          <t>https://www.carsensor.net/usedcar/detail/AU7318002601/index.html</t>
        </is>
      </c>
    </row>
    <row r="174">
      <c r="A174" s="11" t="n">
        <v>2019</v>
      </c>
      <c r="B174" s="12" t="inlineStr">
        <is>
          <t>2WD</t>
        </is>
      </c>
      <c r="C174" s="12" t="inlineStr">
        <is>
          <t>2.2 XD エクスクルーシブ</t>
        </is>
      </c>
      <c r="D174" s="13" t="n">
        <v>4</v>
      </c>
      <c r="E174" s="14" t="n">
        <v>274.9</v>
      </c>
      <c r="F174" s="14" t="n">
        <v>268.1</v>
      </c>
      <c r="G174" s="15" t="n">
        <v>5.5</v>
      </c>
      <c r="H174" s="12" t="inlineStr">
        <is>
          <t>なし</t>
        </is>
      </c>
      <c r="I174" s="12" t="inlineStr">
        <is>
          <t>車検整備付</t>
        </is>
      </c>
      <c r="J174" s="12" t="inlineStr">
        <is>
          <t>保証付</t>
        </is>
      </c>
      <c r="K174" s="16" t="inlineStr">
        <is>
          <t>修復歴なし / 車検整備付 / 保証付</t>
        </is>
      </c>
      <c r="L174" s="16" t="inlineStr">
        <is>
          <t>CX-8 2.2 XD エクスクルーシブ モード ディーゼルターボ 本革シート サンルーフ</t>
        </is>
      </c>
      <c r="M174" s="12" t="inlineStr">
        <is>
          <t>https://www.carsensor.net/usedcar/detail/AU7448397947/index.html</t>
        </is>
      </c>
    </row>
    <row r="175">
      <c r="A175" s="6" t="n">
        <v>2020</v>
      </c>
      <c r="B175" s="7" t="inlineStr">
        <is>
          <t>2WD</t>
        </is>
      </c>
      <c r="C175" s="7" t="inlineStr">
        <is>
          <t>2.2 XD エクスクルーシブ</t>
        </is>
      </c>
      <c r="D175" s="17" t="n">
        <v>4</v>
      </c>
      <c r="E175" s="9" t="n">
        <v>281.2</v>
      </c>
      <c r="F175" s="9" t="n">
        <v>264</v>
      </c>
      <c r="G175" s="10" t="n">
        <v>4.6</v>
      </c>
      <c r="H175" s="7" t="inlineStr">
        <is>
          <t>なし</t>
        </is>
      </c>
      <c r="I175" s="7" t="inlineStr">
        <is>
          <t>車検整備付</t>
        </is>
      </c>
      <c r="J175" s="7" t="inlineStr">
        <is>
          <t>保証付</t>
        </is>
      </c>
      <c r="K175" s="16" t="inlineStr">
        <is>
          <t>修復歴なし / 車検整備付 / 保証付</t>
        </is>
      </c>
      <c r="L175" s="16" t="inlineStr">
        <is>
          <t>CX-8 2.2 XD エクスクルーシブ モード ディーゼルターボ ディーゼル 後席モニター BOSEサウンド 純正8型ナビ 全周囲カメラ 衝突軽減 レーダークルーズ クリアランスソナー パワーバックドア 純正19インチアルミ シートヒーター ステアリングヒーター</t>
        </is>
      </c>
      <c r="M175" s="7" t="inlineStr">
        <is>
          <t>https://www.carsensor.net/usedcar/detail/AU7432634538/index.html</t>
        </is>
      </c>
    </row>
    <row r="176">
      <c r="A176" s="11" t="n">
        <v>2021</v>
      </c>
      <c r="B176" s="12" t="inlineStr">
        <is>
          <t>2WD</t>
        </is>
      </c>
      <c r="C176" s="12" t="inlineStr">
        <is>
          <t>2.2 XD エクスクルーシブ</t>
        </is>
      </c>
      <c r="D176" s="13" t="n">
        <v>4</v>
      </c>
      <c r="E176" s="14" t="n">
        <v>299.9</v>
      </c>
      <c r="F176" s="14" t="n">
        <v>282.6</v>
      </c>
      <c r="G176" s="15" t="n">
        <v>4</v>
      </c>
      <c r="H176" s="12" t="inlineStr">
        <is>
          <t>なし</t>
        </is>
      </c>
      <c r="I176" s="12" t="inlineStr">
        <is>
          <t>車検整備付</t>
        </is>
      </c>
      <c r="J176" s="12" t="inlineStr">
        <is>
          <t>保証付</t>
        </is>
      </c>
      <c r="K176" s="16" t="inlineStr">
        <is>
          <t>修復歴なし / 車検整備付 / 保証付</t>
        </is>
      </c>
      <c r="L176" s="16" t="inlineStr">
        <is>
          <t>CX-8 2.2 XD エクスクルーシブ モード ディーゼルターボ サンルーフ BOSEサウンド 全周囲カメラ 純正10.25型ナビ 電動リアゲート シートヒーター ブラインドスポットモニター 茶革シート Bluetooth ETC ドラレコ LEDヘッドランプ</t>
        </is>
      </c>
      <c r="M176" s="12" t="inlineStr">
        <is>
          <t>https://www.carsensor.net/usedcar/detail/AU7214994300/index.html</t>
        </is>
      </c>
    </row>
    <row r="177">
      <c r="A177" s="6" t="n">
        <v>2021</v>
      </c>
      <c r="B177" s="7" t="inlineStr">
        <is>
          <t>2WD</t>
        </is>
      </c>
      <c r="C177" s="7" t="inlineStr">
        <is>
          <t>2.2 XD エクスクルーシブ</t>
        </is>
      </c>
      <c r="D177" s="17" t="n">
        <v>4</v>
      </c>
      <c r="E177" s="9" t="n">
        <v>310.1</v>
      </c>
      <c r="F177" s="9" t="n">
        <v>295.8</v>
      </c>
      <c r="G177" s="10" t="n">
        <v>5.3</v>
      </c>
      <c r="H177" s="7" t="inlineStr">
        <is>
          <t>なし</t>
        </is>
      </c>
      <c r="I177" s="7" t="inlineStr">
        <is>
          <t>車検整備付</t>
        </is>
      </c>
      <c r="J177" s="7" t="inlineStr">
        <is>
          <t>保証付</t>
        </is>
      </c>
      <c r="K177" s="16" t="inlineStr">
        <is>
          <t>修復歴なし / 車検整備付 / 保証付</t>
        </is>
      </c>
      <c r="L177" s="16" t="inlineStr">
        <is>
          <t>CX-8 2.2 XD エクスクルーシブ モード ディーゼルターボ マツダ認定中古車 ETC車載器 衝突被害軽減ブレーキ コネクティッドサービス 360°ビューモニター BOSEサウンドシステム</t>
        </is>
      </c>
      <c r="M177" s="7" t="inlineStr">
        <is>
          <t>https://www.carsensor.net/usedcar/detail/AU7325430305/index.html</t>
        </is>
      </c>
    </row>
    <row r="178">
      <c r="A178" s="11" t="n">
        <v>2021</v>
      </c>
      <c r="B178" s="12" t="inlineStr">
        <is>
          <t>2WD</t>
        </is>
      </c>
      <c r="C178" s="12" t="inlineStr">
        <is>
          <t>2.2 XD エクスクルーシブ</t>
        </is>
      </c>
      <c r="D178" s="13" t="n">
        <v>4</v>
      </c>
      <c r="E178" s="14" t="n">
        <v>309.1</v>
      </c>
      <c r="F178" s="14" t="n">
        <v>292</v>
      </c>
      <c r="G178" s="15" t="n">
        <v>5.8</v>
      </c>
      <c r="H178" s="12" t="inlineStr">
        <is>
          <t>なし</t>
        </is>
      </c>
      <c r="I178" s="12" t="inlineStr">
        <is>
          <t>車検整備付</t>
        </is>
      </c>
      <c r="J178" s="12" t="inlineStr">
        <is>
          <t>保証付</t>
        </is>
      </c>
      <c r="K178" s="16" t="inlineStr">
        <is>
          <t>修復歴なし / 車検整備付 / 保証付</t>
        </is>
      </c>
      <c r="L178" s="16" t="inlineStr">
        <is>
          <t>CX-8 2.2 XD エクスクルーシブ モード ディーゼルターボ ワンオーナー/前後ドラレコ/ETC/ナビ360°モニター/TV・DVD・CD・Bluetooth・スマートフォン連携/BOSE/リアモニター/シート・ステアリングヒーター/シートベンチレーション/レーダークルーズ/電度リアゲート/6人乗り</t>
        </is>
      </c>
      <c r="M178" s="12" t="inlineStr">
        <is>
          <t>https://www.carsensor.net/usedcar/detail/AU7240099480/index.html</t>
        </is>
      </c>
    </row>
    <row r="179">
      <c r="A179" s="6" t="n">
        <v>2021</v>
      </c>
      <c r="B179" s="7" t="inlineStr">
        <is>
          <t>2WD</t>
        </is>
      </c>
      <c r="C179" s="7" t="inlineStr">
        <is>
          <t>2.2 XD エクスクルーシブ</t>
        </is>
      </c>
      <c r="D179" s="17" t="n">
        <v>4</v>
      </c>
      <c r="E179" s="9" t="n">
        <v>264.8</v>
      </c>
      <c r="F179" s="9" t="n">
        <v>254.8</v>
      </c>
      <c r="G179" s="10" t="n">
        <v>7</v>
      </c>
      <c r="H179" s="7" t="inlineStr">
        <is>
          <t>なし</t>
        </is>
      </c>
      <c r="I179" s="7" t="inlineStr">
        <is>
          <t>車検整備付</t>
        </is>
      </c>
      <c r="J179" s="7" t="inlineStr">
        <is>
          <t>保証付</t>
        </is>
      </c>
      <c r="K179" s="16" t="inlineStr">
        <is>
          <t>修復歴なし / 車検整備付 / 保証付</t>
        </is>
      </c>
      <c r="L179" s="16" t="inlineStr">
        <is>
          <t>CX-8 2.2 XD エクスクルーシブ モード ディーゼルターボ 純正ナビ・パノラマモニター・ETC・BOSEスピーカー・サンルーフ・シートヒーター</t>
        </is>
      </c>
      <c r="M179" s="7" t="inlineStr">
        <is>
          <t>https://www.carsensor.net/usedcar/detail/AU6899759998/index.html</t>
        </is>
      </c>
    </row>
    <row r="180">
      <c r="A180" s="11" t="n">
        <v>2021</v>
      </c>
      <c r="B180" s="12" t="inlineStr">
        <is>
          <t>2WD</t>
        </is>
      </c>
      <c r="C180" s="12" t="inlineStr">
        <is>
          <t>2.2 XD エクスクルーシブ</t>
        </is>
      </c>
      <c r="D180" s="13" t="n">
        <v>4</v>
      </c>
      <c r="E180" s="14" t="n">
        <v>342.7</v>
      </c>
      <c r="F180" s="14" t="n">
        <v>327.8</v>
      </c>
      <c r="G180" s="15" t="n">
        <v>4</v>
      </c>
      <c r="H180" s="12" t="inlineStr">
        <is>
          <t>なし</t>
        </is>
      </c>
      <c r="I180" s="12" t="inlineStr">
        <is>
          <t>車検整備付</t>
        </is>
      </c>
      <c r="J180" s="12" t="inlineStr">
        <is>
          <t>保証付</t>
        </is>
      </c>
      <c r="K180" s="16" t="inlineStr">
        <is>
          <t>修復歴なし / 車検整備付 / 保証付</t>
        </is>
      </c>
      <c r="L180" s="16" t="inlineStr">
        <is>
          <t>CX-8 2.2 XD エクスクルーシブ モード ディーゼルターボ 6人乗り・ナビ・地デジ・ETC・360度カメラ</t>
        </is>
      </c>
      <c r="M180" s="12" t="inlineStr">
        <is>
          <t>https://www.carsensor.net/usedcar/detail/AU7273830994/index.html</t>
        </is>
      </c>
    </row>
    <row r="181">
      <c r="A181" s="6" t="n">
        <v>2021</v>
      </c>
      <c r="B181" s="7" t="inlineStr">
        <is>
          <t>2WD</t>
        </is>
      </c>
      <c r="C181" s="7" t="inlineStr">
        <is>
          <t>2.2 XD エクスクルーシブ</t>
        </is>
      </c>
      <c r="D181" s="17" t="n">
        <v>4</v>
      </c>
      <c r="E181" s="9" t="n">
        <v>302.7</v>
      </c>
      <c r="F181" s="9" t="n">
        <v>287.5</v>
      </c>
      <c r="G181" s="10" t="n">
        <v>6.9</v>
      </c>
      <c r="H181" s="7" t="inlineStr">
        <is>
          <t>なし</t>
        </is>
      </c>
      <c r="I181" s="7" t="inlineStr">
        <is>
          <t>車検整備付</t>
        </is>
      </c>
      <c r="J181" s="7" t="inlineStr">
        <is>
          <t>保証付</t>
        </is>
      </c>
      <c r="K181" s="16" t="inlineStr">
        <is>
          <t>修復歴なし / 車検整備付 / 保証付</t>
        </is>
      </c>
      <c r="L181" s="16" t="inlineStr">
        <is>
          <t>CX-8 2.2 XD エクスクルーシブ モード ディーゼルターボ 全方位モニター ETC ナビ TV ETC ドライブレコーダー ルーフレール シートヒーター シートエアコン ステアリングヒーター ドアバイザー フォグランプ 3列シート 電動リアゲート 電動シート アルミホイール</t>
        </is>
      </c>
      <c r="M181" s="7" t="inlineStr">
        <is>
          <t>https://www.carsensor.net/usedcar/detail/AU6775093051/index.html</t>
        </is>
      </c>
    </row>
    <row r="182">
      <c r="A182" s="11" t="n">
        <v>2022</v>
      </c>
      <c r="B182" s="12" t="inlineStr">
        <is>
          <t>2WD</t>
        </is>
      </c>
      <c r="C182" s="12" t="inlineStr">
        <is>
          <t>2.2 XD エクスクルーシブ</t>
        </is>
      </c>
      <c r="D182" s="13" t="n">
        <v>4</v>
      </c>
      <c r="E182" s="14" t="n">
        <v>284.2</v>
      </c>
      <c r="F182" s="14" t="n">
        <v>259.9</v>
      </c>
      <c r="G182" s="15" t="n">
        <v>3.6</v>
      </c>
      <c r="H182" s="12" t="inlineStr">
        <is>
          <t>なし</t>
        </is>
      </c>
      <c r="I182" s="12" t="inlineStr">
        <is>
          <t>車検整備付</t>
        </is>
      </c>
      <c r="J182" s="12" t="inlineStr">
        <is>
          <t>保証付</t>
        </is>
      </c>
      <c r="K182" s="16" t="inlineStr">
        <is>
          <t>修復歴なし / 車検整備付 / 保証付</t>
        </is>
      </c>
      <c r="L182" s="16" t="inlineStr">
        <is>
          <t>CX-8 2.2 XD エクスクルーシブ モード ディーゼルターボ 本革シート 電動シート ETC 全周囲カメラ</t>
        </is>
      </c>
      <c r="M182" s="12" t="inlineStr">
        <is>
          <t>https://www.carsensor.net/usedcar/detail/AU7270621080/index.html</t>
        </is>
      </c>
    </row>
    <row r="183">
      <c r="A183" s="6" t="n">
        <v>2022</v>
      </c>
      <c r="B183" s="7" t="inlineStr">
        <is>
          <t>2WD</t>
        </is>
      </c>
      <c r="C183" s="7" t="inlineStr">
        <is>
          <t>2.2 XD エクスクルーシブ</t>
        </is>
      </c>
      <c r="D183" s="17" t="n">
        <v>4</v>
      </c>
      <c r="E183" s="9" t="n">
        <v>364.1</v>
      </c>
      <c r="F183" s="9" t="n">
        <v>349.8</v>
      </c>
      <c r="G183" s="10" t="n">
        <v>3.4</v>
      </c>
      <c r="H183" s="7" t="inlineStr">
        <is>
          <t>なし</t>
        </is>
      </c>
      <c r="I183" s="7" t="inlineStr">
        <is>
          <t>車検整備付</t>
        </is>
      </c>
      <c r="J183" s="7" t="inlineStr">
        <is>
          <t>保証付</t>
        </is>
      </c>
      <c r="K183" s="16" t="inlineStr">
        <is>
          <t>修復歴なし / 車検整備付 / 保証付</t>
        </is>
      </c>
      <c r="L183" s="16" t="inlineStr">
        <is>
          <t>CX-8 2.2 XD エクスクルーシブ モード ディーゼルターボ マツダ認定中古車 BOSE サンルーフ ETC 360°ビュー 運転席パワーシート 衝突被害軽減ブレーキ</t>
        </is>
      </c>
      <c r="M183" s="7" t="inlineStr">
        <is>
          <t>https://www.carsensor.net/usedcar/detail/AU7381993028/index.html</t>
        </is>
      </c>
    </row>
    <row r="184">
      <c r="A184" s="11" t="n">
        <v>2022</v>
      </c>
      <c r="B184" s="12" t="inlineStr">
        <is>
          <t>2WD</t>
        </is>
      </c>
      <c r="C184" s="12" t="inlineStr">
        <is>
          <t>2.2 XD エクスクルーシブ</t>
        </is>
      </c>
      <c r="D184" s="13" t="n">
        <v>4</v>
      </c>
      <c r="E184" s="14" t="n">
        <v>350.8</v>
      </c>
      <c r="F184" s="14" t="n">
        <v>335.8</v>
      </c>
      <c r="G184" s="15" t="n">
        <v>4.4</v>
      </c>
      <c r="H184" s="12" t="inlineStr">
        <is>
          <t>なし</t>
        </is>
      </c>
      <c r="I184" s="12" t="inlineStr">
        <is>
          <t>車検整備付</t>
        </is>
      </c>
      <c r="J184" s="12" t="inlineStr">
        <is>
          <t>保証付</t>
        </is>
      </c>
      <c r="K184" s="16" t="inlineStr">
        <is>
          <t>修復歴なし / 車検整備付 / 保証付</t>
        </is>
      </c>
      <c r="L184" s="16" t="inlineStr">
        <is>
          <t>CX-8 2.2 XD エクスクルーシブ モード ディーゼルターボ ワンオーナー 7人乗りベンチシート ナビS</t>
        </is>
      </c>
      <c r="M184" s="12" t="inlineStr">
        <is>
          <t>https://www.carsensor.net/usedcar/detail/AU7128256521/index.html</t>
        </is>
      </c>
    </row>
    <row r="185">
      <c r="A185" s="6" t="n">
        <v>2023</v>
      </c>
      <c r="B185" s="7" t="inlineStr">
        <is>
          <t>2WD</t>
        </is>
      </c>
      <c r="C185" s="7" t="inlineStr">
        <is>
          <t>2.2 XD エクスクルーシブ</t>
        </is>
      </c>
      <c r="D185" s="17" t="n">
        <v>4</v>
      </c>
      <c r="E185" s="9" t="n">
        <v>390</v>
      </c>
      <c r="F185" s="9" t="n">
        <v>378</v>
      </c>
      <c r="G185" s="10" t="n">
        <v>3.5</v>
      </c>
      <c r="H185" s="7" t="inlineStr">
        <is>
          <t>なし</t>
        </is>
      </c>
      <c r="I185" s="7" t="inlineStr">
        <is>
          <t>車検整備付</t>
        </is>
      </c>
      <c r="J185" s="7" t="inlineStr">
        <is>
          <t>保証付</t>
        </is>
      </c>
      <c r="K185" s="16" t="inlineStr">
        <is>
          <t>修復歴なし / 車検整備付 / 保証付</t>
        </is>
      </c>
      <c r="L185" s="16" t="inlineStr">
        <is>
          <t>CX-8 2.2 XD エクスクルーシブ モード ディーゼルターボ BOSE 弊社下取り ETC 360°ビューモニター AppleCarPlay&amp;AndroidAuto 電動シート 電動リアゲート シートヒーター シートベンチレーション 2列目シートベンチレーション</t>
        </is>
      </c>
      <c r="M185" s="7" t="inlineStr">
        <is>
          <t>https://www.carsensor.net/usedcar/detail/AU7398401811/index.html</t>
        </is>
      </c>
    </row>
    <row r="186">
      <c r="A186" s="11" t="n">
        <v>2023</v>
      </c>
      <c r="B186" s="12" t="inlineStr">
        <is>
          <t>2WD</t>
        </is>
      </c>
      <c r="C186" s="12" t="inlineStr">
        <is>
          <t>2.2 XD エクスクルーシブ</t>
        </is>
      </c>
      <c r="D186" s="13" t="n">
        <v>4</v>
      </c>
      <c r="E186" s="14" t="n">
        <v>369.8</v>
      </c>
      <c r="F186" s="14" t="n">
        <v>355.8</v>
      </c>
      <c r="G186" s="15" t="n">
        <v>3.6</v>
      </c>
      <c r="H186" s="12" t="inlineStr">
        <is>
          <t>なし</t>
        </is>
      </c>
      <c r="I186" s="12" t="inlineStr">
        <is>
          <t>車検整備付</t>
        </is>
      </c>
      <c r="J186" s="12" t="inlineStr">
        <is>
          <t>保証付</t>
        </is>
      </c>
      <c r="K186" s="16" t="inlineStr">
        <is>
          <t>修復歴なし / 車検整備付 / 保証付</t>
        </is>
      </c>
      <c r="L186" s="16" t="inlineStr">
        <is>
          <t>CX-8 2.2 XD エクスクルーシブ モード ディーゼルターボ マツダ認定中古車 ETC車載器 衝突被害軽減ブレーキ コネクティッドサービス 360°ビューモニター BOSEサウンドシステム</t>
        </is>
      </c>
      <c r="M186" s="12" t="inlineStr">
        <is>
          <t>https://www.carsensor.net/usedcar/detail/AU7441482430/index.html</t>
        </is>
      </c>
    </row>
    <row r="187">
      <c r="A187" s="6" t="n">
        <v>2021</v>
      </c>
      <c r="B187" s="7" t="inlineStr">
        <is>
          <t>2WD</t>
        </is>
      </c>
      <c r="C187" s="7" t="inlineStr">
        <is>
          <t>2.2 XD エクスクルーシブ</t>
        </is>
      </c>
      <c r="D187" s="17" t="n">
        <v>3.9</v>
      </c>
      <c r="E187" s="9" t="n">
        <v>249.9</v>
      </c>
      <c r="F187" s="9" t="n">
        <v>238.9</v>
      </c>
      <c r="G187" s="10" t="n">
        <v>9</v>
      </c>
      <c r="H187" s="7" t="inlineStr">
        <is>
          <t>なし</t>
        </is>
      </c>
      <c r="I187" s="7" t="inlineStr">
        <is>
          <t>2028(R10)年03月</t>
        </is>
      </c>
      <c r="J187" s="7" t="inlineStr">
        <is>
          <t>保証付</t>
        </is>
      </c>
      <c r="K187" s="16" t="inlineStr">
        <is>
          <t>走行が多め（9.0万km） / 修復歴なし / 車検 2028/03 まで（残り17ヶ月） / 保証付 / 同年式より安い（中央値 279万）</t>
        </is>
      </c>
      <c r="L187" s="16" t="inlineStr">
        <is>
          <t>CX-8 2.2 XD エクスクルーシブ モード ディーゼルターボ (禁煙車)(サンルーフ)(BOSE)(赤茶革シート)(メーカーSDナビ)(レーダークルーズ)(パワーシート)(シートヒーター&amp;クーラー)(電動リアゲート)(コーナーセンサー)(純正19インチAW)</t>
        </is>
      </c>
      <c r="M187" s="7" t="inlineStr">
        <is>
          <t>https://www.carsensor.net/usedcar/detail/AU7336539244/index.html</t>
        </is>
      </c>
    </row>
    <row r="188">
      <c r="A188" s="11" t="n">
        <v>2022</v>
      </c>
      <c r="B188" s="12" t="inlineStr">
        <is>
          <t>2WD</t>
        </is>
      </c>
      <c r="C188" s="12" t="inlineStr">
        <is>
          <t>2.2 XD エクスクルーシブ</t>
        </is>
      </c>
      <c r="D188" s="13" t="n">
        <v>3.9</v>
      </c>
      <c r="E188" s="14" t="n">
        <v>339.5</v>
      </c>
      <c r="F188" s="14" t="n">
        <v>329.8</v>
      </c>
      <c r="G188" s="15" t="n">
        <v>5.5</v>
      </c>
      <c r="H188" s="12" t="inlineStr">
        <is>
          <t>なし</t>
        </is>
      </c>
      <c r="I188" s="12" t="inlineStr">
        <is>
          <t>2027(R09)年09月</t>
        </is>
      </c>
      <c r="J188" s="12" t="inlineStr">
        <is>
          <t>保証付</t>
        </is>
      </c>
      <c r="K188" s="16" t="inlineStr">
        <is>
          <t>修復歴なし / 車検 2027/09 まで（残り11ヶ月） / 保証付</t>
        </is>
      </c>
      <c r="L188" s="16" t="inlineStr">
        <is>
          <t>CX-8 2.2 XD エクスクルーシブ モード ディーゼルターボ 茶革シート BOSE 360°ビュー・モニター ナビ ETC 障害物センサー マツダ・レーダー・クルーズ・コントロール シートヒーター シートベンチレーション 電動シート 電動リアゲート Wエアコン Bluetooth</t>
        </is>
      </c>
      <c r="M188" s="12" t="inlineStr">
        <is>
          <t>https://www.carsensor.net/usedcar/detail/AU7028582433/index.html</t>
        </is>
      </c>
    </row>
    <row r="189">
      <c r="A189" s="6" t="n">
        <v>2020</v>
      </c>
      <c r="B189" s="7" t="inlineStr">
        <is>
          <t>2WD</t>
        </is>
      </c>
      <c r="C189" s="7" t="inlineStr">
        <is>
          <t>2.2 XD エクスクルーシブ</t>
        </is>
      </c>
      <c r="D189" s="17" t="n">
        <v>3.5</v>
      </c>
      <c r="E189" s="9" t="n">
        <v>255.8</v>
      </c>
      <c r="F189" s="9" t="n">
        <v>235.9</v>
      </c>
      <c r="G189" s="10" t="n">
        <v>3.4</v>
      </c>
      <c r="H189" s="7" t="inlineStr">
        <is>
          <t>なし</t>
        </is>
      </c>
      <c r="I189" s="7" t="inlineStr">
        <is>
          <t>車検整備無</t>
        </is>
      </c>
      <c r="J189" s="7" t="inlineStr">
        <is>
          <t>保証無</t>
        </is>
      </c>
      <c r="K189" s="16" t="inlineStr">
        <is>
          <t>走行が少なめ（3.4万km） / 修復歴なし</t>
        </is>
      </c>
      <c r="L189" s="16" t="inlineStr">
        <is>
          <t>CX-8 2.2 XD エクスクルーシブ モード ディーゼルターボ 禁煙車 純性ナビ フルセグTV 全周囲カメラ レーダークルーズコントロール 衝突軽減ブレーキ LEDヘッドライト ETC クリアランスソナ- ステアリングヒーター シートヒ-タ- オートライト</t>
        </is>
      </c>
      <c r="M189" s="7" t="inlineStr">
        <is>
          <t>https://www.carsensor.net/usedcar/detail/AU7441668327/index.html</t>
        </is>
      </c>
    </row>
    <row r="190">
      <c r="A190" s="11" t="n">
        <v>2019</v>
      </c>
      <c r="B190" s="12" t="inlineStr">
        <is>
          <t>2WD</t>
        </is>
      </c>
      <c r="C190" s="12" t="inlineStr">
        <is>
          <t>2.2 XD エクスクルーシブ</t>
        </is>
      </c>
      <c r="D190" s="13" t="n">
        <v>3.2</v>
      </c>
      <c r="E190" s="14" t="n">
        <v>278.8</v>
      </c>
      <c r="F190" s="14" t="n">
        <v>271.9</v>
      </c>
      <c r="G190" s="15" t="n">
        <v>5.5</v>
      </c>
      <c r="H190" s="12" t="inlineStr">
        <is>
          <t>なし</t>
        </is>
      </c>
      <c r="I190" s="12" t="inlineStr">
        <is>
          <t>2026(R08)年12月</t>
        </is>
      </c>
      <c r="J190" s="12" t="inlineStr">
        <is>
          <t>保証付</t>
        </is>
      </c>
      <c r="K190" s="16" t="inlineStr">
        <is>
          <t>修復歴なし / 車検 2026/12 まで（残り2ヶ月） / 保証付</t>
        </is>
      </c>
      <c r="L190" s="16" t="inlineStr">
        <is>
          <t>CX-8 2.2 XD エクスクルーシブ モード ディーゼルターボ 禁煙 純正7型SDナビ 全方位カメラ ブラインドスポットモニター ETC 電動リアゲート パワーシート&amp;シートヒーター ステアリングヒーター レザーシート スマートキー アイドリングストップ</t>
        </is>
      </c>
      <c r="M190" s="12" t="inlineStr">
        <is>
          <t>https://www.carsensor.net/usedcar/detail/AU7343423351/index.html</t>
        </is>
      </c>
    </row>
    <row r="191">
      <c r="A191" s="6" t="n">
        <v>2019</v>
      </c>
      <c r="B191" s="7" t="inlineStr">
        <is>
          <t>2WD</t>
        </is>
      </c>
      <c r="C191" s="7" t="inlineStr">
        <is>
          <t>2.2 XD エクスクルーシブ</t>
        </is>
      </c>
      <c r="D191" s="17" t="n">
        <v>3.2</v>
      </c>
      <c r="E191" s="9" t="n">
        <v>249.9</v>
      </c>
      <c r="F191" s="9" t="n">
        <v>242.9</v>
      </c>
      <c r="G191" s="10" t="n">
        <v>7.2</v>
      </c>
      <c r="H191" s="7" t="inlineStr">
        <is>
          <t>なし</t>
        </is>
      </c>
      <c r="I191" s="7" t="inlineStr">
        <is>
          <t>2026(R08)年12月</t>
        </is>
      </c>
      <c r="J191" s="7" t="inlineStr">
        <is>
          <t>保証付</t>
        </is>
      </c>
      <c r="K191" s="16" t="inlineStr">
        <is>
          <t>修復歴なし / 車検 2026/12 まで（残り2ヶ月） / 保証付</t>
        </is>
      </c>
      <c r="L191" s="16" t="inlineStr">
        <is>
          <t>CX-8 2.2 XD エクスクルーシブ モード ディーゼルターボ 禁煙車 純正8型ナビ 全方位カメラ 9型後席モニター BOSE 茶革 シートヒーター BSM HUD ETC 電動リアゲート 衝突軽減 追従クルコン コーナーセンサー フルセグ DVD USB BT</t>
        </is>
      </c>
      <c r="M191" s="7" t="inlineStr">
        <is>
          <t>https://www.carsensor.net/usedcar/detail/AU7233745273/index.html</t>
        </is>
      </c>
    </row>
    <row r="192">
      <c r="A192" s="11" t="n">
        <v>2021</v>
      </c>
      <c r="B192" s="12" t="inlineStr">
        <is>
          <t>2WD</t>
        </is>
      </c>
      <c r="C192" s="12" t="inlineStr">
        <is>
          <t>2.2 XD エクスクルーシブ</t>
        </is>
      </c>
      <c r="D192" s="13" t="n">
        <v>2.5</v>
      </c>
      <c r="E192" s="14" t="n">
        <v>254.5</v>
      </c>
      <c r="F192" s="14" t="n">
        <v>239.9</v>
      </c>
      <c r="G192" s="15" t="n">
        <v>7.5</v>
      </c>
      <c r="H192" s="12" t="inlineStr">
        <is>
          <t>なし</t>
        </is>
      </c>
      <c r="I192" s="12" t="inlineStr">
        <is>
          <t>車検整備付</t>
        </is>
      </c>
      <c r="J192" s="12" t="inlineStr">
        <is>
          <t>保証付</t>
        </is>
      </c>
      <c r="K192" s="16" t="inlineStr">
        <is>
          <t>走行が多め（7.5万km） / 修復歴なし / 車検整備付 / 保証付</t>
        </is>
      </c>
      <c r="L192" s="16" t="inlineStr">
        <is>
          <t>CX-8 2.2 XD エクスクルーシブ モード ディーゼルターボ 3列6人乗/360度ビュー/オフロードトラクションアシスト/衝突軽減/BSM/前後Pセンサー/レーダークルコン/ステアヒーター/オーバーン革シート/BOSEサウンド/10.25型マツコネ/フルセグ/AppleCarPlay/※SRレス</t>
        </is>
      </c>
      <c r="M192" s="12" t="inlineStr">
        <is>
          <t>https://www.carsensor.net/usedcar/detail/AU7285372724/index.html</t>
        </is>
      </c>
    </row>
    <row r="193">
      <c r="A193" s="6" t="n">
        <v>2023</v>
      </c>
      <c r="B193" s="7" t="inlineStr">
        <is>
          <t>2WD</t>
        </is>
      </c>
      <c r="C193" s="7" t="inlineStr">
        <is>
          <t>2.2 XD エクスクルーシブ</t>
        </is>
      </c>
      <c r="D193" s="17" t="n">
        <v>2.5</v>
      </c>
      <c r="E193" s="9" t="n">
        <v>345.9</v>
      </c>
      <c r="F193" s="9" t="n">
        <v>330</v>
      </c>
      <c r="G193" s="10" t="n">
        <v>6</v>
      </c>
      <c r="H193" s="7" t="inlineStr">
        <is>
          <t>なし</t>
        </is>
      </c>
      <c r="I193" s="7" t="inlineStr">
        <is>
          <t>車検整備付</t>
        </is>
      </c>
      <c r="J193" s="7" t="inlineStr">
        <is>
          <t>保証付</t>
        </is>
      </c>
      <c r="K193" s="16" t="inlineStr">
        <is>
          <t>走行が多め（6.0万km） / 修復歴なし / 車検整備付 / 保証付</t>
        </is>
      </c>
      <c r="L193" s="16" t="inlineStr">
        <is>
          <t>CX-8 2.2 XD エクスクルーシブ モード ディーゼルターボ サンルーフ パワーリフトゲート BOSEサウンドシステム 革シート 360度ビューモニター ナビフルセグTV ワイヤレス充電 ブラインドスポットモニター LEDヘッドライト シートベンチレーション</t>
        </is>
      </c>
      <c r="M193" s="7" t="inlineStr">
        <is>
          <t>https://www.carsensor.net/usedcar/detail/AU7446531308/index.html</t>
        </is>
      </c>
    </row>
    <row r="194">
      <c r="A194" s="11" t="n">
        <v>2023</v>
      </c>
      <c r="B194" s="12" t="inlineStr">
        <is>
          <t>2WD</t>
        </is>
      </c>
      <c r="C194" s="12" t="inlineStr">
        <is>
          <t>2.2 XD エクスクルーシブ</t>
        </is>
      </c>
      <c r="D194" s="13" t="n">
        <v>2.5</v>
      </c>
      <c r="E194" s="14" t="n">
        <v>347.8</v>
      </c>
      <c r="F194" s="14" t="n">
        <v>338.9</v>
      </c>
      <c r="G194" s="15" t="n">
        <v>4.6</v>
      </c>
      <c r="H194" s="12" t="inlineStr">
        <is>
          <t>なし</t>
        </is>
      </c>
      <c r="I194" s="12" t="inlineStr">
        <is>
          <t>車検整備付</t>
        </is>
      </c>
      <c r="J194" s="12" t="inlineStr">
        <is>
          <t>保証付</t>
        </is>
      </c>
      <c r="K194" s="16" t="inlineStr">
        <is>
          <t>走行が多め（4.6万km） / 修復歴なし / 車検整備付 / 保証付</t>
        </is>
      </c>
      <c r="L194" s="16" t="inlineStr">
        <is>
          <t>CX-8 2.2 XD エクスクルーシブ モード ディーゼルターボ BOSEサウンド サンルーフ ワイヤレス充電</t>
        </is>
      </c>
      <c r="M194" s="12" t="inlineStr">
        <is>
          <t>https://www.carsensor.net/usedcar/detail/AU7301365938/index.html</t>
        </is>
      </c>
    </row>
    <row r="195">
      <c r="A195" s="6" t="n">
        <v>2023</v>
      </c>
      <c r="B195" s="7" t="inlineStr">
        <is>
          <t>2WD</t>
        </is>
      </c>
      <c r="C195" s="7" t="inlineStr">
        <is>
          <t>2.2 XD エクスクルーシブ</t>
        </is>
      </c>
      <c r="D195" s="17" t="n">
        <v>2.5</v>
      </c>
      <c r="E195" s="9" t="n">
        <v>354.1</v>
      </c>
      <c r="F195" s="9" t="n">
        <v>339.8</v>
      </c>
      <c r="G195" s="10" t="n">
        <v>5.2</v>
      </c>
      <c r="H195" s="7" t="inlineStr">
        <is>
          <t>なし</t>
        </is>
      </c>
      <c r="I195" s="7" t="inlineStr">
        <is>
          <t>車検整備付</t>
        </is>
      </c>
      <c r="J195" s="7" t="inlineStr">
        <is>
          <t>保証付</t>
        </is>
      </c>
      <c r="K195" s="16" t="inlineStr">
        <is>
          <t>走行が多め（5.2万km） / 修復歴なし / 車検整備付 / 保証付</t>
        </is>
      </c>
      <c r="L195" s="16" t="inlineStr">
        <is>
          <t>CX-8 2.2 XD エクスクルーシブ モード ディーゼルターボ マツダ認定中古車 BOSE ETC 360°ビュー 衝突被害軽減ブレーキ</t>
        </is>
      </c>
      <c r="M195" s="7" t="inlineStr">
        <is>
          <t>https://www.carsensor.net/usedcar/detail/AU7397391212/index.html</t>
        </is>
      </c>
    </row>
    <row r="196">
      <c r="A196" s="11" t="n">
        <v>2022</v>
      </c>
      <c r="B196" s="12" t="inlineStr">
        <is>
          <t>2WD</t>
        </is>
      </c>
      <c r="C196" s="12" t="inlineStr">
        <is>
          <t>2.2 XD エクスクルーシブ</t>
        </is>
      </c>
      <c r="D196" s="13" t="n">
        <v>2.3</v>
      </c>
      <c r="E196" s="14" t="n">
        <v>239.7</v>
      </c>
      <c r="F196" s="14" t="n">
        <v>228</v>
      </c>
      <c r="G196" s="15" t="n">
        <v>7.4</v>
      </c>
      <c r="H196" s="12" t="inlineStr">
        <is>
          <t>なし</t>
        </is>
      </c>
      <c r="I196" s="12" t="inlineStr">
        <is>
          <t>2027(R09)年08月</t>
        </is>
      </c>
      <c r="J196" s="12" t="inlineStr">
        <is>
          <t>保証無</t>
        </is>
      </c>
      <c r="K196" s="16" t="inlineStr">
        <is>
          <t>走行が多め（7.4万km） / 修復歴なし / 車検 2027/08 まで（残り10ヶ月） / 同年式より安い（中央値 296万）</t>
        </is>
      </c>
      <c r="L196" s="16" t="inlineStr">
        <is>
          <t>CX-8 2.2 XD エクスクルーシブ モード ディーゼルターボ 禁煙車 ワンオーナー 赤茶革シート 後席モニター 純正10.25インチディスプレイ 360度カメラ 温冷ベンチレーション 運手支援 衝突軽減 パワーシート Pバックドア BSM ETC リアトラフィックアラート</t>
        </is>
      </c>
      <c r="M196" s="12" t="inlineStr">
        <is>
          <t>https://www.carsensor.net/usedcar/detail/AU7311314187/index.html</t>
        </is>
      </c>
    </row>
    <row r="197">
      <c r="A197" s="6" t="n">
        <v>2022</v>
      </c>
      <c r="B197" s="7" t="inlineStr">
        <is>
          <t>2WD</t>
        </is>
      </c>
      <c r="C197" s="7" t="inlineStr">
        <is>
          <t>2.2 XD エクスクルーシブ</t>
        </is>
      </c>
      <c r="D197" s="17" t="n">
        <v>2.2</v>
      </c>
      <c r="E197" s="9" t="n">
        <v>275.8</v>
      </c>
      <c r="F197" s="9" t="n">
        <v>267.8</v>
      </c>
      <c r="G197" s="10" t="n">
        <v>6.3</v>
      </c>
      <c r="H197" s="7" t="inlineStr">
        <is>
          <t>なし</t>
        </is>
      </c>
      <c r="I197" s="7" t="inlineStr">
        <is>
          <t>2027(R09)年07月</t>
        </is>
      </c>
      <c r="J197" s="7" t="inlineStr">
        <is>
          <t>保証付</t>
        </is>
      </c>
      <c r="K197" s="16" t="inlineStr">
        <is>
          <t>走行が多め（6.3万km） / 修復歴なし / 車検 2027/07 まで（残り9ヶ月） / 保証付</t>
        </is>
      </c>
      <c r="L197" s="16" t="inlineStr">
        <is>
          <t>CX-8 2.2 XD エクスクルーシブ モード ディーゼルターボ サンルーフ/茶革/BOSEスピーカー/AplleCarPlay/全周囲カメラ/マツダコネクトナビ/シートヒーター/シートクーラー/ブラインドスポットモニター/ワイヤレス充電/ブラインドスポットモニター/レーダークルコン</t>
        </is>
      </c>
      <c r="M197" s="7" t="inlineStr">
        <is>
          <t>https://www.carsensor.net/usedcar/detail/AU7441665860/index.html</t>
        </is>
      </c>
    </row>
    <row r="198">
      <c r="A198" s="11" t="n">
        <v>2022</v>
      </c>
      <c r="B198" s="12" t="inlineStr">
        <is>
          <t>2WD</t>
        </is>
      </c>
      <c r="C198" s="12" t="inlineStr">
        <is>
          <t>2.2 XD エクスクルーシブ</t>
        </is>
      </c>
      <c r="D198" s="13" t="n">
        <v>1.9</v>
      </c>
      <c r="E198" s="14" t="n">
        <v>213.3</v>
      </c>
      <c r="F198" s="14" t="n">
        <v>201.8</v>
      </c>
      <c r="G198" s="15" t="n">
        <v>9.9</v>
      </c>
      <c r="H198" s="12" t="inlineStr">
        <is>
          <t>なし</t>
        </is>
      </c>
      <c r="I198" s="12" t="inlineStr">
        <is>
          <t>2027(R09)年03月</t>
        </is>
      </c>
      <c r="J198" s="12" t="inlineStr">
        <is>
          <t>保証無</t>
        </is>
      </c>
      <c r="K198" s="16" t="inlineStr">
        <is>
          <t>走行が多め（9.9万km） / 修復歴なし / 車検 2027/03 まで（残り5ヶ月） / 同年式より安い（中央値 296万）</t>
        </is>
      </c>
      <c r="L198" s="16" t="inlineStr">
        <is>
          <t>CX-8 2.2 XD エクスクルーシブ モード ディーゼルターボ 後期型 禁煙車 純正10.25インチナビ フルセグ アラウンドビューカメラ アダプティブクルーズコントロール 茶革シート パワーシート 温冷シート 電動リアゲート Bluetooth接続 ETC</t>
        </is>
      </c>
      <c r="M198" s="12" t="inlineStr">
        <is>
          <t>https://www.carsensor.net/usedcar/detail/AU7446356720/index.html</t>
        </is>
      </c>
    </row>
    <row r="199">
      <c r="A199" s="6" t="n">
        <v>2023</v>
      </c>
      <c r="B199" s="7" t="inlineStr">
        <is>
          <t>2WD</t>
        </is>
      </c>
      <c r="C199" s="7" t="inlineStr">
        <is>
          <t>2.2 XD エクスクルーシブ</t>
        </is>
      </c>
      <c r="D199" s="17" t="n">
        <v>1.5</v>
      </c>
      <c r="E199" s="9" t="n">
        <v>217.7</v>
      </c>
      <c r="F199" s="9" t="n">
        <v>197.8</v>
      </c>
      <c r="G199" s="10" t="n">
        <v>10.5</v>
      </c>
      <c r="H199" s="7" t="inlineStr">
        <is>
          <t>なし</t>
        </is>
      </c>
      <c r="I199" s="7" t="inlineStr">
        <is>
          <t>車検整備無</t>
        </is>
      </c>
      <c r="J199" s="7" t="inlineStr">
        <is>
          <t>保証無</t>
        </is>
      </c>
      <c r="K199" s="16" t="inlineStr">
        <is>
          <t>走行が多め（10.5万km） / 修復歴なし / 同年式より安い（中央値 348万）</t>
        </is>
      </c>
      <c r="L199" s="16" t="inlineStr">
        <is>
          <t>CX-8 2.2 XD エクスクルーシブ モード ディーゼルターボ BOSEサウンド 禁煙車 純正10.25インチナビ フルセグTV 全周囲カメラ アダクティブクルーズコントロール 黒革シート ブラインドスポットモニター ETC パワーシート シートヒーター</t>
        </is>
      </c>
      <c r="M199" s="7" t="inlineStr">
        <is>
          <t>https://www.carsensor.net/usedcar/detail/AU7376054741/index.html</t>
        </is>
      </c>
    </row>
    <row r="200">
      <c r="A200" s="11" t="n">
        <v>2021</v>
      </c>
      <c r="B200" s="12" t="inlineStr">
        <is>
          <t>2WD</t>
        </is>
      </c>
      <c r="C200" s="12" t="inlineStr">
        <is>
          <t>2.2 XD エクスクルーシブ</t>
        </is>
      </c>
      <c r="D200" s="13" t="n">
        <v>-1.7</v>
      </c>
      <c r="E200" s="14" t="n">
        <v>299.9</v>
      </c>
      <c r="F200" s="14" t="n">
        <v>281.7</v>
      </c>
      <c r="G200" s="15" t="n">
        <v>3.9</v>
      </c>
      <c r="H200" s="12" t="inlineStr">
        <is>
          <t>あり</t>
        </is>
      </c>
      <c r="I200" s="12" t="inlineStr">
        <is>
          <t>2028(R10)年02月</t>
        </is>
      </c>
      <c r="J200" s="12" t="inlineStr">
        <is>
          <t>保証付</t>
        </is>
      </c>
      <c r="K200" s="16" t="inlineStr">
        <is>
          <t>修復歴あり / 車検 2028/02 まで（残り16ヶ月） / 保証付</t>
        </is>
      </c>
      <c r="L200" s="16" t="inlineStr">
        <is>
          <t>CX-8 2.2 XD エクスクルーシブ モード ディーゼルターボ サンルーフ・BOSEサウンド・純正SDナビ・フルセグ・Bluetoothオーディオ・360度カメラ・7人乗り・パワートランク・赤本革シート・エアーシート・シートヒーター・シートメモリー・レーンキープ・</t>
        </is>
      </c>
      <c r="M200" s="12" t="inlineStr">
        <is>
          <t>https://www.carsensor.net/usedcar/detail/AU7311318462/index.html</t>
        </is>
      </c>
    </row>
    <row r="201">
      <c r="A201" s="6" t="n">
        <v>2023</v>
      </c>
      <c r="B201" s="7" t="inlineStr">
        <is>
          <t>2WD</t>
        </is>
      </c>
      <c r="C201" s="7" t="inlineStr">
        <is>
          <t>2.2 XD スポーツ</t>
        </is>
      </c>
      <c r="D201" s="17" t="n">
        <v>7.6</v>
      </c>
      <c r="E201" s="9" t="n">
        <v>387.8</v>
      </c>
      <c r="F201" s="9" t="n">
        <v>378</v>
      </c>
      <c r="G201" s="10" t="n">
        <v>1.3</v>
      </c>
      <c r="H201" s="7" t="inlineStr">
        <is>
          <t>なし</t>
        </is>
      </c>
      <c r="I201" s="7" t="inlineStr">
        <is>
          <t>2028(R10)年05月</t>
        </is>
      </c>
      <c r="J201" s="7" t="inlineStr">
        <is>
          <t>保証付</t>
        </is>
      </c>
      <c r="K201" s="16" t="inlineStr">
        <is>
          <t>同年式の半分以下の走行（1.3万km） / 修復歴なし / 車検 2028/05 まで（残り19ヶ月） / 保証付</t>
        </is>
      </c>
      <c r="L201" s="16" t="inlineStr">
        <is>
          <t>CX-8 2.2 XD スポーツ アピアランス ディーゼルターボ 後席モニター 純正ナビ ETC シートヒーター シートベンチレーション CD/DVDプレイヤー AppleCarplay AndroidAuto</t>
        </is>
      </c>
      <c r="M201" s="7" t="inlineStr">
        <is>
          <t>https://www.carsensor.net/usedcar/detail/AU7443256013/index.html</t>
        </is>
      </c>
    </row>
    <row r="202">
      <c r="A202" s="11" t="n">
        <v>2023</v>
      </c>
      <c r="B202" s="12" t="inlineStr">
        <is>
          <t>2WD</t>
        </is>
      </c>
      <c r="C202" s="12" t="inlineStr">
        <is>
          <t>2.2 XD スポーツ</t>
        </is>
      </c>
      <c r="D202" s="13" t="n">
        <v>6</v>
      </c>
      <c r="E202" s="14" t="n">
        <v>340</v>
      </c>
      <c r="F202" s="14" t="n">
        <v>319</v>
      </c>
      <c r="G202" s="15" t="n">
        <v>1.4</v>
      </c>
      <c r="H202" s="12" t="inlineStr">
        <is>
          <t>なし</t>
        </is>
      </c>
      <c r="I202" s="12" t="inlineStr">
        <is>
          <t>車検整備付</t>
        </is>
      </c>
      <c r="J202" s="12" t="inlineStr">
        <is>
          <t>保証無</t>
        </is>
      </c>
      <c r="K202" s="16" t="inlineStr">
        <is>
          <t>同年式の半分以下の走行（1.4万km） / 修復歴なし / 車検整備付</t>
        </is>
      </c>
      <c r="L202" s="16" t="inlineStr">
        <is>
          <t>CX-8 2.2 XD スポーツ アピアランス ディーゼルターボ ルーフレール ヘッドアップディスプレイ ドライブレコーダー BOSEサウンド ブラインドスポットモニター パノラミックビューモニター ETC 3列シート シートヒーター パワーシート ワンオーナー</t>
        </is>
      </c>
      <c r="M202" s="12" t="inlineStr">
        <is>
          <t>https://www.carsensor.net/usedcar/detail/AU7388132424/index.html</t>
        </is>
      </c>
    </row>
    <row r="203">
      <c r="A203" s="6" t="n">
        <v>2023</v>
      </c>
      <c r="B203" s="7" t="inlineStr">
        <is>
          <t>2WD</t>
        </is>
      </c>
      <c r="C203" s="7" t="inlineStr">
        <is>
          <t>2.2 XD スポーツ</t>
        </is>
      </c>
      <c r="D203" s="17" t="n">
        <v>5.5</v>
      </c>
      <c r="E203" s="9" t="n">
        <v>374.8</v>
      </c>
      <c r="F203" s="9" t="n">
        <v>359.5</v>
      </c>
      <c r="G203" s="10" t="n">
        <v>2.2</v>
      </c>
      <c r="H203" s="7" t="inlineStr">
        <is>
          <t>なし</t>
        </is>
      </c>
      <c r="I203" s="7" t="inlineStr">
        <is>
          <t>車検整備付</t>
        </is>
      </c>
      <c r="J203" s="7" t="inlineStr">
        <is>
          <t>保証付</t>
        </is>
      </c>
      <c r="K203" s="16" t="inlineStr">
        <is>
          <t>走行が少なめ（2.2万km） / 修復歴なし / 車検整備付 / 保証付</t>
        </is>
      </c>
      <c r="L203" s="16" t="inlineStr">
        <is>
          <t>CX-8 2.2 XD スポーツ アピアランス ディーゼルターボ フロアマット欠</t>
        </is>
      </c>
      <c r="M203" s="7" t="inlineStr">
        <is>
          <t>https://www.carsensor.net/usedcar/detail/AU7128885548/index.html</t>
        </is>
      </c>
    </row>
    <row r="204">
      <c r="A204" s="11" t="n">
        <v>2023</v>
      </c>
      <c r="B204" s="12" t="inlineStr">
        <is>
          <t>2WD</t>
        </is>
      </c>
      <c r="C204" s="12" t="inlineStr">
        <is>
          <t>2.2 XD スポーツ</t>
        </is>
      </c>
      <c r="D204" s="13" t="n">
        <v>5.5</v>
      </c>
      <c r="E204" s="14" t="n">
        <v>367</v>
      </c>
      <c r="F204" s="14" t="n">
        <v>349.8</v>
      </c>
      <c r="G204" s="15" t="n">
        <v>2</v>
      </c>
      <c r="H204" s="12" t="inlineStr">
        <is>
          <t>なし</t>
        </is>
      </c>
      <c r="I204" s="12" t="inlineStr">
        <is>
          <t>車検整備付</t>
        </is>
      </c>
      <c r="J204" s="12" t="inlineStr">
        <is>
          <t>保証付</t>
        </is>
      </c>
      <c r="K204" s="16" t="inlineStr">
        <is>
          <t>走行が少なめ（2.0万km） / 修復歴なし / 車検整備付 / 保証付</t>
        </is>
      </c>
      <c r="L204" s="16" t="inlineStr">
        <is>
          <t>CX-8 2.2 XD スポーツ アピアランス ディーゼルターボ 2.2DターボXDスポーツ アピアランス 当社下取りワンオーナー/禁煙車・ナビ・AppleCarPlay/Android Auto/Bluetooth/USB/地デジ/ラジオ・360°ビューモニター(前後コーナーセンサー)・ETC/クルーズコントロール</t>
        </is>
      </c>
      <c r="M204" s="12" t="inlineStr">
        <is>
          <t>https://www.carsensor.net/usedcar/detail/AU7384808649/index.html</t>
        </is>
      </c>
    </row>
    <row r="205">
      <c r="A205" s="6" t="n">
        <v>2023</v>
      </c>
      <c r="B205" s="7" t="inlineStr">
        <is>
          <t>2WD</t>
        </is>
      </c>
      <c r="C205" s="7" t="inlineStr">
        <is>
          <t>2.2 XD スポーツ</t>
        </is>
      </c>
      <c r="D205" s="17" t="n">
        <v>5.5</v>
      </c>
      <c r="E205" s="9" t="n">
        <v>386.9</v>
      </c>
      <c r="F205" s="9" t="n">
        <v>369.8</v>
      </c>
      <c r="G205" s="10" t="n">
        <v>1.8</v>
      </c>
      <c r="H205" s="7" t="inlineStr">
        <is>
          <t>なし</t>
        </is>
      </c>
      <c r="I205" s="7" t="inlineStr">
        <is>
          <t>車検整備付</t>
        </is>
      </c>
      <c r="J205" s="7" t="inlineStr">
        <is>
          <t>保証付</t>
        </is>
      </c>
      <c r="K205" s="16" t="inlineStr">
        <is>
          <t>走行が少なめ（1.8万km） / 修復歴なし / 車検整備付 / 保証付</t>
        </is>
      </c>
      <c r="L205" s="16" t="inlineStr">
        <is>
          <t>CX-8 2.2 XD スポーツ アピアランス ディーゼルターボ 当社下取りワンオーナー/禁煙車/BOSE/ナビ/ETC/360°モニター/ドラレコ/パワーシート/シートヒーター/ベンチレーション/ハンドルヒーター/クルーズコントロール/保証書/取説/スペアキー/純正アルミ</t>
        </is>
      </c>
      <c r="M205" s="7" t="inlineStr">
        <is>
          <t>https://www.carsensor.net/usedcar/detail/AU7441677351/index.html</t>
        </is>
      </c>
    </row>
    <row r="206">
      <c r="A206" s="11" t="n">
        <v>2023</v>
      </c>
      <c r="B206" s="12" t="inlineStr">
        <is>
          <t>2WD</t>
        </is>
      </c>
      <c r="C206" s="12" t="inlineStr">
        <is>
          <t>2.2 XD スポーツ</t>
        </is>
      </c>
      <c r="D206" s="13" t="n">
        <v>4.7</v>
      </c>
      <c r="E206" s="14" t="n">
        <v>343.9</v>
      </c>
      <c r="F206" s="14" t="n">
        <v>331.6</v>
      </c>
      <c r="G206" s="15" t="n">
        <v>3</v>
      </c>
      <c r="H206" s="12" t="inlineStr">
        <is>
          <t>なし</t>
        </is>
      </c>
      <c r="I206" s="12" t="inlineStr">
        <is>
          <t>2028(R10)年06月</t>
        </is>
      </c>
      <c r="J206" s="12" t="inlineStr">
        <is>
          <t>保証付</t>
        </is>
      </c>
      <c r="K206" s="16" t="inlineStr">
        <is>
          <t>修復歴なし / 車検 2028/06 まで（残り20ヶ月） / 保証付</t>
        </is>
      </c>
      <c r="L206" s="16" t="inlineStr">
        <is>
          <t>CX-8 2.2 XD スポーツ アピアランス ディーゼルターボ サンルーフ 10.25型マツダコネクト 周囲カメラ BOSE 禁煙車 電動リアゲート シートベンチレーション ステアリングヒーター ドラレコ ETC Bluetooth HUD</t>
        </is>
      </c>
      <c r="M206" s="12" t="inlineStr">
        <is>
          <t>https://www.carsensor.net/usedcar/detail/AU7405307915/index.html</t>
        </is>
      </c>
    </row>
    <row r="207">
      <c r="A207" s="6" t="n">
        <v>2023</v>
      </c>
      <c r="B207" s="7" t="inlineStr">
        <is>
          <t>2WD</t>
        </is>
      </c>
      <c r="C207" s="7" t="inlineStr">
        <is>
          <t>2.2 XD スポーツ</t>
        </is>
      </c>
      <c r="D207" s="17" t="n">
        <v>4.6</v>
      </c>
      <c r="E207" s="9" t="n">
        <v>362.9</v>
      </c>
      <c r="F207" s="9" t="n">
        <v>350.7</v>
      </c>
      <c r="G207" s="10" t="n">
        <v>2.6</v>
      </c>
      <c r="H207" s="7" t="inlineStr">
        <is>
          <t>なし</t>
        </is>
      </c>
      <c r="I207" s="7" t="inlineStr">
        <is>
          <t>2028(R10)年05月</t>
        </is>
      </c>
      <c r="J207" s="7" t="inlineStr">
        <is>
          <t>保証付</t>
        </is>
      </c>
      <c r="K207" s="16" t="inlineStr">
        <is>
          <t>修復歴なし / 車検 2028/05 まで（残り19ヶ月） / 保証付</t>
        </is>
      </c>
      <c r="L207" s="16" t="inlineStr">
        <is>
          <t>CX-8 2.2 XD スポーツ アピアランス ディーゼルターボ 10.25型マツダコネクト 全周囲カメラ 衝突被害軽減システム レーダークルーズ 禁煙車 電動リアゲート 赤革シート 前席シートエアコン 前席中列シートヒーター 前後ドラレコ ETC 前席パワーシート</t>
        </is>
      </c>
      <c r="M207" s="7" t="inlineStr">
        <is>
          <t>https://www.carsensor.net/usedcar/detail/AU7444956656/index.html</t>
        </is>
      </c>
    </row>
    <row r="208">
      <c r="A208" s="11" t="n">
        <v>2023</v>
      </c>
      <c r="B208" s="12" t="inlineStr">
        <is>
          <t>2WD</t>
        </is>
      </c>
      <c r="C208" s="12" t="inlineStr">
        <is>
          <t>2.2 XD スポーツ</t>
        </is>
      </c>
      <c r="D208" s="13" t="n">
        <v>4.6</v>
      </c>
      <c r="E208" s="14" t="n">
        <v>389.9</v>
      </c>
      <c r="F208" s="14" t="n">
        <v>377.6</v>
      </c>
      <c r="G208" s="15" t="n">
        <v>2.7</v>
      </c>
      <c r="H208" s="12" t="inlineStr">
        <is>
          <t>なし</t>
        </is>
      </c>
      <c r="I208" s="12" t="inlineStr">
        <is>
          <t>2028(R10)年05月</t>
        </is>
      </c>
      <c r="J208" s="12" t="inlineStr">
        <is>
          <t>保証付</t>
        </is>
      </c>
      <c r="K208" s="16" t="inlineStr">
        <is>
          <t>修復歴なし / 車検 2028/05 まで（残り19ヶ月） / 保証付</t>
        </is>
      </c>
      <c r="L208" s="16" t="inlineStr">
        <is>
          <t>CX-8 2.2 XD スポーツ アピアランス ディーゼルターボ 後席モニター BOSE 6人乗 10型ナビ 全周囲カメラ ルーフレール 2列目ウォークスルー ブラインドスポットモニター CD/DVDデッキ 衝突被害軽減システム 禁煙車 電動リアゲート レザーシート</t>
        </is>
      </c>
      <c r="M208" s="12" t="inlineStr">
        <is>
          <t>https://www.carsensor.net/usedcar/detail/AU7446187065/index.html</t>
        </is>
      </c>
    </row>
    <row r="209">
      <c r="A209" s="6" t="n">
        <v>2023</v>
      </c>
      <c r="B209" s="7" t="inlineStr">
        <is>
          <t>2WD</t>
        </is>
      </c>
      <c r="C209" s="7" t="inlineStr">
        <is>
          <t>2.2 XD スポーツ</t>
        </is>
      </c>
      <c r="D209" s="17" t="n">
        <v>4.6</v>
      </c>
      <c r="E209" s="9" t="n">
        <v>364.9</v>
      </c>
      <c r="F209" s="9" t="n">
        <v>354.1</v>
      </c>
      <c r="G209" s="10" t="n">
        <v>4.2</v>
      </c>
      <c r="H209" s="7" t="inlineStr">
        <is>
          <t>なし</t>
        </is>
      </c>
      <c r="I209" s="7" t="inlineStr">
        <is>
          <t>2028(R10)年05月</t>
        </is>
      </c>
      <c r="J209" s="7" t="inlineStr">
        <is>
          <t>保証付</t>
        </is>
      </c>
      <c r="K209" s="16" t="inlineStr">
        <is>
          <t>修復歴なし / 車検 2028/05 まで（残り19ヶ月） / 保証付</t>
        </is>
      </c>
      <c r="L209" s="16" t="inlineStr">
        <is>
          <t>CX-8 2.2 XD スポーツ アピアランス ディーゼルターボ 純正10.23型ナビ 全周囲カメラ 衝突被害軽減システム 禁煙車 電動リアゲート レザーシート ドラレコ コーナーセンサー スマートキー LEDヘッド ルーフレール ETC</t>
        </is>
      </c>
      <c r="M209" s="7" t="inlineStr">
        <is>
          <t>https://www.carsensor.net/usedcar/detail/AU7446533013/index.html</t>
        </is>
      </c>
    </row>
    <row r="210">
      <c r="A210" s="11" t="n">
        <v>2023</v>
      </c>
      <c r="B210" s="12" t="inlineStr">
        <is>
          <t>2WD</t>
        </is>
      </c>
      <c r="C210" s="12" t="inlineStr">
        <is>
          <t>2.2 XD スポーツ</t>
        </is>
      </c>
      <c r="D210" s="13" t="n">
        <v>4.5</v>
      </c>
      <c r="E210" s="14" t="n">
        <v>362</v>
      </c>
      <c r="F210" s="14" t="n">
        <v>350.5</v>
      </c>
      <c r="G210" s="15" t="n">
        <v>3.7</v>
      </c>
      <c r="H210" s="12" t="inlineStr">
        <is>
          <t>なし</t>
        </is>
      </c>
      <c r="I210" s="12" t="inlineStr">
        <is>
          <t>2028(R10)年04月</t>
        </is>
      </c>
      <c r="J210" s="12" t="inlineStr">
        <is>
          <t>保証付</t>
        </is>
      </c>
      <c r="K210" s="16" t="inlineStr">
        <is>
          <t>修復歴なし / 車検 2028/04 まで（残り18ヶ月） / 保証付</t>
        </is>
      </c>
      <c r="L210" s="16" t="inlineStr">
        <is>
          <t>CX-8 2.2 XD スポーツ アピアランス ディーゼルターボ シートカラー:ブラック(スムースレザー)</t>
        </is>
      </c>
      <c r="M210" s="12" t="inlineStr">
        <is>
          <t>https://www.carsensor.net/usedcar/detail/AU7322576935/index.html</t>
        </is>
      </c>
    </row>
    <row r="211">
      <c r="A211" s="6" t="n">
        <v>2023</v>
      </c>
      <c r="B211" s="7" t="inlineStr">
        <is>
          <t>2WD</t>
        </is>
      </c>
      <c r="C211" s="7" t="inlineStr">
        <is>
          <t>2.2 XD スポーツ</t>
        </is>
      </c>
      <c r="D211" s="17" t="n">
        <v>4.3</v>
      </c>
      <c r="E211" s="9" t="n">
        <v>377.4</v>
      </c>
      <c r="F211" s="9" t="n">
        <v>367</v>
      </c>
      <c r="G211" s="10" t="n">
        <v>3</v>
      </c>
      <c r="H211" s="7" t="inlineStr">
        <is>
          <t>なし</t>
        </is>
      </c>
      <c r="I211" s="7" t="inlineStr">
        <is>
          <t>2028(R10)年02月</t>
        </is>
      </c>
      <c r="J211" s="7" t="inlineStr">
        <is>
          <t>保証付</t>
        </is>
      </c>
      <c r="K211" s="16" t="inlineStr">
        <is>
          <t>修復歴なし / 車検 2028/02 まで（残り16ヶ月） / 保証付</t>
        </is>
      </c>
      <c r="L211" s="16" t="inlineStr">
        <is>
          <t>CX-8 2.2 XD スポーツ アピアランス ディーゼルターボ ETC/360°ビューモニター/禁煙/衝突軽減装置/車線逸脱警報機能/ワンオーナー/シートヒーター/LED/純正ナビ/SUV/ドラレコ/クルーズコントロール/パワーシート/CarPlay/Bluetooth</t>
        </is>
      </c>
      <c r="M211" s="7" t="inlineStr">
        <is>
          <t>https://www.carsensor.net/usedcar/detail/AU7231238200/index.html</t>
        </is>
      </c>
    </row>
    <row r="212">
      <c r="A212" s="11" t="n">
        <v>2023</v>
      </c>
      <c r="B212" s="12" t="inlineStr">
        <is>
          <t>2WD</t>
        </is>
      </c>
      <c r="C212" s="12" t="inlineStr">
        <is>
          <t>2.2 XD スポーツ</t>
        </is>
      </c>
      <c r="D212" s="13" t="n">
        <v>4.2</v>
      </c>
      <c r="E212" s="14" t="n">
        <v>379.9</v>
      </c>
      <c r="F212" s="14" t="n">
        <v>367.9</v>
      </c>
      <c r="G212" s="15" t="n">
        <v>2.6</v>
      </c>
      <c r="H212" s="12" t="inlineStr">
        <is>
          <t>なし</t>
        </is>
      </c>
      <c r="I212" s="12" t="inlineStr">
        <is>
          <t>2027(R09)年12月</t>
        </is>
      </c>
      <c r="J212" s="12" t="inlineStr">
        <is>
          <t>保証付</t>
        </is>
      </c>
      <c r="K212" s="16" t="inlineStr">
        <is>
          <t>修復歴なし / 車検 2027/12 まで（残り14ヶ月） / 保証付</t>
        </is>
      </c>
      <c r="L212" s="16" t="inlineStr">
        <is>
          <t>CX-8 2.2 XD スポーツ アピアランス ディーゼルターボ サンルーフ 禁煙車 BOSEサウンドシステム ルーフレール スマートシティブレーキサポート 純正10.25型ナビ 全周囲カメラ カラーヘッドアップディスプレイ ブラック革シート シートベンチレーション</t>
        </is>
      </c>
      <c r="M212" s="12" t="inlineStr">
        <is>
          <t>https://www.carsensor.net/usedcar/detail/AU7361285953/index.html</t>
        </is>
      </c>
    </row>
    <row r="213">
      <c r="A213" s="6" t="n">
        <v>2023</v>
      </c>
      <c r="B213" s="7" t="inlineStr">
        <is>
          <t>2WD</t>
        </is>
      </c>
      <c r="C213" s="7" t="inlineStr">
        <is>
          <t>2.2 XD スポーツ</t>
        </is>
      </c>
      <c r="D213" s="17" t="n">
        <v>4.2</v>
      </c>
      <c r="E213" s="9" t="n">
        <v>362.8</v>
      </c>
      <c r="F213" s="9" t="n">
        <v>356.4</v>
      </c>
      <c r="G213" s="10" t="n">
        <v>3.8</v>
      </c>
      <c r="H213" s="7" t="inlineStr">
        <is>
          <t>なし</t>
        </is>
      </c>
      <c r="I213" s="7" t="inlineStr">
        <is>
          <t>2028(R10)年01月</t>
        </is>
      </c>
      <c r="J213" s="7" t="inlineStr">
        <is>
          <t>保証付</t>
        </is>
      </c>
      <c r="K213" s="16" t="inlineStr">
        <is>
          <t>修復歴なし / 車検 2028/01 まで（残り15ヶ月） / 保証付</t>
        </is>
      </c>
      <c r="L213" s="16" t="inlineStr">
        <is>
          <t>CX-8 2.2 XD スポーツ アピアランス ディーゼルターボ 禁煙車 全方位カメラ 後席モニター CD/DVDデッキ SDナビ BOSE シートヒーター エアシート パワーシート 前後ドライブレコーダー ステアリングリモコン 革巻きステアリング ETC WAC</t>
        </is>
      </c>
      <c r="M213" s="7" t="inlineStr">
        <is>
          <t>https://www.carsensor.net/usedcar/detail/AU7332696226/index.html</t>
        </is>
      </c>
    </row>
    <row r="214">
      <c r="A214" s="11" t="n">
        <v>2023</v>
      </c>
      <c r="B214" s="12" t="inlineStr">
        <is>
          <t>2WD</t>
        </is>
      </c>
      <c r="C214" s="12" t="inlineStr">
        <is>
          <t>2.2 XD スポーツ</t>
        </is>
      </c>
      <c r="D214" s="13" t="n">
        <v>4</v>
      </c>
      <c r="E214" s="14" t="n">
        <v>398.9</v>
      </c>
      <c r="F214" s="14" t="n">
        <v>382.9</v>
      </c>
      <c r="G214" s="15" t="n">
        <v>2.5</v>
      </c>
      <c r="H214" s="12" t="inlineStr">
        <is>
          <t>なし</t>
        </is>
      </c>
      <c r="I214" s="12" t="inlineStr">
        <is>
          <t>車検整備付</t>
        </is>
      </c>
      <c r="J214" s="12" t="inlineStr">
        <is>
          <t>保証付</t>
        </is>
      </c>
      <c r="K214" s="16" t="inlineStr">
        <is>
          <t>修復歴なし / 車検整備付 / 保証付</t>
        </is>
      </c>
      <c r="L214" s="16" t="inlineStr">
        <is>
          <t>CX-8 2.2 XD スポーツ アピアランス ディーゼルターボ サンルーフ BOSEサウンド 10型ナビ 全周囲カメラ 6人乗りウォークスルー フルセグTV 禁煙車 パワーバックドア シートエアコン 黒革シート ブラインドスポットモニター ヘッドアップディスプレイ</t>
        </is>
      </c>
      <c r="M214" s="12" t="inlineStr">
        <is>
          <t>https://www.carsensor.net/usedcar/detail/AU7330212518/index.html</t>
        </is>
      </c>
    </row>
    <row r="215">
      <c r="A215" s="6" t="n">
        <v>2023</v>
      </c>
      <c r="B215" s="7" t="inlineStr">
        <is>
          <t>2WD</t>
        </is>
      </c>
      <c r="C215" s="7" t="inlineStr">
        <is>
          <t>2.2 XD スポーツ</t>
        </is>
      </c>
      <c r="D215" s="17" t="n">
        <v>4</v>
      </c>
      <c r="E215" s="9" t="n">
        <v>352.8</v>
      </c>
      <c r="F215" s="9" t="n">
        <v>340.8</v>
      </c>
      <c r="G215" s="10" t="n">
        <v>3.2</v>
      </c>
      <c r="H215" s="7" t="inlineStr">
        <is>
          <t>なし</t>
        </is>
      </c>
      <c r="I215" s="7" t="inlineStr">
        <is>
          <t>車検整備付</t>
        </is>
      </c>
      <c r="J215" s="7" t="inlineStr">
        <is>
          <t>保証付</t>
        </is>
      </c>
      <c r="K215" s="16" t="inlineStr">
        <is>
          <t>修復歴なし / 車検整備付 / 保証付</t>
        </is>
      </c>
      <c r="L215" s="16" t="inlineStr">
        <is>
          <t>CX-8 2.2 XD スポーツ アピアランス ディーゼルターボ AppleCarPlay/BOSEサウンド/ルーフレール/赤革シート/全方位カメラ/シートベンチレーション/シートヒーター/パワーバックドア/メモリー付きパワーシート/レーダークルーズコントロール/ブラインドスポットモニター</t>
        </is>
      </c>
      <c r="M215" s="7" t="inlineStr">
        <is>
          <t>https://www.carsensor.net/usedcar/detail/AU7322889556/index.html</t>
        </is>
      </c>
    </row>
    <row r="216">
      <c r="A216" s="11" t="n">
        <v>2023</v>
      </c>
      <c r="B216" s="12" t="inlineStr">
        <is>
          <t>2WD</t>
        </is>
      </c>
      <c r="C216" s="12" t="inlineStr">
        <is>
          <t>2.2 XD スポーツ</t>
        </is>
      </c>
      <c r="D216" s="13" t="n">
        <v>4</v>
      </c>
      <c r="E216" s="14" t="n">
        <v>369.9</v>
      </c>
      <c r="F216" s="14" t="n">
        <v>353.9</v>
      </c>
      <c r="G216" s="15" t="n">
        <v>2.6</v>
      </c>
      <c r="H216" s="12" t="inlineStr">
        <is>
          <t>なし</t>
        </is>
      </c>
      <c r="I216" s="12" t="inlineStr">
        <is>
          <t>車検整備付</t>
        </is>
      </c>
      <c r="J216" s="12" t="inlineStr">
        <is>
          <t>保証付</t>
        </is>
      </c>
      <c r="K216" s="16" t="inlineStr">
        <is>
          <t>修復歴なし / 車検整備付 / 保証付</t>
        </is>
      </c>
      <c r="L216" s="16" t="inlineStr">
        <is>
          <t>CX-8 2.2 XD スポーツ アピアランス ディーゼルターボ 禁煙車 純正10.25型ナビ 全周囲カメラ 革シート レーダークルーズ メモリー機能付きパワーシート シートベンチレーション ブラインドスポットモニター ステアリングヒーター ヘッドアップディスプレイ</t>
        </is>
      </c>
      <c r="M216" s="12" t="inlineStr">
        <is>
          <t>https://www.carsensor.net/usedcar/detail/AU7434475185/index.html</t>
        </is>
      </c>
    </row>
    <row r="217">
      <c r="A217" s="6" t="n">
        <v>2023</v>
      </c>
      <c r="B217" s="7" t="inlineStr">
        <is>
          <t>2WD</t>
        </is>
      </c>
      <c r="C217" s="7" t="inlineStr">
        <is>
          <t>2.2 XD スポーツ</t>
        </is>
      </c>
      <c r="D217" s="17" t="n">
        <v>4</v>
      </c>
      <c r="E217" s="9" t="n">
        <v>339.8</v>
      </c>
      <c r="F217" s="9" t="n">
        <v>327.8</v>
      </c>
      <c r="G217" s="10" t="n">
        <v>2.9</v>
      </c>
      <c r="H217" s="7" t="inlineStr">
        <is>
          <t>なし</t>
        </is>
      </c>
      <c r="I217" s="7" t="inlineStr">
        <is>
          <t>車検整備付</t>
        </is>
      </c>
      <c r="J217" s="7" t="inlineStr">
        <is>
          <t>保証付</t>
        </is>
      </c>
      <c r="K217" s="16" t="inlineStr">
        <is>
          <t>修復歴なし / 車検整備付 / 保証付</t>
        </is>
      </c>
      <c r="L217" s="16" t="inlineStr">
        <is>
          <t>CX-8 2.2 XD スポーツ アピアランス ディーゼルターボ AppleCarPlay/全方位ナビ/10型ナビ/ルーフレール/ブラインドスポットモニター/シートヒーター/ステアリングヒーター/ヘッドアップディスプレイ/後席モニター/BOSEサウンド/パワーシート</t>
        </is>
      </c>
      <c r="M217" s="7" t="inlineStr">
        <is>
          <t>https://www.carsensor.net/usedcar/detail/AU7351392235/index.html</t>
        </is>
      </c>
    </row>
    <row r="218">
      <c r="A218" s="11" t="n">
        <v>2023</v>
      </c>
      <c r="B218" s="12" t="inlineStr">
        <is>
          <t>2WD</t>
        </is>
      </c>
      <c r="C218" s="12" t="inlineStr">
        <is>
          <t>2.2 XD スポーツ</t>
        </is>
      </c>
      <c r="D218" s="13" t="n">
        <v>4</v>
      </c>
      <c r="E218" s="14" t="n">
        <v>371.9</v>
      </c>
      <c r="F218" s="14" t="n">
        <v>358</v>
      </c>
      <c r="G218" s="15" t="n">
        <v>3.4</v>
      </c>
      <c r="H218" s="12" t="inlineStr">
        <is>
          <t>なし</t>
        </is>
      </c>
      <c r="I218" s="12" t="inlineStr">
        <is>
          <t>車検整備付</t>
        </is>
      </c>
      <c r="J218" s="12" t="inlineStr">
        <is>
          <t>保証付</t>
        </is>
      </c>
      <c r="K218" s="16" t="inlineStr">
        <is>
          <t>修復歴なし / 車検整備付 / 保証付</t>
        </is>
      </c>
      <c r="L218" s="16" t="inlineStr">
        <is>
          <t>CX-8 2.2 XD スポーツ アピアランス ディーゼルターボ 6人乗りセンターウォークスルー/黒革シート/360度ビュー/AppleCarPlay・AndroidAuto/フルセグ/ETC/レーダークルーズ/パワーシート/シートヒーター・ベンチレーション/Qi充電/パワーリフトゲート/19インチ純正AW/BSM</t>
        </is>
      </c>
      <c r="M218" s="12" t="inlineStr">
        <is>
          <t>https://www.carsensor.net/usedcar/detail/AU7422615114/index.html</t>
        </is>
      </c>
    </row>
    <row r="219">
      <c r="A219" s="6" t="n">
        <v>2023</v>
      </c>
      <c r="B219" s="7" t="inlineStr">
        <is>
          <t>2WD</t>
        </is>
      </c>
      <c r="C219" s="7" t="inlineStr">
        <is>
          <t>2.2 XD スポーツ</t>
        </is>
      </c>
      <c r="D219" s="17" t="n">
        <v>4</v>
      </c>
      <c r="E219" s="9" t="n">
        <v>393.8</v>
      </c>
      <c r="F219" s="9" t="n">
        <v>379.8</v>
      </c>
      <c r="G219" s="10" t="n">
        <v>2.5</v>
      </c>
      <c r="H219" s="7" t="inlineStr">
        <is>
          <t>なし</t>
        </is>
      </c>
      <c r="I219" s="7" t="inlineStr">
        <is>
          <t>車検整備付</t>
        </is>
      </c>
      <c r="J219" s="7" t="inlineStr">
        <is>
          <t>保証付</t>
        </is>
      </c>
      <c r="K219" s="16" t="inlineStr">
        <is>
          <t>修復歴なし / 車検整備付 / 保証付</t>
        </is>
      </c>
      <c r="L219" s="16" t="inlineStr">
        <is>
          <t>CX-8 2.2 XD スポーツ アピアランス ディーゼルターボ マツダ認定中古車 ETC車載器 衝突被害軽減ブレーキ コネクティッドサービス 360°ビューモニター BOSEサウンドシステム</t>
        </is>
      </c>
      <c r="M219" s="7" t="inlineStr">
        <is>
          <t>https://www.carsensor.net/usedcar/detail/AU7445464749/index.html</t>
        </is>
      </c>
    </row>
    <row r="220">
      <c r="A220" s="11" t="n">
        <v>2023</v>
      </c>
      <c r="B220" s="12" t="inlineStr">
        <is>
          <t>2WD</t>
        </is>
      </c>
      <c r="C220" s="12" t="inlineStr">
        <is>
          <t>2.2 XD スポーツ</t>
        </is>
      </c>
      <c r="D220" s="13" t="n">
        <v>4</v>
      </c>
      <c r="E220" s="14" t="n">
        <v>395.5</v>
      </c>
      <c r="F220" s="14" t="n">
        <v>379.9</v>
      </c>
      <c r="G220" s="15" t="n">
        <v>2.5</v>
      </c>
      <c r="H220" s="12" t="inlineStr">
        <is>
          <t>なし</t>
        </is>
      </c>
      <c r="I220" s="12" t="inlineStr">
        <is>
          <t>車検整備付</t>
        </is>
      </c>
      <c r="J220" s="12" t="inlineStr">
        <is>
          <t>保証付</t>
        </is>
      </c>
      <c r="K220" s="16" t="inlineStr">
        <is>
          <t>修復歴なし / 車検整備付 / 保証付</t>
        </is>
      </c>
      <c r="L220" s="16" t="inlineStr">
        <is>
          <t>CX-8 2.2 XD スポーツ アピアランス ディーゼルターボ マツダコネクト/360度ビューM/純正AW</t>
        </is>
      </c>
      <c r="M220" s="12" t="inlineStr">
        <is>
          <t>https://www.carsensor.net/usedcar/detail/AU7349119498/index.html</t>
        </is>
      </c>
    </row>
    <row r="221">
      <c r="A221" s="6" t="n">
        <v>2023</v>
      </c>
      <c r="B221" s="7" t="inlineStr">
        <is>
          <t>2WD</t>
        </is>
      </c>
      <c r="C221" s="7" t="inlineStr">
        <is>
          <t>2.2 XD スポーツ</t>
        </is>
      </c>
      <c r="D221" s="17" t="n">
        <v>2.8</v>
      </c>
      <c r="E221" s="9" t="n">
        <v>342.8</v>
      </c>
      <c r="F221" s="9" t="n">
        <v>334.9</v>
      </c>
      <c r="G221" s="10" t="n">
        <v>4.6</v>
      </c>
      <c r="H221" s="7" t="inlineStr">
        <is>
          <t>なし</t>
        </is>
      </c>
      <c r="I221" s="7" t="inlineStr">
        <is>
          <t>2028(R10)年02月</t>
        </is>
      </c>
      <c r="J221" s="7" t="inlineStr">
        <is>
          <t>保証付</t>
        </is>
      </c>
      <c r="K221" s="16" t="inlineStr">
        <is>
          <t>走行が多め（4.6万km） / 修復歴なし / 車検 2028/02 まで（残り16ヶ月） / 保証付</t>
        </is>
      </c>
      <c r="L221" s="16" t="inlineStr">
        <is>
          <t>CX-8 2.2 XD スポーツ アピアランス ディーゼルターボ 4WD 6人乗り/BOSEサウンド/純正10.25インチナビ/全周囲カメラ/Apple CarPlay/前後席シートヒーター/ステアリングヒーター/追従クルコン/パワーバックドア/BSM/ETC/LEDヘッドライト</t>
        </is>
      </c>
      <c r="M221" s="7" t="inlineStr">
        <is>
          <t>https://www.carsensor.net/usedcar/detail/AU7413367490/index.html</t>
        </is>
      </c>
    </row>
    <row r="222">
      <c r="A222" s="11" t="n">
        <v>2023</v>
      </c>
      <c r="B222" s="12" t="inlineStr">
        <is>
          <t>2WD</t>
        </is>
      </c>
      <c r="C222" s="12" t="inlineStr">
        <is>
          <t>2.2 XD スポーツ</t>
        </is>
      </c>
      <c r="D222" s="13" t="n">
        <v>2.5</v>
      </c>
      <c r="E222" s="14" t="n">
        <v>320.1</v>
      </c>
      <c r="F222" s="14" t="n">
        <v>305.8</v>
      </c>
      <c r="G222" s="15" t="n">
        <v>5.2</v>
      </c>
      <c r="H222" s="12" t="inlineStr">
        <is>
          <t>なし</t>
        </is>
      </c>
      <c r="I222" s="12" t="inlineStr">
        <is>
          <t>車検整備付</t>
        </is>
      </c>
      <c r="J222" s="12" t="inlineStr">
        <is>
          <t>保証付</t>
        </is>
      </c>
      <c r="K222" s="16" t="inlineStr">
        <is>
          <t>走行が多め（5.2万km） / 修復歴なし / 車検整備付 / 保証付</t>
        </is>
      </c>
      <c r="L222" s="16" t="inlineStr">
        <is>
          <t>CX-8 2.2 XD スポーツ アピアランス ディーゼルターボ エアバック ABS マツダコネクト フルセグTV 360°ビューモニター フリップダウンモニター パワーシート シートヒーター 2列目シートヒーター オートエアコン ドラレコ ETC 取説 保証書</t>
        </is>
      </c>
      <c r="M222" s="12" t="inlineStr">
        <is>
          <t>https://www.carsensor.net/usedcar/detail/AU7160635544/index.html</t>
        </is>
      </c>
    </row>
    <row r="223">
      <c r="A223" s="6" t="n">
        <v>2023</v>
      </c>
      <c r="B223" s="7" t="inlineStr">
        <is>
          <t>2WD</t>
        </is>
      </c>
      <c r="C223" s="7" t="inlineStr">
        <is>
          <t>2.2 XD スポーツ</t>
        </is>
      </c>
      <c r="D223" s="17" t="n">
        <v>2.5</v>
      </c>
      <c r="E223" s="9" t="n">
        <v>383.4</v>
      </c>
      <c r="F223" s="9" t="n">
        <v>369.8</v>
      </c>
      <c r="G223" s="10" t="n">
        <v>4.5</v>
      </c>
      <c r="H223" s="7" t="inlineStr">
        <is>
          <t>なし</t>
        </is>
      </c>
      <c r="I223" s="7" t="inlineStr">
        <is>
          <t>車検整備付</t>
        </is>
      </c>
      <c r="J223" s="7" t="inlineStr">
        <is>
          <t>保証付</t>
        </is>
      </c>
      <c r="K223" s="16" t="inlineStr">
        <is>
          <t>走行が多め（4.5万km） / 修復歴なし / 車検整備付 / 保証付</t>
        </is>
      </c>
      <c r="L223" s="16" t="inlineStr">
        <is>
          <t>CX-8 2.2 XD スポーツ アピアランス ディーゼルターボ マツダ認定中古車</t>
        </is>
      </c>
      <c r="M223" s="7" t="inlineStr">
        <is>
          <t>https://www.carsensor.net/usedcar/detail/AU6916933404/index.html</t>
        </is>
      </c>
    </row>
    <row r="224">
      <c r="A224" s="11" t="n">
        <v>2023</v>
      </c>
      <c r="B224" s="12" t="inlineStr">
        <is>
          <t>2WD</t>
        </is>
      </c>
      <c r="C224" s="12" t="inlineStr">
        <is>
          <t>2.2 XD スマート</t>
        </is>
      </c>
      <c r="D224" s="13" t="n">
        <v>8</v>
      </c>
      <c r="E224" s="14" t="n">
        <v>259</v>
      </c>
      <c r="F224" s="14" t="n">
        <v>249</v>
      </c>
      <c r="G224" s="15" t="n">
        <v>0.4</v>
      </c>
      <c r="H224" s="12" t="inlineStr">
        <is>
          <t>なし</t>
        </is>
      </c>
      <c r="I224" s="12" t="inlineStr">
        <is>
          <t>車検整備付</t>
        </is>
      </c>
      <c r="J224" s="12" t="inlineStr">
        <is>
          <t>保証付</t>
        </is>
      </c>
      <c r="K224" s="16" t="inlineStr">
        <is>
          <t>同年式の半分以下の走行（0.4万km） / 修復歴なし / 車検整備付 / 保証付 / 同年式より安い（中央値 348万）</t>
        </is>
      </c>
      <c r="L224" s="16" t="inlineStr">
        <is>
          <t>CX-8 2.2 XD スマート エディション ディーゼルターボ 冠水歴車ナビ全方位モニターリヤフリップダウンモニターETC車載器禁煙車スマートキー2本Pスタートイモビライザーディーゼルターボスマートブレーキサポート衝突軽減ブレーキ踏み間違防止クルコン付</t>
        </is>
      </c>
      <c r="M224" s="12" t="inlineStr">
        <is>
          <t>https://www.carsensor.net/usedcar/detail/AU6265963527/index.html</t>
        </is>
      </c>
    </row>
    <row r="225">
      <c r="A225" s="6" t="n">
        <v>2020</v>
      </c>
      <c r="B225" s="7" t="inlineStr">
        <is>
          <t>2WD</t>
        </is>
      </c>
      <c r="C225" s="7" t="inlineStr">
        <is>
          <t>2.2 XD スマート</t>
        </is>
      </c>
      <c r="D225" s="17" t="n">
        <v>7.2</v>
      </c>
      <c r="E225" s="9" t="n">
        <v>255</v>
      </c>
      <c r="F225" s="9" t="n">
        <v>246</v>
      </c>
      <c r="G225" s="10" t="n">
        <v>2</v>
      </c>
      <c r="H225" s="7" t="inlineStr">
        <is>
          <t>なし</t>
        </is>
      </c>
      <c r="I225" s="7" t="inlineStr">
        <is>
          <t>2027(R09)年12月</t>
        </is>
      </c>
      <c r="J225" s="7" t="inlineStr">
        <is>
          <t>保証付</t>
        </is>
      </c>
      <c r="K225" s="16" t="inlineStr">
        <is>
          <t>同年式の半分以下の走行（2.0万km） / 修復歴なし / 車検 2027/12 まで（残り14ヶ月） / 保証付</t>
        </is>
      </c>
      <c r="L225" s="16" t="inlineStr">
        <is>
          <t>CX-8 2.2 XD スマート エディション ディーゼルターボ 360°ビュー・モニター 禁煙車 ナビ 前後ドラレコ 障害物センサー ETC マツダ・レーダー・クルーズ・コントロール ブラインドスポットモニタリング 電動パーキングブレーキ Bluetooth TV ワイヤレス充電</t>
        </is>
      </c>
      <c r="M225" s="7" t="inlineStr">
        <is>
          <t>https://www.carsensor.net/usedcar/detail/AU7441656617/index.html</t>
        </is>
      </c>
    </row>
    <row r="226">
      <c r="A226" s="11" t="n">
        <v>2020</v>
      </c>
      <c r="B226" s="12" t="inlineStr">
        <is>
          <t>2WD</t>
        </is>
      </c>
      <c r="C226" s="12" t="inlineStr">
        <is>
          <t>2.2 XD スマート</t>
        </is>
      </c>
      <c r="D226" s="13" t="n">
        <v>7.1</v>
      </c>
      <c r="E226" s="14" t="n">
        <v>226.4</v>
      </c>
      <c r="F226" s="14" t="n">
        <v>215.7</v>
      </c>
      <c r="G226" s="15" t="n">
        <v>2.2</v>
      </c>
      <c r="H226" s="12" t="inlineStr">
        <is>
          <t>なし</t>
        </is>
      </c>
      <c r="I226" s="12" t="inlineStr">
        <is>
          <t>2027(R09)年11月</t>
        </is>
      </c>
      <c r="J226" s="12" t="inlineStr">
        <is>
          <t>保証付</t>
        </is>
      </c>
      <c r="K226" s="16" t="inlineStr">
        <is>
          <t>同年式の半分以下の走行（2.2万km） / 修復歴なし / 車検 2027/11 まで（残り13ヶ月） / 保証付</t>
        </is>
      </c>
      <c r="L226" s="16" t="inlineStr">
        <is>
          <t>CX-8 2.2 XD スマート エディション ディーゼルターボ ・MTモード付AT・LEDヘッドライト・オート</t>
        </is>
      </c>
      <c r="M226" s="12" t="inlineStr">
        <is>
          <t>https://www.carsensor.net/usedcar/detail/AU7386675977/index.html</t>
        </is>
      </c>
    </row>
    <row r="227">
      <c r="A227" s="6" t="n">
        <v>2021</v>
      </c>
      <c r="B227" s="7" t="inlineStr">
        <is>
          <t>2WD</t>
        </is>
      </c>
      <c r="C227" s="7" t="inlineStr">
        <is>
          <t>2.2 XD スマート</t>
        </is>
      </c>
      <c r="D227" s="17" t="n">
        <v>5.4</v>
      </c>
      <c r="E227" s="9" t="n">
        <v>246.8</v>
      </c>
      <c r="F227" s="9" t="n">
        <v>240.4</v>
      </c>
      <c r="G227" s="10" t="n">
        <v>4.8</v>
      </c>
      <c r="H227" s="7" t="inlineStr">
        <is>
          <t>なし</t>
        </is>
      </c>
      <c r="I227" s="7" t="inlineStr">
        <is>
          <t>2028(R10)年03月</t>
        </is>
      </c>
      <c r="J227" s="7" t="inlineStr">
        <is>
          <t>保証付</t>
        </is>
      </c>
      <c r="K227" s="16" t="inlineStr">
        <is>
          <t>修復歴なし / 車検 2028/03 まで（残り17ヶ月） / 保証付 / 同年式より安い（中央値 279万）</t>
        </is>
      </c>
      <c r="L227" s="16" t="inlineStr">
        <is>
          <t>CX-8 2.2 XD スマート エディション ディーゼルターボ 純正ナビ BT 全方位 HUD BSM レーダークルコン 速度標識警報 RDA SBS ドラーバーアテンションアラート レザーシートカバー ETC サンシェード 革巻きステアリング オートライト</t>
        </is>
      </c>
      <c r="M227" s="7" t="inlineStr">
        <is>
          <t>https://www.carsensor.net/usedcar/detail/AU7194234689/index.html</t>
        </is>
      </c>
    </row>
    <row r="228">
      <c r="A228" s="11" t="n">
        <v>2023</v>
      </c>
      <c r="B228" s="12" t="inlineStr">
        <is>
          <t>2WD</t>
        </is>
      </c>
      <c r="C228" s="12" t="inlineStr">
        <is>
          <t>2.2 XD スマート</t>
        </is>
      </c>
      <c r="D228" s="13" t="n">
        <v>5.2</v>
      </c>
      <c r="E228" s="14" t="n">
        <v>282.9</v>
      </c>
      <c r="F228" s="14" t="n">
        <v>276</v>
      </c>
      <c r="G228" s="15" t="n">
        <v>3.7</v>
      </c>
      <c r="H228" s="12" t="inlineStr">
        <is>
          <t>なし</t>
        </is>
      </c>
      <c r="I228" s="12" t="inlineStr">
        <is>
          <t>2028(R10)年01月</t>
        </is>
      </c>
      <c r="J228" s="12" t="inlineStr">
        <is>
          <t>保証付</t>
        </is>
      </c>
      <c r="K228" s="16" t="inlineStr">
        <is>
          <t>修復歴なし / 車検 2028/01 まで（残り15ヶ月） / 保証付 / 同年式より安い（中央値 348万）</t>
        </is>
      </c>
      <c r="L228" s="16" t="inlineStr">
        <is>
          <t>CX-8 2.2 XD スマート エディション ディーゼルターボ SDナビ/衝突安全装置/シートヒーター 前席/全方位モニター/車線逸脱防止支援システム/電動バックドア/ドライブレコーダー 社外/ヘッドランプ LED/Bluetooth接続/ETC</t>
        </is>
      </c>
      <c r="M228" s="12" t="inlineStr">
        <is>
          <t>https://www.carsensor.net/usedcar/detail/AU7361584046/index.html</t>
        </is>
      </c>
    </row>
    <row r="229">
      <c r="A229" s="6" t="n">
        <v>2021</v>
      </c>
      <c r="B229" s="7" t="inlineStr">
        <is>
          <t>2WD</t>
        </is>
      </c>
      <c r="C229" s="7" t="inlineStr">
        <is>
          <t>2.2 XD スマート</t>
        </is>
      </c>
      <c r="D229" s="17" t="n">
        <v>5.1</v>
      </c>
      <c r="E229" s="9" t="n">
        <v>241.8</v>
      </c>
      <c r="F229" s="9" t="n">
        <v>235.5</v>
      </c>
      <c r="G229" s="10" t="n">
        <v>4.5</v>
      </c>
      <c r="H229" s="7" t="inlineStr">
        <is>
          <t>なし</t>
        </is>
      </c>
      <c r="I229" s="7" t="inlineStr">
        <is>
          <t>2027(R09)年11月</t>
        </is>
      </c>
      <c r="J229" s="7" t="inlineStr">
        <is>
          <t>保証付</t>
        </is>
      </c>
      <c r="K229" s="16" t="inlineStr">
        <is>
          <t>修復歴なし / 車検 2027/11 まで（残り13ヶ月） / 保証付 / 同年式より安い（中央値 279万）</t>
        </is>
      </c>
      <c r="L229" s="16" t="inlineStr">
        <is>
          <t>CX-8 2.2 XD スマート エディション ディーゼルターボ 禁煙車/スマートブレーキサポート/純正10.25インチSDナビ/社外ETC/360°ビューモニター/レーダークルーズコントロール/レーンキープアシスト/MT付きAT/パドルシフト/LEDオートライト/オートマチックハイビーム/LED</t>
        </is>
      </c>
      <c r="M229" s="7" t="inlineStr">
        <is>
          <t>https://www.carsensor.net/usedcar/detail/AU7329443528/index.html</t>
        </is>
      </c>
    </row>
    <row r="230">
      <c r="A230" s="11" t="n">
        <v>2021</v>
      </c>
      <c r="B230" s="12" t="inlineStr">
        <is>
          <t>2WD</t>
        </is>
      </c>
      <c r="C230" s="12" t="inlineStr">
        <is>
          <t>2.2 XD スマート</t>
        </is>
      </c>
      <c r="D230" s="13" t="n">
        <v>5</v>
      </c>
      <c r="E230" s="14" t="n">
        <v>216.8</v>
      </c>
      <c r="F230" s="14" t="n">
        <v>204.8</v>
      </c>
      <c r="G230" s="15" t="n">
        <v>6.6</v>
      </c>
      <c r="H230" s="12" t="inlineStr">
        <is>
          <t>なし</t>
        </is>
      </c>
      <c r="I230" s="12" t="inlineStr">
        <is>
          <t>車検整備付</t>
        </is>
      </c>
      <c r="J230" s="12" t="inlineStr">
        <is>
          <t>保証付</t>
        </is>
      </c>
      <c r="K230" s="16" t="inlineStr">
        <is>
          <t>修復歴なし / 車検整備付 / 保証付 / 同年式より安い（中央値 279万）</t>
        </is>
      </c>
      <c r="L230" s="16" t="inlineStr">
        <is>
          <t>CX-8 2.2 XD スマート エディション ディーゼルターボ 純正10.25インチナビ/全周囲モニター/ワイヤレス充電/フルセグ/ブラインドスポットモニター/ヘッドアップディスプレイ/CD/DVDキット/スマートキープッシュスタート/オートライト</t>
        </is>
      </c>
      <c r="M230" s="12" t="inlineStr">
        <is>
          <t>https://www.carsensor.net/usedcar/detail/AU7318567046/index.html</t>
        </is>
      </c>
    </row>
    <row r="231">
      <c r="A231" s="6" t="n">
        <v>2022</v>
      </c>
      <c r="B231" s="7" t="inlineStr">
        <is>
          <t>2WD</t>
        </is>
      </c>
      <c r="C231" s="7" t="inlineStr">
        <is>
          <t>2.2 XD スマート</t>
        </is>
      </c>
      <c r="D231" s="17" t="n">
        <v>4.8</v>
      </c>
      <c r="E231" s="9" t="n">
        <v>242.9</v>
      </c>
      <c r="F231" s="9" t="n">
        <v>229.8</v>
      </c>
      <c r="G231" s="10" t="n">
        <v>5.1</v>
      </c>
      <c r="H231" s="7" t="inlineStr">
        <is>
          <t>なし</t>
        </is>
      </c>
      <c r="I231" s="7" t="inlineStr">
        <is>
          <t>2027(R09)年08月</t>
        </is>
      </c>
      <c r="J231" s="7" t="inlineStr">
        <is>
          <t>保証付</t>
        </is>
      </c>
      <c r="K231" s="16" t="inlineStr">
        <is>
          <t>修復歴なし / 車検 2027/08 まで（残り10ヶ月） / 保証付 / 同年式より安い（中央値 296万）</t>
        </is>
      </c>
      <c r="L231" s="16" t="inlineStr">
        <is>
          <t>CX-8 2.2 XD スマート エディション ディーゼルターボ 禁煙/純正ナビ/Bluetooth/フルセグ/スマホ連携/全方位M/ETC/ドラレコ前後/LEDヘッドライト/パーキングセンサー/シートヒーター/レーダークルーズ/BSM/スマートブレーキサポート</t>
        </is>
      </c>
      <c r="M231" s="7" t="inlineStr">
        <is>
          <t>https://www.carsensor.net/usedcar/detail/AU7321121547/index.html</t>
        </is>
      </c>
    </row>
    <row r="232">
      <c r="A232" s="11" t="n">
        <v>2022</v>
      </c>
      <c r="B232" s="12" t="inlineStr">
        <is>
          <t>2WD</t>
        </is>
      </c>
      <c r="C232" s="12" t="inlineStr">
        <is>
          <t>2.2 XD スマート</t>
        </is>
      </c>
      <c r="D232" s="13" t="n">
        <v>4.1</v>
      </c>
      <c r="E232" s="14" t="n">
        <v>274.9</v>
      </c>
      <c r="F232" s="14" t="n">
        <v>263</v>
      </c>
      <c r="G232" s="15" t="n">
        <v>4.5</v>
      </c>
      <c r="H232" s="12" t="inlineStr">
        <is>
          <t>なし</t>
        </is>
      </c>
      <c r="I232" s="12" t="inlineStr">
        <is>
          <t>2027(R09)年11月</t>
        </is>
      </c>
      <c r="J232" s="12" t="inlineStr">
        <is>
          <t>保証付</t>
        </is>
      </c>
      <c r="K232" s="16" t="inlineStr">
        <is>
          <t>修復歴なし / 車検 2027/11 まで（残り13ヶ月） / 保証付</t>
        </is>
      </c>
      <c r="L232" s="16" t="inlineStr">
        <is>
          <t>CX-8 2.2 XD スマート エディション ディーゼルターボ ディーゼル(軽油) 7人乗り 全周囲カメラ i-ACTIVESENSE 電動リアゲート レーダークルーズ ヘッドアップディスプレイ コーナーセンサー ETC ドラレコ 純正17インチアルミ</t>
        </is>
      </c>
      <c r="M232" s="12" t="inlineStr">
        <is>
          <t>https://www.carsensor.net/usedcar/detail/AU7385018192/index.html</t>
        </is>
      </c>
    </row>
    <row r="233">
      <c r="A233" s="6" t="n">
        <v>2022</v>
      </c>
      <c r="B233" s="7" t="inlineStr">
        <is>
          <t>2WD</t>
        </is>
      </c>
      <c r="C233" s="7" t="inlineStr">
        <is>
          <t>2.2 XD スマート</t>
        </is>
      </c>
      <c r="D233" s="17" t="n">
        <v>3.5</v>
      </c>
      <c r="E233" s="9" t="n">
        <v>227.8</v>
      </c>
      <c r="F233" s="9" t="n">
        <v>218.9</v>
      </c>
      <c r="G233" s="10" t="n">
        <v>6.5</v>
      </c>
      <c r="H233" s="7" t="inlineStr">
        <is>
          <t>なし</t>
        </is>
      </c>
      <c r="I233" s="7" t="inlineStr">
        <is>
          <t>車検整備付</t>
        </is>
      </c>
      <c r="J233" s="7" t="inlineStr">
        <is>
          <t>保証付</t>
        </is>
      </c>
      <c r="K233" s="16" t="inlineStr">
        <is>
          <t>走行が多め（6.5万km） / 修復歴なし / 車検整備付 / 保証付 / 同年式より安い（中央値 296万）</t>
        </is>
      </c>
      <c r="L233" s="16" t="inlineStr">
        <is>
          <t>CX-8 2.2 XD スマート エディション ディーゼルターボ 全方位カメラ レーダークルーズコントロール ドライバーアテンションアラート フルセグTV ETC スペアキー 純正SDナビ 純正フロアマット オートライト LEDヘッドライト 純正アルミホイール</t>
        </is>
      </c>
      <c r="M233" s="7" t="inlineStr">
        <is>
          <t>https://www.carsensor.net/usedcar/detail/AU7298816399/index.html</t>
        </is>
      </c>
    </row>
    <row r="234">
      <c r="A234" s="11" t="n">
        <v>2022</v>
      </c>
      <c r="B234" s="12" t="inlineStr">
        <is>
          <t>2WD</t>
        </is>
      </c>
      <c r="C234" s="12" t="inlineStr">
        <is>
          <t>2.2 XD スマート</t>
        </is>
      </c>
      <c r="D234" s="13" t="n">
        <v>3.5</v>
      </c>
      <c r="E234" s="14" t="n">
        <v>182.9</v>
      </c>
      <c r="F234" s="14" t="n">
        <v>166</v>
      </c>
      <c r="G234" s="15" t="n">
        <v>9.699999999999999</v>
      </c>
      <c r="H234" s="12" t="inlineStr">
        <is>
          <t>なし</t>
        </is>
      </c>
      <c r="I234" s="12" t="inlineStr">
        <is>
          <t>車検整備付</t>
        </is>
      </c>
      <c r="J234" s="12" t="inlineStr">
        <is>
          <t>保証付</t>
        </is>
      </c>
      <c r="K234" s="16" t="inlineStr">
        <is>
          <t>走行が多め（9.7万km） / 修復歴なし / 車検整備付 / 保証付 / 同年式より安い（中央値 296万）</t>
        </is>
      </c>
      <c r="L234" s="16" t="inlineStr">
        <is>
          <t>CX-8 2.2 XD スマート エディション ディーゼルターボ 純正SDナビ 全方位カメラ 後席モニター Bluetooth 衝突軽減ブレーキ レーンアシスト ヘッドアップディスプレイ レーダークルーズコントロール クリアランスソナー ブラインドスポット ETC</t>
        </is>
      </c>
      <c r="M234" s="12" t="inlineStr">
        <is>
          <t>https://www.carsensor.net/usedcar/detail/AU7422768193/index.html</t>
        </is>
      </c>
    </row>
    <row r="235">
      <c r="A235" s="6" t="n">
        <v>2023</v>
      </c>
      <c r="B235" s="7" t="inlineStr">
        <is>
          <t>2WD</t>
        </is>
      </c>
      <c r="C235" s="7" t="inlineStr">
        <is>
          <t>2.2 XD スマート</t>
        </is>
      </c>
      <c r="D235" s="17" t="n">
        <v>3.5</v>
      </c>
      <c r="E235" s="9" t="n">
        <v>277.7</v>
      </c>
      <c r="F235" s="9" t="n">
        <v>264</v>
      </c>
      <c r="G235" s="10" t="n">
        <v>4.6</v>
      </c>
      <c r="H235" s="7" t="inlineStr">
        <is>
          <t>なし</t>
        </is>
      </c>
      <c r="I235" s="7" t="inlineStr">
        <is>
          <t>車検整備付</t>
        </is>
      </c>
      <c r="J235" s="7" t="inlineStr">
        <is>
          <t>保証付</t>
        </is>
      </c>
      <c r="K235" s="16" t="inlineStr">
        <is>
          <t>走行が多め（4.6万km） / 修復歴なし / 車検整備付 / 保証付 / 同年式より安い（中央値 348万）</t>
        </is>
      </c>
      <c r="L235" s="16" t="inlineStr">
        <is>
          <t>CX-8 2.2 XD スマート エディション ディーゼルターボ 認定 MSP ワンオーナー 360度ビューモニター 前後ドライブレコーダー ETC車載器 MRCC LAS 6人乗り</t>
        </is>
      </c>
      <c r="M235" s="7" t="inlineStr">
        <is>
          <t>https://www.carsensor.net/usedcar/detail/AU7439517697/index.html</t>
        </is>
      </c>
    </row>
    <row r="236">
      <c r="A236" s="11" t="n">
        <v>2023</v>
      </c>
      <c r="B236" s="12" t="inlineStr">
        <is>
          <t>2WD</t>
        </is>
      </c>
      <c r="C236" s="12" t="inlineStr">
        <is>
          <t>2.2 XD スマート</t>
        </is>
      </c>
      <c r="D236" s="13" t="n">
        <v>3.5</v>
      </c>
      <c r="E236" s="14" t="n">
        <v>313</v>
      </c>
      <c r="F236" s="14" t="n">
        <v>297</v>
      </c>
      <c r="G236" s="15" t="n">
        <v>6.2</v>
      </c>
      <c r="H236" s="12" t="inlineStr">
        <is>
          <t>なし</t>
        </is>
      </c>
      <c r="I236" s="12" t="inlineStr">
        <is>
          <t>車検整備付</t>
        </is>
      </c>
      <c r="J236" s="12" t="inlineStr">
        <is>
          <t>保証付</t>
        </is>
      </c>
      <c r="K236" s="16" t="inlineStr">
        <is>
          <t>走行が多め（6.2万km） / 修復歴なし / 車検整備付 / 保証付 / 同年式より安い（中央値 348万）</t>
        </is>
      </c>
      <c r="L236" s="16" t="inlineStr">
        <is>
          <t>CX-8 2.2 XD スマート エディション ディーゼルターボ 360°モニター/電動リアゲート</t>
        </is>
      </c>
      <c r="M236" s="12" t="inlineStr">
        <is>
          <t>https://www.carsensor.net/usedcar/detail/AU6904535288/index.html</t>
        </is>
      </c>
    </row>
    <row r="237">
      <c r="A237" s="6" t="n">
        <v>2022</v>
      </c>
      <c r="B237" s="7" t="inlineStr">
        <is>
          <t>2WD</t>
        </is>
      </c>
      <c r="C237" s="7" t="inlineStr">
        <is>
          <t>2.2 XD スマート</t>
        </is>
      </c>
      <c r="D237" s="17" t="n">
        <v>2.8</v>
      </c>
      <c r="E237" s="9" t="n">
        <v>229.9</v>
      </c>
      <c r="F237" s="9" t="n">
        <v>221.7</v>
      </c>
      <c r="G237" s="10" t="n">
        <v>6.9</v>
      </c>
      <c r="H237" s="7" t="inlineStr">
        <is>
          <t>なし</t>
        </is>
      </c>
      <c r="I237" s="7" t="inlineStr">
        <is>
          <t>2027(R09)年02月</t>
        </is>
      </c>
      <c r="J237" s="7" t="inlineStr">
        <is>
          <t>保証付</t>
        </is>
      </c>
      <c r="K237" s="16" t="inlineStr">
        <is>
          <t>走行が多め（6.9万km） / 修復歴なし / 車検 2027/02 まで（残り4ヶ月） / 保証付 / 同年式より安い（中央値 296万）</t>
        </is>
      </c>
      <c r="L237" s="16" t="inlineStr">
        <is>
          <t>CX-8 2.2 XD スマート エディション ディーゼルターボ 純正10.25インチセンターディスプレイ/フルセグTV/ETC/ドライブレコーダー/全周囲カメラ/レーダークルーズコントロール/ステアリングヒーター/シートヒーター/コーナーセンサー/LEDヘッドライト/</t>
        </is>
      </c>
      <c r="M237" s="7" t="inlineStr">
        <is>
          <t>https://www.carsensor.net/usedcar/detail/AU7093219862/index.html</t>
        </is>
      </c>
    </row>
    <row r="238">
      <c r="A238" s="11" t="n">
        <v>2023</v>
      </c>
      <c r="B238" s="12" t="inlineStr">
        <is>
          <t>2WD</t>
        </is>
      </c>
      <c r="C238" s="12" t="inlineStr">
        <is>
          <t>2.2 XD ディーゼルターボ</t>
        </is>
      </c>
      <c r="D238" s="13" t="n">
        <v>8.6</v>
      </c>
      <c r="E238" s="14" t="n">
        <v>309.9</v>
      </c>
      <c r="F238" s="14" t="n">
        <v>297.6</v>
      </c>
      <c r="G238" s="15" t="n">
        <v>1.3</v>
      </c>
      <c r="H238" s="12" t="inlineStr">
        <is>
          <t>なし</t>
        </is>
      </c>
      <c r="I238" s="12" t="inlineStr">
        <is>
          <t>2028(R10)年05月</t>
        </is>
      </c>
      <c r="J238" s="12" t="inlineStr">
        <is>
          <t>保証付</t>
        </is>
      </c>
      <c r="K238" s="16" t="inlineStr">
        <is>
          <t>同年式の半分以下の走行（1.3万km） / 修復歴なし / 車検 2028/05 まで（残り19ヶ月） / 保証付 / 同年式より安い（中央値 348万）</t>
        </is>
      </c>
      <c r="L238" s="16" t="inlineStr">
        <is>
          <t>CX-8 2.2 XD ディーゼルターボ 禁煙車 純正10型ナビ 全周囲カメラ フルセグ ブラインドスポットモニター レーダークルーズ クリアランスソナー LEDヘッド 純正17インチアルミ ETC アイドリングストップ スマートキー</t>
        </is>
      </c>
      <c r="M238" s="12" t="inlineStr">
        <is>
          <t>https://www.carsensor.net/usedcar/detail/AU7451531057/index.html</t>
        </is>
      </c>
    </row>
    <row r="239">
      <c r="A239" s="6" t="n">
        <v>2023</v>
      </c>
      <c r="B239" s="7" t="inlineStr">
        <is>
          <t>2WD</t>
        </is>
      </c>
      <c r="C239" s="7" t="inlineStr">
        <is>
          <t>2.2 XD ディーゼルターボ</t>
        </is>
      </c>
      <c r="D239" s="17" t="n">
        <v>8</v>
      </c>
      <c r="E239" s="9" t="n">
        <v>309.8</v>
      </c>
      <c r="F239" s="9" t="n">
        <v>300.7</v>
      </c>
      <c r="G239" s="10" t="n">
        <v>1.5</v>
      </c>
      <c r="H239" s="7" t="inlineStr">
        <is>
          <t>なし</t>
        </is>
      </c>
      <c r="I239" s="7" t="inlineStr">
        <is>
          <t>車検整備付</t>
        </is>
      </c>
      <c r="J239" s="7" t="inlineStr">
        <is>
          <t>保証付</t>
        </is>
      </c>
      <c r="K239" s="16" t="inlineStr">
        <is>
          <t>同年式の半分以下の走行（1.5万km） / 修復歴なし / 車検整備付 / 保証付 / 同年式より安い（中央値 348万）</t>
        </is>
      </c>
      <c r="L239" s="16" t="inlineStr">
        <is>
          <t>CX-8 2.2 XD ディーゼルターボ 7人乗り・ナビ・ETC・バックカメラ・3ゾーン対応フルオートエアコン・ブラインドスポットモニタリング・クルーズコントロール・AppleCarPlay・AndtroidAuto・車線逸脱警報システム・メーカー保証継承・車検整備付</t>
        </is>
      </c>
      <c r="M239" s="7" t="inlineStr">
        <is>
          <t>https://www.carsensor.net/usedcar/detail/AU7261825225/index.html</t>
        </is>
      </c>
    </row>
    <row r="240">
      <c r="A240" s="11" t="n">
        <v>2018</v>
      </c>
      <c r="B240" s="12" t="inlineStr">
        <is>
          <t>2WD</t>
        </is>
      </c>
      <c r="C240" s="12" t="inlineStr">
        <is>
          <t>2.2 XD ディーゼルターボ</t>
        </is>
      </c>
      <c r="D240" s="13" t="n">
        <v>6.1</v>
      </c>
      <c r="E240" s="14" t="n">
        <v>164.2</v>
      </c>
      <c r="F240" s="14" t="n">
        <v>151</v>
      </c>
      <c r="G240" s="15" t="n">
        <v>4</v>
      </c>
      <c r="H240" s="12" t="inlineStr">
        <is>
          <t>なし</t>
        </is>
      </c>
      <c r="I240" s="12" t="inlineStr">
        <is>
          <t>2027(R09)年05月</t>
        </is>
      </c>
      <c r="J240" s="12" t="inlineStr">
        <is>
          <t>保証付</t>
        </is>
      </c>
      <c r="K240" s="16" t="inlineStr">
        <is>
          <t>走行が少なめ（4.0万km） / 修復歴なし / 車検 2027/05 まで（残り7ヶ月） / 保証付 / 同年式より安い（中央値 196万）</t>
        </is>
      </c>
      <c r="L240" s="16" t="inlineStr">
        <is>
          <t>CX-8 2.2 XD ディーゼルターボ 純正ナビ Bカメラ Bluetooth フルセグ コーナーセンサー 衝突被害軽減ブレーキ クルーズコントロール ブラインドスポットモニター ETC ドライブレコーダー LEDヘッドライト</t>
        </is>
      </c>
      <c r="M240" s="12" t="inlineStr">
        <is>
          <t>https://www.carsensor.net/usedcar/detail/AU7360254363/index.html</t>
        </is>
      </c>
    </row>
    <row r="241">
      <c r="A241" s="6" t="n">
        <v>2017</v>
      </c>
      <c r="B241" s="7" t="inlineStr">
        <is>
          <t>2WD</t>
        </is>
      </c>
      <c r="C241" s="7" t="inlineStr">
        <is>
          <t>2.2 XD ディーゼルターボ</t>
        </is>
      </c>
      <c r="D241" s="17" t="n">
        <v>6</v>
      </c>
      <c r="E241" s="9" t="n">
        <v>145.6</v>
      </c>
      <c r="F241" s="9" t="n">
        <v>125.9</v>
      </c>
      <c r="G241" s="10" t="n">
        <v>3.2</v>
      </c>
      <c r="H241" s="7" t="inlineStr">
        <is>
          <t>なし</t>
        </is>
      </c>
      <c r="I241" s="7" t="inlineStr">
        <is>
          <t>車検整備無</t>
        </is>
      </c>
      <c r="J241" s="7" t="inlineStr">
        <is>
          <t>保証無</t>
        </is>
      </c>
      <c r="K241" s="16" t="inlineStr">
        <is>
          <t>同年式の半分以下の走行（3.2万km） / 修復歴なし / 同年式より安い（中央値 184万）</t>
        </is>
      </c>
      <c r="L241" s="16" t="inlineStr">
        <is>
          <t>CX-8 2.2 XD ディーゼルターボ 禁煙車 ワンオーナー 純正ナビ バックカメラ サイドカメラ フルセグ ブラインドスポットモニター オートクルーズコントロール 衝突軽減ブレーキシステム オートブレーキホールド レーンアシスト 雹害</t>
        </is>
      </c>
      <c r="M241" s="7" t="inlineStr">
        <is>
          <t>https://www.carsensor.net/usedcar/detail/AU7441682633/index.html</t>
        </is>
      </c>
    </row>
    <row r="242">
      <c r="A242" s="11" t="n">
        <v>2017</v>
      </c>
      <c r="B242" s="12" t="inlineStr">
        <is>
          <t>2WD</t>
        </is>
      </c>
      <c r="C242" s="12" t="inlineStr">
        <is>
          <t>2.2 XD ディーゼルターボ</t>
        </is>
      </c>
      <c r="D242" s="13" t="n">
        <v>5</v>
      </c>
      <c r="E242" s="14" t="n">
        <v>164.4</v>
      </c>
      <c r="F242" s="14" t="n">
        <v>149.8</v>
      </c>
      <c r="G242" s="15" t="n">
        <v>8.800000000000001</v>
      </c>
      <c r="H242" s="12" t="inlineStr">
        <is>
          <t>なし</t>
        </is>
      </c>
      <c r="I242" s="12" t="inlineStr">
        <is>
          <t>車検整備付</t>
        </is>
      </c>
      <c r="J242" s="12" t="inlineStr">
        <is>
          <t>保証付</t>
        </is>
      </c>
      <c r="K242" s="16" t="inlineStr">
        <is>
          <t>修復歴なし / 車検整備付 / 保証付 / 同年式より安い（中央値 184万）</t>
        </is>
      </c>
      <c r="L242" s="16" t="inlineStr">
        <is>
          <t>CX-8 2.2 XD ディーゼルターボ 衝突被害軽減ブレーキ 純正ナビ バックカメラ Bluetoothオーディオ ETC フルセグTV ブラインドスポットモニター ETC LEDライト 純正アルミホイール PS対象</t>
        </is>
      </c>
      <c r="M242" s="12" t="inlineStr">
        <is>
          <t>https://www.carsensor.net/usedcar/detail/AU6982105961/index.html</t>
        </is>
      </c>
    </row>
    <row r="243">
      <c r="A243" s="6" t="n">
        <v>2018</v>
      </c>
      <c r="B243" s="7" t="inlineStr">
        <is>
          <t>2WD</t>
        </is>
      </c>
      <c r="C243" s="7" t="inlineStr">
        <is>
          <t>2.2 XD ディーゼルターボ</t>
        </is>
      </c>
      <c r="D243" s="17" t="n">
        <v>5</v>
      </c>
      <c r="E243" s="9" t="n">
        <v>149.4</v>
      </c>
      <c r="F243" s="9" t="n">
        <v>136</v>
      </c>
      <c r="G243" s="10" t="n">
        <v>9.300000000000001</v>
      </c>
      <c r="H243" s="7" t="inlineStr">
        <is>
          <t>なし</t>
        </is>
      </c>
      <c r="I243" s="7" t="inlineStr">
        <is>
          <t>2027(R09)年10月</t>
        </is>
      </c>
      <c r="J243" s="7" t="inlineStr">
        <is>
          <t>保証付</t>
        </is>
      </c>
      <c r="K243" s="16" t="inlineStr">
        <is>
          <t>修復歴なし / 車検 2027/10 まで（残り12ヶ月） / 保証付 / 同年式より安い（中央値 196万）</t>
        </is>
      </c>
      <c r="L243" s="16" t="inlineStr">
        <is>
          <t>CX-8 2.2 XD ディーゼルターボ 衝突被害軽減ブレーキ ドラレコ バックカメラ コーナーセンサー ブラインドスポットモニター フルセグ ETC クルーズコントロール LEDヘッドライト 純正19インチAW オートライト</t>
        </is>
      </c>
      <c r="M243" s="7" t="inlineStr">
        <is>
          <t>https://www.carsensor.net/usedcar/detail/AU7330221346/index.html</t>
        </is>
      </c>
    </row>
    <row r="244">
      <c r="A244" s="11" t="n">
        <v>2018</v>
      </c>
      <c r="B244" s="12" t="inlineStr">
        <is>
          <t>2WD</t>
        </is>
      </c>
      <c r="C244" s="12" t="inlineStr">
        <is>
          <t>2.2 XD ディーゼルターボ</t>
        </is>
      </c>
      <c r="D244" s="13" t="n">
        <v>4.8</v>
      </c>
      <c r="E244" s="14" t="n">
        <v>135.8</v>
      </c>
      <c r="F244" s="14" t="n">
        <v>126</v>
      </c>
      <c r="G244" s="15" t="n">
        <v>7.2</v>
      </c>
      <c r="H244" s="12" t="inlineStr">
        <is>
          <t>なし</t>
        </is>
      </c>
      <c r="I244" s="12" t="inlineStr">
        <is>
          <t>2027(R09)年07月</t>
        </is>
      </c>
      <c r="J244" s="12" t="inlineStr">
        <is>
          <t>保証付</t>
        </is>
      </c>
      <c r="K244" s="16" t="inlineStr">
        <is>
          <t>修復歴なし / 車検 2027/07 まで（残り9ヶ月） / 保証付 / 同年式より安い（中央値 196万）</t>
        </is>
      </c>
      <c r="L244" s="16" t="inlineStr">
        <is>
          <t>CX-8 2.2 XD ディーゼルターボ</t>
        </is>
      </c>
      <c r="M244" s="12" t="inlineStr">
        <is>
          <t>https://www.carsensor.net/usedcar/detail/AU7426789586/index.html</t>
        </is>
      </c>
    </row>
    <row r="245">
      <c r="A245" s="6" t="n">
        <v>2018</v>
      </c>
      <c r="B245" s="7" t="inlineStr">
        <is>
          <t>2WD</t>
        </is>
      </c>
      <c r="C245" s="7" t="inlineStr">
        <is>
          <t>2.2 XD ディーゼルターボ</t>
        </is>
      </c>
      <c r="D245" s="17" t="n">
        <v>4.4</v>
      </c>
      <c r="E245" s="9" t="n">
        <v>149.9</v>
      </c>
      <c r="F245" s="9" t="n">
        <v>138.6</v>
      </c>
      <c r="G245" s="10" t="n">
        <v>9.199999999999999</v>
      </c>
      <c r="H245" s="7" t="inlineStr">
        <is>
          <t>なし</t>
        </is>
      </c>
      <c r="I245" s="7" t="inlineStr">
        <is>
          <t>2027(R09)年03月</t>
        </is>
      </c>
      <c r="J245" s="7" t="inlineStr">
        <is>
          <t>保証付</t>
        </is>
      </c>
      <c r="K245" s="16" t="inlineStr">
        <is>
          <t>修復歴なし / 車検 2027/03 まで（残り5ヶ月） / 保証付 / 同年式より安い（中央値 196万）</t>
        </is>
      </c>
      <c r="L245" s="16" t="inlineStr">
        <is>
          <t>CX-8 2.2 XD ディーゼルターボ 純正ナビ フリップダウン バックカメラ アドバンスドシティブレーキサポート レーダークルーズ 禁煙車 コーナーセンサー スマートキー LEDヘッド ETC 車両逸脱警報</t>
        </is>
      </c>
      <c r="M245" s="7" t="inlineStr">
        <is>
          <t>https://www.carsensor.net/usedcar/detail/AU7436822959/index.html</t>
        </is>
      </c>
    </row>
    <row r="246">
      <c r="A246" s="11" t="n">
        <v>2018</v>
      </c>
      <c r="B246" s="12" t="inlineStr">
        <is>
          <t>2WD</t>
        </is>
      </c>
      <c r="C246" s="12" t="inlineStr">
        <is>
          <t>2.2 XD ディーゼルターボ</t>
        </is>
      </c>
      <c r="D246" s="13" t="n">
        <v>4.2</v>
      </c>
      <c r="E246" s="14" t="n">
        <v>159.7</v>
      </c>
      <c r="F246" s="14" t="n">
        <v>154.1</v>
      </c>
      <c r="G246" s="15" t="n">
        <v>7.7</v>
      </c>
      <c r="H246" s="12" t="inlineStr">
        <is>
          <t>なし</t>
        </is>
      </c>
      <c r="I246" s="12" t="inlineStr">
        <is>
          <t>2027(R09)年01月</t>
        </is>
      </c>
      <c r="J246" s="12" t="inlineStr">
        <is>
          <t>保証付</t>
        </is>
      </c>
      <c r="K246" s="16" t="inlineStr">
        <is>
          <t>修復歴なし / 車検 2027/01 まで（残り3ヶ月） / 保証付 / 同年式より安い（中央値 196万）</t>
        </is>
      </c>
      <c r="L246" s="16" t="inlineStr">
        <is>
          <t>CX-8 2.2 XD ディーゼルターボ 純正ナビ/バックカメラ/純正アルミホイール/衝突軽減ブレーキ/ブラインドスポットモニター/レーンキープアシスト/パーキングセンサー/純正フロアマット/LEDヘッドライト/Bluetooth/フルセグ</t>
        </is>
      </c>
      <c r="M246" s="12" t="inlineStr">
        <is>
          <t>https://www.carsensor.net/usedcar/detail/AU7332696764/index.html</t>
        </is>
      </c>
    </row>
    <row r="247">
      <c r="A247" s="6" t="n">
        <v>2018</v>
      </c>
      <c r="B247" s="7" t="inlineStr">
        <is>
          <t>2WD</t>
        </is>
      </c>
      <c r="C247" s="7" t="inlineStr">
        <is>
          <t>2.2 XD ディーゼルターボ</t>
        </is>
      </c>
      <c r="D247" s="17" t="n">
        <v>4</v>
      </c>
      <c r="E247" s="9" t="n">
        <v>179.9</v>
      </c>
      <c r="F247" s="9" t="n">
        <v>168.2</v>
      </c>
      <c r="G247" s="10" t="n">
        <v>6.2</v>
      </c>
      <c r="H247" s="7" t="inlineStr">
        <is>
          <t>なし</t>
        </is>
      </c>
      <c r="I247" s="7" t="inlineStr">
        <is>
          <t>2027(R09)年10月</t>
        </is>
      </c>
      <c r="J247" s="7" t="inlineStr">
        <is>
          <t>保証付</t>
        </is>
      </c>
      <c r="K247" s="16" t="inlineStr">
        <is>
          <t>修復歴なし / 車検 2027/10 まで（残り12ヶ月） / 保証付</t>
        </is>
      </c>
      <c r="L247" s="16" t="inlineStr">
        <is>
          <t>CX-8 2.2 XD ディーゼルターボ 純正ナビ バックカメラ 衝突被害軽減 レーダークルーズ LEDヘッド 純正17インチアルミ ブラインドスポットモニター コーナーセンサー オートハイビーム スマートキー オートエアコン オートライト</t>
        </is>
      </c>
      <c r="M247" s="7" t="inlineStr">
        <is>
          <t>https://www.carsensor.net/usedcar/detail/AU7446187768/index.html</t>
        </is>
      </c>
    </row>
    <row r="248">
      <c r="A248" s="11" t="n">
        <v>2018</v>
      </c>
      <c r="B248" s="12" t="inlineStr">
        <is>
          <t>2WD</t>
        </is>
      </c>
      <c r="C248" s="12" t="inlineStr">
        <is>
          <t>2.2 XD ディーゼルターボ</t>
        </is>
      </c>
      <c r="D248" s="13" t="n">
        <v>4</v>
      </c>
      <c r="E248" s="14" t="n">
        <v>145.5</v>
      </c>
      <c r="F248" s="14" t="n">
        <v>118</v>
      </c>
      <c r="G248" s="15" t="n">
        <v>9.9</v>
      </c>
      <c r="H248" s="12" t="inlineStr">
        <is>
          <t>なし</t>
        </is>
      </c>
      <c r="I248" s="12" t="inlineStr">
        <is>
          <t>車検整備付</t>
        </is>
      </c>
      <c r="J248" s="12" t="inlineStr">
        <is>
          <t>保証無</t>
        </is>
      </c>
      <c r="K248" s="16" t="inlineStr">
        <is>
          <t>修復歴なし / 車検整備付 / 同年式より安い（中央値 196万）</t>
        </is>
      </c>
      <c r="L248" s="16" t="inlineStr">
        <is>
          <t>CX-8 2.2 XD ディーゼルターボ ワンオーナー/禁煙車/純正ナビ/フルセグTV/Bluetooth接続/バックカメラ/クルーズコントロール</t>
        </is>
      </c>
      <c r="M248" s="12" t="inlineStr">
        <is>
          <t>https://www.carsensor.net/usedcar/detail/AU7439747383/index.html</t>
        </is>
      </c>
    </row>
    <row r="249">
      <c r="A249" s="6" t="n">
        <v>2018</v>
      </c>
      <c r="B249" s="7" t="inlineStr">
        <is>
          <t>2WD</t>
        </is>
      </c>
      <c r="C249" s="7" t="inlineStr">
        <is>
          <t>2.2 XD ディーゼルターボ</t>
        </is>
      </c>
      <c r="D249" s="17" t="n">
        <v>3.1</v>
      </c>
      <c r="E249" s="9" t="n">
        <v>185</v>
      </c>
      <c r="F249" s="9" t="n">
        <v>164.8</v>
      </c>
      <c r="G249" s="10" t="n">
        <v>6.8</v>
      </c>
      <c r="H249" s="7" t="inlineStr">
        <is>
          <t>なし</t>
        </is>
      </c>
      <c r="I249" s="7" t="inlineStr">
        <is>
          <t>2026(R08)年11月</t>
        </is>
      </c>
      <c r="J249" s="7" t="inlineStr">
        <is>
          <t>保証付</t>
        </is>
      </c>
      <c r="K249" s="16" t="inlineStr">
        <is>
          <t>修復歴なし / 車検 2026/11 まで（残り1ヶ月） / 保証付</t>
        </is>
      </c>
      <c r="L249" s="16" t="inlineStr">
        <is>
          <t>CX-8 2.2 XD ディーゼルターボ ユーザー買取/ディーゼルターボ/純正ナビ/フリップダウンモニター/バックカメラ/クルーズコントロール/衝突被害軽減/レーンキープ/フルセグTV/ブラインドスポットモニター/LED/純正17インチAW/ETC/前後ドラレコ</t>
        </is>
      </c>
      <c r="M249" s="7" t="inlineStr">
        <is>
          <t>https://www.carsensor.net/usedcar/detail/AU7453639518/index.html</t>
        </is>
      </c>
    </row>
    <row r="250">
      <c r="A250" s="11" t="n">
        <v>2018</v>
      </c>
      <c r="B250" s="12" t="inlineStr">
        <is>
          <t>2WD</t>
        </is>
      </c>
      <c r="C250" s="12" t="inlineStr">
        <is>
          <t>2.2 XD ディーゼルターボ</t>
        </is>
      </c>
      <c r="D250" s="13" t="n">
        <v>2.6</v>
      </c>
      <c r="E250" s="14" t="n">
        <v>114.8</v>
      </c>
      <c r="F250" s="14" t="n">
        <v>103.4</v>
      </c>
      <c r="G250" s="15" t="n">
        <v>8.4</v>
      </c>
      <c r="H250" s="12" t="inlineStr">
        <is>
          <t>なし</t>
        </is>
      </c>
      <c r="I250" s="12" t="inlineStr">
        <is>
          <t>2027(R09)年05月</t>
        </is>
      </c>
      <c r="J250" s="12" t="inlineStr">
        <is>
          <t>保証無</t>
        </is>
      </c>
      <c r="K250" s="16" t="inlineStr">
        <is>
          <t>修復歴なし / 車検 2027/05 まで（残り7ヶ月）</t>
        </is>
      </c>
      <c r="L250" s="16" t="inlineStr">
        <is>
          <t>CX-8 2.2 XD ディーゼルターボ 禁煙車 純正ナビ バックカメラ フルセグTV アダプティブクルーズコントロール ブラインドスポットモニター 衝突被害軽減ブレーキ Bluetooth接続 レーンアシスト オートライト ETC</t>
        </is>
      </c>
      <c r="M250" s="12" t="inlineStr">
        <is>
          <t>https://www.carsensor.net/usedcar/detail/AU7200275514/index.html</t>
        </is>
      </c>
    </row>
    <row r="251">
      <c r="A251" s="6" t="n">
        <v>2020</v>
      </c>
      <c r="B251" s="7" t="inlineStr">
        <is>
          <t>2WD</t>
        </is>
      </c>
      <c r="C251" s="7" t="inlineStr">
        <is>
          <t>2.2 XD ブラックトーン</t>
        </is>
      </c>
      <c r="D251" s="17" t="n">
        <v>7</v>
      </c>
      <c r="E251" s="9" t="n">
        <v>330</v>
      </c>
      <c r="F251" s="9" t="n">
        <v>309.8</v>
      </c>
      <c r="G251" s="10" t="n">
        <v>1.5</v>
      </c>
      <c r="H251" s="7" t="inlineStr">
        <is>
          <t>なし</t>
        </is>
      </c>
      <c r="I251" s="7" t="inlineStr">
        <is>
          <t>車検整備付</t>
        </is>
      </c>
      <c r="J251" s="7" t="inlineStr">
        <is>
          <t>保証付</t>
        </is>
      </c>
      <c r="K251" s="16" t="inlineStr">
        <is>
          <t>同年式の半分以下の走行（1.5万km） / 修復歴なし / 車検整備付 / 保証付</t>
        </is>
      </c>
      <c r="L251" s="16" t="inlineStr">
        <is>
          <t>CX-8 2.2 XD ブラックトーン エディション ディーゼルターボ 7人 ディーゼル 2WD 全方位(360°)カメラ スマホワイヤレス充電 電動バックドア 2列目シートシーター ハンドルヒーター ドラレコ TV SDナビ Bluetooth ETC 電動シート BSM クルコン</t>
        </is>
      </c>
      <c r="M251" s="7" t="inlineStr">
        <is>
          <t>https://www.carsensor.net/usedcar/detail/AU6713923607/index.html</t>
        </is>
      </c>
    </row>
    <row r="252">
      <c r="A252" s="11" t="n">
        <v>2021</v>
      </c>
      <c r="B252" s="12" t="inlineStr">
        <is>
          <t>2WD</t>
        </is>
      </c>
      <c r="C252" s="12" t="inlineStr">
        <is>
          <t>2.2 XD ブラックトーン</t>
        </is>
      </c>
      <c r="D252" s="13" t="n">
        <v>7</v>
      </c>
      <c r="E252" s="14" t="n">
        <v>279.9</v>
      </c>
      <c r="F252" s="14" t="n">
        <v>263.9</v>
      </c>
      <c r="G252" s="15" t="n">
        <v>2</v>
      </c>
      <c r="H252" s="12" t="inlineStr">
        <is>
          <t>なし</t>
        </is>
      </c>
      <c r="I252" s="12" t="inlineStr">
        <is>
          <t>車検整備付</t>
        </is>
      </c>
      <c r="J252" s="12" t="inlineStr">
        <is>
          <t>保証付</t>
        </is>
      </c>
      <c r="K252" s="16" t="inlineStr">
        <is>
          <t>同年式の半分以下の走行（2.0万km） / 修復歴なし / 車検整備付 / 保証付</t>
        </is>
      </c>
      <c r="L252" s="16" t="inlineStr">
        <is>
          <t>CX-8 2.2 XD ブラックトーン エディション ディーゼルターボ 10.25インチマツダコネクトナビ 全周囲カメラ 専用コンビシート/シートヒーター ワイヤレス充電 19インチアルミホイール ハンズフリーパワーバックドア レーダークルーズ LEDヘッドライト</t>
        </is>
      </c>
      <c r="M252" s="12" t="inlineStr">
        <is>
          <t>https://www.carsensor.net/usedcar/detail/AU6961403343/index.html</t>
        </is>
      </c>
    </row>
    <row r="253">
      <c r="A253" s="6" t="n">
        <v>2021</v>
      </c>
      <c r="B253" s="7" t="inlineStr">
        <is>
          <t>2WD</t>
        </is>
      </c>
      <c r="C253" s="7" t="inlineStr">
        <is>
          <t>2.2 XD ブラックトーン</t>
        </is>
      </c>
      <c r="D253" s="17" t="n">
        <v>7</v>
      </c>
      <c r="E253" s="9" t="n">
        <v>283</v>
      </c>
      <c r="F253" s="9" t="n">
        <v>264.9</v>
      </c>
      <c r="G253" s="10" t="n">
        <v>1.2</v>
      </c>
      <c r="H253" s="7" t="inlineStr">
        <is>
          <t>なし</t>
        </is>
      </c>
      <c r="I253" s="7" t="inlineStr">
        <is>
          <t>車検整備付</t>
        </is>
      </c>
      <c r="J253" s="7" t="inlineStr">
        <is>
          <t>保証付</t>
        </is>
      </c>
      <c r="K253" s="16" t="inlineStr">
        <is>
          <t>同年式の半分以下の走行（1.2万km） / 修復歴なし / 車検整備付 / 保証付</t>
        </is>
      </c>
      <c r="L253" s="16" t="inlineStr">
        <is>
          <t>CX-8 2.2 XD ブラックトーン エディション ディーゼルターボ 10.25型ナビ 半革電動シート 天吊モニター 衝突軽減ブレーキ レーンキープ 全方位カメラ 追従オートクルーズ BOSEサウンド DVD再生可 前後ドラレコ Bluetooth LEDヘッドライト 電動リアゲート シートヒーター 禁煙車</t>
        </is>
      </c>
      <c r="M253" s="7" t="inlineStr">
        <is>
          <t>https://www.carsensor.net/usedcar/detail/AU7169827969/index.html</t>
        </is>
      </c>
    </row>
    <row r="254">
      <c r="A254" s="11" t="n">
        <v>2023</v>
      </c>
      <c r="B254" s="12" t="inlineStr">
        <is>
          <t>2WD</t>
        </is>
      </c>
      <c r="C254" s="12" t="inlineStr">
        <is>
          <t>2.2 XD ブラックトーン</t>
        </is>
      </c>
      <c r="D254" s="13" t="n">
        <v>7</v>
      </c>
      <c r="E254" s="14" t="n">
        <v>373.3</v>
      </c>
      <c r="F254" s="14" t="n">
        <v>358</v>
      </c>
      <c r="G254" s="15" t="n">
        <v>1.4</v>
      </c>
      <c r="H254" s="12" t="inlineStr">
        <is>
          <t>なし</t>
        </is>
      </c>
      <c r="I254" s="12" t="inlineStr">
        <is>
          <t>車検整備付</t>
        </is>
      </c>
      <c r="J254" s="12" t="inlineStr">
        <is>
          <t>保証付</t>
        </is>
      </c>
      <c r="K254" s="16" t="inlineStr">
        <is>
          <t>同年式の半分以下の走行（1.4万km） / 修復歴なし / 車検整備付 / 保証付</t>
        </is>
      </c>
      <c r="L254" s="16" t="inlineStr">
        <is>
          <t>CX-8 2.2 XD ブラックトーン エディション ディーゼルターボ サンルーフ BOSEサウンド ナビ ETC 前後ドラレコ パワーゲート</t>
        </is>
      </c>
      <c r="M254" s="12" t="inlineStr">
        <is>
          <t>https://www.carsensor.net/usedcar/detail/AU7304873567/index.html</t>
        </is>
      </c>
    </row>
    <row r="255">
      <c r="A255" s="6" t="n">
        <v>2023</v>
      </c>
      <c r="B255" s="7" t="inlineStr">
        <is>
          <t>2WD</t>
        </is>
      </c>
      <c r="C255" s="7" t="inlineStr">
        <is>
          <t>2.2 XD ブラックトーン</t>
        </is>
      </c>
      <c r="D255" s="17" t="n">
        <v>7</v>
      </c>
      <c r="E255" s="9" t="n">
        <v>374.4</v>
      </c>
      <c r="F255" s="9" t="n">
        <v>359</v>
      </c>
      <c r="G255" s="10" t="n">
        <v>1.4</v>
      </c>
      <c r="H255" s="7" t="inlineStr">
        <is>
          <t>なし</t>
        </is>
      </c>
      <c r="I255" s="7" t="inlineStr">
        <is>
          <t>車検整備付</t>
        </is>
      </c>
      <c r="J255" s="7" t="inlineStr">
        <is>
          <t>保証付</t>
        </is>
      </c>
      <c r="K255" s="16" t="inlineStr">
        <is>
          <t>同年式の半分以下の走行（1.4万km） / 修復歴なし / 車検整備付 / 保証付</t>
        </is>
      </c>
      <c r="L255" s="16" t="inlineStr">
        <is>
          <t>CX-8 2.2 XD ブラックトーン エディション ディーゼルターボ ナビ/CarPlay/全方位モニタ/衝突軽減ブレーキ/ETC/残価設定型クレジット対応</t>
        </is>
      </c>
      <c r="M255" s="7" t="inlineStr">
        <is>
          <t>https://www.carsensor.net/usedcar/detail/AU7292133217/index.html</t>
        </is>
      </c>
    </row>
    <row r="256">
      <c r="A256" s="11" t="n">
        <v>2020</v>
      </c>
      <c r="B256" s="12" t="inlineStr">
        <is>
          <t>2WD</t>
        </is>
      </c>
      <c r="C256" s="12" t="inlineStr">
        <is>
          <t>2.2 XD ブラックトーン</t>
        </is>
      </c>
      <c r="D256" s="13" t="n">
        <v>5.7</v>
      </c>
      <c r="E256" s="14" t="n">
        <v>289.8</v>
      </c>
      <c r="F256" s="14" t="n">
        <v>283.5</v>
      </c>
      <c r="G256" s="15" t="n">
        <v>3.7</v>
      </c>
      <c r="H256" s="12" t="inlineStr">
        <is>
          <t>なし</t>
        </is>
      </c>
      <c r="I256" s="12" t="inlineStr">
        <is>
          <t>2027(R09)年12月</t>
        </is>
      </c>
      <c r="J256" s="12" t="inlineStr">
        <is>
          <t>保証付</t>
        </is>
      </c>
      <c r="K256" s="16" t="inlineStr">
        <is>
          <t>走行が少なめ（3.7万km） / 修復歴なし / 車検 2027/12 まで（残り14ヶ月） / 保証付</t>
        </is>
      </c>
      <c r="L256" s="16" t="inlineStr">
        <is>
          <t>CX-8 2.2 XD ブラックトーン エディション ディーゼルターボ 純正10.25型ナビ/全方位カメラ/前後ドライブレコーダー/i-ACTIVSENSE/レーダークルーズコントロール/ブラインドスポットモニター/ターボ/全席シートヒーター/前席パワーシート/運転席シートメモリー/ETC</t>
        </is>
      </c>
      <c r="M256" s="12" t="inlineStr">
        <is>
          <t>https://www.carsensor.net/usedcar/detail/AU7341118911/index.html</t>
        </is>
      </c>
    </row>
    <row r="257">
      <c r="A257" s="6" t="n">
        <v>2023</v>
      </c>
      <c r="B257" s="7" t="inlineStr">
        <is>
          <t>2WD</t>
        </is>
      </c>
      <c r="C257" s="7" t="inlineStr">
        <is>
          <t>2.2 XD ブラックトーン</t>
        </is>
      </c>
      <c r="D257" s="17" t="n">
        <v>5.6</v>
      </c>
      <c r="E257" s="9" t="n">
        <v>310</v>
      </c>
      <c r="F257" s="9" t="n">
        <v>299.8</v>
      </c>
      <c r="G257" s="10" t="n">
        <v>3</v>
      </c>
      <c r="H257" s="7" t="inlineStr">
        <is>
          <t>なし</t>
        </is>
      </c>
      <c r="I257" s="7" t="inlineStr">
        <is>
          <t>2028(R10)年05月</t>
        </is>
      </c>
      <c r="J257" s="7" t="inlineStr">
        <is>
          <t>保証付</t>
        </is>
      </c>
      <c r="K257" s="16" t="inlineStr">
        <is>
          <t>修復歴なし / 車検 2028/05 まで（残り19ヶ月） / 保証付 / 同年式より安い（中央値 348万）</t>
        </is>
      </c>
      <c r="L257" s="16" t="inlineStr">
        <is>
          <t>CX-8 2.2 XD ブラックトーン エディション ディーゼルターボ 360°ビュー・モニター 純正ナビ 前後ドライブレコーダー ETC 障害物センサー マツダ・レーダー・クルーズ・コントロール シートヒーター 電動シート 電動リアゲート ブラインド・スポット・モニタリング</t>
        </is>
      </c>
      <c r="M257" s="7" t="inlineStr">
        <is>
          <t>https://www.carsensor.net/usedcar/detail/AU7450279674/index.html</t>
        </is>
      </c>
    </row>
    <row r="258">
      <c r="A258" s="11" t="n">
        <v>2021</v>
      </c>
      <c r="B258" s="12" t="inlineStr">
        <is>
          <t>2WD</t>
        </is>
      </c>
      <c r="C258" s="12" t="inlineStr">
        <is>
          <t>2.2 XD ブラックトーン</t>
        </is>
      </c>
      <c r="D258" s="13" t="n">
        <v>5.5</v>
      </c>
      <c r="E258" s="14" t="n">
        <v>283.8</v>
      </c>
      <c r="F258" s="14" t="n">
        <v>276.9</v>
      </c>
      <c r="G258" s="15" t="n">
        <v>3.7</v>
      </c>
      <c r="H258" s="12" t="inlineStr">
        <is>
          <t>なし</t>
        </is>
      </c>
      <c r="I258" s="12" t="inlineStr">
        <is>
          <t>車検整備付</t>
        </is>
      </c>
      <c r="J258" s="12" t="inlineStr">
        <is>
          <t>保証付</t>
        </is>
      </c>
      <c r="K258" s="16" t="inlineStr">
        <is>
          <t>走行が少なめ（3.7万km） / 修復歴なし / 車検整備付 / 保証付</t>
        </is>
      </c>
      <c r="L258" s="16" t="inlineStr">
        <is>
          <t>CX-8 2.2 XD ブラックトーン エディション ディーゼルターボ メーカーナビ 全周囲カメラ BSM 禁煙車</t>
        </is>
      </c>
      <c r="M258" s="12" t="inlineStr">
        <is>
          <t>https://www.carsensor.net/usedcar/detail/AU7432476603/index.html</t>
        </is>
      </c>
    </row>
    <row r="259">
      <c r="A259" s="6" t="n">
        <v>2021</v>
      </c>
      <c r="B259" s="7" t="inlineStr">
        <is>
          <t>2WD</t>
        </is>
      </c>
      <c r="C259" s="7" t="inlineStr">
        <is>
          <t>2.2 XD ブラックトーン</t>
        </is>
      </c>
      <c r="D259" s="17" t="n">
        <v>5.5</v>
      </c>
      <c r="E259" s="9" t="n">
        <v>364.5</v>
      </c>
      <c r="F259" s="9" t="n">
        <v>349.8</v>
      </c>
      <c r="G259" s="10" t="n">
        <v>2.5</v>
      </c>
      <c r="H259" s="7" t="inlineStr">
        <is>
          <t>なし</t>
        </is>
      </c>
      <c r="I259" s="7" t="inlineStr">
        <is>
          <t>車検整備付</t>
        </is>
      </c>
      <c r="J259" s="7" t="inlineStr">
        <is>
          <t>保証付</t>
        </is>
      </c>
      <c r="K259" s="16" t="inlineStr">
        <is>
          <t>走行が少なめ（2.5万km） / 修復歴なし / 車検整備付 / 保証付</t>
        </is>
      </c>
      <c r="L259" s="16" t="inlineStr">
        <is>
          <t>CX-8 2.2 XD ブラックトーン エディション ディーゼルターボ 全方位モニター</t>
        </is>
      </c>
      <c r="M259" s="7" t="inlineStr">
        <is>
          <t>https://www.carsensor.net/usedcar/detail/AU7282793113/index.html</t>
        </is>
      </c>
    </row>
    <row r="260">
      <c r="A260" s="11" t="n">
        <v>2022</v>
      </c>
      <c r="B260" s="12" t="inlineStr">
        <is>
          <t>2WD</t>
        </is>
      </c>
      <c r="C260" s="12" t="inlineStr">
        <is>
          <t>2.2 XD ブラックトーン</t>
        </is>
      </c>
      <c r="D260" s="13" t="n">
        <v>5.5</v>
      </c>
      <c r="E260" s="14" t="n">
        <v>309.8</v>
      </c>
      <c r="F260" s="14" t="n">
        <v>303.6</v>
      </c>
      <c r="G260" s="15" t="n">
        <v>3.1</v>
      </c>
      <c r="H260" s="12" t="inlineStr">
        <is>
          <t>なし</t>
        </is>
      </c>
      <c r="I260" s="12" t="inlineStr">
        <is>
          <t>2027(R09)年10月</t>
        </is>
      </c>
      <c r="J260" s="12" t="inlineStr">
        <is>
          <t>保証付</t>
        </is>
      </c>
      <c r="K260" s="16" t="inlineStr">
        <is>
          <t>走行が少なめ（3.1万km） / 修復歴なし / 車検 2027/10 まで（残り12ヶ月） / 保証付</t>
        </is>
      </c>
      <c r="L260" s="16" t="inlineStr">
        <is>
          <t>CX-8 2.2 XD ブラックトーン エディション ディーゼルターボ 純正ナビ 全方位カメラ BOSEサウンド ブラインドスポットモニター ワイヤレス充電 前席シートヒーター 前後ドラレコ レーダークルーズ レーンアシスト 前席パワーシート シートメモリ ETC</t>
        </is>
      </c>
      <c r="M260" s="12" t="inlineStr">
        <is>
          <t>https://www.carsensor.net/usedcar/detail/AU7422767730/index.html</t>
        </is>
      </c>
    </row>
    <row r="261">
      <c r="A261" s="6" t="n">
        <v>2023</v>
      </c>
      <c r="B261" s="7" t="inlineStr">
        <is>
          <t>2WD</t>
        </is>
      </c>
      <c r="C261" s="7" t="inlineStr">
        <is>
          <t>2.2 XD ブラックトーン</t>
        </is>
      </c>
      <c r="D261" s="17" t="n">
        <v>5.5</v>
      </c>
      <c r="E261" s="9" t="n">
        <v>321.8</v>
      </c>
      <c r="F261" s="9" t="n">
        <v>309.8</v>
      </c>
      <c r="G261" s="10" t="n">
        <v>2.3</v>
      </c>
      <c r="H261" s="7" t="inlineStr">
        <is>
          <t>なし</t>
        </is>
      </c>
      <c r="I261" s="7" t="inlineStr">
        <is>
          <t>車検整備付</t>
        </is>
      </c>
      <c r="J261" s="7" t="inlineStr">
        <is>
          <t>保証付</t>
        </is>
      </c>
      <c r="K261" s="16" t="inlineStr">
        <is>
          <t>走行が少なめ（2.3万km） / 修復歴なし / 車検整備付 / 保証付</t>
        </is>
      </c>
      <c r="L261" s="16" t="inlineStr">
        <is>
          <t>CX-8 2.2 XD ブラックトーン エディション ディーゼルターボ 10.25型ナビ/全周囲カメラ/AppleCarPlay/ブラインドスポット/LEDライト/10Wayパワーシート/シートヒーター/デイライト/7人乗り/レーダークルーズ/ETC2.0/ワンオーナー/禁煙車/電動リアゲート/クリアランスソナー</t>
        </is>
      </c>
      <c r="M261" s="7" t="inlineStr">
        <is>
          <t>https://www.carsensor.net/usedcar/detail/AU7345902279/index.html</t>
        </is>
      </c>
    </row>
    <row r="262">
      <c r="A262" s="11" t="n">
        <v>2023</v>
      </c>
      <c r="B262" s="12" t="inlineStr">
        <is>
          <t>2WD</t>
        </is>
      </c>
      <c r="C262" s="12" t="inlineStr">
        <is>
          <t>2.2 XD ブラックトーン</t>
        </is>
      </c>
      <c r="D262" s="13" t="n">
        <v>5.5</v>
      </c>
      <c r="E262" s="14" t="n">
        <v>330.3</v>
      </c>
      <c r="F262" s="14" t="n">
        <v>319.8</v>
      </c>
      <c r="G262" s="15" t="n">
        <v>2.2</v>
      </c>
      <c r="H262" s="12" t="inlineStr">
        <is>
          <t>なし</t>
        </is>
      </c>
      <c r="I262" s="12" t="inlineStr">
        <is>
          <t>車検整備付</t>
        </is>
      </c>
      <c r="J262" s="12" t="inlineStr">
        <is>
          <t>保証付</t>
        </is>
      </c>
      <c r="K262" s="16" t="inlineStr">
        <is>
          <t>走行が少なめ（2.2万km） / 修復歴なし / 車検整備付 / 保証付</t>
        </is>
      </c>
      <c r="L262" s="16" t="inlineStr">
        <is>
          <t>CX-8 2.2 XD ブラックトーン エディション ディーゼルターボ 1年保証付・ローン2.9パーセント・禁煙車・フリップダウンモニター・新品タイヤ・ナビ・TV・Bluetooth・USB・360°ビューモニター・iアクティブ・ヘッドアップディスプレイ・シートヒーター・パワーシート・ドラレコ</t>
        </is>
      </c>
      <c r="M262" s="12" t="inlineStr">
        <is>
          <t>https://www.carsensor.net/usedcar/detail/AU6831083214/index.html</t>
        </is>
      </c>
    </row>
    <row r="263">
      <c r="A263" s="6" t="n">
        <v>2023</v>
      </c>
      <c r="B263" s="7" t="inlineStr">
        <is>
          <t>2WD</t>
        </is>
      </c>
      <c r="C263" s="7" t="inlineStr">
        <is>
          <t>2.2 XD ブラックトーン</t>
        </is>
      </c>
      <c r="D263" s="17" t="n">
        <v>5.5</v>
      </c>
      <c r="E263" s="9" t="n">
        <v>343.4</v>
      </c>
      <c r="F263" s="9" t="n">
        <v>329.8</v>
      </c>
      <c r="G263" s="10" t="n">
        <v>2.3</v>
      </c>
      <c r="H263" s="7" t="inlineStr">
        <is>
          <t>なし</t>
        </is>
      </c>
      <c r="I263" s="7" t="inlineStr">
        <is>
          <t>車検整備付</t>
        </is>
      </c>
      <c r="J263" s="7" t="inlineStr">
        <is>
          <t>保証付</t>
        </is>
      </c>
      <c r="K263" s="16" t="inlineStr">
        <is>
          <t>走行が少なめ（2.3万km） / 修復歴なし / 車検整備付 / 保証付</t>
        </is>
      </c>
      <c r="L263" s="16" t="inlineStr">
        <is>
          <t>CX-8 2.2 XD ブラックトーン エディション ディーゼルターボ</t>
        </is>
      </c>
      <c r="M263" s="7" t="inlineStr">
        <is>
          <t>https://www.carsensor.net/usedcar/detail/AU7437337695/index.html</t>
        </is>
      </c>
    </row>
    <row r="264">
      <c r="A264" s="11" t="n">
        <v>2023</v>
      </c>
      <c r="B264" s="12" t="inlineStr">
        <is>
          <t>2WD</t>
        </is>
      </c>
      <c r="C264" s="12" t="inlineStr">
        <is>
          <t>2.2 XD ブラックトーン</t>
        </is>
      </c>
      <c r="D264" s="13" t="n">
        <v>5.5</v>
      </c>
      <c r="E264" s="14" t="n">
        <v>354.1</v>
      </c>
      <c r="F264" s="14" t="n">
        <v>339.8</v>
      </c>
      <c r="G264" s="15" t="n">
        <v>2.2</v>
      </c>
      <c r="H264" s="12" t="inlineStr">
        <is>
          <t>なし</t>
        </is>
      </c>
      <c r="I264" s="12" t="inlineStr">
        <is>
          <t>車検整備付</t>
        </is>
      </c>
      <c r="J264" s="12" t="inlineStr">
        <is>
          <t>保証付</t>
        </is>
      </c>
      <c r="K264" s="16" t="inlineStr">
        <is>
          <t>走行が少なめ（2.2万km） / 修復歴なし / 車検整備付 / 保証付</t>
        </is>
      </c>
      <c r="L264" s="16" t="inlineStr">
        <is>
          <t>CX-8 2.2 XD ブラックトーン エディション ディーゼルターボ マツダ認定中古車 ETC車載器 衝突被害軽減ブレーキ コネクティッドサービス 360°ビューモニター 運転席パワーシート</t>
        </is>
      </c>
      <c r="M264" s="12" t="inlineStr">
        <is>
          <t>https://www.carsensor.net/usedcar/detail/AU7405110379/index.html</t>
        </is>
      </c>
    </row>
    <row r="265">
      <c r="A265" s="6" t="n">
        <v>2023</v>
      </c>
      <c r="B265" s="7" t="inlineStr">
        <is>
          <t>2WD</t>
        </is>
      </c>
      <c r="C265" s="7" t="inlineStr">
        <is>
          <t>2.2 XD ブラックトーン</t>
        </is>
      </c>
      <c r="D265" s="17" t="n">
        <v>5.5</v>
      </c>
      <c r="E265" s="9" t="n">
        <v>373.3</v>
      </c>
      <c r="F265" s="9" t="n">
        <v>358.8</v>
      </c>
      <c r="G265" s="10" t="n">
        <v>1.7</v>
      </c>
      <c r="H265" s="7" t="inlineStr">
        <is>
          <t>なし</t>
        </is>
      </c>
      <c r="I265" s="7" t="inlineStr">
        <is>
          <t>車検整備付</t>
        </is>
      </c>
      <c r="J265" s="7" t="inlineStr">
        <is>
          <t>保証付</t>
        </is>
      </c>
      <c r="K265" s="16" t="inlineStr">
        <is>
          <t>走行が少なめ（1.7万km） / 修復歴なし / 車検整備付 / 保証付</t>
        </is>
      </c>
      <c r="L265" s="16" t="inlineStr">
        <is>
          <t>CX-8 2.2 XD ブラックトーン エディション ディーゼルターボ 全周囲カメラ ナビETC フルセグTV 安全装備</t>
        </is>
      </c>
      <c r="M265" s="7" t="inlineStr">
        <is>
          <t>https://www.carsensor.net/usedcar/detail/AU7368074378/index.html</t>
        </is>
      </c>
    </row>
    <row r="266">
      <c r="A266" s="11" t="n">
        <v>2021</v>
      </c>
      <c r="B266" s="12" t="inlineStr">
        <is>
          <t>2WD</t>
        </is>
      </c>
      <c r="C266" s="12" t="inlineStr">
        <is>
          <t>2.2 XD ブラックトーン</t>
        </is>
      </c>
      <c r="D266" s="13" t="n">
        <v>5.4</v>
      </c>
      <c r="E266" s="14" t="n">
        <v>239.9</v>
      </c>
      <c r="F266" s="14" t="n">
        <v>227.8</v>
      </c>
      <c r="G266" s="15" t="n">
        <v>4.5</v>
      </c>
      <c r="H266" s="12" t="inlineStr">
        <is>
          <t>なし</t>
        </is>
      </c>
      <c r="I266" s="12" t="inlineStr">
        <is>
          <t>2028(R10)年03月</t>
        </is>
      </c>
      <c r="J266" s="12" t="inlineStr">
        <is>
          <t>保証付</t>
        </is>
      </c>
      <c r="K266" s="16" t="inlineStr">
        <is>
          <t>修復歴なし / 車検 2028/03 まで（残り17ヶ月） / 保証付 / 同年式より安い（中央値 279万）</t>
        </is>
      </c>
      <c r="L266" s="16" t="inlineStr">
        <is>
          <t>CX-8 2.2 XD ブラックトーン エディション ディーゼルターボ 純正ナビ 全周囲カメラ 衝突被害軽減システム 電動リアゲート ハーフレザーシート ドラレコ コーナーセンサー スマートキー LEDヘッド ETC クルコン 純正19インチアルミ オートハイビーム</t>
        </is>
      </c>
      <c r="M266" s="12" t="inlineStr">
        <is>
          <t>https://www.carsensor.net/usedcar/detail/AU7407703715/index.html</t>
        </is>
      </c>
    </row>
    <row r="267">
      <c r="A267" s="6" t="n">
        <v>2021</v>
      </c>
      <c r="B267" s="7" t="inlineStr">
        <is>
          <t>2WD</t>
        </is>
      </c>
      <c r="C267" s="7" t="inlineStr">
        <is>
          <t>2.2 XD ブラックトーン</t>
        </is>
      </c>
      <c r="D267" s="17" t="n">
        <v>5.4</v>
      </c>
      <c r="E267" s="9" t="n">
        <v>249.9</v>
      </c>
      <c r="F267" s="9" t="n">
        <v>237.8</v>
      </c>
      <c r="G267" s="10" t="n">
        <v>6.3</v>
      </c>
      <c r="H267" s="7" t="inlineStr">
        <is>
          <t>なし</t>
        </is>
      </c>
      <c r="I267" s="7" t="inlineStr">
        <is>
          <t>2028(R10)年03月</t>
        </is>
      </c>
      <c r="J267" s="7" t="inlineStr">
        <is>
          <t>保証付</t>
        </is>
      </c>
      <c r="K267" s="16" t="inlineStr">
        <is>
          <t>修復歴なし / 車検 2028/03 まで（残り17ヶ月） / 保証付 / 同年式より安い（中央値 279万）</t>
        </is>
      </c>
      <c r="L267" s="16" t="inlineStr">
        <is>
          <t>CX-8 2.2 XD ブラックトーン エディション ディーゼルターボ 純正10型ディスプレイ 全周囲カメラ レーダークルーズ 衝突軽減 ブラインドスポットモニター パワーシート LEDヘッド シートヒーター ステアリングヒーター クリアランスソナー</t>
        </is>
      </c>
      <c r="M267" s="7" t="inlineStr">
        <is>
          <t>https://www.carsensor.net/usedcar/detail/AU7441471354/index.html</t>
        </is>
      </c>
    </row>
    <row r="268">
      <c r="A268" s="11" t="n">
        <v>2021</v>
      </c>
      <c r="B268" s="12" t="inlineStr">
        <is>
          <t>2WD</t>
        </is>
      </c>
      <c r="C268" s="12" t="inlineStr">
        <is>
          <t>2.2 XD ブラックトーン</t>
        </is>
      </c>
      <c r="D268" s="13" t="n">
        <v>5.3</v>
      </c>
      <c r="E268" s="14" t="n">
        <v>233.8</v>
      </c>
      <c r="F268" s="14" t="n">
        <v>220</v>
      </c>
      <c r="G268" s="15" t="n">
        <v>5.5</v>
      </c>
      <c r="H268" s="12" t="inlineStr">
        <is>
          <t>なし</t>
        </is>
      </c>
      <c r="I268" s="12" t="inlineStr">
        <is>
          <t>2028(R10)年02月</t>
        </is>
      </c>
      <c r="J268" s="12" t="inlineStr">
        <is>
          <t>保証付</t>
        </is>
      </c>
      <c r="K268" s="16" t="inlineStr">
        <is>
          <t>修復歴なし / 車検 2028/02 まで（残り16ヶ月） / 保証付 / 同年式より安い（中央値 279万）</t>
        </is>
      </c>
      <c r="L268" s="16" t="inlineStr">
        <is>
          <t>CX-8 2.2 XD ブラックトーン エディション ディーゼルターボ 純正10型大型ナビ 360°カメラ コーナーセンサー ワイヤレス充電 AppleCarPlay Bluetooth フルセグ 衝突被害軽減ブレーキ ハーフレザー 電動リアゲート ETC LEDライト</t>
        </is>
      </c>
      <c r="M268" s="12" t="inlineStr">
        <is>
          <t>https://www.carsensor.net/usedcar/detail/AU7292614058/index.html</t>
        </is>
      </c>
    </row>
    <row r="269">
      <c r="A269" s="6" t="n">
        <v>2021</v>
      </c>
      <c r="B269" s="7" t="inlineStr">
        <is>
          <t>2WD</t>
        </is>
      </c>
      <c r="C269" s="7" t="inlineStr">
        <is>
          <t>2.2 XD ブラックトーン</t>
        </is>
      </c>
      <c r="D269" s="17" t="n">
        <v>5</v>
      </c>
      <c r="E269" s="9" t="n">
        <v>205.9</v>
      </c>
      <c r="F269" s="9" t="n">
        <v>189</v>
      </c>
      <c r="G269" s="10" t="n">
        <v>5.2</v>
      </c>
      <c r="H269" s="7" t="inlineStr">
        <is>
          <t>なし</t>
        </is>
      </c>
      <c r="I269" s="7" t="inlineStr">
        <is>
          <t>車検整備付</t>
        </is>
      </c>
      <c r="J269" s="7" t="inlineStr">
        <is>
          <t>保証付</t>
        </is>
      </c>
      <c r="K269" s="16" t="inlineStr">
        <is>
          <t>修復歴なし / 車検整備付 / 保証付 / 同年式より安い（中央値 279万）</t>
        </is>
      </c>
      <c r="L269" s="16" t="inlineStr">
        <is>
          <t>CX-8 2.2 XD ブラックトーン エディション ディーゼルターボ 10 / 31 ま で 最 大 1 0 0 0 0 0 エ ン クー ポ ン プ レゼ ン ト ワンオーナー 禁煙車 純正SDナビ 衝突軽減ブレーキ 全周囲モニター 車線逸脱警報 電動リアゲート 半革シート ブラインドスポットモニター</t>
        </is>
      </c>
      <c r="M269" s="7" t="inlineStr">
        <is>
          <t>https://www.carsensor.net/usedcar/detail/AU7312634113/index.html</t>
        </is>
      </c>
    </row>
    <row r="270">
      <c r="A270" s="11" t="n">
        <v>2021</v>
      </c>
      <c r="B270" s="12" t="inlineStr">
        <is>
          <t>2WD</t>
        </is>
      </c>
      <c r="C270" s="12" t="inlineStr">
        <is>
          <t>2.2 XD ブラックトーン</t>
        </is>
      </c>
      <c r="D270" s="13" t="n">
        <v>5</v>
      </c>
      <c r="E270" s="14" t="n">
        <v>239.9</v>
      </c>
      <c r="F270" s="14" t="n">
        <v>223.9</v>
      </c>
      <c r="G270" s="15" t="n">
        <v>4.8</v>
      </c>
      <c r="H270" s="12" t="inlineStr">
        <is>
          <t>なし</t>
        </is>
      </c>
      <c r="I270" s="12" t="inlineStr">
        <is>
          <t>車検整備付</t>
        </is>
      </c>
      <c r="J270" s="12" t="inlineStr">
        <is>
          <t>保証付</t>
        </is>
      </c>
      <c r="K270" s="16" t="inlineStr">
        <is>
          <t>修復歴なし / 車検整備付 / 保証付 / 同年式より安い（中央値 279万）</t>
        </is>
      </c>
      <c r="L270" s="16" t="inlineStr">
        <is>
          <t>CX-8 2.2 XD ブラックトーン エディション ディーゼルターボ 禁煙車/純正10型ディスプレイ/全周囲カメラ/ETC/ドラレコ/電動リアゲート/衝突被害軽減システム/BSM/レーダークルーズ/シートヒーター/パワーシート/コーナーセンサー/LEDヘッド</t>
        </is>
      </c>
      <c r="M270" s="12" t="inlineStr">
        <is>
          <t>https://www.carsensor.net/usedcar/detail/AU7188831837/index.html</t>
        </is>
      </c>
    </row>
    <row r="271">
      <c r="A271" s="6" t="n">
        <v>2021</v>
      </c>
      <c r="B271" s="7" t="inlineStr">
        <is>
          <t>2WD</t>
        </is>
      </c>
      <c r="C271" s="7" t="inlineStr">
        <is>
          <t>2.2 XD ブラックトーン</t>
        </is>
      </c>
      <c r="D271" s="17" t="n">
        <v>5</v>
      </c>
      <c r="E271" s="9" t="n">
        <v>248.8</v>
      </c>
      <c r="F271" s="9" t="n">
        <v>237.2</v>
      </c>
      <c r="G271" s="10" t="n">
        <v>5.2</v>
      </c>
      <c r="H271" s="7" t="inlineStr">
        <is>
          <t>なし</t>
        </is>
      </c>
      <c r="I271" s="7" t="inlineStr">
        <is>
          <t>車検整備付</t>
        </is>
      </c>
      <c r="J271" s="7" t="inlineStr">
        <is>
          <t>保証付</t>
        </is>
      </c>
      <c r="K271" s="16" t="inlineStr">
        <is>
          <t>修復歴なし / 車検整備付 / 保証付 / 同年式より安い（中央値 279万）</t>
        </is>
      </c>
      <c r="L271" s="16" t="inlineStr">
        <is>
          <t>CX-8 2.2 XD ブラックトーン エディション ディーゼルターボ 6人乗り/純正10.25インチナビ/全周囲カメラ/Apple CarPlay/前後席シートヒーター/ステアリングヒーター/ワイヤレス充電/追従クルコン/パワーバックドア/パワーシート/シートメモリー/BSM/ETC/LEDヘッドライト</t>
        </is>
      </c>
      <c r="M271" s="7" t="inlineStr">
        <is>
          <t>https://www.carsensor.net/usedcar/detail/AU7415286740/index.html</t>
        </is>
      </c>
    </row>
    <row r="272">
      <c r="A272" s="11" t="n">
        <v>2021</v>
      </c>
      <c r="B272" s="12" t="inlineStr">
        <is>
          <t>2WD</t>
        </is>
      </c>
      <c r="C272" s="12" t="inlineStr">
        <is>
          <t>2.2 XD ブラックトーン</t>
        </is>
      </c>
      <c r="D272" s="13" t="n">
        <v>5</v>
      </c>
      <c r="E272" s="14" t="n">
        <v>301.4</v>
      </c>
      <c r="F272" s="14" t="n">
        <v>289.9</v>
      </c>
      <c r="G272" s="15" t="n">
        <v>3.7</v>
      </c>
      <c r="H272" s="12" t="inlineStr">
        <is>
          <t>なし</t>
        </is>
      </c>
      <c r="I272" s="12" t="inlineStr">
        <is>
          <t>2027(R09)年04月</t>
        </is>
      </c>
      <c r="J272" s="12" t="inlineStr">
        <is>
          <t>保証付</t>
        </is>
      </c>
      <c r="K272" s="16" t="inlineStr">
        <is>
          <t>走行が少なめ（3.7万km） / 修復歴なし / 車検 2027/04 まで（残り6ヶ月） / 保証付</t>
        </is>
      </c>
      <c r="L272" s="16" t="inlineStr">
        <is>
          <t>CX-8 2.2 XD ブラックトーン エディション ディーゼルターボ ディーゼル(軽油) 純正10型ナビ 全周囲カメラ 衝突被害軽減システム 禁煙車 電動リアゲート ハーフレザーシート 全席シートヒーター ドライブレコーダー ETC Bluetooth接続</t>
        </is>
      </c>
      <c r="M272" s="12" t="inlineStr">
        <is>
          <t>https://www.carsensor.net/usedcar/detail/AU7383093241/index.html</t>
        </is>
      </c>
    </row>
    <row r="273">
      <c r="A273" s="6" t="n">
        <v>2022</v>
      </c>
      <c r="B273" s="7" t="inlineStr">
        <is>
          <t>2WD</t>
        </is>
      </c>
      <c r="C273" s="7" t="inlineStr">
        <is>
          <t>2.2 XD ブラックトーン</t>
        </is>
      </c>
      <c r="D273" s="17" t="n">
        <v>4.8</v>
      </c>
      <c r="E273" s="9" t="n">
        <v>298.8</v>
      </c>
      <c r="F273" s="9" t="n">
        <v>293</v>
      </c>
      <c r="G273" s="10" t="n">
        <v>3.2</v>
      </c>
      <c r="H273" s="7" t="inlineStr">
        <is>
          <t>なし</t>
        </is>
      </c>
      <c r="I273" s="7" t="inlineStr">
        <is>
          <t>2027(R09)年02月</t>
        </is>
      </c>
      <c r="J273" s="7" t="inlineStr">
        <is>
          <t>保証付</t>
        </is>
      </c>
      <c r="K273" s="16" t="inlineStr">
        <is>
          <t>走行が少なめ（3.2万km） / 修復歴なし / 車検 2027/02 まで（残り4ヶ月） / 保証付</t>
        </is>
      </c>
      <c r="L273" s="16" t="inlineStr">
        <is>
          <t>CX-8 2.2 XD ブラックトーン エディション ディーゼルターボ 純正10インチナビTV ハンズフリー充電 BSM HUD 全方位カメラ 前後ドラレコ ETC パワーシート シートヒーター ステアリングヒーター 電動リア LED 純正19インチAW パドルシフト</t>
        </is>
      </c>
      <c r="M273" s="7" t="inlineStr">
        <is>
          <t>https://www.carsensor.net/usedcar/detail/AU7374384108/index.html</t>
        </is>
      </c>
    </row>
    <row r="274">
      <c r="A274" s="11" t="n">
        <v>2021</v>
      </c>
      <c r="B274" s="12" t="inlineStr">
        <is>
          <t>2WD</t>
        </is>
      </c>
      <c r="C274" s="12" t="inlineStr">
        <is>
          <t>2.2 XD ブラックトーン</t>
        </is>
      </c>
      <c r="D274" s="13" t="n">
        <v>4.6</v>
      </c>
      <c r="E274" s="14" t="n">
        <v>290.8</v>
      </c>
      <c r="F274" s="14" t="n">
        <v>279.8</v>
      </c>
      <c r="G274" s="15" t="n">
        <v>5.7</v>
      </c>
      <c r="H274" s="12" t="inlineStr">
        <is>
          <t>なし</t>
        </is>
      </c>
      <c r="I274" s="12" t="inlineStr">
        <is>
          <t>2028(R10)年05月</t>
        </is>
      </c>
      <c r="J274" s="12" t="inlineStr">
        <is>
          <t>保証付</t>
        </is>
      </c>
      <c r="K274" s="16" t="inlineStr">
        <is>
          <t>修復歴なし / 車検 2028/05 まで（残り19ヶ月） / 保証付</t>
        </is>
      </c>
      <c r="L274" s="16" t="inlineStr">
        <is>
          <t>CX-8 2.2 XD ブラックトーン エディション ディーゼルターボ マツダ認定中古車</t>
        </is>
      </c>
      <c r="M274" s="12" t="inlineStr">
        <is>
          <t>https://www.carsensor.net/usedcar/detail/AU7255976649/index.html</t>
        </is>
      </c>
    </row>
    <row r="275">
      <c r="A275" s="6" t="n">
        <v>2023</v>
      </c>
      <c r="B275" s="7" t="inlineStr">
        <is>
          <t>2WD</t>
        </is>
      </c>
      <c r="C275" s="7" t="inlineStr">
        <is>
          <t>2.2 XD ブラックトーン</t>
        </is>
      </c>
      <c r="D275" s="17" t="n">
        <v>4.6</v>
      </c>
      <c r="E275" s="9" t="n">
        <v>276.7</v>
      </c>
      <c r="F275" s="9" t="n">
        <v>264.4</v>
      </c>
      <c r="G275" s="10" t="n">
        <v>4.3</v>
      </c>
      <c r="H275" s="7" t="inlineStr">
        <is>
          <t>なし</t>
        </is>
      </c>
      <c r="I275" s="7" t="inlineStr">
        <is>
          <t>2028(R10)年05月</t>
        </is>
      </c>
      <c r="J275" s="7" t="inlineStr">
        <is>
          <t>保証無</t>
        </is>
      </c>
      <c r="K275" s="16" t="inlineStr">
        <is>
          <t>修復歴なし / 車検 2028/05 まで（残り19ヶ月） / 同年式より安い（中央値 348万）</t>
        </is>
      </c>
      <c r="L275" s="16" t="inlineStr">
        <is>
          <t>CX-8 2.2 XD ブラックトーン エディション ディーゼルターボ 禁煙 純正10.25インチディスプレイオーディオ フルセグTV バック・サイド・フロントカメラ レーダークルーズコントロール パークアシスト レーンアシスト シートヒーター LEDヘッドランプ ETC</t>
        </is>
      </c>
      <c r="M275" s="7" t="inlineStr">
        <is>
          <t>https://www.carsensor.net/usedcar/detail/AU7441475148/index.html</t>
        </is>
      </c>
    </row>
    <row r="276">
      <c r="A276" s="11" t="n">
        <v>2023</v>
      </c>
      <c r="B276" s="12" t="inlineStr">
        <is>
          <t>2WD</t>
        </is>
      </c>
      <c r="C276" s="12" t="inlineStr">
        <is>
          <t>2.2 XD ブラックトーン</t>
        </is>
      </c>
      <c r="D276" s="13" t="n">
        <v>4.5</v>
      </c>
      <c r="E276" s="14" t="n">
        <v>371.3</v>
      </c>
      <c r="F276" s="14" t="n">
        <v>357.8</v>
      </c>
      <c r="G276" s="15" t="n">
        <v>1.9</v>
      </c>
      <c r="H276" s="12" t="inlineStr">
        <is>
          <t>なし</t>
        </is>
      </c>
      <c r="I276" s="12" t="inlineStr">
        <is>
          <t>車検整備付</t>
        </is>
      </c>
      <c r="J276" s="12" t="inlineStr">
        <is>
          <t>保証無</t>
        </is>
      </c>
      <c r="K276" s="16" t="inlineStr">
        <is>
          <t>走行が少なめ（1.9万km） / 修復歴なし / 車検整備付</t>
        </is>
      </c>
      <c r="L276" s="16" t="inlineStr">
        <is>
          <t>CX-8 2.2 XD ブラックトーン エディション ディーゼルターボ ドラレコ・フルセグTV・ETC・ナビSD</t>
        </is>
      </c>
      <c r="M276" s="12" t="inlineStr">
        <is>
          <t>https://www.carsensor.net/usedcar/detail/AU6610082534/index.html</t>
        </is>
      </c>
    </row>
    <row r="277">
      <c r="A277" s="6" t="n">
        <v>2021</v>
      </c>
      <c r="B277" s="7" t="inlineStr">
        <is>
          <t>2WD</t>
        </is>
      </c>
      <c r="C277" s="7" t="inlineStr">
        <is>
          <t>2.2 XD ブラックトーン</t>
        </is>
      </c>
      <c r="D277" s="17" t="n">
        <v>4.4</v>
      </c>
      <c r="E277" s="9" t="n">
        <v>283.9</v>
      </c>
      <c r="F277" s="9" t="n">
        <v>276.9</v>
      </c>
      <c r="G277" s="10" t="n">
        <v>4.6</v>
      </c>
      <c r="H277" s="7" t="inlineStr">
        <is>
          <t>なし</t>
        </is>
      </c>
      <c r="I277" s="7" t="inlineStr">
        <is>
          <t>2028(R10)年03月</t>
        </is>
      </c>
      <c r="J277" s="7" t="inlineStr">
        <is>
          <t>保証付</t>
        </is>
      </c>
      <c r="K277" s="16" t="inlineStr">
        <is>
          <t>修復歴なし / 車検 2028/03 まで（残り17ヶ月） / 保証付</t>
        </is>
      </c>
      <c r="L277" s="16" t="inlineStr">
        <is>
          <t>CX-8 2.2 XD ブラックトーン エディション ディーゼルターボ 新品タイヤ/SDナビ/衝突安全装置/シートヒーター/全方位モニター/車線逸脱防止支援システム/シート ハーフレザー/電動バックドア/ヘッドランプ LED/USBジャック</t>
        </is>
      </c>
      <c r="M277" s="7" t="inlineStr">
        <is>
          <t>https://www.carsensor.net/usedcar/detail/AU7375485101/index.html</t>
        </is>
      </c>
    </row>
    <row r="278">
      <c r="A278" s="11" t="n">
        <v>2023</v>
      </c>
      <c r="B278" s="12" t="inlineStr">
        <is>
          <t>2WD</t>
        </is>
      </c>
      <c r="C278" s="12" t="inlineStr">
        <is>
          <t>2.2 XD ブラックトーン</t>
        </is>
      </c>
      <c r="D278" s="13" t="n">
        <v>4.4</v>
      </c>
      <c r="E278" s="14" t="n">
        <v>335.1</v>
      </c>
      <c r="F278" s="14" t="n">
        <v>325</v>
      </c>
      <c r="G278" s="15" t="n">
        <v>3</v>
      </c>
      <c r="H278" s="12" t="inlineStr">
        <is>
          <t>なし</t>
        </is>
      </c>
      <c r="I278" s="12" t="inlineStr">
        <is>
          <t>2028(R10)年03月</t>
        </is>
      </c>
      <c r="J278" s="12" t="inlineStr">
        <is>
          <t>保証付</t>
        </is>
      </c>
      <c r="K278" s="16" t="inlineStr">
        <is>
          <t>修復歴なし / 車検 2028/03 まで（残り17ヶ月） / 保証付</t>
        </is>
      </c>
      <c r="L278" s="16" t="inlineStr">
        <is>
          <t>CX-8 2.2 XD ブラックトーン エディション ディーゼルターボ ワンオーナー フルメンテ リアモニター</t>
        </is>
      </c>
      <c r="M278" s="12" t="inlineStr">
        <is>
          <t>https://www.carsensor.net/usedcar/detail/AU7384161660/index.html</t>
        </is>
      </c>
    </row>
    <row r="279">
      <c r="A279" s="6" t="n">
        <v>2023</v>
      </c>
      <c r="B279" s="7" t="inlineStr">
        <is>
          <t>2WD</t>
        </is>
      </c>
      <c r="C279" s="7" t="inlineStr">
        <is>
          <t>2.2 XD ブラックトーン</t>
        </is>
      </c>
      <c r="D279" s="17" t="n">
        <v>4.4</v>
      </c>
      <c r="E279" s="9" t="n">
        <v>344.8</v>
      </c>
      <c r="F279" s="9" t="n">
        <v>334.8</v>
      </c>
      <c r="G279" s="10" t="n">
        <v>3.9</v>
      </c>
      <c r="H279" s="7" t="inlineStr">
        <is>
          <t>なし</t>
        </is>
      </c>
      <c r="I279" s="7" t="inlineStr">
        <is>
          <t>2028(R10)年03月</t>
        </is>
      </c>
      <c r="J279" s="7" t="inlineStr">
        <is>
          <t>保証付</t>
        </is>
      </c>
      <c r="K279" s="16" t="inlineStr">
        <is>
          <t>修復歴なし / 車検 2028/03 まで（残り17ヶ月） / 保証付</t>
        </is>
      </c>
      <c r="L279" s="16" t="inlineStr">
        <is>
          <t>CX-8 2.2 XD ブラックトーン エディション ディーゼルターボ BOSE 電動スライドガラスサンルーフ 360°ビュー・モニター 純正ナビ ETC 障害物センサー マツダ・レーダー・クルーズ・コントロール シートヒーター 電動シート 電動リアゲート プッシュボタンスタート</t>
        </is>
      </c>
      <c r="M279" s="7" t="inlineStr">
        <is>
          <t>https://www.carsensor.net/usedcar/detail/AU7452171572/index.html</t>
        </is>
      </c>
    </row>
    <row r="280">
      <c r="A280" s="11" t="n">
        <v>2020</v>
      </c>
      <c r="B280" s="12" t="inlineStr">
        <is>
          <t>2WD</t>
        </is>
      </c>
      <c r="C280" s="12" t="inlineStr">
        <is>
          <t>2.2 XD ブラックトーン</t>
        </is>
      </c>
      <c r="D280" s="13" t="n">
        <v>4.2</v>
      </c>
      <c r="E280" s="14" t="n">
        <v>253.8</v>
      </c>
      <c r="F280" s="14" t="n">
        <v>247.5</v>
      </c>
      <c r="G280" s="15" t="n">
        <v>5.1</v>
      </c>
      <c r="H280" s="12" t="inlineStr">
        <is>
          <t>なし</t>
        </is>
      </c>
      <c r="I280" s="12" t="inlineStr">
        <is>
          <t>2027(R09)年12月</t>
        </is>
      </c>
      <c r="J280" s="12" t="inlineStr">
        <is>
          <t>保証付</t>
        </is>
      </c>
      <c r="K280" s="16" t="inlineStr">
        <is>
          <t>修復歴なし / 車検 2027/12 まで（残り14ヶ月） / 保証付</t>
        </is>
      </c>
      <c r="L280" s="16" t="inlineStr">
        <is>
          <t>CX-8 2.2 XD ブラックトーン エディション ディーゼルターボ 禁煙車 ルーフレール サイドガーニッシュ 純正10.5インチナビ 360度ビューモニター ETC LEDヘッドライト ハーフレザーシート パワーシート シートヒーター ステアリングヒーター サンシェード</t>
        </is>
      </c>
      <c r="M280" s="12" t="inlineStr">
        <is>
          <t>https://www.carsensor.net/usedcar/detail/AU7235564313/index.html</t>
        </is>
      </c>
    </row>
    <row r="281">
      <c r="A281" s="6" t="n">
        <v>2020</v>
      </c>
      <c r="B281" s="7" t="inlineStr">
        <is>
          <t>2WD</t>
        </is>
      </c>
      <c r="C281" s="7" t="inlineStr">
        <is>
          <t>2.2 XD ブラックトーン</t>
        </is>
      </c>
      <c r="D281" s="17" t="n">
        <v>4.2</v>
      </c>
      <c r="E281" s="9" t="n">
        <v>246.4</v>
      </c>
      <c r="F281" s="9" t="n">
        <v>239</v>
      </c>
      <c r="G281" s="10" t="n">
        <v>4.2</v>
      </c>
      <c r="H281" s="7" t="inlineStr">
        <is>
          <t>なし</t>
        </is>
      </c>
      <c r="I281" s="7" t="inlineStr">
        <is>
          <t>2027(R09)年12月</t>
        </is>
      </c>
      <c r="J281" s="7" t="inlineStr">
        <is>
          <t>保証付</t>
        </is>
      </c>
      <c r="K281" s="16" t="inlineStr">
        <is>
          <t>修復歴なし / 車検 2027/12 まで（残り14ヶ月） / 保証付</t>
        </is>
      </c>
      <c r="L281" s="16" t="inlineStr">
        <is>
          <t>CX-8 2.2 XD ブラックトーン エディション ディーゼルターボ 6ヶ月走行距離無制限保証付 禁煙車 電動リアゲート レーダークルーズコントロール 全周囲カメラ 純正10.25インチナビ ETC ステアリングヒーター 衝突軽減ブレーキ ハーフレザーシート コーナーセンサー</t>
        </is>
      </c>
      <c r="M281" s="7" t="inlineStr">
        <is>
          <t>https://www.carsensor.net/usedcar/detail/AU7397391569/index.html</t>
        </is>
      </c>
    </row>
    <row r="282">
      <c r="A282" s="11" t="n">
        <v>2022</v>
      </c>
      <c r="B282" s="12" t="inlineStr">
        <is>
          <t>2WD</t>
        </is>
      </c>
      <c r="C282" s="12" t="inlineStr">
        <is>
          <t>2.2 XD ブラックトーン</t>
        </is>
      </c>
      <c r="D282" s="13" t="n">
        <v>4.2</v>
      </c>
      <c r="E282" s="14" t="n">
        <v>279</v>
      </c>
      <c r="F282" s="14" t="n">
        <v>272.7</v>
      </c>
      <c r="G282" s="15" t="n">
        <v>4.9</v>
      </c>
      <c r="H282" s="12" t="inlineStr">
        <is>
          <t>なし</t>
        </is>
      </c>
      <c r="I282" s="12" t="inlineStr">
        <is>
          <t>2027(R09)年12月</t>
        </is>
      </c>
      <c r="J282" s="12" t="inlineStr">
        <is>
          <t>保証付</t>
        </is>
      </c>
      <c r="K282" s="16" t="inlineStr">
        <is>
          <t>修復歴なし / 車検 2027/12 まで（残り14ヶ月） / 保証付</t>
        </is>
      </c>
      <c r="L282" s="16" t="inlineStr">
        <is>
          <t>CX-8 2.2 XD ブラックトーン エディション ディーゼルターボ パワーバックドア 純正ナビ 全周囲カメラ ACC 衝突軽減 レーンキープ BSM LEDライト 前席シートヒーター ステアリングヒーター 前席パワーシート 運転席メモリーシート ETC 禁煙</t>
        </is>
      </c>
      <c r="M282" s="12" t="inlineStr">
        <is>
          <t>https://www.carsensor.net/usedcar/detail/AU7392317541/index.html</t>
        </is>
      </c>
    </row>
    <row r="283">
      <c r="A283" s="6" t="n">
        <v>2021</v>
      </c>
      <c r="B283" s="7" t="inlineStr">
        <is>
          <t>2WD</t>
        </is>
      </c>
      <c r="C283" s="7" t="inlineStr">
        <is>
          <t>2.2 XD ブラックトーン</t>
        </is>
      </c>
      <c r="D283" s="17" t="n">
        <v>4</v>
      </c>
      <c r="E283" s="9" t="n">
        <v>253.8</v>
      </c>
      <c r="F283" s="9" t="n">
        <v>244.9</v>
      </c>
      <c r="G283" s="10" t="n">
        <v>6.8</v>
      </c>
      <c r="H283" s="7" t="inlineStr">
        <is>
          <t>なし</t>
        </is>
      </c>
      <c r="I283" s="7" t="inlineStr">
        <is>
          <t>車検整備付</t>
        </is>
      </c>
      <c r="J283" s="7" t="inlineStr">
        <is>
          <t>保証付</t>
        </is>
      </c>
      <c r="K283" s="16" t="inlineStr">
        <is>
          <t>修復歴なし / 車検整備付 / 保証付</t>
        </is>
      </c>
      <c r="L283" s="16" t="inlineStr">
        <is>
          <t>CX-8 2.2 XD ブラックトーン エディション ディーゼルターボ 禁煙 レーダークルーズコントロール アダプティブLEDライト マツダコネクト10.25インチディスプレイ 360度ビューモニター ETC ドライブレコーダー 純正19インチアルミホイール スマートキー プッシュスタート</t>
        </is>
      </c>
      <c r="M283" s="7" t="inlineStr">
        <is>
          <t>https://www.carsensor.net/usedcar/detail/AU7181903248/index.html</t>
        </is>
      </c>
    </row>
    <row r="284">
      <c r="A284" s="11" t="n">
        <v>2021</v>
      </c>
      <c r="B284" s="12" t="inlineStr">
        <is>
          <t>2WD</t>
        </is>
      </c>
      <c r="C284" s="12" t="inlineStr">
        <is>
          <t>2.2 XD ブラックトーン</t>
        </is>
      </c>
      <c r="D284" s="13" t="n">
        <v>4</v>
      </c>
      <c r="E284" s="14" t="n">
        <v>281.8</v>
      </c>
      <c r="F284" s="14" t="n">
        <v>274.9</v>
      </c>
      <c r="G284" s="15" t="n">
        <v>4.5</v>
      </c>
      <c r="H284" s="12" t="inlineStr">
        <is>
          <t>なし</t>
        </is>
      </c>
      <c r="I284" s="12" t="inlineStr">
        <is>
          <t>車検整備付</t>
        </is>
      </c>
      <c r="J284" s="12" t="inlineStr">
        <is>
          <t>保証付</t>
        </is>
      </c>
      <c r="K284" s="16" t="inlineStr">
        <is>
          <t>修復歴なし / 車検整備付 / 保証付</t>
        </is>
      </c>
      <c r="L284" s="16" t="inlineStr">
        <is>
          <t>CX-8 2.2 XD ブラックトーン エディション ディーゼルターボ BOSEサウンド 純正10型ナビ 全方位カメラ ETC BSM パワーバックドアi-ACTIVSENSE 前席パワーシート/シートヒーター ステアリングヒーター ワイヤレス充電 純正19インチAW</t>
        </is>
      </c>
      <c r="M284" s="12" t="inlineStr">
        <is>
          <t>https://www.carsensor.net/usedcar/detail/AU7336174964/index.html</t>
        </is>
      </c>
    </row>
    <row r="285">
      <c r="A285" s="6" t="n">
        <v>2021</v>
      </c>
      <c r="B285" s="7" t="inlineStr">
        <is>
          <t>2WD</t>
        </is>
      </c>
      <c r="C285" s="7" t="inlineStr">
        <is>
          <t>2.2 XD ブラックトーン</t>
        </is>
      </c>
      <c r="D285" s="17" t="n">
        <v>4</v>
      </c>
      <c r="E285" s="9" t="n">
        <v>294.8</v>
      </c>
      <c r="F285" s="9" t="n">
        <v>285.9</v>
      </c>
      <c r="G285" s="10" t="n">
        <v>4.4</v>
      </c>
      <c r="H285" s="7" t="inlineStr">
        <is>
          <t>なし</t>
        </is>
      </c>
      <c r="I285" s="7" t="inlineStr">
        <is>
          <t>車検整備付</t>
        </is>
      </c>
      <c r="J285" s="7" t="inlineStr">
        <is>
          <t>保証付</t>
        </is>
      </c>
      <c r="K285" s="16" t="inlineStr">
        <is>
          <t>修復歴なし / 車検整備付 / 保証付</t>
        </is>
      </c>
      <c r="L285" s="16" t="inlineStr">
        <is>
          <t>CX-8 2.2 XD ブラックトーン エディション ディーゼルターボ ハーフレザーシート 純正ナビゲーションシステム Bluetooth USB フルセグTV 純正19インチアルミホイール パワーシート シートヒーター LEDヘッドライト パワーバックドア ETC</t>
        </is>
      </c>
      <c r="M285" s="7" t="inlineStr">
        <is>
          <t>https://www.carsensor.net/usedcar/detail/AU7305989397/index.html</t>
        </is>
      </c>
    </row>
    <row r="286">
      <c r="A286" s="11" t="n">
        <v>2021</v>
      </c>
      <c r="B286" s="12" t="inlineStr">
        <is>
          <t>2WD</t>
        </is>
      </c>
      <c r="C286" s="12" t="inlineStr">
        <is>
          <t>2.2 XD ブラックトーン</t>
        </is>
      </c>
      <c r="D286" s="13" t="n">
        <v>4</v>
      </c>
      <c r="E286" s="14" t="n">
        <v>282.7</v>
      </c>
      <c r="F286" s="14" t="n">
        <v>269.8</v>
      </c>
      <c r="G286" s="15" t="n">
        <v>6.7</v>
      </c>
      <c r="H286" s="12" t="inlineStr">
        <is>
          <t>なし</t>
        </is>
      </c>
      <c r="I286" s="12" t="inlineStr">
        <is>
          <t>車検整備付</t>
        </is>
      </c>
      <c r="J286" s="12" t="inlineStr">
        <is>
          <t>保証付</t>
        </is>
      </c>
      <c r="K286" s="16" t="inlineStr">
        <is>
          <t>修復歴なし / 車検整備付 / 保証付</t>
        </is>
      </c>
      <c r="L286" s="16" t="inlineStr">
        <is>
          <t>CX-8 2.2 XD ブラックトーン エディション ディーゼルターボ マツダ認定中古車</t>
        </is>
      </c>
      <c r="M286" s="12" t="inlineStr">
        <is>
          <t>https://www.carsensor.net/usedcar/detail/AU7431189145/index.html</t>
        </is>
      </c>
    </row>
    <row r="287">
      <c r="A287" s="6" t="n">
        <v>2021</v>
      </c>
      <c r="B287" s="7" t="inlineStr">
        <is>
          <t>2WD</t>
        </is>
      </c>
      <c r="C287" s="7" t="inlineStr">
        <is>
          <t>2.2 XD ブラックトーン</t>
        </is>
      </c>
      <c r="D287" s="17" t="n">
        <v>4</v>
      </c>
      <c r="E287" s="9" t="n">
        <v>271.9</v>
      </c>
      <c r="F287" s="9" t="n">
        <v>263</v>
      </c>
      <c r="G287" s="10" t="n">
        <v>5.4</v>
      </c>
      <c r="H287" s="7" t="inlineStr">
        <is>
          <t>なし</t>
        </is>
      </c>
      <c r="I287" s="7" t="inlineStr">
        <is>
          <t>車検整備付</t>
        </is>
      </c>
      <c r="J287" s="7" t="inlineStr">
        <is>
          <t>保証付</t>
        </is>
      </c>
      <c r="K287" s="16" t="inlineStr">
        <is>
          <t>修復歴なし / 車検整備付 / 保証付</t>
        </is>
      </c>
      <c r="L287" s="16" t="inlineStr">
        <is>
          <t>CX-8 2.2 XD ブラックトーン エディション ディーゼルターボ 純正ナビ フルセグTV ETC 全方位カメラ 前後ドライブレコーダー アダクティブクルーズコントロール メモリー付パワーシート 全席シートヒーター パワーバックドア ハーフレザーシート ワイヤレス充電</t>
        </is>
      </c>
      <c r="M287" s="7" t="inlineStr">
        <is>
          <t>https://www.carsensor.net/usedcar/detail/AU7240263674/index.html</t>
        </is>
      </c>
    </row>
    <row r="288">
      <c r="A288" s="11" t="n">
        <v>2022</v>
      </c>
      <c r="B288" s="12" t="inlineStr">
        <is>
          <t>2WD</t>
        </is>
      </c>
      <c r="C288" s="12" t="inlineStr">
        <is>
          <t>2.2 XD ブラックトーン</t>
        </is>
      </c>
      <c r="D288" s="13" t="n">
        <v>4</v>
      </c>
      <c r="E288" s="14" t="n">
        <v>268.8</v>
      </c>
      <c r="F288" s="14" t="n">
        <v>262.2</v>
      </c>
      <c r="G288" s="15" t="n">
        <v>5</v>
      </c>
      <c r="H288" s="12" t="inlineStr">
        <is>
          <t>なし</t>
        </is>
      </c>
      <c r="I288" s="12" t="inlineStr">
        <is>
          <t>2027(R09)年10月</t>
        </is>
      </c>
      <c r="J288" s="12" t="inlineStr">
        <is>
          <t>保証付</t>
        </is>
      </c>
      <c r="K288" s="16" t="inlineStr">
        <is>
          <t>修復歴なし / 車検 2027/10 まで（残り12ヶ月） / 保証付</t>
        </is>
      </c>
      <c r="L288" s="16" t="inlineStr">
        <is>
          <t>CX-8 2.2 XD ブラックトーン エディション ディーゼルターボ 6人 純正10.25型ナビ 全方位 衝突軽減 追従走行 ETC シートヒーター LED ドライブレコーダー ブラインドスポットモニター ヘッドアップディスプレイ シートヒーター ステアリングヒーター パワーシート</t>
        </is>
      </c>
      <c r="M288" s="12" t="inlineStr">
        <is>
          <t>https://www.carsensor.net/usedcar/detail/AU7386451569/index.html</t>
        </is>
      </c>
    </row>
    <row r="289">
      <c r="A289" s="6" t="n">
        <v>2022</v>
      </c>
      <c r="B289" s="7" t="inlineStr">
        <is>
          <t>2WD</t>
        </is>
      </c>
      <c r="C289" s="7" t="inlineStr">
        <is>
          <t>2.2 XD ブラックトーン</t>
        </is>
      </c>
      <c r="D289" s="17" t="n">
        <v>4</v>
      </c>
      <c r="E289" s="9" t="n">
        <v>299.9</v>
      </c>
      <c r="F289" s="9" t="n">
        <v>282.6</v>
      </c>
      <c r="G289" s="10" t="n">
        <v>3.6</v>
      </c>
      <c r="H289" s="7" t="inlineStr">
        <is>
          <t>なし</t>
        </is>
      </c>
      <c r="I289" s="7" t="inlineStr">
        <is>
          <t>車検整備付</t>
        </is>
      </c>
      <c r="J289" s="7" t="inlineStr">
        <is>
          <t>保証付</t>
        </is>
      </c>
      <c r="K289" s="16" t="inlineStr">
        <is>
          <t>修復歴なし / 車検整備付 / 保証付</t>
        </is>
      </c>
      <c r="L289" s="16" t="inlineStr">
        <is>
          <t>CX-8 2.2 XD ブラックトーン エディション ディーゼルターボ ターボ 10.25型マツダコネクト 全周囲カメラ レーダークルーズ 純正19インチアルミ メモリーシート シートエアコン 電動リアゲート ステアリングヒーター LEDヘッド オートハイビーム</t>
        </is>
      </c>
      <c r="M289" s="7" t="inlineStr">
        <is>
          <t>https://www.carsensor.net/usedcar/detail/AU7417621333/index.html</t>
        </is>
      </c>
    </row>
    <row r="290">
      <c r="A290" s="11" t="n">
        <v>2022</v>
      </c>
      <c r="B290" s="12" t="inlineStr">
        <is>
          <t>2WD</t>
        </is>
      </c>
      <c r="C290" s="12" t="inlineStr">
        <is>
          <t>2.2 XD ブラックトーン</t>
        </is>
      </c>
      <c r="D290" s="13" t="n">
        <v>4</v>
      </c>
      <c r="E290" s="14" t="n">
        <v>309.8</v>
      </c>
      <c r="F290" s="14" t="n">
        <v>301</v>
      </c>
      <c r="G290" s="15" t="n">
        <v>4.6</v>
      </c>
      <c r="H290" s="12" t="inlineStr">
        <is>
          <t>なし</t>
        </is>
      </c>
      <c r="I290" s="12" t="inlineStr">
        <is>
          <t>車検整備付</t>
        </is>
      </c>
      <c r="J290" s="12" t="inlineStr">
        <is>
          <t>保証付</t>
        </is>
      </c>
      <c r="K290" s="16" t="inlineStr">
        <is>
          <t>修復歴なし / 車検整備付 / 保証付</t>
        </is>
      </c>
      <c r="L290" s="16" t="inlineStr">
        <is>
          <t>CX-8 2.2 XD ブラックトーン エディション ディーゼルターボ 純正10.25型ナビ サンルーフ BOSEサウンドシステム 全方位カメラ ワイヤレス充電 ETC HUD BSM レーダークルーズコントロール コーナーセンサー ステアリングヒーター シートヒーター 純正19インチAW ドラレコ</t>
        </is>
      </c>
      <c r="M290" s="12" t="inlineStr">
        <is>
          <t>https://www.carsensor.net/usedcar/detail/AU7389379712/index.html</t>
        </is>
      </c>
    </row>
    <row r="291">
      <c r="A291" s="6" t="n">
        <v>2022</v>
      </c>
      <c r="B291" s="7" t="inlineStr">
        <is>
          <t>2WD</t>
        </is>
      </c>
      <c r="C291" s="7" t="inlineStr">
        <is>
          <t>2.2 XD ブラックトーン</t>
        </is>
      </c>
      <c r="D291" s="17" t="n">
        <v>4</v>
      </c>
      <c r="E291" s="9" t="n">
        <v>280.3</v>
      </c>
      <c r="F291" s="9" t="n">
        <v>265</v>
      </c>
      <c r="G291" s="10" t="n">
        <v>5.6</v>
      </c>
      <c r="H291" s="7" t="inlineStr">
        <is>
          <t>なし</t>
        </is>
      </c>
      <c r="I291" s="7" t="inlineStr">
        <is>
          <t>車検整備付</t>
        </is>
      </c>
      <c r="J291" s="7" t="inlineStr">
        <is>
          <t>保証付</t>
        </is>
      </c>
      <c r="K291" s="16" t="inlineStr">
        <is>
          <t>修復歴なし / 車検整備付 / 保証付</t>
        </is>
      </c>
      <c r="L291" s="16" t="inlineStr">
        <is>
          <t>CX-8 2.2 XD ブラックトーン エディション ディーゼルターボ ナビ パワーゲート ワイヤレス充電 ETC 前後ドラレコ</t>
        </is>
      </c>
      <c r="M291" s="7" t="inlineStr">
        <is>
          <t>https://www.carsensor.net/usedcar/detail/AU7446066728/index.html</t>
        </is>
      </c>
    </row>
    <row r="292">
      <c r="A292" s="11" t="n">
        <v>2022</v>
      </c>
      <c r="B292" s="12" t="inlineStr">
        <is>
          <t>2WD</t>
        </is>
      </c>
      <c r="C292" s="12" t="inlineStr">
        <is>
          <t>2.2 XD ブラックトーン</t>
        </is>
      </c>
      <c r="D292" s="13" t="n">
        <v>4</v>
      </c>
      <c r="E292" s="14" t="n">
        <v>299</v>
      </c>
      <c r="F292" s="14" t="n">
        <v>285</v>
      </c>
      <c r="G292" s="15" t="n">
        <v>4.1</v>
      </c>
      <c r="H292" s="12" t="inlineStr">
        <is>
          <t>なし</t>
        </is>
      </c>
      <c r="I292" s="12" t="inlineStr">
        <is>
          <t>車検整備付</t>
        </is>
      </c>
      <c r="J292" s="12" t="inlineStr">
        <is>
          <t>保証付</t>
        </is>
      </c>
      <c r="K292" s="16" t="inlineStr">
        <is>
          <t>修復歴なし / 車検整備付 / 保証付</t>
        </is>
      </c>
      <c r="L292" s="16" t="inlineStr">
        <is>
          <t>CX-8 2.2 XD ブラックトーン エディション ディーゼルターボ リアシートモニター ナビ 全方位モニター ETC 前後ドラレコ パワーゲート ワイヤレス充電</t>
        </is>
      </c>
      <c r="M292" s="12" t="inlineStr">
        <is>
          <t>https://www.carsensor.net/usedcar/detail/AU7452920417/index.html</t>
        </is>
      </c>
    </row>
    <row r="293">
      <c r="A293" s="6" t="n">
        <v>2023</v>
      </c>
      <c r="B293" s="7" t="inlineStr">
        <is>
          <t>2WD</t>
        </is>
      </c>
      <c r="C293" s="7" t="inlineStr">
        <is>
          <t>2.2 XD ブラックトーン</t>
        </is>
      </c>
      <c r="D293" s="17" t="n">
        <v>4</v>
      </c>
      <c r="E293" s="9" t="n">
        <v>327.2</v>
      </c>
      <c r="F293" s="9" t="n">
        <v>309.9</v>
      </c>
      <c r="G293" s="10" t="n">
        <v>4.2</v>
      </c>
      <c r="H293" s="7" t="inlineStr">
        <is>
          <t>なし</t>
        </is>
      </c>
      <c r="I293" s="7" t="inlineStr">
        <is>
          <t>車検整備付</t>
        </is>
      </c>
      <c r="J293" s="7" t="inlineStr">
        <is>
          <t>保証付</t>
        </is>
      </c>
      <c r="K293" s="16" t="inlineStr">
        <is>
          <t>修復歴なし / 車検整備付 / 保証付</t>
        </is>
      </c>
      <c r="L293" s="16" t="inlineStr">
        <is>
          <t>CX-8 2.2 XD ブラックトーン エディション ディーゼルターボ ディーゼル(軽油) SDナビ 全周囲カメラ 衝突被害軽減システム 禁煙車 ハーフレザーシート ドラレコ コーナーセンサー スマートキー LEDヘッド ETC クルコン 純正19インチアルミ</t>
        </is>
      </c>
      <c r="M293" s="7" t="inlineStr">
        <is>
          <t>https://www.carsensor.net/usedcar/detail/AU7374899540/index.html</t>
        </is>
      </c>
    </row>
    <row r="294">
      <c r="A294" s="11" t="n">
        <v>2023</v>
      </c>
      <c r="B294" s="12" t="inlineStr">
        <is>
          <t>2WD</t>
        </is>
      </c>
      <c r="C294" s="12" t="inlineStr">
        <is>
          <t>2.2 XD ブラックトーン</t>
        </is>
      </c>
      <c r="D294" s="13" t="n">
        <v>4</v>
      </c>
      <c r="E294" s="14" t="n">
        <v>348.4</v>
      </c>
      <c r="F294" s="14" t="n">
        <v>326</v>
      </c>
      <c r="G294" s="15" t="n">
        <v>3.3</v>
      </c>
      <c r="H294" s="12" t="inlineStr">
        <is>
          <t>なし</t>
        </is>
      </c>
      <c r="I294" s="12" t="inlineStr">
        <is>
          <t>車検整備付</t>
        </is>
      </c>
      <c r="J294" s="12" t="inlineStr">
        <is>
          <t>保証付</t>
        </is>
      </c>
      <c r="K294" s="16" t="inlineStr">
        <is>
          <t>修復歴なし / 車検整備付 / 保証付</t>
        </is>
      </c>
      <c r="L294" s="16" t="inlineStr">
        <is>
          <t>CX-8 2.2 XD ブラックトーン エディション ディーゼルターボ ナビ/CarPlay/全方位モニタ/衝突軽減ブレーキ/ETC/残価設定型クレジット対応</t>
        </is>
      </c>
      <c r="M294" s="12" t="inlineStr">
        <is>
          <t>https://www.carsensor.net/usedcar/detail/AU7291537474/index.html</t>
        </is>
      </c>
    </row>
    <row r="295">
      <c r="A295" s="6" t="n">
        <v>2023</v>
      </c>
      <c r="B295" s="7" t="inlineStr">
        <is>
          <t>2WD</t>
        </is>
      </c>
      <c r="C295" s="7" t="inlineStr">
        <is>
          <t>2.2 XD ブラックトーン</t>
        </is>
      </c>
      <c r="D295" s="17" t="n">
        <v>4</v>
      </c>
      <c r="E295" s="9" t="n">
        <v>354.6</v>
      </c>
      <c r="F295" s="9" t="n">
        <v>339.7</v>
      </c>
      <c r="G295" s="10" t="n">
        <v>2.7</v>
      </c>
      <c r="H295" s="7" t="inlineStr">
        <is>
          <t>なし</t>
        </is>
      </c>
      <c r="I295" s="7" t="inlineStr">
        <is>
          <t>車検整備付</t>
        </is>
      </c>
      <c r="J295" s="7" t="inlineStr">
        <is>
          <t>保証付</t>
        </is>
      </c>
      <c r="K295" s="16" t="inlineStr">
        <is>
          <t>修復歴なし / 車検整備付 / 保証付</t>
        </is>
      </c>
      <c r="L295" s="16" t="inlineStr">
        <is>
          <t>CX-8 2.2 XD ブラックトーン エディション ディーゼルターボ ・MTモード付AT・LEDヘッドライト・オート</t>
        </is>
      </c>
      <c r="M295" s="7" t="inlineStr">
        <is>
          <t>https://www.carsensor.net/usedcar/detail/AU7376058960/index.html</t>
        </is>
      </c>
    </row>
    <row r="296">
      <c r="A296" s="11" t="n">
        <v>2023</v>
      </c>
      <c r="B296" s="12" t="inlineStr">
        <is>
          <t>2WD</t>
        </is>
      </c>
      <c r="C296" s="12" t="inlineStr">
        <is>
          <t>2.2 XD ブラックトーン</t>
        </is>
      </c>
      <c r="D296" s="13" t="n">
        <v>4</v>
      </c>
      <c r="E296" s="14" t="n">
        <v>349.7</v>
      </c>
      <c r="F296" s="14" t="n">
        <v>335.1</v>
      </c>
      <c r="G296" s="15" t="n">
        <v>3.5</v>
      </c>
      <c r="H296" s="12" t="inlineStr">
        <is>
          <t>なし</t>
        </is>
      </c>
      <c r="I296" s="12" t="inlineStr">
        <is>
          <t>車検整備付</t>
        </is>
      </c>
      <c r="J296" s="12" t="inlineStr">
        <is>
          <t>保証付</t>
        </is>
      </c>
      <c r="K296" s="16" t="inlineStr">
        <is>
          <t>修復歴なし / 車検整備付 / 保証付</t>
        </is>
      </c>
      <c r="L296" s="16" t="inlineStr">
        <is>
          <t>CX-8 2.2 XD ブラックトーン エディション ディーゼルターボ 6人乗り</t>
        </is>
      </c>
      <c r="M296" s="12" t="inlineStr">
        <is>
          <t>https://www.carsensor.net/usedcar/detail/AU7235303500/index.html</t>
        </is>
      </c>
    </row>
    <row r="297">
      <c r="A297" s="6" t="n">
        <v>2023</v>
      </c>
      <c r="B297" s="7" t="inlineStr">
        <is>
          <t>2WD</t>
        </is>
      </c>
      <c r="C297" s="7" t="inlineStr">
        <is>
          <t>2.2 XD ブラックトーン</t>
        </is>
      </c>
      <c r="D297" s="17" t="n">
        <v>3.9</v>
      </c>
      <c r="E297" s="9" t="n">
        <v>301</v>
      </c>
      <c r="F297" s="9" t="n">
        <v>289.9</v>
      </c>
      <c r="G297" s="10" t="n">
        <v>6.1</v>
      </c>
      <c r="H297" s="7" t="inlineStr">
        <is>
          <t>なし</t>
        </is>
      </c>
      <c r="I297" s="7" t="inlineStr">
        <is>
          <t>2028(R10)年03月</t>
        </is>
      </c>
      <c r="J297" s="7" t="inlineStr">
        <is>
          <t>保証付</t>
        </is>
      </c>
      <c r="K297" s="16" t="inlineStr">
        <is>
          <t>走行が多め（6.1万km） / 修復歴なし / 車検 2028/03 まで（残り17ヶ月） / 保証付 / 同年式より安い（中央値 348万）</t>
        </is>
      </c>
      <c r="L297" s="16" t="inlineStr">
        <is>
          <t>CX-8 2.2 XD ブラックトーン エディション ディーゼルターボ 360度全方位カメラ オートライト</t>
        </is>
      </c>
      <c r="M297" s="7" t="inlineStr">
        <is>
          <t>https://www.carsensor.net/usedcar/detail/AU7430839999/index.html</t>
        </is>
      </c>
    </row>
    <row r="298">
      <c r="A298" s="11" t="n">
        <v>2021</v>
      </c>
      <c r="B298" s="12" t="inlineStr">
        <is>
          <t>2WD</t>
        </is>
      </c>
      <c r="C298" s="12" t="inlineStr">
        <is>
          <t>2.2 XD ブラックトーン</t>
        </is>
      </c>
      <c r="D298" s="13" t="n">
        <v>3.8</v>
      </c>
      <c r="E298" s="14" t="n">
        <v>229.9</v>
      </c>
      <c r="F298" s="14" t="n">
        <v>218.6</v>
      </c>
      <c r="G298" s="15" t="n">
        <v>8.699999999999999</v>
      </c>
      <c r="H298" s="12" t="inlineStr">
        <is>
          <t>なし</t>
        </is>
      </c>
      <c r="I298" s="12" t="inlineStr">
        <is>
          <t>2028(R10)年01月</t>
        </is>
      </c>
      <c r="J298" s="12" t="inlineStr">
        <is>
          <t>保証付</t>
        </is>
      </c>
      <c r="K298" s="16" t="inlineStr">
        <is>
          <t>走行が多め（8.7万km） / 修復歴なし / 車検 2028/01 まで（残り15ヶ月） / 保証付 / 同年式より安い（中央値 279万）</t>
        </is>
      </c>
      <c r="L298" s="16" t="inlineStr">
        <is>
          <t>CX-8 2.2 XD ブラックトーン エディション ディーゼルターボ 7人乗/サンルーフ/BOSE/ルーフレール/DVD再生/衝突軽減ブレーキ/BSM/前後センサー/追従クルコン/LKAS/アダプティブLED/電動Bドア/360度ビュー/1列目パワーシート/1・2列目シートヒーター/10.25マツコネ/地デジ/ETC</t>
        </is>
      </c>
      <c r="M298" s="12" t="inlineStr">
        <is>
          <t>https://www.carsensor.net/usedcar/detail/AU7285194295/index.html</t>
        </is>
      </c>
    </row>
    <row r="299">
      <c r="A299" s="6" t="n">
        <v>2021</v>
      </c>
      <c r="B299" s="7" t="inlineStr">
        <is>
          <t>2WD</t>
        </is>
      </c>
      <c r="C299" s="7" t="inlineStr">
        <is>
          <t>2.2 XD ブラックトーン</t>
        </is>
      </c>
      <c r="D299" s="17" t="n">
        <v>3.8</v>
      </c>
      <c r="E299" s="9" t="n">
        <v>246.8</v>
      </c>
      <c r="F299" s="9" t="n">
        <v>239.9</v>
      </c>
      <c r="G299" s="10" t="n">
        <v>7.4</v>
      </c>
      <c r="H299" s="7" t="inlineStr">
        <is>
          <t>なし</t>
        </is>
      </c>
      <c r="I299" s="7" t="inlineStr">
        <is>
          <t>2028(R10)年02月</t>
        </is>
      </c>
      <c r="J299" s="7" t="inlineStr">
        <is>
          <t>保証付</t>
        </is>
      </c>
      <c r="K299" s="16" t="inlineStr">
        <is>
          <t>走行が多め（7.4万km） / 修復歴なし / 車検 2028/02 まで（残り16ヶ月） / 保証付 / 同年式より安い（中央値 279万）</t>
        </is>
      </c>
      <c r="L299" s="16" t="inlineStr">
        <is>
          <t>CX-8 2.2 XD ブラックトーン エディション ディーゼルターボ 禁煙 マツダコネクト10.25インチナビ 360度ビューモニター AppleCarplay ワイヤレス充電 ETC アダプティブLEDヘッドライト 純正19インチアルミホイール ブラインドスポットモニター スマートキー Pスタート</t>
        </is>
      </c>
      <c r="M299" s="7" t="inlineStr">
        <is>
          <t>https://www.carsensor.net/usedcar/detail/AU7373635965/index.html</t>
        </is>
      </c>
    </row>
    <row r="300">
      <c r="A300" s="11" t="n">
        <v>2022</v>
      </c>
      <c r="B300" s="12" t="inlineStr">
        <is>
          <t>2WD</t>
        </is>
      </c>
      <c r="C300" s="12" t="inlineStr">
        <is>
          <t>2.2 XD ブラックトーン</t>
        </is>
      </c>
      <c r="D300" s="13" t="n">
        <v>3.8</v>
      </c>
      <c r="E300" s="14" t="n">
        <v>296.7</v>
      </c>
      <c r="F300" s="14" t="n">
        <v>286.7</v>
      </c>
      <c r="G300" s="15" t="n">
        <v>4.2</v>
      </c>
      <c r="H300" s="12" t="inlineStr">
        <is>
          <t>なし</t>
        </is>
      </c>
      <c r="I300" s="12" t="inlineStr">
        <is>
          <t>2027(R09)年07月</t>
        </is>
      </c>
      <c r="J300" s="12" t="inlineStr">
        <is>
          <t>保証付</t>
        </is>
      </c>
      <c r="K300" s="16" t="inlineStr">
        <is>
          <t>修復歴なし / 車検 2027/07 まで（残り9ヶ月） / 保証付</t>
        </is>
      </c>
      <c r="L300" s="16" t="inlineStr">
        <is>
          <t>CX-8 2.2 XD ブラックトーン エディション ディーゼルターボ 当社下取りワンオーナー 360度モニター</t>
        </is>
      </c>
      <c r="M300" s="12" t="inlineStr">
        <is>
          <t>https://www.carsensor.net/usedcar/detail/AU7451373879/index.html</t>
        </is>
      </c>
    </row>
    <row r="301">
      <c r="A301" s="6" t="n">
        <v>2022</v>
      </c>
      <c r="B301" s="7" t="inlineStr">
        <is>
          <t>2WD</t>
        </is>
      </c>
      <c r="C301" s="7" t="inlineStr">
        <is>
          <t>2.2 XD ブラックトーン</t>
        </is>
      </c>
      <c r="D301" s="17" t="n">
        <v>3.7</v>
      </c>
      <c r="E301" s="9" t="n">
        <v>316.8</v>
      </c>
      <c r="F301" s="9" t="n">
        <v>310.8</v>
      </c>
      <c r="G301" s="10" t="n">
        <v>5.5</v>
      </c>
      <c r="H301" s="7" t="inlineStr">
        <is>
          <t>なし</t>
        </is>
      </c>
      <c r="I301" s="7" t="inlineStr">
        <is>
          <t>2027(R09)年06月</t>
        </is>
      </c>
      <c r="J301" s="7" t="inlineStr">
        <is>
          <t>保証付</t>
        </is>
      </c>
      <c r="K301" s="16" t="inlineStr">
        <is>
          <t>修復歴なし / 車検 2027/06 まで（残り8ヶ月） / 保証付</t>
        </is>
      </c>
      <c r="L301" s="16" t="inlineStr">
        <is>
          <t>CX-8 2.2 XD ブラックトーン エディション ディーゼルターボ 4WD 純正ナビ Bluetooth フルセグTV USB パドルシフト BOSEプレミアムオーディオ シートヒーター ステアリングヒーター 360°ビュー・モニター 純正19インチアルミ ETC</t>
        </is>
      </c>
      <c r="M301" s="7" t="inlineStr">
        <is>
          <t>https://www.carsensor.net/usedcar/detail/AU7410835444/index.html</t>
        </is>
      </c>
    </row>
    <row r="302">
      <c r="A302" s="11" t="n">
        <v>2021</v>
      </c>
      <c r="B302" s="12" t="inlineStr">
        <is>
          <t>2WD</t>
        </is>
      </c>
      <c r="C302" s="12" t="inlineStr">
        <is>
          <t>2.2 XD ブラックトーン</t>
        </is>
      </c>
      <c r="D302" s="13" t="n">
        <v>3.5</v>
      </c>
      <c r="E302" s="14" t="n">
        <v>210.9</v>
      </c>
      <c r="F302" s="14" t="n">
        <v>197.9</v>
      </c>
      <c r="G302" s="15" t="n">
        <v>9.6</v>
      </c>
      <c r="H302" s="12" t="inlineStr">
        <is>
          <t>なし</t>
        </is>
      </c>
      <c r="I302" s="12" t="inlineStr">
        <is>
          <t>車検整備付</t>
        </is>
      </c>
      <c r="J302" s="12" t="inlineStr">
        <is>
          <t>保証付</t>
        </is>
      </c>
      <c r="K302" s="16" t="inlineStr">
        <is>
          <t>走行が多め（9.6万km） / 修復歴なし / 車検整備付 / 保証付 / 同年式より安い（中央値 279万）</t>
        </is>
      </c>
      <c r="L302" s="16" t="inlineStr">
        <is>
          <t>CX-8 2.2 XD ブラックトーン エディション ディーゼルターボ 新品タイヤ/ディスプレイオーディオ+ナビ9インチ/衝突安全装置/シートヒーター/全方位モニター/車線逸脱防止支援システム/シート ハーフレザー/電動バックドア/ヘッドランプ LED</t>
        </is>
      </c>
      <c r="M302" s="12" t="inlineStr">
        <is>
          <t>https://www.carsensor.net/usedcar/detail/AU7172618676/index.html</t>
        </is>
      </c>
    </row>
    <row r="303">
      <c r="A303" s="6" t="n">
        <v>2021</v>
      </c>
      <c r="B303" s="7" t="inlineStr">
        <is>
          <t>2WD</t>
        </is>
      </c>
      <c r="C303" s="7" t="inlineStr">
        <is>
          <t>2.2 XD ブラックトーン</t>
        </is>
      </c>
      <c r="D303" s="17" t="n">
        <v>3.5</v>
      </c>
      <c r="E303" s="9" t="n">
        <v>224.8</v>
      </c>
      <c r="F303" s="9" t="n">
        <v>217.9</v>
      </c>
      <c r="G303" s="10" t="n">
        <v>8.5</v>
      </c>
      <c r="H303" s="7" t="inlineStr">
        <is>
          <t>なし</t>
        </is>
      </c>
      <c r="I303" s="7" t="inlineStr">
        <is>
          <t>車検整備付</t>
        </is>
      </c>
      <c r="J303" s="7" t="inlineStr">
        <is>
          <t>保証付</t>
        </is>
      </c>
      <c r="K303" s="16" t="inlineStr">
        <is>
          <t>走行が多め（8.5万km） / 修復歴なし / 車検整備付 / 保証付 / 同年式より安い（中央値 279万）</t>
        </is>
      </c>
      <c r="L303" s="16" t="inlineStr">
        <is>
          <t>CX-8 2.2 XD ブラックトーン エディション ディーゼルターボ 純ナビ/全方位K/ETC/衝突被害軽減/純AW</t>
        </is>
      </c>
      <c r="M303" s="7" t="inlineStr">
        <is>
          <t>https://www.carsensor.net/usedcar/detail/AU7438656853/index.html</t>
        </is>
      </c>
    </row>
    <row r="304">
      <c r="A304" s="11" t="n">
        <v>2021</v>
      </c>
      <c r="B304" s="12" t="inlineStr">
        <is>
          <t>2WD</t>
        </is>
      </c>
      <c r="C304" s="12" t="inlineStr">
        <is>
          <t>2.2 XD ブラックトーン</t>
        </is>
      </c>
      <c r="D304" s="13" t="n">
        <v>3.5</v>
      </c>
      <c r="E304" s="14" t="n">
        <v>195</v>
      </c>
      <c r="F304" s="14" t="n">
        <v>182.9</v>
      </c>
      <c r="G304" s="15" t="n">
        <v>9.300000000000001</v>
      </c>
      <c r="H304" s="12" t="inlineStr">
        <is>
          <t>なし</t>
        </is>
      </c>
      <c r="I304" s="12" t="inlineStr">
        <is>
          <t>車検整備付</t>
        </is>
      </c>
      <c r="J304" s="12" t="inlineStr">
        <is>
          <t>保証付</t>
        </is>
      </c>
      <c r="K304" s="16" t="inlineStr">
        <is>
          <t>走行が多め（9.3万km） / 修復歴なし / 車検整備付 / 保証付 / 同年式より安い（中央値 279万）</t>
        </is>
      </c>
      <c r="L304" s="16" t="inlineStr">
        <is>
          <t>CX-8 2.2 XD ブラックトーン エディション ディーゼルターボ 6ヶ月走行距離無制限保証付 純正10.25インチナビ ドライブレコーダー 全周囲カメラ 電動リアゲート 禁煙車 コーナーセンサー ETC 衝突軽減ブレーキ ブラインドスポットモニター 本革シート フルセグTV</t>
        </is>
      </c>
      <c r="M304" s="12" t="inlineStr">
        <is>
          <t>https://www.carsensor.net/usedcar/detail/AU7350259339/index.html</t>
        </is>
      </c>
    </row>
    <row r="305">
      <c r="A305" s="6" t="n">
        <v>2021</v>
      </c>
      <c r="B305" s="7" t="inlineStr">
        <is>
          <t>2WD</t>
        </is>
      </c>
      <c r="C305" s="7" t="inlineStr">
        <is>
          <t>2.2 XD ブラックトーン</t>
        </is>
      </c>
      <c r="D305" s="17" t="n">
        <v>3.5</v>
      </c>
      <c r="E305" s="9" t="n">
        <v>245.8</v>
      </c>
      <c r="F305" s="9" t="n">
        <v>234</v>
      </c>
      <c r="G305" s="10" t="n">
        <v>7.5</v>
      </c>
      <c r="H305" s="7" t="inlineStr">
        <is>
          <t>なし</t>
        </is>
      </c>
      <c r="I305" s="7" t="inlineStr">
        <is>
          <t>車検整備付</t>
        </is>
      </c>
      <c r="J305" s="7" t="inlineStr">
        <is>
          <t>保証付</t>
        </is>
      </c>
      <c r="K305" s="16" t="inlineStr">
        <is>
          <t>走行が多め（7.5万km） / 修復歴なし / 車検整備付 / 保証付 / 同年式より安い（中央値 279万）</t>
        </is>
      </c>
      <c r="L305" s="16" t="inlineStr">
        <is>
          <t>CX-8 2.2 XD ブラックトーン エディション ディーゼルターボ</t>
        </is>
      </c>
      <c r="M305" s="7" t="inlineStr">
        <is>
          <t>https://www.carsensor.net/usedcar/detail/AU7216551349/index.html</t>
        </is>
      </c>
    </row>
    <row r="306">
      <c r="A306" s="11" t="n">
        <v>2022</v>
      </c>
      <c r="B306" s="12" t="inlineStr">
        <is>
          <t>2WD</t>
        </is>
      </c>
      <c r="C306" s="12" t="inlineStr">
        <is>
          <t>2.2 XD ブラックトーン</t>
        </is>
      </c>
      <c r="D306" s="13" t="n">
        <v>3.5</v>
      </c>
      <c r="E306" s="14" t="n">
        <v>238.8</v>
      </c>
      <c r="F306" s="14" t="n">
        <v>226.8</v>
      </c>
      <c r="G306" s="15" t="n">
        <v>7.3</v>
      </c>
      <c r="H306" s="12" t="inlineStr">
        <is>
          <t>なし</t>
        </is>
      </c>
      <c r="I306" s="12" t="inlineStr">
        <is>
          <t>車検整備付</t>
        </is>
      </c>
      <c r="J306" s="12" t="inlineStr">
        <is>
          <t>保証付</t>
        </is>
      </c>
      <c r="K306" s="16" t="inlineStr">
        <is>
          <t>走行が多め（7.3万km） / 修復歴なし / 車検整備付 / 保証付 / 同年式より安い（中央値 296万）</t>
        </is>
      </c>
      <c r="L306" s="16" t="inlineStr">
        <is>
          <t>CX-8 2.2 XD ブラックトーン エディション ディーゼルターボ 純正10型ナビ/全周囲カメラ/AppleCarPlay/レーダークルーズコントロール/6人乗/BOSEサウンド/ETC/ブラインドスポットモニター/サイドガーニッシュ/ルーフレール/電動リアゲート/シートメモリ</t>
        </is>
      </c>
      <c r="M306" s="12" t="inlineStr">
        <is>
          <t>https://www.carsensor.net/usedcar/detail/AU7338076698/index.html</t>
        </is>
      </c>
    </row>
    <row r="307">
      <c r="A307" s="6" t="n">
        <v>2023</v>
      </c>
      <c r="B307" s="7" t="inlineStr">
        <is>
          <t>2WD</t>
        </is>
      </c>
      <c r="C307" s="7" t="inlineStr">
        <is>
          <t>2.2 XD ブラックトーン</t>
        </is>
      </c>
      <c r="D307" s="17" t="n">
        <v>3.5</v>
      </c>
      <c r="E307" s="9" t="n">
        <v>309.9</v>
      </c>
      <c r="F307" s="9" t="n">
        <v>292.6</v>
      </c>
      <c r="G307" s="10" t="n">
        <v>4.6</v>
      </c>
      <c r="H307" s="7" t="inlineStr">
        <is>
          <t>なし</t>
        </is>
      </c>
      <c r="I307" s="7" t="inlineStr">
        <is>
          <t>車検整備付</t>
        </is>
      </c>
      <c r="J307" s="7" t="inlineStr">
        <is>
          <t>保証付</t>
        </is>
      </c>
      <c r="K307" s="16" t="inlineStr">
        <is>
          <t>走行が多め（4.6万km） / 修復歴なし / 車検整備付 / 保証付 / 同年式より安い（中央値 348万）</t>
        </is>
      </c>
      <c r="L307" s="16" t="inlineStr">
        <is>
          <t>CX-8 2.2 XD ブラックトーン エディション ディーゼルターボ ディーゼル 7人乗り マツダコネクトナビ 360°ビューモニター 禁煙車 電動リアゲート ハーフレザーシート コーナーセンサー スマートキー LEDヘッド ビルトインETC</t>
        </is>
      </c>
      <c r="M307" s="7" t="inlineStr">
        <is>
          <t>https://www.carsensor.net/usedcar/detail/AU7366762199/index.html</t>
        </is>
      </c>
    </row>
    <row r="308">
      <c r="A308" s="11" t="n">
        <v>2023</v>
      </c>
      <c r="B308" s="12" t="inlineStr">
        <is>
          <t>2WD</t>
        </is>
      </c>
      <c r="C308" s="12" t="inlineStr">
        <is>
          <t>2.2 XD ブラックトーン</t>
        </is>
      </c>
      <c r="D308" s="13" t="n">
        <v>3.5</v>
      </c>
      <c r="E308" s="14" t="n">
        <v>303.4</v>
      </c>
      <c r="F308" s="14" t="n">
        <v>289.8</v>
      </c>
      <c r="G308" s="15" t="n">
        <v>5.9</v>
      </c>
      <c r="H308" s="12" t="inlineStr">
        <is>
          <t>なし</t>
        </is>
      </c>
      <c r="I308" s="12" t="inlineStr">
        <is>
          <t>車検整備付</t>
        </is>
      </c>
      <c r="J308" s="12" t="inlineStr">
        <is>
          <t>保証付</t>
        </is>
      </c>
      <c r="K308" s="16" t="inlineStr">
        <is>
          <t>走行が多め（5.9万km） / 修復歴なし / 車検整備付 / 保証付 / 同年式より安い（中央値 348万）</t>
        </is>
      </c>
      <c r="L308" s="16" t="inlineStr">
        <is>
          <t>CX-8 2.2 XD ブラックトーン エディション ディーゼルターボ マツダ認定中古車</t>
        </is>
      </c>
      <c r="M308" s="12" t="inlineStr">
        <is>
          <t>https://www.carsensor.net/usedcar/detail/AU7290417607/index.html</t>
        </is>
      </c>
    </row>
    <row r="309">
      <c r="A309" s="6" t="n">
        <v>2023</v>
      </c>
      <c r="B309" s="7" t="inlineStr">
        <is>
          <t>2WD</t>
        </is>
      </c>
      <c r="C309" s="7" t="inlineStr">
        <is>
          <t>2.2 XD ブラックトーン</t>
        </is>
      </c>
      <c r="D309" s="17" t="n">
        <v>3.5</v>
      </c>
      <c r="E309" s="9" t="n">
        <v>288.8</v>
      </c>
      <c r="F309" s="9" t="n">
        <v>278.6</v>
      </c>
      <c r="G309" s="10" t="n">
        <v>6.2</v>
      </c>
      <c r="H309" s="7" t="inlineStr">
        <is>
          <t>なし</t>
        </is>
      </c>
      <c r="I309" s="7" t="inlineStr">
        <is>
          <t>車検整備付</t>
        </is>
      </c>
      <c r="J309" s="7" t="inlineStr">
        <is>
          <t>保証付</t>
        </is>
      </c>
      <c r="K309" s="16" t="inlineStr">
        <is>
          <t>走行が多め（6.2万km） / 修復歴なし / 車検整備付 / 保証付 / 同年式より安い（中央値 348万）</t>
        </is>
      </c>
      <c r="L309" s="16" t="inlineStr">
        <is>
          <t>CX-8 2.2 XD ブラックトーン エディション ディーゼルターボ 純DA/衝突軽減/全方位/レーダークルコン</t>
        </is>
      </c>
      <c r="M309" s="7" t="inlineStr">
        <is>
          <t>https://www.carsensor.net/usedcar/detail/AU7389379371/index.html</t>
        </is>
      </c>
    </row>
    <row r="310">
      <c r="A310" s="11" t="n">
        <v>2023</v>
      </c>
      <c r="B310" s="12" t="inlineStr">
        <is>
          <t>2WD</t>
        </is>
      </c>
      <c r="C310" s="12" t="inlineStr">
        <is>
          <t>2.2 XD ブラックトーン</t>
        </is>
      </c>
      <c r="D310" s="13" t="n">
        <v>3.5</v>
      </c>
      <c r="E310" s="14" t="n">
        <v>262.6</v>
      </c>
      <c r="F310" s="14" t="n">
        <v>248.9</v>
      </c>
      <c r="G310" s="15" t="n">
        <v>7.7</v>
      </c>
      <c r="H310" s="12" t="inlineStr">
        <is>
          <t>なし</t>
        </is>
      </c>
      <c r="I310" s="12" t="inlineStr">
        <is>
          <t>車検整備付</t>
        </is>
      </c>
      <c r="J310" s="12" t="inlineStr">
        <is>
          <t>保証付</t>
        </is>
      </c>
      <c r="K310" s="16" t="inlineStr">
        <is>
          <t>走行が多め（7.7万km） / 修復歴なし / 車検整備付 / 保証付 / 同年式より安い（中央値 348万）</t>
        </is>
      </c>
      <c r="L310" s="16" t="inlineStr">
        <is>
          <t>CX-8 2.2 XD ブラックトーン エディション ディーゼルターボ マツダコネクト ナビゲーションSDカード</t>
        </is>
      </c>
      <c r="M310" s="12" t="inlineStr">
        <is>
          <t>https://www.carsensor.net/usedcar/detail/AU7403206908/index.html</t>
        </is>
      </c>
    </row>
    <row r="311">
      <c r="A311" s="6" t="n">
        <v>2023</v>
      </c>
      <c r="B311" s="7" t="inlineStr">
        <is>
          <t>2WD</t>
        </is>
      </c>
      <c r="C311" s="7" t="inlineStr">
        <is>
          <t>2.2 XD ブラックトーン</t>
        </is>
      </c>
      <c r="D311" s="17" t="n">
        <v>3.5</v>
      </c>
      <c r="E311" s="9" t="n">
        <v>313</v>
      </c>
      <c r="F311" s="9" t="n">
        <v>298</v>
      </c>
      <c r="G311" s="10" t="n">
        <v>4.5</v>
      </c>
      <c r="H311" s="7" t="inlineStr">
        <is>
          <t>なし</t>
        </is>
      </c>
      <c r="I311" s="7" t="inlineStr">
        <is>
          <t>車検整備付</t>
        </is>
      </c>
      <c r="J311" s="7" t="inlineStr">
        <is>
          <t>保証付</t>
        </is>
      </c>
      <c r="K311" s="16" t="inlineStr">
        <is>
          <t>走行が多め（4.5万km） / 修復歴なし / 車検整備付 / 保証付 / 同年式より安い（中央値 348万）</t>
        </is>
      </c>
      <c r="L311" s="16" t="inlineStr">
        <is>
          <t>CX-8 2.2 XD ブラックトーン エディション ディーゼルターボ ナビ/CarPlay/全方位モニタ/衝突軽減ブレーキ/ETC/残価設定型クレジット対応</t>
        </is>
      </c>
      <c r="M311" s="7" t="inlineStr">
        <is>
          <t>https://www.carsensor.net/usedcar/detail/AU7443631639/index.html</t>
        </is>
      </c>
    </row>
    <row r="312">
      <c r="A312" s="11" t="n">
        <v>2023</v>
      </c>
      <c r="B312" s="12" t="inlineStr">
        <is>
          <t>2WD</t>
        </is>
      </c>
      <c r="C312" s="12" t="inlineStr">
        <is>
          <t>2.2 XD ブラックトーン</t>
        </is>
      </c>
      <c r="D312" s="13" t="n">
        <v>3.5</v>
      </c>
      <c r="E312" s="14" t="n">
        <v>308.8</v>
      </c>
      <c r="F312" s="14" t="n">
        <v>297.2</v>
      </c>
      <c r="G312" s="15" t="n">
        <v>4.7</v>
      </c>
      <c r="H312" s="12" t="inlineStr">
        <is>
          <t>なし</t>
        </is>
      </c>
      <c r="I312" s="12" t="inlineStr">
        <is>
          <t>車検整備付</t>
        </is>
      </c>
      <c r="J312" s="12" t="inlineStr">
        <is>
          <t>保証付</t>
        </is>
      </c>
      <c r="K312" s="16" t="inlineStr">
        <is>
          <t>走行が多め（4.7万km） / 修復歴なし / 車検整備付 / 保証付 / 同年式より安い（中央値 348万）</t>
        </is>
      </c>
      <c r="L312" s="16" t="inlineStr">
        <is>
          <t>CX-8 2.2 XD ブラックトーン エディション ディーゼルターボ フルセグTV/全周囲カメラ/10型ナビ/ブラインドスポットモニター/ヘッドアップディスプレイ/後席シートヒーター/レーダークルーズコントロール/ステアリングヒーター/クリアランスソナー</t>
        </is>
      </c>
      <c r="M312" s="12" t="inlineStr">
        <is>
          <t>https://www.carsensor.net/usedcar/detail/AU7418526453/index.html</t>
        </is>
      </c>
    </row>
    <row r="313">
      <c r="A313" s="6" t="n">
        <v>2022</v>
      </c>
      <c r="B313" s="7" t="inlineStr">
        <is>
          <t>2WD</t>
        </is>
      </c>
      <c r="C313" s="7" t="inlineStr">
        <is>
          <t>2.2 XD ブラックトーン</t>
        </is>
      </c>
      <c r="D313" s="17" t="n">
        <v>3.4</v>
      </c>
      <c r="E313" s="9" t="n">
        <v>276.8</v>
      </c>
      <c r="F313" s="9" t="n">
        <v>270.9</v>
      </c>
      <c r="G313" s="10" t="n">
        <v>4.7</v>
      </c>
      <c r="H313" s="7" t="inlineStr">
        <is>
          <t>なし</t>
        </is>
      </c>
      <c r="I313" s="7" t="inlineStr">
        <is>
          <t>2027(R09)年03月</t>
        </is>
      </c>
      <c r="J313" s="7" t="inlineStr">
        <is>
          <t>保証付</t>
        </is>
      </c>
      <c r="K313" s="16" t="inlineStr">
        <is>
          <t>修復歴なし / 車検 2027/03 まで（残り5ヶ月） / 保証付</t>
        </is>
      </c>
      <c r="L313" s="16" t="inlineStr">
        <is>
          <t>CX-8 2.2 XD ブラックトーン エディション ディーゼルターボ 純正ナビ/ETC/360度ビューモニター/アイアクティブセンス/レーンキープアシストシステム/マツダレーダークルーズコントロール/車線逸脱警報システム/アイストップ/前後パーキングセンサー</t>
        </is>
      </c>
      <c r="M313" s="7" t="inlineStr">
        <is>
          <t>https://www.carsensor.net/usedcar/detail/AU7335933643/index.html</t>
        </is>
      </c>
    </row>
    <row r="314">
      <c r="A314" s="11" t="n">
        <v>2022</v>
      </c>
      <c r="B314" s="12" t="inlineStr">
        <is>
          <t>2WD</t>
        </is>
      </c>
      <c r="C314" s="12" t="inlineStr">
        <is>
          <t>2.2 XD ブラックトーン</t>
        </is>
      </c>
      <c r="D314" s="13" t="n">
        <v>3.4</v>
      </c>
      <c r="E314" s="14" t="n">
        <v>286.9</v>
      </c>
      <c r="F314" s="14" t="n">
        <v>275.5</v>
      </c>
      <c r="G314" s="15" t="n">
        <v>4.8</v>
      </c>
      <c r="H314" s="12" t="inlineStr">
        <is>
          <t>なし</t>
        </is>
      </c>
      <c r="I314" s="12" t="inlineStr">
        <is>
          <t>2027(R09)年03月</t>
        </is>
      </c>
      <c r="J314" s="12" t="inlineStr">
        <is>
          <t>保証付</t>
        </is>
      </c>
      <c r="K314" s="16" t="inlineStr">
        <is>
          <t>修復歴なし / 車検 2027/03 まで（残り5ヶ月） / 保証付</t>
        </is>
      </c>
      <c r="L314" s="16" t="inlineStr">
        <is>
          <t>CX-8 2.2 XD ブラックトーン エディション ディーゼルターボ 純正10型ナビ シティブレーキ レーダークルーズ BOSE 禁煙車 電動リアゲート ハーフレザーシート シートヒーター パワーシート コーナーセンサー オートハイビーム スマートキー LEDヘッド</t>
        </is>
      </c>
      <c r="M314" s="12" t="inlineStr">
        <is>
          <t>https://www.carsensor.net/usedcar/detail/AU7448588387/index.html</t>
        </is>
      </c>
    </row>
    <row r="315">
      <c r="A315" s="6" t="n">
        <v>2022</v>
      </c>
      <c r="B315" s="7" t="inlineStr">
        <is>
          <t>2WD</t>
        </is>
      </c>
      <c r="C315" s="7" t="inlineStr">
        <is>
          <t>2.2 XD ブラックトーン</t>
        </is>
      </c>
      <c r="D315" s="17" t="n">
        <v>3.4</v>
      </c>
      <c r="E315" s="9" t="n">
        <v>314.8</v>
      </c>
      <c r="F315" s="9" t="n">
        <v>309</v>
      </c>
      <c r="G315" s="10" t="n">
        <v>3.9</v>
      </c>
      <c r="H315" s="7" t="inlineStr">
        <is>
          <t>なし</t>
        </is>
      </c>
      <c r="I315" s="7" t="inlineStr">
        <is>
          <t>2027(R09)年03月</t>
        </is>
      </c>
      <c r="J315" s="7" t="inlineStr">
        <is>
          <t>保証付</t>
        </is>
      </c>
      <c r="K315" s="16" t="inlineStr">
        <is>
          <t>修復歴なし / 車検 2027/03 まで（残り5ヶ月） / 保証付</t>
        </is>
      </c>
      <c r="L315" s="16" t="inlineStr">
        <is>
          <t>CX-8 2.2 XD ブラックトーン エディション ディーゼルターボ 禁煙車 Bluetooth ディーゼルターボ</t>
        </is>
      </c>
      <c r="M315" s="7" t="inlineStr">
        <is>
          <t>https://www.carsensor.net/usedcar/detail/AU7229490400/index.html</t>
        </is>
      </c>
    </row>
    <row r="316">
      <c r="A316" s="11" t="n">
        <v>2022</v>
      </c>
      <c r="B316" s="12" t="inlineStr">
        <is>
          <t>2WD</t>
        </is>
      </c>
      <c r="C316" s="12" t="inlineStr">
        <is>
          <t>2.2 XD ブラックトーン</t>
        </is>
      </c>
      <c r="D316" s="13" t="n">
        <v>3.4</v>
      </c>
      <c r="E316" s="14" t="n">
        <v>210</v>
      </c>
      <c r="F316" s="14" t="n">
        <v>193.9</v>
      </c>
      <c r="G316" s="15" t="n">
        <v>7.6</v>
      </c>
      <c r="H316" s="12" t="inlineStr">
        <is>
          <t>なし</t>
        </is>
      </c>
      <c r="I316" s="12" t="inlineStr">
        <is>
          <t>2027(R09)年09月</t>
        </is>
      </c>
      <c r="J316" s="12" t="inlineStr">
        <is>
          <t>保証付</t>
        </is>
      </c>
      <c r="K316" s="16" t="inlineStr">
        <is>
          <t>走行が多め（7.6万km） / 修復歴なし / 車検 2027/09 まで（残り11ヶ月） / 保証付 / 同年式より安い（中央値 296万）</t>
        </is>
      </c>
      <c r="L316" s="16" t="inlineStr">
        <is>
          <t>CX-8 2.2 XD ブラックトーン エディション ディーゼルターボ ワンオーナー・i-ACTIVSENSE・フルセグナビ・全周囲カメラ・BTオーディオ・パワーリアゲート・LEDライト・LKA・ACC・BSM・Cソナー・AHB・HUD・アイドリングストップ・USB</t>
        </is>
      </c>
      <c r="M316" s="12" t="inlineStr">
        <is>
          <t>https://www.carsensor.net/usedcar/detail/AU7216565304/index.html</t>
        </is>
      </c>
    </row>
    <row r="317">
      <c r="A317" s="6" t="n">
        <v>2022</v>
      </c>
      <c r="B317" s="7" t="inlineStr">
        <is>
          <t>2WD</t>
        </is>
      </c>
      <c r="C317" s="7" t="inlineStr">
        <is>
          <t>2.2 XD ブラックトーン</t>
        </is>
      </c>
      <c r="D317" s="17" t="n">
        <v>3.3</v>
      </c>
      <c r="E317" s="9" t="n">
        <v>284.8</v>
      </c>
      <c r="F317" s="9" t="n">
        <v>279.1</v>
      </c>
      <c r="G317" s="10" t="n">
        <v>4.1</v>
      </c>
      <c r="H317" s="7" t="inlineStr">
        <is>
          <t>なし</t>
        </is>
      </c>
      <c r="I317" s="7" t="inlineStr">
        <is>
          <t>2027(R09)年02月</t>
        </is>
      </c>
      <c r="J317" s="7" t="inlineStr">
        <is>
          <t>保証付</t>
        </is>
      </c>
      <c r="K317" s="16" t="inlineStr">
        <is>
          <t>修復歴なし / 車検 2027/02 まで（残り4ヶ月） / 保証付</t>
        </is>
      </c>
      <c r="L317" s="16" t="inlineStr">
        <is>
          <t>CX-8 2.2 XD ブラックトーン エディション ディーゼルターボ マツダコネクト10.25型ナビ 360度ビューカメラ i-ACTIVSENSE パワーバックドア ヘッドアップディスプレイ シルバールーフレール ワイヤレス充電 アダブティブティブLEDヘッドランプ</t>
        </is>
      </c>
      <c r="M317" s="7" t="inlineStr">
        <is>
          <t>https://www.carsensor.net/usedcar/detail/AU7170655951/index.html</t>
        </is>
      </c>
    </row>
    <row r="318">
      <c r="A318" s="11" t="n">
        <v>2022</v>
      </c>
      <c r="B318" s="12" t="inlineStr">
        <is>
          <t>2WD</t>
        </is>
      </c>
      <c r="C318" s="12" t="inlineStr">
        <is>
          <t>2.2 XD ブラックトーン</t>
        </is>
      </c>
      <c r="D318" s="13" t="n">
        <v>3.3</v>
      </c>
      <c r="E318" s="14" t="n">
        <v>294.8</v>
      </c>
      <c r="F318" s="14" t="n">
        <v>289</v>
      </c>
      <c r="G318" s="15" t="n">
        <v>4.1</v>
      </c>
      <c r="H318" s="12" t="inlineStr">
        <is>
          <t>なし</t>
        </is>
      </c>
      <c r="I318" s="12" t="inlineStr">
        <is>
          <t>2027(R09)年02月</t>
        </is>
      </c>
      <c r="J318" s="12" t="inlineStr">
        <is>
          <t>保証付</t>
        </is>
      </c>
      <c r="K318" s="16" t="inlineStr">
        <is>
          <t>修復歴なし / 車検 2027/02 まで（残り4ヶ月） / 保証付</t>
        </is>
      </c>
      <c r="L318" s="16" t="inlineStr">
        <is>
          <t>CX-8 2.2 XD ブラックトーン エディション ディーゼルターボ 純正ナビ 衝突軽減ブレーキ 全方位カメラ ETC シートヒーター レーダークルーズコントロール コーナーセンサー LEDヘッドライト ブラインドスポットモニター 電動リアゲート</t>
        </is>
      </c>
      <c r="M318" s="12" t="inlineStr">
        <is>
          <t>https://www.carsensor.net/usedcar/detail/AU7262534828/index.html</t>
        </is>
      </c>
    </row>
    <row r="319">
      <c r="A319" s="6" t="n">
        <v>2022</v>
      </c>
      <c r="B319" s="7" t="inlineStr">
        <is>
          <t>2WD</t>
        </is>
      </c>
      <c r="C319" s="7" t="inlineStr">
        <is>
          <t>2.2 XD ブラックトーン</t>
        </is>
      </c>
      <c r="D319" s="17" t="n">
        <v>3.3</v>
      </c>
      <c r="E319" s="9" t="n">
        <v>297.8</v>
      </c>
      <c r="F319" s="9" t="n">
        <v>292.1</v>
      </c>
      <c r="G319" s="10" t="n">
        <v>4.6</v>
      </c>
      <c r="H319" s="7" t="inlineStr">
        <is>
          <t>なし</t>
        </is>
      </c>
      <c r="I319" s="7" t="inlineStr">
        <is>
          <t>2027(R09)年02月</t>
        </is>
      </c>
      <c r="J319" s="7" t="inlineStr">
        <is>
          <t>保証付</t>
        </is>
      </c>
      <c r="K319" s="16" t="inlineStr">
        <is>
          <t>修復歴なし / 車検 2027/02 まで（残り4ヶ月） / 保証付</t>
        </is>
      </c>
      <c r="L319" s="16" t="inlineStr">
        <is>
          <t>CX-8 2.2 XD ブラックトーン エディション ディーゼルターボ ワンオーナー 修復歴無し</t>
        </is>
      </c>
      <c r="M319" s="7" t="inlineStr">
        <is>
          <t>https://www.carsensor.net/usedcar/detail/AU7450694669/index.html</t>
        </is>
      </c>
    </row>
    <row r="320">
      <c r="A320" s="11" t="n">
        <v>2022</v>
      </c>
      <c r="B320" s="12" t="inlineStr">
        <is>
          <t>2WD</t>
        </is>
      </c>
      <c r="C320" s="12" t="inlineStr">
        <is>
          <t>2.2 XD ブラックトーン</t>
        </is>
      </c>
      <c r="D320" s="13" t="n">
        <v>3.3</v>
      </c>
      <c r="E320" s="14" t="n">
        <v>287.9</v>
      </c>
      <c r="F320" s="14" t="n">
        <v>281.6</v>
      </c>
      <c r="G320" s="15" t="n">
        <v>3.8</v>
      </c>
      <c r="H320" s="12" t="inlineStr">
        <is>
          <t>なし</t>
        </is>
      </c>
      <c r="I320" s="12" t="inlineStr">
        <is>
          <t>2027(R09)年02月</t>
        </is>
      </c>
      <c r="J320" s="12" t="inlineStr">
        <is>
          <t>保証付</t>
        </is>
      </c>
      <c r="K320" s="16" t="inlineStr">
        <is>
          <t>修復歴なし / 車検 2027/02 まで（残り4ヶ月） / 保証付</t>
        </is>
      </c>
      <c r="L320" s="16" t="inlineStr">
        <is>
          <t>CX-8 2.2 XD ブラックトーン エディション ディーゼルターボ 新品タイヤ/8インチ SDナビ/衝突安全装置/シートヒーター/全方位モニター/車線逸脱防止支援システム/シート ハーフレザー/電動バックドア/ドライブレコーダー 前後</t>
        </is>
      </c>
      <c r="M320" s="12" t="inlineStr">
        <is>
          <t>https://www.carsensor.net/usedcar/detail/AU7228436460/index.html</t>
        </is>
      </c>
    </row>
    <row r="321">
      <c r="A321" s="6" t="n">
        <v>2022</v>
      </c>
      <c r="B321" s="7" t="inlineStr">
        <is>
          <t>2WD</t>
        </is>
      </c>
      <c r="C321" s="7" t="inlineStr">
        <is>
          <t>2.2 XD ブラックトーン</t>
        </is>
      </c>
      <c r="D321" s="17" t="n">
        <v>3.3</v>
      </c>
      <c r="E321" s="9" t="n">
        <v>298.8</v>
      </c>
      <c r="F321" s="9" t="n">
        <v>293</v>
      </c>
      <c r="G321" s="10" t="n">
        <v>4.6</v>
      </c>
      <c r="H321" s="7" t="inlineStr">
        <is>
          <t>なし</t>
        </is>
      </c>
      <c r="I321" s="7" t="inlineStr">
        <is>
          <t>2027(R09)年02月</t>
        </is>
      </c>
      <c r="J321" s="7" t="inlineStr">
        <is>
          <t>保証付</t>
        </is>
      </c>
      <c r="K321" s="16" t="inlineStr">
        <is>
          <t>修復歴なし / 車検 2027/02 まで（残り4ヶ月） / 保証付</t>
        </is>
      </c>
      <c r="L321" s="16" t="inlineStr">
        <is>
          <t>CX-8 2.2 XD ブラックトーン エディション ディーゼルターボ 純正10.25インチナビ/USB/Bluetooth/スマホ連携/フルセグ/パノラミックビューカメラ/ハーフレザー/前席パワーシート/メモリーシート/シートヒーター/i-ACTIVSENSE/レーダークルーズコントロール/ハンドルヒーター</t>
        </is>
      </c>
      <c r="M321" s="7" t="inlineStr">
        <is>
          <t>https://www.carsensor.net/usedcar/detail/AU7403119856/index.html</t>
        </is>
      </c>
    </row>
    <row r="322">
      <c r="A322" s="11" t="n">
        <v>2022</v>
      </c>
      <c r="B322" s="12" t="inlineStr">
        <is>
          <t>2WD</t>
        </is>
      </c>
      <c r="C322" s="12" t="inlineStr">
        <is>
          <t>2.2 XD ブラックトーン</t>
        </is>
      </c>
      <c r="D322" s="13" t="n">
        <v>3.3</v>
      </c>
      <c r="E322" s="14" t="n">
        <v>282.9</v>
      </c>
      <c r="F322" s="14" t="n">
        <v>277.1</v>
      </c>
      <c r="G322" s="15" t="n">
        <v>5.8</v>
      </c>
      <c r="H322" s="12" t="inlineStr">
        <is>
          <t>なし</t>
        </is>
      </c>
      <c r="I322" s="12" t="inlineStr">
        <is>
          <t>2027(R09)年02月</t>
        </is>
      </c>
      <c r="J322" s="12" t="inlineStr">
        <is>
          <t>保証付</t>
        </is>
      </c>
      <c r="K322" s="16" t="inlineStr">
        <is>
          <t>修復歴なし / 車検 2027/02 まで（残り4ヶ月） / 保証付</t>
        </is>
      </c>
      <c r="L322" s="16" t="inlineStr">
        <is>
          <t>CX-8 2.2 XD ブラックトーン エディション ディーゼルターボ 禁煙車 衝突軽減 純正10.25型ナビ フリップダウンモニター フルセグ 全周囲カメラ 追従クルコン ビルトインETC 前後ドラレコ 電動リアゲート パワーシート シートヒーター 純正19インチアルミ</t>
        </is>
      </c>
      <c r="M322" s="12" t="inlineStr">
        <is>
          <t>https://www.carsensor.net/usedcar/detail/AU7318558030/index.html</t>
        </is>
      </c>
    </row>
    <row r="323">
      <c r="A323" s="6" t="n">
        <v>2022</v>
      </c>
      <c r="B323" s="7" t="inlineStr">
        <is>
          <t>2WD</t>
        </is>
      </c>
      <c r="C323" s="7" t="inlineStr">
        <is>
          <t>2.2 XD ブラックトーン</t>
        </is>
      </c>
      <c r="D323" s="17" t="n">
        <v>3.3</v>
      </c>
      <c r="E323" s="9" t="n">
        <v>286.9</v>
      </c>
      <c r="F323" s="9" t="n">
        <v>280.6</v>
      </c>
      <c r="G323" s="10" t="n">
        <v>4.7</v>
      </c>
      <c r="H323" s="7" t="inlineStr">
        <is>
          <t>なし</t>
        </is>
      </c>
      <c r="I323" s="7" t="inlineStr">
        <is>
          <t>2027(R09)年02月</t>
        </is>
      </c>
      <c r="J323" s="7" t="inlineStr">
        <is>
          <t>保証付</t>
        </is>
      </c>
      <c r="K323" s="16" t="inlineStr">
        <is>
          <t>修復歴なし / 車検 2027/02 まで（残り4ヶ月） / 保証付</t>
        </is>
      </c>
      <c r="L323" s="16" t="inlineStr">
        <is>
          <t>CX-8 2.2 XD ブラックトーン エディション ディーゼルターボ BOSE/ディスプレイオーディオ10インチ/衝突安全装置/シートヒーター 前席/360°ビューモニター/車線逸脱防止支援システム/シート ハーフレザー/電動バックドア/ヘッドランプ LED</t>
        </is>
      </c>
      <c r="M323" s="7" t="inlineStr">
        <is>
          <t>https://www.carsensor.net/usedcar/detail/AU7417813381/index.html</t>
        </is>
      </c>
    </row>
    <row r="324">
      <c r="A324" s="11" t="n">
        <v>2022</v>
      </c>
      <c r="B324" s="12" t="inlineStr">
        <is>
          <t>2WD</t>
        </is>
      </c>
      <c r="C324" s="12" t="inlineStr">
        <is>
          <t>2.2 XD ブラックトーン</t>
        </is>
      </c>
      <c r="D324" s="13" t="n">
        <v>3.2</v>
      </c>
      <c r="E324" s="14" t="n">
        <v>299</v>
      </c>
      <c r="F324" s="14" t="n">
        <v>285</v>
      </c>
      <c r="G324" s="15" t="n">
        <v>4.5</v>
      </c>
      <c r="H324" s="12" t="inlineStr">
        <is>
          <t>なし</t>
        </is>
      </c>
      <c r="I324" s="12" t="inlineStr">
        <is>
          <t>2027(R09)年01月</t>
        </is>
      </c>
      <c r="J324" s="12" t="inlineStr">
        <is>
          <t>保証付</t>
        </is>
      </c>
      <c r="K324" s="16" t="inlineStr">
        <is>
          <t>修復歴なし / 車検 2027/01 まで（残り3ヶ月） / 保証付</t>
        </is>
      </c>
      <c r="L324" s="16" t="inlineStr">
        <is>
          <t>CX-8 2.2 XD ブラックトーン エディション ディーゼルターボ SUV 特別仕様車 360度モニター 純正ナビ ハンズフリーパワーリフトゲート オートクルーズシステム</t>
        </is>
      </c>
      <c r="M324" s="12" t="inlineStr">
        <is>
          <t>https://www.carsensor.net/usedcar/detail/AU7410331566/index.html</t>
        </is>
      </c>
    </row>
    <row r="325">
      <c r="A325" s="6" t="n">
        <v>2023</v>
      </c>
      <c r="B325" s="7" t="inlineStr">
        <is>
          <t>2WD</t>
        </is>
      </c>
      <c r="C325" s="7" t="inlineStr">
        <is>
          <t>2.2 XD ブラックトーン</t>
        </is>
      </c>
      <c r="D325" s="17" t="n">
        <v>3.2</v>
      </c>
      <c r="E325" s="9" t="n">
        <v>335.8</v>
      </c>
      <c r="F325" s="9" t="n">
        <v>329.8</v>
      </c>
      <c r="G325" s="10" t="n">
        <v>2.9</v>
      </c>
      <c r="H325" s="7" t="inlineStr">
        <is>
          <t>なし</t>
        </is>
      </c>
      <c r="I325" s="7" t="inlineStr">
        <is>
          <t>2026(R08)年12月</t>
        </is>
      </c>
      <c r="J325" s="7" t="inlineStr">
        <is>
          <t>保証付</t>
        </is>
      </c>
      <c r="K325" s="16" t="inlineStr">
        <is>
          <t>修復歴なし / 車検 2026/12 まで（残り2ヶ月） / 保証付</t>
        </is>
      </c>
      <c r="L325" s="16" t="inlineStr">
        <is>
          <t>CX-8 2.2 XD ブラックトーン エディション ディーゼルターボ サンルーフ 純正10.25インチナビ 360度ビューモニター BSM HUD BOSE シティブレーキサポート レーダークルーズ シートヒーター ステアリングヒーター メモリシート オートハイビーム</t>
        </is>
      </c>
      <c r="M325" s="7" t="inlineStr">
        <is>
          <t>https://www.carsensor.net/usedcar/detail/AU7198409627/index.html</t>
        </is>
      </c>
    </row>
    <row r="326">
      <c r="A326" s="11" t="n">
        <v>2021</v>
      </c>
      <c r="B326" s="12" t="inlineStr">
        <is>
          <t>2WD</t>
        </is>
      </c>
      <c r="C326" s="12" t="inlineStr">
        <is>
          <t>2.2 XD ブラックトーン</t>
        </is>
      </c>
      <c r="D326" s="13" t="n">
        <v>3.1</v>
      </c>
      <c r="E326" s="14" t="n">
        <v>278.7</v>
      </c>
      <c r="F326" s="14" t="n">
        <v>269.7</v>
      </c>
      <c r="G326" s="15" t="n">
        <v>4.6</v>
      </c>
      <c r="H326" s="12" t="inlineStr">
        <is>
          <t>なし</t>
        </is>
      </c>
      <c r="I326" s="12" t="inlineStr">
        <is>
          <t>2026(R08)年11月</t>
        </is>
      </c>
      <c r="J326" s="12" t="inlineStr">
        <is>
          <t>保証付</t>
        </is>
      </c>
      <c r="K326" s="16" t="inlineStr">
        <is>
          <t>修復歴なし / 車検 2026/11 まで（残り1ヶ月） / 保証付</t>
        </is>
      </c>
      <c r="L326" s="16" t="inlineStr">
        <is>
          <t>CX-8 2.2 XD ブラックトーン エディション ディーゼルターボ 4WD 1オーナー サンルーフ ナビ 全方位カメラ BOSEサウンド 電動バックドア パワーシート シートヒーター ステアヒーター レーダークルーズ ドラレコ HUD ETC ルーフレール LEDオートライト</t>
        </is>
      </c>
      <c r="M326" s="12" t="inlineStr">
        <is>
          <t>https://www.carsensor.net/usedcar/detail/AU7272018010/index.html</t>
        </is>
      </c>
    </row>
    <row r="327">
      <c r="A327" s="6" t="n">
        <v>2021</v>
      </c>
      <c r="B327" s="7" t="inlineStr">
        <is>
          <t>2WD</t>
        </is>
      </c>
      <c r="C327" s="7" t="inlineStr">
        <is>
          <t>2.2 XD ブラックトーン</t>
        </is>
      </c>
      <c r="D327" s="17" t="n">
        <v>3</v>
      </c>
      <c r="E327" s="9" t="n">
        <v>277.9</v>
      </c>
      <c r="F327" s="9" t="n">
        <v>264.9</v>
      </c>
      <c r="G327" s="10" t="n">
        <v>5.6</v>
      </c>
      <c r="H327" s="7" t="inlineStr">
        <is>
          <t>なし</t>
        </is>
      </c>
      <c r="I327" s="7" t="inlineStr">
        <is>
          <t>車検整備無</t>
        </is>
      </c>
      <c r="J327" s="7" t="inlineStr">
        <is>
          <t>保証付</t>
        </is>
      </c>
      <c r="K327" s="16" t="inlineStr">
        <is>
          <t>修復歴なし / 保証付</t>
        </is>
      </c>
      <c r="L327" s="16" t="inlineStr">
        <is>
          <t>CX-8 2.2 XD ブラックトーン エディション ディーゼルターボ 新品タイヤ/SDナビ/衝突安全装置/シートヒーター 前席/360°ビューモニター/車線逸脱防止支援システム/シート ハーフレザー/電動バックドア/ドライブレコーダー 前後</t>
        </is>
      </c>
      <c r="M327" s="7" t="inlineStr">
        <is>
          <t>https://www.carsensor.net/usedcar/detail/AU7122299183/index.html</t>
        </is>
      </c>
    </row>
    <row r="328">
      <c r="A328" s="11" t="n">
        <v>2023</v>
      </c>
      <c r="B328" s="12" t="inlineStr">
        <is>
          <t>2WD</t>
        </is>
      </c>
      <c r="C328" s="12" t="inlineStr">
        <is>
          <t>2.2 XD ブラックトーン</t>
        </is>
      </c>
      <c r="D328" s="13" t="n">
        <v>3</v>
      </c>
      <c r="E328" s="14" t="n">
        <v>349</v>
      </c>
      <c r="F328" s="14" t="n">
        <v>334</v>
      </c>
      <c r="G328" s="15" t="n">
        <v>3.2</v>
      </c>
      <c r="H328" s="12" t="inlineStr">
        <is>
          <t>なし</t>
        </is>
      </c>
      <c r="I328" s="12" t="inlineStr">
        <is>
          <t>車検整備無</t>
        </is>
      </c>
      <c r="J328" s="12" t="inlineStr">
        <is>
          <t>保証付</t>
        </is>
      </c>
      <c r="K328" s="16" t="inlineStr">
        <is>
          <t>修復歴なし / 保証付</t>
        </is>
      </c>
      <c r="L328" s="16" t="inlineStr">
        <is>
          <t>CX-8 2.2 XD ブラックトーン エディション ディーゼルターボ 純正ナビ・360°ビューモニター レーダークルーズコントロール</t>
        </is>
      </c>
      <c r="M328" s="12" t="inlineStr">
        <is>
          <t>https://www.carsensor.net/usedcar/detail/AU7442562960/index.html</t>
        </is>
      </c>
    </row>
    <row r="329">
      <c r="A329" s="6" t="n">
        <v>2023</v>
      </c>
      <c r="B329" s="7" t="inlineStr">
        <is>
          <t>2WD</t>
        </is>
      </c>
      <c r="C329" s="7" t="inlineStr">
        <is>
          <t>2.2 XD ブラックトーン</t>
        </is>
      </c>
      <c r="D329" s="17" t="n">
        <v>2.7</v>
      </c>
      <c r="E329" s="9" t="n">
        <v>301.8</v>
      </c>
      <c r="F329" s="9" t="n">
        <v>291.5</v>
      </c>
      <c r="G329" s="10" t="n">
        <v>4.6</v>
      </c>
      <c r="H329" s="7" t="inlineStr">
        <is>
          <t>なし</t>
        </is>
      </c>
      <c r="I329" s="7" t="inlineStr">
        <is>
          <t>2026(R08)年12月</t>
        </is>
      </c>
      <c r="J329" s="7" t="inlineStr">
        <is>
          <t>保証付</t>
        </is>
      </c>
      <c r="K329" s="16" t="inlineStr">
        <is>
          <t>走行が多め（4.6万km） / 修復歴なし / 車検 2026/12 まで（残り2ヶ月） / 保証付 / 同年式より安い（中央値 348万）</t>
        </is>
      </c>
      <c r="L329" s="16" t="inlineStr">
        <is>
          <t>CX-8 2.2 XD ブラックトーン エディション ディーゼルターボ 純正10.25インチナビ・全方位カメラ・レーダークルーズコントロール・ブラインドスポットモニター・ハンズフリーパワーバックドア・純正19インチアルミホイール・ヘッドアップディスプレイ</t>
        </is>
      </c>
      <c r="M329" s="7" t="inlineStr">
        <is>
          <t>https://www.carsensor.net/usedcar/detail/AU7173641508/index.html</t>
        </is>
      </c>
    </row>
    <row r="330">
      <c r="A330" s="11" t="n">
        <v>2023</v>
      </c>
      <c r="B330" s="12" t="inlineStr">
        <is>
          <t>2WD</t>
        </is>
      </c>
      <c r="C330" s="12" t="inlineStr">
        <is>
          <t>2.2 XD ブラックトーン</t>
        </is>
      </c>
      <c r="D330" s="13" t="n">
        <v>2.5</v>
      </c>
      <c r="E330" s="14" t="n">
        <v>329.9</v>
      </c>
      <c r="F330" s="14" t="n">
        <v>312.6</v>
      </c>
      <c r="G330" s="15" t="n">
        <v>4.9</v>
      </c>
      <c r="H330" s="12" t="inlineStr">
        <is>
          <t>なし</t>
        </is>
      </c>
      <c r="I330" s="12" t="inlineStr">
        <is>
          <t>車検整備付</t>
        </is>
      </c>
      <c r="J330" s="12" t="inlineStr">
        <is>
          <t>保証付</t>
        </is>
      </c>
      <c r="K330" s="16" t="inlineStr">
        <is>
          <t>走行が多め（4.9万km） / 修復歴なし / 車検整備付 / 保証付</t>
        </is>
      </c>
      <c r="L330" s="16" t="inlineStr">
        <is>
          <t>CX-8 2.2 XD ブラックトーン エディション ディーゼルターボ サンルーフ メーカー10型ナビ 全周囲カメラ BOSEサウンド 衝突被害軽減システム 禁煙車 電動リアゲート ハーフレザーシート コーナーセンサー スマートキー LEDヘッド</t>
        </is>
      </c>
      <c r="M330" s="12" t="inlineStr">
        <is>
          <t>https://www.carsensor.net/usedcar/detail/AU7409538695/index.html</t>
        </is>
      </c>
    </row>
    <row r="331">
      <c r="A331" s="6" t="n">
        <v>2023</v>
      </c>
      <c r="B331" s="7" t="inlineStr">
        <is>
          <t>2WD</t>
        </is>
      </c>
      <c r="C331" s="7" t="inlineStr">
        <is>
          <t>2.2 XD ブラックトーン</t>
        </is>
      </c>
      <c r="D331" s="17" t="n">
        <v>2.5</v>
      </c>
      <c r="E331" s="9" t="n">
        <v>334.9</v>
      </c>
      <c r="F331" s="9" t="n">
        <v>317.6</v>
      </c>
      <c r="G331" s="10" t="n">
        <v>4.7</v>
      </c>
      <c r="H331" s="7" t="inlineStr">
        <is>
          <t>なし</t>
        </is>
      </c>
      <c r="I331" s="7" t="inlineStr">
        <is>
          <t>車検整備付</t>
        </is>
      </c>
      <c r="J331" s="7" t="inlineStr">
        <is>
          <t>保証付</t>
        </is>
      </c>
      <c r="K331" s="16" t="inlineStr">
        <is>
          <t>走行が多め（4.7万km） / 修復歴なし / 車検整備付 / 保証付</t>
        </is>
      </c>
      <c r="L331" s="16" t="inlineStr">
        <is>
          <t>CX-8 2.2 XD ブラックトーン エディション ディーゼルターボ 禁煙 6人乗り 10型ナビ 全周囲カメラ 電動リアゲート レーダークルーズ へッドアップディスプレイ ブラインドスポットモニター 純正19インチアルミ シートヒーター LEDヘッド ワイヤレス充電</t>
        </is>
      </c>
      <c r="M331" s="7" t="inlineStr">
        <is>
          <t>https://www.carsensor.net/usedcar/detail/AU7282460689/index.html</t>
        </is>
      </c>
    </row>
    <row r="332">
      <c r="A332" s="11" t="n">
        <v>2021</v>
      </c>
      <c r="B332" s="12" t="inlineStr">
        <is>
          <t>2WD</t>
        </is>
      </c>
      <c r="C332" s="12" t="inlineStr">
        <is>
          <t>2.2 XD ブラックトーン</t>
        </is>
      </c>
      <c r="D332" s="13" t="n">
        <v>1.9</v>
      </c>
      <c r="E332" s="14" t="n">
        <v>255.9</v>
      </c>
      <c r="F332" s="14" t="n">
        <v>244.4</v>
      </c>
      <c r="G332" s="15" t="n">
        <v>7.4</v>
      </c>
      <c r="H332" s="12" t="inlineStr">
        <is>
          <t>なし</t>
        </is>
      </c>
      <c r="I332" s="12" t="inlineStr">
        <is>
          <t>2027(R09)年03月</t>
        </is>
      </c>
      <c r="J332" s="12" t="inlineStr">
        <is>
          <t>保証付</t>
        </is>
      </c>
      <c r="K332" s="16" t="inlineStr">
        <is>
          <t>走行が多め（7.4万km） / 修復歴なし / 車検 2027/03 まで（残り5ヶ月） / 保証付</t>
        </is>
      </c>
      <c r="L332" s="16" t="inlineStr">
        <is>
          <t>CX-8 2.2 XD ブラックトーン エディション ディーゼルターボ 純正10型ナビ 全周囲カメラ 衝突被害軽減システム レーダークルーズ 禁煙車 電動リアゲート ドラレコ コーナーセンサー スマートキー LEDヘッド ルーフレール ETC 純正19インチアルミ</t>
        </is>
      </c>
      <c r="M332" s="12" t="inlineStr">
        <is>
          <t>https://www.carsensor.net/usedcar/detail/AU7240856425/index.html</t>
        </is>
      </c>
    </row>
    <row r="333">
      <c r="A333" s="6" t="n">
        <v>2023</v>
      </c>
      <c r="B333" s="7" t="inlineStr">
        <is>
          <t>2WD</t>
        </is>
      </c>
      <c r="C333" s="7" t="inlineStr">
        <is>
          <t>2.2 XD ブラックトーン</t>
        </is>
      </c>
      <c r="D333" s="17" t="n">
        <v>-1</v>
      </c>
      <c r="E333" s="9" t="n">
        <v>269.8</v>
      </c>
      <c r="F333" s="9" t="n">
        <v>254.8</v>
      </c>
      <c r="G333" s="10" t="n">
        <v>4.2</v>
      </c>
      <c r="H333" s="7" t="inlineStr">
        <is>
          <t>あり</t>
        </is>
      </c>
      <c r="I333" s="7" t="inlineStr">
        <is>
          <t>車検整備付</t>
        </is>
      </c>
      <c r="J333" s="7" t="inlineStr">
        <is>
          <t>保証付</t>
        </is>
      </c>
      <c r="K333" s="16" t="inlineStr">
        <is>
          <t>修復歴あり / 車検整備付 / 保証付 / 同年式より安い（中央値 348万）</t>
        </is>
      </c>
      <c r="L333" s="16" t="inlineStr">
        <is>
          <t>CX-8 2.2 XD ブラックトーン エディション ディーゼルターボ 純正ナビ・TV 全方位モニター ブレーキアシスト パワーバックドア LEDヘッドライト</t>
        </is>
      </c>
      <c r="M333" s="7" t="inlineStr">
        <is>
          <t>https://www.carsensor.net/usedcar/detail/AU6983838568/index.html</t>
        </is>
      </c>
    </row>
    <row r="334">
      <c r="A334" s="11" t="n">
        <v>2023</v>
      </c>
      <c r="B334" s="12" t="inlineStr">
        <is>
          <t>2WD</t>
        </is>
      </c>
      <c r="C334" s="12" t="inlineStr">
        <is>
          <t>2.2 XD ブラックトーン</t>
        </is>
      </c>
      <c r="D334" s="13" t="n">
        <v>-1.1</v>
      </c>
      <c r="E334" s="14" t="n">
        <v>390</v>
      </c>
      <c r="F334" s="14" t="n">
        <v>380</v>
      </c>
      <c r="G334" s="15" t="n">
        <v>2.7</v>
      </c>
      <c r="H334" s="12" t="inlineStr">
        <is>
          <t>あり</t>
        </is>
      </c>
      <c r="I334" s="12" t="inlineStr">
        <is>
          <t>2028(R10)年09月</t>
        </is>
      </c>
      <c r="J334" s="12" t="inlineStr">
        <is>
          <t>保証付</t>
        </is>
      </c>
      <c r="K334" s="16" t="inlineStr">
        <is>
          <t>修復歴あり / 車検 2028/09 まで（残り23ヶ月） / 保証付</t>
        </is>
      </c>
      <c r="L334" s="16" t="inlineStr">
        <is>
          <t>CX-8 2.2 XD ブラックトーン エディション ディーゼルターボ</t>
        </is>
      </c>
      <c r="M334" s="12" t="inlineStr">
        <is>
          <t>https://www.carsensor.net/usedcar/detail/AU7362079714/index.html</t>
        </is>
      </c>
    </row>
    <row r="335">
      <c r="A335" s="6" t="n">
        <v>2021</v>
      </c>
      <c r="B335" s="7" t="inlineStr">
        <is>
          <t>2WD</t>
        </is>
      </c>
      <c r="C335" s="7" t="inlineStr">
        <is>
          <t>2.2 XD ブラックトーン</t>
        </is>
      </c>
      <c r="D335" s="17" t="n">
        <v>-1.8</v>
      </c>
      <c r="E335" s="9" t="n">
        <v>251.3</v>
      </c>
      <c r="F335" s="9" t="n">
        <v>239</v>
      </c>
      <c r="G335" s="10" t="n">
        <v>4.2</v>
      </c>
      <c r="H335" s="7" t="inlineStr">
        <is>
          <t>あり</t>
        </is>
      </c>
      <c r="I335" s="7" t="inlineStr">
        <is>
          <t>2028(R10)年01月</t>
        </is>
      </c>
      <c r="J335" s="7" t="inlineStr">
        <is>
          <t>保証付</t>
        </is>
      </c>
      <c r="K335" s="16" t="inlineStr">
        <is>
          <t>修復歴あり / 車検 2028/01 まで（残り15ヶ月） / 保証付</t>
        </is>
      </c>
      <c r="L335" s="16" t="inlineStr">
        <is>
          <t>CX-8 2.2 XD ブラックトーン エディション ディーゼルターボ 衝突被害軽減ブレーキシステム・純正メモリーナビ/フルセグTV・全方位カメラ・クルーズコントロール・オートエアコン・オートライト・パワーバックドア・全席シートヒーター・ハーフレザーシート</t>
        </is>
      </c>
      <c r="M335" s="7" t="inlineStr">
        <is>
          <t>https://www.carsensor.net/usedcar/detail/AU6952478788/index.html</t>
        </is>
      </c>
    </row>
    <row r="336">
      <c r="A336" s="11" t="n">
        <v>2018</v>
      </c>
      <c r="B336" s="12" t="inlineStr">
        <is>
          <t>2WD</t>
        </is>
      </c>
      <c r="C336" s="12" t="inlineStr">
        <is>
          <t>2.2 XD プロアクティブ</t>
        </is>
      </c>
      <c r="D336" s="13" t="n">
        <v>7.2</v>
      </c>
      <c r="E336" s="14" t="n">
        <v>218.9</v>
      </c>
      <c r="F336" s="14" t="n">
        <v>212.1</v>
      </c>
      <c r="G336" s="15" t="n">
        <v>2.5</v>
      </c>
      <c r="H336" s="12" t="inlineStr">
        <is>
          <t>なし</t>
        </is>
      </c>
      <c r="I336" s="12" t="inlineStr">
        <is>
          <t>2027(R09)年12月</t>
        </is>
      </c>
      <c r="J336" s="12" t="inlineStr">
        <is>
          <t>保証付</t>
        </is>
      </c>
      <c r="K336" s="16" t="inlineStr">
        <is>
          <t>同年式の半分以下の走行（2.5万km） / 修復歴なし / 車検 2027/12 まで（残り14ヶ月） / 保証付</t>
        </is>
      </c>
      <c r="L336" s="16" t="inlineStr">
        <is>
          <t>CX-8 2.2 XD プロアクティブ ディーゼルターボ 新品タイヤ/SDナビ/フリップダウン/アイアクティブセンス/シートヒーター/360°ビューモニター/車線逸脱防止支援システム/電動バックドア/ヘッドランプ LED</t>
        </is>
      </c>
      <c r="M336" s="12" t="inlineStr">
        <is>
          <t>https://www.carsensor.net/usedcar/detail/AU7350254614/index.html</t>
        </is>
      </c>
    </row>
    <row r="337">
      <c r="A337" s="6" t="n">
        <v>2018</v>
      </c>
      <c r="B337" s="7" t="inlineStr">
        <is>
          <t>2WD</t>
        </is>
      </c>
      <c r="C337" s="7" t="inlineStr">
        <is>
          <t>2.2 XD プロアクティブ</t>
        </is>
      </c>
      <c r="D337" s="17" t="n">
        <v>7.2</v>
      </c>
      <c r="E337" s="9" t="n">
        <v>236</v>
      </c>
      <c r="F337" s="9" t="n">
        <v>225.5</v>
      </c>
      <c r="G337" s="10" t="n">
        <v>2.7</v>
      </c>
      <c r="H337" s="7" t="inlineStr">
        <is>
          <t>なし</t>
        </is>
      </c>
      <c r="I337" s="7" t="inlineStr">
        <is>
          <t>2027(R09)年12月</t>
        </is>
      </c>
      <c r="J337" s="7" t="inlineStr">
        <is>
          <t>保証付</t>
        </is>
      </c>
      <c r="K337" s="16" t="inlineStr">
        <is>
          <t>同年式の半分以下の走行（2.7万km） / 修復歴なし / 車検 2027/12 まで（残り14ヶ月） / 保証付</t>
        </is>
      </c>
      <c r="L337" s="16" t="inlineStr">
        <is>
          <t>CX-8 2.2 XD プロアクティブ ディーゼルターボ ETC/360°ビューモニター/衝突軽減装置/車線逸脱警報機能/ワンオーナー/シートヒーター/LED/純正ナビ/電動格納式ドアミラー/SUV/クルーズコントロール/パワーシート/CarPlay/Bluetooth</t>
        </is>
      </c>
      <c r="M337" s="7" t="inlineStr">
        <is>
          <t>https://www.carsensor.net/usedcar/detail/AU7214691952/index.html</t>
        </is>
      </c>
    </row>
    <row r="338">
      <c r="A338" s="11" t="n">
        <v>2018</v>
      </c>
      <c r="B338" s="12" t="inlineStr">
        <is>
          <t>2WD</t>
        </is>
      </c>
      <c r="C338" s="12" t="inlineStr">
        <is>
          <t>2.2 XD プロアクティブ</t>
        </is>
      </c>
      <c r="D338" s="13" t="n">
        <v>7</v>
      </c>
      <c r="E338" s="14" t="n">
        <v>229.2</v>
      </c>
      <c r="F338" s="14" t="n">
        <v>218.8</v>
      </c>
      <c r="G338" s="15" t="n">
        <v>2.5</v>
      </c>
      <c r="H338" s="12" t="inlineStr">
        <is>
          <t>なし</t>
        </is>
      </c>
      <c r="I338" s="12" t="inlineStr">
        <is>
          <t>車検整備付</t>
        </is>
      </c>
      <c r="J338" s="12" t="inlineStr">
        <is>
          <t>保証付</t>
        </is>
      </c>
      <c r="K338" s="16" t="inlineStr">
        <is>
          <t>同年式の半分以下の走行（2.5万km） / 修復歴なし / 車検整備付 / 保証付</t>
        </is>
      </c>
      <c r="L338" s="16" t="inlineStr">
        <is>
          <t>CX-8 2.2 XD プロアクティブ ディーゼルターボ</t>
        </is>
      </c>
      <c r="M338" s="12" t="inlineStr">
        <is>
          <t>https://www.carsensor.net/usedcar/detail/AU6727239249/index.html</t>
        </is>
      </c>
    </row>
    <row r="339">
      <c r="A339" s="6" t="n">
        <v>2018</v>
      </c>
      <c r="B339" s="7" t="inlineStr">
        <is>
          <t>2WD</t>
        </is>
      </c>
      <c r="C339" s="7" t="inlineStr">
        <is>
          <t>2.2 XD プロアクティブ</t>
        </is>
      </c>
      <c r="D339" s="17" t="n">
        <v>6.5</v>
      </c>
      <c r="E339" s="9" t="n">
        <v>229.9</v>
      </c>
      <c r="F339" s="9" t="n">
        <v>218.5</v>
      </c>
      <c r="G339" s="10" t="n">
        <v>2.9</v>
      </c>
      <c r="H339" s="7" t="inlineStr">
        <is>
          <t>なし</t>
        </is>
      </c>
      <c r="I339" s="7" t="inlineStr">
        <is>
          <t>2027(R09)年04月</t>
        </is>
      </c>
      <c r="J339" s="7" t="inlineStr">
        <is>
          <t>保証付</t>
        </is>
      </c>
      <c r="K339" s="16" t="inlineStr">
        <is>
          <t>同年式の半分以下の走行（2.9万km） / 修復歴なし / 車検 2027/04 まで（残り6ヶ月） / 保証付</t>
        </is>
      </c>
      <c r="L339" s="16" t="inlineStr">
        <is>
          <t>CX-8 2.2 XD プロアクティブ ディーゼルターボ 7人 マツダコネクトナビ 全周囲カメラ BOSEサウンド DVD/CD/地デジ パワーシート/シートヒーター/シートメモリー 純正19インチアルミ レーダークルーズ/レーンキープ ステアリングヒ</t>
        </is>
      </c>
      <c r="M339" s="7" t="inlineStr">
        <is>
          <t>https://www.carsensor.net/usedcar/detail/AU7320956721/index.html</t>
        </is>
      </c>
    </row>
    <row r="340">
      <c r="A340" s="11" t="n">
        <v>2018</v>
      </c>
      <c r="B340" s="12" t="inlineStr">
        <is>
          <t>2WD</t>
        </is>
      </c>
      <c r="C340" s="12" t="inlineStr">
        <is>
          <t>2.2 XD プロアクティブ</t>
        </is>
      </c>
      <c r="D340" s="13" t="n">
        <v>6.5</v>
      </c>
      <c r="E340" s="14" t="n">
        <v>193.8</v>
      </c>
      <c r="F340" s="14" t="n">
        <v>189.1</v>
      </c>
      <c r="G340" s="15" t="n">
        <v>2.2</v>
      </c>
      <c r="H340" s="12" t="inlineStr">
        <is>
          <t>なし</t>
        </is>
      </c>
      <c r="I340" s="12" t="inlineStr">
        <is>
          <t>2027(R09)年04月</t>
        </is>
      </c>
      <c r="J340" s="12" t="inlineStr">
        <is>
          <t>保証付</t>
        </is>
      </c>
      <c r="K340" s="16" t="inlineStr">
        <is>
          <t>同年式の半分以下の走行（2.2万km） / 修復歴なし / 車検 2027/04 まで（残り6ヶ月） / 保証付</t>
        </is>
      </c>
      <c r="L340" s="16" t="inlineStr">
        <is>
          <t>CX-8 2.2 XD プロアクティブ ディーゼルターボ 4WD ユーザー買取/雹害車/後席モニター/全周カメラ/追従型クルーズコントロール/パワートランク/LEDヘッドライト/スマートキー&amp;プッシュスタート/スマートシティブレーキ/</t>
        </is>
      </c>
      <c r="M340" s="12" t="inlineStr">
        <is>
          <t>https://www.carsensor.net/usedcar/detail/AU7387960087/index.html</t>
        </is>
      </c>
    </row>
    <row r="341">
      <c r="A341" s="6" t="n">
        <v>2021</v>
      </c>
      <c r="B341" s="7" t="inlineStr">
        <is>
          <t>2WD</t>
        </is>
      </c>
      <c r="C341" s="7" t="inlineStr">
        <is>
          <t>2.2 XD プロアクティブ</t>
        </is>
      </c>
      <c r="D341" s="17" t="n">
        <v>6.5</v>
      </c>
      <c r="E341" s="9" t="n">
        <v>238</v>
      </c>
      <c r="F341" s="9" t="n">
        <v>231.1</v>
      </c>
      <c r="G341" s="10" t="n">
        <v>3.5</v>
      </c>
      <c r="H341" s="7" t="inlineStr">
        <is>
          <t>なし</t>
        </is>
      </c>
      <c r="I341" s="7" t="inlineStr">
        <is>
          <t>車検整備付</t>
        </is>
      </c>
      <c r="J341" s="7" t="inlineStr">
        <is>
          <t>保証付</t>
        </is>
      </c>
      <c r="K341" s="16" t="inlineStr">
        <is>
          <t>走行が少なめ（3.5万km） / 修復歴なし / 車検整備付 / 保証付 / 同年式より安い（中央値 279万）</t>
        </is>
      </c>
      <c r="L341" s="16" t="inlineStr">
        <is>
          <t>CX-8 2.2 XD プロアクティブ ディーゼルターボ 純正10.25型ナビ 全方位 追従走行 衝突軽減 レーダー シートヒーター ETC パワーシート LEDヘッドライト ブラインドスポットモニター コーナーセンサー HUD ステアリングヒーター 電動バックドア ワイヤレス充電</t>
        </is>
      </c>
      <c r="M341" s="7" t="inlineStr">
        <is>
          <t>https://www.carsensor.net/usedcar/detail/AU7357782747/index.html</t>
        </is>
      </c>
    </row>
    <row r="342">
      <c r="A342" s="11" t="n">
        <v>2021</v>
      </c>
      <c r="B342" s="12" t="inlineStr">
        <is>
          <t>2WD</t>
        </is>
      </c>
      <c r="C342" s="12" t="inlineStr">
        <is>
          <t>2.2 XD プロアクティブ</t>
        </is>
      </c>
      <c r="D342" s="13" t="n">
        <v>5.9</v>
      </c>
      <c r="E342" s="14" t="n">
        <v>289.9</v>
      </c>
      <c r="F342" s="14" t="n">
        <v>277.8</v>
      </c>
      <c r="G342" s="15" t="n">
        <v>2.7</v>
      </c>
      <c r="H342" s="12" t="inlineStr">
        <is>
          <t>なし</t>
        </is>
      </c>
      <c r="I342" s="12" t="inlineStr">
        <is>
          <t>2028(R10)年03月</t>
        </is>
      </c>
      <c r="J342" s="12" t="inlineStr">
        <is>
          <t>保証付</t>
        </is>
      </c>
      <c r="K342" s="16" t="inlineStr">
        <is>
          <t>走行が少なめ（2.7万km） / 修復歴なし / 車検 2028/03 まで（残り17ヶ月） / 保証付</t>
        </is>
      </c>
      <c r="L342" s="16" t="inlineStr">
        <is>
          <t>CX-8 2.2 XD プロアクティブ ディーゼルターボ サンルーフ 純正10.25ナビ 全周囲カメラ BOSEサウンド 衝突被害軽減システム レーダークルーズ 禁煙車 電動リアゲート シートヒーター ドラレコ コーナーセンサー LEDヘッド ETC</t>
        </is>
      </c>
      <c r="M342" s="12" t="inlineStr">
        <is>
          <t>https://www.carsensor.net/usedcar/detail/AU7447743598/index.html</t>
        </is>
      </c>
    </row>
    <row r="343">
      <c r="A343" s="6" t="n">
        <v>2018</v>
      </c>
      <c r="B343" s="7" t="inlineStr">
        <is>
          <t>2WD</t>
        </is>
      </c>
      <c r="C343" s="7" t="inlineStr">
        <is>
          <t>2.2 XD プロアクティブ</t>
        </is>
      </c>
      <c r="D343" s="17" t="n">
        <v>5.8</v>
      </c>
      <c r="E343" s="9" t="n">
        <v>209.9</v>
      </c>
      <c r="F343" s="9" t="n">
        <v>198</v>
      </c>
      <c r="G343" s="10" t="n">
        <v>3.7</v>
      </c>
      <c r="H343" s="7" t="inlineStr">
        <is>
          <t>なし</t>
        </is>
      </c>
      <c r="I343" s="7" t="inlineStr">
        <is>
          <t>2028(R10)年01月</t>
        </is>
      </c>
      <c r="J343" s="7" t="inlineStr">
        <is>
          <t>保証付</t>
        </is>
      </c>
      <c r="K343" s="16" t="inlineStr">
        <is>
          <t>走行が少なめ（3.7万km） / 修復歴なし / 車検 2028/01 まで（残り15ヶ月） / 保証付</t>
        </is>
      </c>
      <c r="L343" s="16" t="inlineStr">
        <is>
          <t>CX-8 2.2 XD プロアクティブ ディーゼルターボ 禁煙車 7人乗り 純正SDナビ 全周囲カメラ ヘッドアップディスプレイ ブラインドスポットモニター シートヒーター ドラレコ ETC シティブレーキサポート レーダークルーズ パワーシート</t>
        </is>
      </c>
      <c r="M343" s="7" t="inlineStr">
        <is>
          <t>https://www.carsensor.net/usedcar/detail/AU7334351277/index.html</t>
        </is>
      </c>
    </row>
    <row r="344">
      <c r="A344" s="11" t="n">
        <v>2018</v>
      </c>
      <c r="B344" s="12" t="inlineStr">
        <is>
          <t>2WD</t>
        </is>
      </c>
      <c r="C344" s="12" t="inlineStr">
        <is>
          <t>2.2 XD プロアクティブ</t>
        </is>
      </c>
      <c r="D344" s="13" t="n">
        <v>5.7</v>
      </c>
      <c r="E344" s="14" t="n">
        <v>199.8</v>
      </c>
      <c r="F344" s="14" t="n">
        <v>191.1</v>
      </c>
      <c r="G344" s="15" t="n">
        <v>4.1</v>
      </c>
      <c r="H344" s="12" t="inlineStr">
        <is>
          <t>なし</t>
        </is>
      </c>
      <c r="I344" s="12" t="inlineStr">
        <is>
          <t>2027(R09)年12月</t>
        </is>
      </c>
      <c r="J344" s="12" t="inlineStr">
        <is>
          <t>保証付</t>
        </is>
      </c>
      <c r="K344" s="16" t="inlineStr">
        <is>
          <t>走行が少なめ（4.1万km） / 修復歴なし / 車検 2027/12 まで（残り14ヶ月） / 保証付</t>
        </is>
      </c>
      <c r="L344" s="16" t="inlineStr">
        <is>
          <t>CX-8 2.2 XD プロアクティブ ディーゼルターボ 全周囲/BOSE/BSM/HUD/ETC/クリアランスソナー/リアエアコン/パワーシートメモリー付/シートヒーター/ステアリングヒーター/追従クルコン/オートワイパー/オートホールド</t>
        </is>
      </c>
      <c r="M344" s="12" t="inlineStr">
        <is>
          <t>https://www.carsensor.net/usedcar/detail/AU7154494079/index.html</t>
        </is>
      </c>
    </row>
    <row r="345">
      <c r="A345" s="6" t="n">
        <v>2018</v>
      </c>
      <c r="B345" s="7" t="inlineStr">
        <is>
          <t>2WD</t>
        </is>
      </c>
      <c r="C345" s="7" t="inlineStr">
        <is>
          <t>2.2 XD プロアクティブ</t>
        </is>
      </c>
      <c r="D345" s="17" t="n">
        <v>5.7</v>
      </c>
      <c r="E345" s="9" t="n">
        <v>181.8</v>
      </c>
      <c r="F345" s="9" t="n">
        <v>171.8</v>
      </c>
      <c r="G345" s="10" t="n">
        <v>4.6</v>
      </c>
      <c r="H345" s="7" t="inlineStr">
        <is>
          <t>なし</t>
        </is>
      </c>
      <c r="I345" s="7" t="inlineStr">
        <is>
          <t>2027(R09)年12月</t>
        </is>
      </c>
      <c r="J345" s="7" t="inlineStr">
        <is>
          <t>保証付</t>
        </is>
      </c>
      <c r="K345" s="16" t="inlineStr">
        <is>
          <t>走行が少なめ（4.6万km） / 修復歴なし / 車検 2027/12 まで（残り14ヶ月） / 保証付</t>
        </is>
      </c>
      <c r="L345" s="16" t="inlineStr">
        <is>
          <t>CX-8 2.2 XD プロアクティブ ディーゼルターボ 1年保証付き 7人乗り 全方位カメラ シートヒーター 禁煙車 フルセグTV ヘッドアップディスプレイ ステアリングヒーター ETC パワーシート クルーズコントロール ドライブレコーダー 純正アルミホイール</t>
        </is>
      </c>
      <c r="M345" s="7" t="inlineStr">
        <is>
          <t>https://www.carsensor.net/usedcar/detail/AU7413001387/index.html</t>
        </is>
      </c>
    </row>
    <row r="346">
      <c r="A346" s="11" t="n">
        <v>2018</v>
      </c>
      <c r="B346" s="12" t="inlineStr">
        <is>
          <t>2WD</t>
        </is>
      </c>
      <c r="C346" s="12" t="inlineStr">
        <is>
          <t>2.2 XD プロアクティブ</t>
        </is>
      </c>
      <c r="D346" s="13" t="n">
        <v>5.7</v>
      </c>
      <c r="E346" s="14" t="n">
        <v>209.4</v>
      </c>
      <c r="F346" s="14" t="n">
        <v>199.1</v>
      </c>
      <c r="G346" s="15" t="n">
        <v>4.8</v>
      </c>
      <c r="H346" s="12" t="inlineStr">
        <is>
          <t>なし</t>
        </is>
      </c>
      <c r="I346" s="12" t="inlineStr">
        <is>
          <t>2027(R09)年12月</t>
        </is>
      </c>
      <c r="J346" s="12" t="inlineStr">
        <is>
          <t>保証付</t>
        </is>
      </c>
      <c r="K346" s="16" t="inlineStr">
        <is>
          <t>走行が少なめ（4.8万km） / 修復歴なし / 車検 2027/12 まで（残り14ヶ月） / 保証付</t>
        </is>
      </c>
      <c r="L346" s="16" t="inlineStr">
        <is>
          <t>CX-8 2.2 XD プロアクティブ ディーゼルターボ</t>
        </is>
      </c>
      <c r="M346" s="12" t="inlineStr">
        <is>
          <t>https://www.carsensor.net/usedcar/detail/AU7440802133/index.html</t>
        </is>
      </c>
    </row>
    <row r="347">
      <c r="A347" s="6" t="n">
        <v>2017</v>
      </c>
      <c r="B347" s="7" t="inlineStr">
        <is>
          <t>2WD</t>
        </is>
      </c>
      <c r="C347" s="7" t="inlineStr">
        <is>
          <t>2.2 XD プロアクティブ</t>
        </is>
      </c>
      <c r="D347" s="17" t="n">
        <v>5.5</v>
      </c>
      <c r="E347" s="9" t="n">
        <v>229.9</v>
      </c>
      <c r="F347" s="9" t="n">
        <v>212.8</v>
      </c>
      <c r="G347" s="10" t="n">
        <v>4</v>
      </c>
      <c r="H347" s="7" t="inlineStr">
        <is>
          <t>なし</t>
        </is>
      </c>
      <c r="I347" s="7" t="inlineStr">
        <is>
          <t>車検整備付</t>
        </is>
      </c>
      <c r="J347" s="7" t="inlineStr">
        <is>
          <t>保証付</t>
        </is>
      </c>
      <c r="K347" s="16" t="inlineStr">
        <is>
          <t>走行が少なめ（4.0万km） / 修復歴なし / 車検整備付 / 保証付</t>
        </is>
      </c>
      <c r="L347" s="16" t="inlineStr">
        <is>
          <t>CX-8 2.2 XD プロアクティブ ディーゼルターボ 純正ナビ 全周囲カメラ 衝突被害軽減システム 禁煙車 コーナーセンサー スマートキー LEDヘッド ETC 純正19インチアルミ 車線逸脱警報 オートライト デュアルエアコン リアエアコン</t>
        </is>
      </c>
      <c r="M347" s="7" t="inlineStr">
        <is>
          <t>https://www.carsensor.net/usedcar/detail/AU7439505711/index.html</t>
        </is>
      </c>
    </row>
    <row r="348">
      <c r="A348" s="11" t="n">
        <v>2017</v>
      </c>
      <c r="B348" s="12" t="inlineStr">
        <is>
          <t>2WD</t>
        </is>
      </c>
      <c r="C348" s="12" t="inlineStr">
        <is>
          <t>2.2 XD プロアクティブ</t>
        </is>
      </c>
      <c r="D348" s="13" t="n">
        <v>5.5</v>
      </c>
      <c r="E348" s="14" t="n">
        <v>224.9</v>
      </c>
      <c r="F348" s="14" t="n">
        <v>209</v>
      </c>
      <c r="G348" s="15" t="n">
        <v>5.4</v>
      </c>
      <c r="H348" s="12" t="inlineStr">
        <is>
          <t>なし</t>
        </is>
      </c>
      <c r="I348" s="12" t="inlineStr">
        <is>
          <t>車検整備付</t>
        </is>
      </c>
      <c r="J348" s="12" t="inlineStr">
        <is>
          <t>保証付</t>
        </is>
      </c>
      <c r="K348" s="16" t="inlineStr">
        <is>
          <t>走行が少なめ（5.4万km） / 修復歴なし / 車検整備付 / 保証付</t>
        </is>
      </c>
      <c r="L348" s="16" t="inlineStr">
        <is>
          <t>CX-8 2.2 XD プロアクティブ ディーゼルターボ 禁煙車 後席モニター 純正ナビ 全周囲カメラ フルセグ レーダークルーズ シートヒーター ステアリングヒーター パワーシート ヘッドアップディスプレイ LEDライト 純正AW</t>
        </is>
      </c>
      <c r="M348" s="12" t="inlineStr">
        <is>
          <t>https://www.carsensor.net/usedcar/detail/AU7447744819/index.html</t>
        </is>
      </c>
    </row>
    <row r="349">
      <c r="A349" s="6" t="n">
        <v>2017</v>
      </c>
      <c r="B349" s="7" t="inlineStr">
        <is>
          <t>2WD</t>
        </is>
      </c>
      <c r="C349" s="7" t="inlineStr">
        <is>
          <t>2.2 XD プロアクティブ</t>
        </is>
      </c>
      <c r="D349" s="17" t="n">
        <v>5.5</v>
      </c>
      <c r="E349" s="9" t="n">
        <v>185.9</v>
      </c>
      <c r="F349" s="9" t="n">
        <v>167</v>
      </c>
      <c r="G349" s="10" t="n">
        <v>4.4</v>
      </c>
      <c r="H349" s="7" t="inlineStr">
        <is>
          <t>なし</t>
        </is>
      </c>
      <c r="I349" s="7" t="inlineStr">
        <is>
          <t>車検整備付</t>
        </is>
      </c>
      <c r="J349" s="7" t="inlineStr">
        <is>
          <t>保証付</t>
        </is>
      </c>
      <c r="K349" s="16" t="inlineStr">
        <is>
          <t>走行が少なめ（4.4万km） / 修復歴なし / 車検整備付 / 保証付</t>
        </is>
      </c>
      <c r="L349" s="16" t="inlineStr">
        <is>
          <t>CX-8 2.2 XD プロアクティブ ディーゼルターボ レザーシート/純正ナビ/衝突軽減システム/シートヒーター/パワーシート/全方位カメラ/ETC/レーダークルーズ/3列シート/パーキングセンサー</t>
        </is>
      </c>
      <c r="M349" s="7" t="inlineStr">
        <is>
          <t>https://www.carsensor.net/usedcar/detail/AU7332523444/index.html</t>
        </is>
      </c>
    </row>
    <row r="350">
      <c r="A350" s="11" t="n">
        <v>2018</v>
      </c>
      <c r="B350" s="12" t="inlineStr">
        <is>
          <t>2WD</t>
        </is>
      </c>
      <c r="C350" s="12" t="inlineStr">
        <is>
          <t>2.2 XD プロアクティブ</t>
        </is>
      </c>
      <c r="D350" s="13" t="n">
        <v>5.5</v>
      </c>
      <c r="E350" s="14" t="n">
        <v>205.9</v>
      </c>
      <c r="F350" s="14" t="n">
        <v>190</v>
      </c>
      <c r="G350" s="15" t="n">
        <v>3.6</v>
      </c>
      <c r="H350" s="12" t="inlineStr">
        <is>
          <t>なし</t>
        </is>
      </c>
      <c r="I350" s="12" t="inlineStr">
        <is>
          <t>車検整備付</t>
        </is>
      </c>
      <c r="J350" s="12" t="inlineStr">
        <is>
          <t>保証付</t>
        </is>
      </c>
      <c r="K350" s="16" t="inlineStr">
        <is>
          <t>走行が少なめ（3.6万km） / 修復歴なし / 車検整備付 / 保証付</t>
        </is>
      </c>
      <c r="L350" s="16" t="inlineStr">
        <is>
          <t>CX-8 2.2 XD プロアクティブ ディーゼルターボ 禁煙車/BOSEサウンド/シートエアコン/ステアリングヒーター/電動リアゲート/純正ナビ/バックカメラ/ETC/衝突被害軽減/BSM/レーダークルーズ/シートヒーター/パワーシート/HUD/USB充電</t>
        </is>
      </c>
      <c r="M350" s="12" t="inlineStr">
        <is>
          <t>https://www.carsensor.net/usedcar/detail/AU6963662221/index.html</t>
        </is>
      </c>
    </row>
    <row r="351">
      <c r="A351" s="6" t="n">
        <v>2018</v>
      </c>
      <c r="B351" s="7" t="inlineStr">
        <is>
          <t>2WD</t>
        </is>
      </c>
      <c r="C351" s="7" t="inlineStr">
        <is>
          <t>2.2 XD プロアクティブ</t>
        </is>
      </c>
      <c r="D351" s="17" t="n">
        <v>5.5</v>
      </c>
      <c r="E351" s="9" t="n">
        <v>228.8</v>
      </c>
      <c r="F351" s="9" t="n">
        <v>222.1</v>
      </c>
      <c r="G351" s="10" t="n">
        <v>3.4</v>
      </c>
      <c r="H351" s="7" t="inlineStr">
        <is>
          <t>なし</t>
        </is>
      </c>
      <c r="I351" s="7" t="inlineStr">
        <is>
          <t>車検整備付</t>
        </is>
      </c>
      <c r="J351" s="7" t="inlineStr">
        <is>
          <t>保証付</t>
        </is>
      </c>
      <c r="K351" s="16" t="inlineStr">
        <is>
          <t>走行が少なめ（3.4万km） / 修復歴なし / 車検整備付 / 保証付</t>
        </is>
      </c>
      <c r="L351" s="16" t="inlineStr">
        <is>
          <t>CX-8 2.2 XD プロアクティブ ディーゼルターボ 純正ナビTV 360カメラ ヘッドアップディスプレイ デジタルインナーミラー パワーシート/ヒーター ハンドルヒーター レーダークルコン 衝突軽減ブレーキ レーンアシスト BSM 前後ドライブレコーダー ETC</t>
        </is>
      </c>
      <c r="M351" s="7" t="inlineStr">
        <is>
          <t>https://www.carsensor.net/usedcar/detail/AU7278847061/index.html</t>
        </is>
      </c>
    </row>
    <row r="352">
      <c r="A352" s="11" t="n">
        <v>2018</v>
      </c>
      <c r="B352" s="12" t="inlineStr">
        <is>
          <t>2WD</t>
        </is>
      </c>
      <c r="C352" s="12" t="inlineStr">
        <is>
          <t>2.2 XD プロアクティブ</t>
        </is>
      </c>
      <c r="D352" s="13" t="n">
        <v>5.5</v>
      </c>
      <c r="E352" s="14" t="n">
        <v>179.5</v>
      </c>
      <c r="F352" s="14" t="n">
        <v>165.8</v>
      </c>
      <c r="G352" s="15" t="n">
        <v>5.1</v>
      </c>
      <c r="H352" s="12" t="inlineStr">
        <is>
          <t>なし</t>
        </is>
      </c>
      <c r="I352" s="12" t="inlineStr">
        <is>
          <t>車検整備付</t>
        </is>
      </c>
      <c r="J352" s="12" t="inlineStr">
        <is>
          <t>保証付</t>
        </is>
      </c>
      <c r="K352" s="16" t="inlineStr">
        <is>
          <t>走行が少なめ（5.1万km） / 修復歴なし / 車検整備付 / 保証付</t>
        </is>
      </c>
      <c r="L352" s="16" t="inlineStr">
        <is>
          <t>CX-8 2.2 XD プロアクティブ ディーゼルターボ 禁煙 BOSE 全周囲カメラ 衝突軽減 レーダークルーズ マツダコネクト BSM シートヒーター 電動シート ビルトインETC スマートキー プッシュスタート 純正19インチアルミホイール LED</t>
        </is>
      </c>
      <c r="M352" s="12" t="inlineStr">
        <is>
          <t>https://www.carsensor.net/usedcar/detail/AU7128246599/index.html</t>
        </is>
      </c>
    </row>
    <row r="353">
      <c r="A353" s="6" t="n">
        <v>2018</v>
      </c>
      <c r="B353" s="7" t="inlineStr">
        <is>
          <t>2WD</t>
        </is>
      </c>
      <c r="C353" s="7" t="inlineStr">
        <is>
          <t>2.2 XD プロアクティブ</t>
        </is>
      </c>
      <c r="D353" s="17" t="n">
        <v>5.5</v>
      </c>
      <c r="E353" s="9" t="n">
        <v>239.9</v>
      </c>
      <c r="F353" s="9" t="n">
        <v>229.8</v>
      </c>
      <c r="G353" s="10" t="n">
        <v>4.5</v>
      </c>
      <c r="H353" s="7" t="inlineStr">
        <is>
          <t>なし</t>
        </is>
      </c>
      <c r="I353" s="7" t="inlineStr">
        <is>
          <t>車検整備付</t>
        </is>
      </c>
      <c r="J353" s="7" t="inlineStr">
        <is>
          <t>保証付</t>
        </is>
      </c>
      <c r="K353" s="16" t="inlineStr">
        <is>
          <t>走行が少なめ（4.5万km） / 修復歴なし / 車検整備付 / 保証付</t>
        </is>
      </c>
      <c r="L353" s="16" t="inlineStr">
        <is>
          <t>CX-8 2.2 XD プロアクティブ ディーゼルターボ 禁煙車 ディーゼル ターボ 純正ナビ(CD/DVD/Bluetooth/フルセグTV/USB) 全方位カメラ i-ACTIVESENSE ヘッドアップディスプレイ ETC シートヒーター パワーシート</t>
        </is>
      </c>
      <c r="M353" s="7" t="inlineStr">
        <is>
          <t>https://www.carsensor.net/usedcar/detail/AU7384352838/index.html</t>
        </is>
      </c>
    </row>
    <row r="354">
      <c r="A354" s="11" t="n">
        <v>2018</v>
      </c>
      <c r="B354" s="12" t="inlineStr">
        <is>
          <t>2WD</t>
        </is>
      </c>
      <c r="C354" s="12" t="inlineStr">
        <is>
          <t>2.2 XD プロアクティブ</t>
        </is>
      </c>
      <c r="D354" s="13" t="n">
        <v>5.5</v>
      </c>
      <c r="E354" s="14" t="n">
        <v>194.3</v>
      </c>
      <c r="F354" s="14" t="n">
        <v>179.8</v>
      </c>
      <c r="G354" s="15" t="n">
        <v>3.6</v>
      </c>
      <c r="H354" s="12" t="inlineStr">
        <is>
          <t>なし</t>
        </is>
      </c>
      <c r="I354" s="12" t="inlineStr">
        <is>
          <t>車検整備付</t>
        </is>
      </c>
      <c r="J354" s="12" t="inlineStr">
        <is>
          <t>保証付</t>
        </is>
      </c>
      <c r="K354" s="16" t="inlineStr">
        <is>
          <t>走行が少なめ（3.6万km） / 修復歴なし / 車検整備付 / 保証付</t>
        </is>
      </c>
      <c r="L354" s="16" t="inlineStr">
        <is>
          <t>CX-8 2.2 XD プロアクティブ ディーゼルターボ 7人乗り</t>
        </is>
      </c>
      <c r="M354" s="12" t="inlineStr">
        <is>
          <t>https://www.carsensor.net/usedcar/detail/AU7106880818/index.html</t>
        </is>
      </c>
    </row>
    <row r="355">
      <c r="A355" s="6" t="n">
        <v>2018</v>
      </c>
      <c r="B355" s="7" t="inlineStr">
        <is>
          <t>2WD</t>
        </is>
      </c>
      <c r="C355" s="7" t="inlineStr">
        <is>
          <t>2.2 XD プロアクティブ</t>
        </is>
      </c>
      <c r="D355" s="17" t="n">
        <v>5.5</v>
      </c>
      <c r="E355" s="9" t="n">
        <v>211.8</v>
      </c>
      <c r="F355" s="9" t="n">
        <v>199.4</v>
      </c>
      <c r="G355" s="10" t="n">
        <v>4.6</v>
      </c>
      <c r="H355" s="7" t="inlineStr">
        <is>
          <t>なし</t>
        </is>
      </c>
      <c r="I355" s="7" t="inlineStr">
        <is>
          <t>車検整備付</t>
        </is>
      </c>
      <c r="J355" s="7" t="inlineStr">
        <is>
          <t>保証付</t>
        </is>
      </c>
      <c r="K355" s="16" t="inlineStr">
        <is>
          <t>走行が少なめ（4.6万km） / 修復歴なし / 車検整備付 / 保証付</t>
        </is>
      </c>
      <c r="L355" s="16" t="inlineStr">
        <is>
          <t>CX-8 2.2 XD プロアクティブ ディーゼルターボ 禁煙車/アルパインフリップダウンモニター/アダプティブクルーズコントロール/ブライトスポットモニター/ヘッドアップディスプレイ/パワーシート/シートヒーター/ハンドルヒーター/ドライブレコーダー前後/ETC</t>
        </is>
      </c>
      <c r="M355" s="7" t="inlineStr">
        <is>
          <t>https://www.carsensor.net/usedcar/detail/AU7339484355/index.html</t>
        </is>
      </c>
    </row>
    <row r="356">
      <c r="A356" s="11" t="n">
        <v>2018</v>
      </c>
      <c r="B356" s="12" t="inlineStr">
        <is>
          <t>2WD</t>
        </is>
      </c>
      <c r="C356" s="12" t="inlineStr">
        <is>
          <t>2.2 XD プロアクティブ</t>
        </is>
      </c>
      <c r="D356" s="13" t="n">
        <v>5.5</v>
      </c>
      <c r="E356" s="14" t="n">
        <v>250</v>
      </c>
      <c r="F356" s="14" t="n">
        <v>237</v>
      </c>
      <c r="G356" s="15" t="n">
        <v>4.3</v>
      </c>
      <c r="H356" s="12" t="inlineStr">
        <is>
          <t>なし</t>
        </is>
      </c>
      <c r="I356" s="12" t="inlineStr">
        <is>
          <t>車検整備付</t>
        </is>
      </c>
      <c r="J356" s="12" t="inlineStr">
        <is>
          <t>保証付</t>
        </is>
      </c>
      <c r="K356" s="16" t="inlineStr">
        <is>
          <t>走行が少なめ（4.3万km） / 修復歴なし / 車検整備付 / 保証付</t>
        </is>
      </c>
      <c r="L356" s="16" t="inlineStr">
        <is>
          <t>CX-8 2.2 XD プロアクティブ ディーゼルターボ 前オーナー禁煙/第三者機関鑑定書付/自社保証付/車検整備付/360°ビューモニター/パーキングセンサー/DVD・CD・地デジ/レーダークルーズコントロール/スマートブレーキサポート/LEDヘッドランプ</t>
        </is>
      </c>
      <c r="M356" s="12" t="inlineStr">
        <is>
          <t>https://www.carsensor.net/usedcar/detail/AU7376053838/index.html</t>
        </is>
      </c>
    </row>
    <row r="357">
      <c r="A357" s="6" t="n">
        <v>2018</v>
      </c>
      <c r="B357" s="7" t="inlineStr">
        <is>
          <t>2WD</t>
        </is>
      </c>
      <c r="C357" s="7" t="inlineStr">
        <is>
          <t>2.2 XD プロアクティブ</t>
        </is>
      </c>
      <c r="D357" s="17" t="n">
        <v>5.5</v>
      </c>
      <c r="E357" s="9" t="n">
        <v>198.7</v>
      </c>
      <c r="F357" s="9" t="n">
        <v>185.9</v>
      </c>
      <c r="G357" s="10" t="n">
        <v>4.1</v>
      </c>
      <c r="H357" s="7" t="inlineStr">
        <is>
          <t>なし</t>
        </is>
      </c>
      <c r="I357" s="7" t="inlineStr">
        <is>
          <t>車検整備付</t>
        </is>
      </c>
      <c r="J357" s="7" t="inlineStr">
        <is>
          <t>保証付</t>
        </is>
      </c>
      <c r="K357" s="16" t="inlineStr">
        <is>
          <t>走行が少なめ（4.1万km） / 修復歴なし / 車検整備付 / 保証付</t>
        </is>
      </c>
      <c r="L357" s="16" t="inlineStr">
        <is>
          <t>CX-8 2.2 XD プロアクティブ ディーゼルターボ</t>
        </is>
      </c>
      <c r="M357" s="7" t="inlineStr">
        <is>
          <t>https://www.carsensor.net/usedcar/detail/AU7448773864/index.html</t>
        </is>
      </c>
    </row>
    <row r="358">
      <c r="A358" s="11" t="n">
        <v>2019</v>
      </c>
      <c r="B358" s="12" t="inlineStr">
        <is>
          <t>2WD</t>
        </is>
      </c>
      <c r="C358" s="12" t="inlineStr">
        <is>
          <t>2.2 XD プロアクティブ</t>
        </is>
      </c>
      <c r="D358" s="13" t="n">
        <v>5.5</v>
      </c>
      <c r="E358" s="14" t="n">
        <v>211.8</v>
      </c>
      <c r="F358" s="14" t="n">
        <v>204.9</v>
      </c>
      <c r="G358" s="15" t="n">
        <v>3.1</v>
      </c>
      <c r="H358" s="12" t="inlineStr">
        <is>
          <t>なし</t>
        </is>
      </c>
      <c r="I358" s="12" t="inlineStr">
        <is>
          <t>車検整備付</t>
        </is>
      </c>
      <c r="J358" s="12" t="inlineStr">
        <is>
          <t>保証付</t>
        </is>
      </c>
      <c r="K358" s="16" t="inlineStr">
        <is>
          <t>走行が少なめ（3.1万km） / 修復歴なし / 車検整備付 / 保証付</t>
        </is>
      </c>
      <c r="L358" s="16" t="inlineStr">
        <is>
          <t>CX-8 2.2 XD プロアクティブ ディーゼルターボ 禁煙車 BOSEサウンド マツダコネクト8型ナビ 360度ビューモニター パワーバックドア ドライブレコーダー 前席シートヒーター ステアリングヒーター ETC 運転席パワーシート(メモリー機能付)</t>
        </is>
      </c>
      <c r="M358" s="12" t="inlineStr">
        <is>
          <t>https://www.carsensor.net/usedcar/detail/AU7214995613/index.html</t>
        </is>
      </c>
    </row>
    <row r="359">
      <c r="A359" s="6" t="n">
        <v>2019</v>
      </c>
      <c r="B359" s="7" t="inlineStr">
        <is>
          <t>2WD</t>
        </is>
      </c>
      <c r="C359" s="7" t="inlineStr">
        <is>
          <t>2.2 XD プロアクティブ</t>
        </is>
      </c>
      <c r="D359" s="17" t="n">
        <v>5.5</v>
      </c>
      <c r="E359" s="9" t="n">
        <v>261.6</v>
      </c>
      <c r="F359" s="9" t="n">
        <v>246.8</v>
      </c>
      <c r="G359" s="10" t="n">
        <v>3.7</v>
      </c>
      <c r="H359" s="7" t="inlineStr">
        <is>
          <t>なし</t>
        </is>
      </c>
      <c r="I359" s="7" t="inlineStr">
        <is>
          <t>車検整備付</t>
        </is>
      </c>
      <c r="J359" s="7" t="inlineStr">
        <is>
          <t>保証付</t>
        </is>
      </c>
      <c r="K359" s="16" t="inlineStr">
        <is>
          <t>走行が少なめ（3.7万km） / 修復歴なし / 車検整備付 / 保証付</t>
        </is>
      </c>
      <c r="L359" s="16" t="inlineStr">
        <is>
          <t>CX-8 2.2 XD プロアクティブ ディーゼルターボ ETC・リアシ-トモニタ-・ドライブレコ-ダ-</t>
        </is>
      </c>
      <c r="M359" s="7" t="inlineStr">
        <is>
          <t>https://www.carsensor.net/usedcar/detail/AU6958650109/index.html</t>
        </is>
      </c>
    </row>
    <row r="360">
      <c r="A360" s="11" t="n">
        <v>2019</v>
      </c>
      <c r="B360" s="12" t="inlineStr">
        <is>
          <t>2WD</t>
        </is>
      </c>
      <c r="C360" s="12" t="inlineStr">
        <is>
          <t>2.2 XD プロアクティブ</t>
        </is>
      </c>
      <c r="D360" s="13" t="n">
        <v>5.5</v>
      </c>
      <c r="E360" s="14" t="n">
        <v>227.9</v>
      </c>
      <c r="F360" s="14" t="n">
        <v>214</v>
      </c>
      <c r="G360" s="15" t="n">
        <v>4.1</v>
      </c>
      <c r="H360" s="12" t="inlineStr">
        <is>
          <t>なし</t>
        </is>
      </c>
      <c r="I360" s="12" t="inlineStr">
        <is>
          <t>車検整備付</t>
        </is>
      </c>
      <c r="J360" s="12" t="inlineStr">
        <is>
          <t>保証付</t>
        </is>
      </c>
      <c r="K360" s="16" t="inlineStr">
        <is>
          <t>走行が少なめ（4.1万km） / 修復歴なし / 車検整備付 / 保証付</t>
        </is>
      </c>
      <c r="L360" s="16" t="inlineStr">
        <is>
          <t>CX-8 2.2 XD プロアクティブ ディーゼルターボ 1年保証付 車検整備付 禁煙車 ETC 全周囲カメラ クリアランスソナー オートクルーズコントロール レーンアシスト パワーシート 衝突被害軽減システム ナビ TV オートライト LEDヘッドランプ ターボ</t>
        </is>
      </c>
      <c r="M360" s="12" t="inlineStr">
        <is>
          <t>https://www.carsensor.net/usedcar/detail/AU7207703921/index.html</t>
        </is>
      </c>
    </row>
    <row r="361">
      <c r="A361" s="6" t="n">
        <v>2019</v>
      </c>
      <c r="B361" s="7" t="inlineStr">
        <is>
          <t>2WD</t>
        </is>
      </c>
      <c r="C361" s="7" t="inlineStr">
        <is>
          <t>2.2 XD プロアクティブ</t>
        </is>
      </c>
      <c r="D361" s="17" t="n">
        <v>5.5</v>
      </c>
      <c r="E361" s="9" t="n">
        <v>244.4</v>
      </c>
      <c r="F361" s="9" t="n">
        <v>229.8</v>
      </c>
      <c r="G361" s="10" t="n">
        <v>3.3</v>
      </c>
      <c r="H361" s="7" t="inlineStr">
        <is>
          <t>なし</t>
        </is>
      </c>
      <c r="I361" s="7" t="inlineStr">
        <is>
          <t>車検整備付</t>
        </is>
      </c>
      <c r="J361" s="7" t="inlineStr">
        <is>
          <t>保証付</t>
        </is>
      </c>
      <c r="K361" s="16" t="inlineStr">
        <is>
          <t>走行が少なめ（3.3万km） / 修復歴なし / 車検整備付 / 保証付</t>
        </is>
      </c>
      <c r="L361" s="16" t="inlineStr">
        <is>
          <t>CX-8 2.2 XD プロアクティブ ディーゼルターボ ワンオーナー リアフリップダウンモニター ナビ フルセグTV BOSEサウンド 運転席パワーシート 360度カメラ LEDライト ETC ドラレコ 12か月間走行無制限保証</t>
        </is>
      </c>
      <c r="M361" s="7" t="inlineStr">
        <is>
          <t>https://www.carsensor.net/usedcar/detail/AU7415953268/index.html</t>
        </is>
      </c>
    </row>
    <row r="362">
      <c r="A362" s="11" t="n">
        <v>2020</v>
      </c>
      <c r="B362" s="12" t="inlineStr">
        <is>
          <t>2WD</t>
        </is>
      </c>
      <c r="C362" s="12" t="inlineStr">
        <is>
          <t>2.2 XD プロアクティブ</t>
        </is>
      </c>
      <c r="D362" s="13" t="n">
        <v>5.5</v>
      </c>
      <c r="E362" s="14" t="n">
        <v>269.9</v>
      </c>
      <c r="F362" s="14" t="n">
        <v>258.1</v>
      </c>
      <c r="G362" s="15" t="n">
        <v>2.9</v>
      </c>
      <c r="H362" s="12" t="inlineStr">
        <is>
          <t>なし</t>
        </is>
      </c>
      <c r="I362" s="12" t="inlineStr">
        <is>
          <t>2027(R09)年10月</t>
        </is>
      </c>
      <c r="J362" s="12" t="inlineStr">
        <is>
          <t>保証付</t>
        </is>
      </c>
      <c r="K362" s="16" t="inlineStr">
        <is>
          <t>走行が少なめ（2.9万km） / 修復歴なし / 車検 2027/10 まで（残り12ヶ月） / 保証付</t>
        </is>
      </c>
      <c r="L362" s="16" t="inlineStr">
        <is>
          <t>CX-8 2.2 XD プロアクティブ Sパッケージ ディーゼルターボ 7人乗り 後席モニター 衝突軽減装置 禁煙車 純正ナビ 全周囲カメラ BOSEサウンドシステム レザーシート黒 アダプディブクルーズ ETC Bluetooth フルセグ ドラレコ</t>
        </is>
      </c>
      <c r="M362" s="12" t="inlineStr">
        <is>
          <t>https://www.carsensor.net/usedcar/detail/AU7301167260/index.html</t>
        </is>
      </c>
    </row>
    <row r="363">
      <c r="A363" s="6" t="n">
        <v>2020</v>
      </c>
      <c r="B363" s="7" t="inlineStr">
        <is>
          <t>2WD</t>
        </is>
      </c>
      <c r="C363" s="7" t="inlineStr">
        <is>
          <t>2.2 XD プロアクティブ</t>
        </is>
      </c>
      <c r="D363" s="17" t="n">
        <v>5.5</v>
      </c>
      <c r="E363" s="9" t="n">
        <v>251.8</v>
      </c>
      <c r="F363" s="9" t="n">
        <v>245</v>
      </c>
      <c r="G363" s="10" t="n">
        <v>3.5</v>
      </c>
      <c r="H363" s="7" t="inlineStr">
        <is>
          <t>なし</t>
        </is>
      </c>
      <c r="I363" s="7" t="inlineStr">
        <is>
          <t>車検整備付</t>
        </is>
      </c>
      <c r="J363" s="7" t="inlineStr">
        <is>
          <t>保証付</t>
        </is>
      </c>
      <c r="K363" s="16" t="inlineStr">
        <is>
          <t>走行が少なめ（3.5万km） / 修復歴なし / 車検整備付 / 保証付</t>
        </is>
      </c>
      <c r="L363" s="16" t="inlineStr">
        <is>
          <t>CX-8 2.2 XD プロアクティブ ディーゼルターボ 禁煙 マツダコネクト8インチナビ 360度ビューモニター AppleCarplay シートヒーター ステアリングヒーター パワーバックドア ETC アダプティブLEDヘッドライト レーダークルーズコントロール スマートキー</t>
        </is>
      </c>
      <c r="M363" s="7" t="inlineStr">
        <is>
          <t>https://www.carsensor.net/usedcar/detail/AU7320972591/index.html</t>
        </is>
      </c>
    </row>
    <row r="364">
      <c r="A364" s="11" t="n">
        <v>2021</v>
      </c>
      <c r="B364" s="12" t="inlineStr">
        <is>
          <t>2WD</t>
        </is>
      </c>
      <c r="C364" s="12" t="inlineStr">
        <is>
          <t>2.2 XD プロアクティブ</t>
        </is>
      </c>
      <c r="D364" s="13" t="n">
        <v>5.5</v>
      </c>
      <c r="E364" s="14" t="n">
        <v>254</v>
      </c>
      <c r="F364" s="14" t="n">
        <v>235.9</v>
      </c>
      <c r="G364" s="15" t="n">
        <v>3.3</v>
      </c>
      <c r="H364" s="12" t="inlineStr">
        <is>
          <t>なし</t>
        </is>
      </c>
      <c r="I364" s="12" t="inlineStr">
        <is>
          <t>車検整備付</t>
        </is>
      </c>
      <c r="J364" s="12" t="inlineStr">
        <is>
          <t>保証付</t>
        </is>
      </c>
      <c r="K364" s="16" t="inlineStr">
        <is>
          <t>走行が少なめ（3.3万km） / 修復歴なし / 車検整備付 / 保証付</t>
        </is>
      </c>
      <c r="L364" s="16" t="inlineStr">
        <is>
          <t>CX-8 2.2 XD プロアクティブ ディーゼルターボ 純正ディスプレイオーディオ フルセグ ETC 全周囲カメラ レーダークルーズコントロール ドラレコ 前後ソナー パワーシート 純正19インチAW アダプティブLEDヘッドランプ BSM シートヒーター 禁煙車</t>
        </is>
      </c>
      <c r="M364" s="12" t="inlineStr">
        <is>
          <t>https://www.carsensor.net/usedcar/detail/AU7410837634/index.html</t>
        </is>
      </c>
    </row>
    <row r="365">
      <c r="A365" s="6" t="n">
        <v>2018</v>
      </c>
      <c r="B365" s="7" t="inlineStr">
        <is>
          <t>2WD</t>
        </is>
      </c>
      <c r="C365" s="7" t="inlineStr">
        <is>
          <t>2.2 XD プロアクティブ</t>
        </is>
      </c>
      <c r="D365" s="17" t="n">
        <v>5.4</v>
      </c>
      <c r="E365" s="9" t="n">
        <v>222.9</v>
      </c>
      <c r="F365" s="9" t="n">
        <v>216.8</v>
      </c>
      <c r="G365" s="10" t="n">
        <v>4.2</v>
      </c>
      <c r="H365" s="7" t="inlineStr">
        <is>
          <t>なし</t>
        </is>
      </c>
      <c r="I365" s="7" t="inlineStr">
        <is>
          <t>2027(R09)年09月</t>
        </is>
      </c>
      <c r="J365" s="7" t="inlineStr">
        <is>
          <t>保証付</t>
        </is>
      </c>
      <c r="K365" s="16" t="inlineStr">
        <is>
          <t>走行が少なめ（4.2万km） / 修復歴なし / 車検 2027/09 まで（残り11ヶ月） / 保証付</t>
        </is>
      </c>
      <c r="L365" s="16" t="inlineStr">
        <is>
          <t>CX-8 2.2 XD プロアクティブ ディーゼルターボ 4WD 純正ナビ フリップダウンモニター 360°ビューモニター BOSEサウンド スマートブレーキサポート ブラインドスポットモニタリング シートヒーター パワーシート BLITZ車高調 RAYSアルミ</t>
        </is>
      </c>
      <c r="M365" s="7" t="inlineStr">
        <is>
          <t>https://www.carsensor.net/usedcar/detail/AU7436823435/index.html</t>
        </is>
      </c>
    </row>
    <row r="366">
      <c r="A366" s="11" t="n">
        <v>2018</v>
      </c>
      <c r="B366" s="12" t="inlineStr">
        <is>
          <t>2WD</t>
        </is>
      </c>
      <c r="C366" s="12" t="inlineStr">
        <is>
          <t>2.2 XD プロアクティブ</t>
        </is>
      </c>
      <c r="D366" s="13" t="n">
        <v>5.3</v>
      </c>
      <c r="E366" s="14" t="n">
        <v>194.8</v>
      </c>
      <c r="F366" s="14" t="n">
        <v>188.8</v>
      </c>
      <c r="G366" s="15" t="n">
        <v>4.9</v>
      </c>
      <c r="H366" s="12" t="inlineStr">
        <is>
          <t>なし</t>
        </is>
      </c>
      <c r="I366" s="12" t="inlineStr">
        <is>
          <t>2027(R09)年08月</t>
        </is>
      </c>
      <c r="J366" s="12" t="inlineStr">
        <is>
          <t>保証付</t>
        </is>
      </c>
      <c r="K366" s="16" t="inlineStr">
        <is>
          <t>走行が少なめ（4.9万km） / 修復歴なし / 車検 2027/08 まで（残り10ヶ月） / 保証付</t>
        </is>
      </c>
      <c r="L366" s="16" t="inlineStr">
        <is>
          <t>CX-8 2.2 XD プロアクティブ ディーゼルターボ 6人 純正ナビ フリップダウンモニター レーダークルーズコントロール 衝突軽減ブレーキ ブラインドスポットモニター シートヒーター ステアリングヒーター レーンアシスト バックカメラ パワーシート</t>
        </is>
      </c>
      <c r="M366" s="12" t="inlineStr">
        <is>
          <t>https://www.carsensor.net/usedcar/detail/AU7383201782/index.html</t>
        </is>
      </c>
    </row>
    <row r="367">
      <c r="A367" s="6" t="n">
        <v>2020</v>
      </c>
      <c r="B367" s="7" t="inlineStr">
        <is>
          <t>2WD</t>
        </is>
      </c>
      <c r="C367" s="7" t="inlineStr">
        <is>
          <t>2.2 XD プロアクティブ</t>
        </is>
      </c>
      <c r="D367" s="17" t="n">
        <v>5.3</v>
      </c>
      <c r="E367" s="9" t="n">
        <v>243.8</v>
      </c>
      <c r="F367" s="9" t="n">
        <v>235.4</v>
      </c>
      <c r="G367" s="10" t="n">
        <v>3.8</v>
      </c>
      <c r="H367" s="7" t="inlineStr">
        <is>
          <t>なし</t>
        </is>
      </c>
      <c r="I367" s="7" t="inlineStr">
        <is>
          <t>2027(R09)年08月</t>
        </is>
      </c>
      <c r="J367" s="7" t="inlineStr">
        <is>
          <t>保証付</t>
        </is>
      </c>
      <c r="K367" s="16" t="inlineStr">
        <is>
          <t>走行が少なめ（3.8万km） / 修復歴なし / 車検 2027/08 まで（残り10ヶ月） / 保証付</t>
        </is>
      </c>
      <c r="L367" s="16" t="inlineStr">
        <is>
          <t>CX-8 2.2 XD プロアクティブ Sパッケージ ディーゼルターボ AppleCarPlay/全周囲カメラ/6人乗/パワーバックドア/メモリー付きパワーシート/シートベンチレーション/シートヒーター/フルセグTV/ブラインドスポットモニター/レーダークルーズコントロール/ステアリングヒーター</t>
        </is>
      </c>
      <c r="M367" s="7" t="inlineStr">
        <is>
          <t>https://www.carsensor.net/usedcar/detail/AU7310546567/index.html</t>
        </is>
      </c>
    </row>
    <row r="368">
      <c r="A368" s="11" t="n">
        <v>2018</v>
      </c>
      <c r="B368" s="12" t="inlineStr">
        <is>
          <t>2WD</t>
        </is>
      </c>
      <c r="C368" s="12" t="inlineStr">
        <is>
          <t>2.2 XD プロアクティブ</t>
        </is>
      </c>
      <c r="D368" s="13" t="n">
        <v>5.2</v>
      </c>
      <c r="E368" s="14" t="n">
        <v>208.9</v>
      </c>
      <c r="F368" s="14" t="n">
        <v>202.5</v>
      </c>
      <c r="G368" s="15" t="n">
        <v>4</v>
      </c>
      <c r="H368" s="12" t="inlineStr">
        <is>
          <t>なし</t>
        </is>
      </c>
      <c r="I368" s="12" t="inlineStr">
        <is>
          <t>2027(R09)年07月</t>
        </is>
      </c>
      <c r="J368" s="12" t="inlineStr">
        <is>
          <t>保証付</t>
        </is>
      </c>
      <c r="K368" s="16" t="inlineStr">
        <is>
          <t>走行が少なめ（4.0万km） / 修復歴なし / 車検 2027/07 まで（残り9ヶ月） / 保証付</t>
        </is>
      </c>
      <c r="L368" s="16" t="inlineStr">
        <is>
          <t>CX-8 2.2 XD プロアクティブ ディーゼルターボ 8インチ SDナビ/衝突安全装置/シートヒーター/360°ビューモニター/車線逸脱防止支援システム/電動バックドア/ドライブレコーダー 前後/ヘッドランプ LED/USBジャック</t>
        </is>
      </c>
      <c r="M368" s="12" t="inlineStr">
        <is>
          <t>https://www.carsensor.net/usedcar/detail/AU7164488388/index.html</t>
        </is>
      </c>
    </row>
    <row r="369">
      <c r="A369" s="6" t="n">
        <v>2018</v>
      </c>
      <c r="B369" s="7" t="inlineStr">
        <is>
          <t>2WD</t>
        </is>
      </c>
      <c r="C369" s="7" t="inlineStr">
        <is>
          <t>2.2 XD プロアクティブ</t>
        </is>
      </c>
      <c r="D369" s="17" t="n">
        <v>5.2</v>
      </c>
      <c r="E369" s="9" t="n">
        <v>228.8</v>
      </c>
      <c r="F369" s="9" t="n">
        <v>222.9</v>
      </c>
      <c r="G369" s="10" t="n">
        <v>4.2</v>
      </c>
      <c r="H369" s="7" t="inlineStr">
        <is>
          <t>なし</t>
        </is>
      </c>
      <c r="I369" s="7" t="inlineStr">
        <is>
          <t>2027(R09)年06月</t>
        </is>
      </c>
      <c r="J369" s="7" t="inlineStr">
        <is>
          <t>保証付</t>
        </is>
      </c>
      <c r="K369" s="16" t="inlineStr">
        <is>
          <t>走行が少なめ（4.2万km） / 修復歴なし / 車検 2027/06 まで（残り8ヶ月） / 保証付</t>
        </is>
      </c>
      <c r="L369" s="16" t="inlineStr">
        <is>
          <t>CX-8 2.2 XD プロアクティブ ディーゼルターボ BOSE 純正ナビ 全周囲カメラ レーダークルコン パワーバックドア パワーシート シートヒーター ヘッドアップディスプレイ 衝突軽減ブレーキ ブラインドスポットモニター フルセグTV ETC</t>
        </is>
      </c>
      <c r="M369" s="7" t="inlineStr">
        <is>
          <t>https://www.carsensor.net/usedcar/detail/AU7257603111/index.html</t>
        </is>
      </c>
    </row>
    <row r="370">
      <c r="A370" s="11" t="n">
        <v>2018</v>
      </c>
      <c r="B370" s="12" t="inlineStr">
        <is>
          <t>2WD</t>
        </is>
      </c>
      <c r="C370" s="12" t="inlineStr">
        <is>
          <t>2.2 XD プロアクティブ</t>
        </is>
      </c>
      <c r="D370" s="13" t="n">
        <v>5.2</v>
      </c>
      <c r="E370" s="14" t="n">
        <v>233.8</v>
      </c>
      <c r="F370" s="14" t="n">
        <v>227.9</v>
      </c>
      <c r="G370" s="15" t="n">
        <v>3.4</v>
      </c>
      <c r="H370" s="12" t="inlineStr">
        <is>
          <t>なし</t>
        </is>
      </c>
      <c r="I370" s="12" t="inlineStr">
        <is>
          <t>2027(R09)年06月</t>
        </is>
      </c>
      <c r="J370" s="12" t="inlineStr">
        <is>
          <t>保証付</t>
        </is>
      </c>
      <c r="K370" s="16" t="inlineStr">
        <is>
          <t>走行が少なめ（3.4万km） / 修復歴なし / 車検 2027/06 まで（残り8ヶ月） / 保証付</t>
        </is>
      </c>
      <c r="L370" s="16" t="inlineStr">
        <is>
          <t>CX-8 2.2 XD プロアクティブ ディーゼルターボ ワンオーナー/純正ナビ/フルセグTV/Bluetooth/DVD再生/アラウンドビューモニター/レーダークルーズコントロール/Dレコーダー/ヘッドアップディスプレイ/電動パーキング/LEDオートライト</t>
        </is>
      </c>
      <c r="M370" s="12" t="inlineStr">
        <is>
          <t>https://www.carsensor.net/usedcar/detail/AU7350947574/index.html</t>
        </is>
      </c>
    </row>
    <row r="371">
      <c r="A371" s="6" t="n">
        <v>2018</v>
      </c>
      <c r="B371" s="7" t="inlineStr">
        <is>
          <t>2WD</t>
        </is>
      </c>
      <c r="C371" s="7" t="inlineStr">
        <is>
          <t>2.2 XD プロアクティブ</t>
        </is>
      </c>
      <c r="D371" s="17" t="n">
        <v>5.2</v>
      </c>
      <c r="E371" s="9" t="n">
        <v>210</v>
      </c>
      <c r="F371" s="9" t="n">
        <v>200.6</v>
      </c>
      <c r="G371" s="10" t="n">
        <v>4.8</v>
      </c>
      <c r="H371" s="7" t="inlineStr">
        <is>
          <t>なし</t>
        </is>
      </c>
      <c r="I371" s="7" t="inlineStr">
        <is>
          <t>2027(R09)年07月</t>
        </is>
      </c>
      <c r="J371" s="7" t="inlineStr">
        <is>
          <t>保証付</t>
        </is>
      </c>
      <c r="K371" s="16" t="inlineStr">
        <is>
          <t>走行が少なめ（4.8万km） / 修復歴なし / 車検 2027/07 まで（残り9ヶ月） / 保証付</t>
        </is>
      </c>
      <c r="L371" s="16" t="inlineStr">
        <is>
          <t>CX-8 2.2 XD プロアクティブ ディーゼルターボ マツダコネクト アルパインフリップダウンモニター 前後ドライブレコーダー ETC 前席シートヒーター ステアリングヒーター 電動リアゲート フルセグTV LEDヘッドライト クルーズコントロール 禁煙</t>
        </is>
      </c>
      <c r="M371" s="7" t="inlineStr">
        <is>
          <t>https://www.carsensor.net/usedcar/detail/AU7439745615/index.html</t>
        </is>
      </c>
    </row>
    <row r="372">
      <c r="A372" s="11" t="n">
        <v>2018</v>
      </c>
      <c r="B372" s="12" t="inlineStr">
        <is>
          <t>2WD</t>
        </is>
      </c>
      <c r="C372" s="12" t="inlineStr">
        <is>
          <t>2.2 XD プロアクティブ</t>
        </is>
      </c>
      <c r="D372" s="13" t="n">
        <v>5.1</v>
      </c>
      <c r="E372" s="14" t="n">
        <v>174</v>
      </c>
      <c r="F372" s="14" t="n">
        <v>167.9</v>
      </c>
      <c r="G372" s="15" t="n">
        <v>8.6</v>
      </c>
      <c r="H372" s="12" t="inlineStr">
        <is>
          <t>なし</t>
        </is>
      </c>
      <c r="I372" s="12" t="inlineStr">
        <is>
          <t>2027(R09)年11月</t>
        </is>
      </c>
      <c r="J372" s="12" t="inlineStr">
        <is>
          <t>保証付</t>
        </is>
      </c>
      <c r="K372" s="16" t="inlineStr">
        <is>
          <t>修復歴なし / 車検 2027/11 まで（残り13ヶ月） / 保証付 / 同年式より安い（中央値 196万）</t>
        </is>
      </c>
      <c r="L372" s="16" t="inlineStr">
        <is>
          <t>CX-8 2.2 XD プロアクティブ ディーゼルターボ 6人乗 純正ナビ 後席モニター 全方位カメラ ETC LED 衝突軽減ブレーキ アラウンドビューモニター レーダークルーズコントロール パワーシート シートヒーター パワーバックドア ヘッドアップディスプレイ BSM</t>
        </is>
      </c>
      <c r="M372" s="12" t="inlineStr">
        <is>
          <t>https://www.carsensor.net/usedcar/detail/AU7257447612/index.html</t>
        </is>
      </c>
    </row>
    <row r="373">
      <c r="A373" s="6" t="n">
        <v>2018</v>
      </c>
      <c r="B373" s="7" t="inlineStr">
        <is>
          <t>2WD</t>
        </is>
      </c>
      <c r="C373" s="7" t="inlineStr">
        <is>
          <t>2.2 XD プロアクティブ</t>
        </is>
      </c>
      <c r="D373" s="17" t="n">
        <v>5.1</v>
      </c>
      <c r="E373" s="9" t="n">
        <v>189.9</v>
      </c>
      <c r="F373" s="9" t="n">
        <v>178.9</v>
      </c>
      <c r="G373" s="10" t="n">
        <v>4.3</v>
      </c>
      <c r="H373" s="7" t="inlineStr">
        <is>
          <t>なし</t>
        </is>
      </c>
      <c r="I373" s="7" t="inlineStr">
        <is>
          <t>2027(R09)年05月</t>
        </is>
      </c>
      <c r="J373" s="7" t="inlineStr">
        <is>
          <t>保証付</t>
        </is>
      </c>
      <c r="K373" s="16" t="inlineStr">
        <is>
          <t>走行が少なめ（4.3万km） / 修復歴なし / 車検 2027/05 まで（残り7ヶ月） / 保証付</t>
        </is>
      </c>
      <c r="L373" s="16" t="inlineStr">
        <is>
          <t>CX-8 2.2 XD プロアクティブ ディーゼルターボ (禁煙車)(メーカーナビ)(サイド・バックカメラ)(レーダークルーズ)(クリアランスソナー)(スマートキー)(シートヒーター)(ETC)(Bluetooth)(シートメモリー)(純正19インチAW)</t>
        </is>
      </c>
      <c r="M373" s="7" t="inlineStr">
        <is>
          <t>https://www.carsensor.net/usedcar/detail/AU7240417487/index.html</t>
        </is>
      </c>
    </row>
    <row r="374">
      <c r="A374" s="11" t="n">
        <v>2017</v>
      </c>
      <c r="B374" s="12" t="inlineStr">
        <is>
          <t>2WD</t>
        </is>
      </c>
      <c r="C374" s="12" t="inlineStr">
        <is>
          <t>2.2 XD プロアクティブ</t>
        </is>
      </c>
      <c r="D374" s="13" t="n">
        <v>5</v>
      </c>
      <c r="E374" s="14" t="n">
        <v>159</v>
      </c>
      <c r="F374" s="14" t="n">
        <v>147</v>
      </c>
      <c r="G374" s="15" t="n">
        <v>8.1</v>
      </c>
      <c r="H374" s="12" t="inlineStr">
        <is>
          <t>なし</t>
        </is>
      </c>
      <c r="I374" s="12" t="inlineStr">
        <is>
          <t>車検整備付</t>
        </is>
      </c>
      <c r="J374" s="12" t="inlineStr">
        <is>
          <t>保証付</t>
        </is>
      </c>
      <c r="K374" s="16" t="inlineStr">
        <is>
          <t>修復歴なし / 車検整備付 / 保証付 / 同年式より安い（中央値 184万）</t>
        </is>
      </c>
      <c r="L374" s="16" t="inlineStr">
        <is>
          <t>CX-8 2.2 XD プロアクティブ ディーゼルターボ 6ヶ月走行距離無制限保証付 BOSEサウンド 禁煙車 衝突軽減ブレーキ 全方位カメラ MTモード付 ステアリングヒーター レーダークルーズコントロール ブラインドスポットモニター シートヒーター</t>
        </is>
      </c>
      <c r="M374" s="12" t="inlineStr">
        <is>
          <t>https://www.carsensor.net/usedcar/detail/AU7342485504/index.html</t>
        </is>
      </c>
    </row>
    <row r="375">
      <c r="A375" s="6" t="n">
        <v>2017</v>
      </c>
      <c r="B375" s="7" t="inlineStr">
        <is>
          <t>2WD</t>
        </is>
      </c>
      <c r="C375" s="7" t="inlineStr">
        <is>
          <t>2.2 XD プロアクティブ</t>
        </is>
      </c>
      <c r="D375" s="17" t="n">
        <v>5</v>
      </c>
      <c r="E375" s="9" t="n">
        <v>160.1</v>
      </c>
      <c r="F375" s="9" t="n">
        <v>142.9</v>
      </c>
      <c r="G375" s="10" t="n">
        <v>6.8</v>
      </c>
      <c r="H375" s="7" t="inlineStr">
        <is>
          <t>なし</t>
        </is>
      </c>
      <c r="I375" s="7" t="inlineStr">
        <is>
          <t>車検整備付</t>
        </is>
      </c>
      <c r="J375" s="7" t="inlineStr">
        <is>
          <t>保証付</t>
        </is>
      </c>
      <c r="K375" s="16" t="inlineStr">
        <is>
          <t>修復歴なし / 車検整備付 / 保証付 / 同年式より安い（中央値 184万）</t>
        </is>
      </c>
      <c r="L375" s="16" t="inlineStr">
        <is>
          <t>CX-8 2.2 XD プロアクティブ ディーゼルターボ 純正ナビ フルセグTV Bluetooth接続 全周囲カメラ ETC コーナーセンサー クルーズコントロール シートヒーター LEDヘッドライト パワーシート ハンドルヒーター</t>
        </is>
      </c>
      <c r="M375" s="7" t="inlineStr">
        <is>
          <t>https://www.carsensor.net/usedcar/detail/AU7376053303/index.html</t>
        </is>
      </c>
    </row>
    <row r="376">
      <c r="A376" s="11" t="n">
        <v>2017</v>
      </c>
      <c r="B376" s="12" t="inlineStr">
        <is>
          <t>2WD</t>
        </is>
      </c>
      <c r="C376" s="12" t="inlineStr">
        <is>
          <t>2.2 XD プロアクティブ</t>
        </is>
      </c>
      <c r="D376" s="13" t="n">
        <v>5</v>
      </c>
      <c r="E376" s="14" t="n">
        <v>139.8</v>
      </c>
      <c r="F376" s="14" t="n">
        <v>127.5</v>
      </c>
      <c r="G376" s="15" t="n">
        <v>7.3</v>
      </c>
      <c r="H376" s="12" t="inlineStr">
        <is>
          <t>なし</t>
        </is>
      </c>
      <c r="I376" s="12" t="inlineStr">
        <is>
          <t>車検整備付</t>
        </is>
      </c>
      <c r="J376" s="12" t="inlineStr">
        <is>
          <t>保証付</t>
        </is>
      </c>
      <c r="K376" s="16" t="inlineStr">
        <is>
          <t>修復歴なし / 車検整備付 / 保証付 / 同年式より安い（中央値 184万）</t>
        </is>
      </c>
      <c r="L376" s="16" t="inlineStr">
        <is>
          <t>CX-8 2.2 XD プロアクティブ ディーゼルターボ アルパイン10型後席モニター/全周囲カメラ/ルーフレール/ヘッドアップディスプレイ/シートヒーター/ステアリングヒーター/ブラインドスポットモニター/電動リアゲート/クリアランスソナー/ETC</t>
        </is>
      </c>
      <c r="M376" s="12" t="inlineStr">
        <is>
          <t>https://www.carsensor.net/usedcar/detail/AU7115490644/index.html</t>
        </is>
      </c>
    </row>
    <row r="377">
      <c r="A377" s="6" t="n">
        <v>2017</v>
      </c>
      <c r="B377" s="7" t="inlineStr">
        <is>
          <t>2WD</t>
        </is>
      </c>
      <c r="C377" s="7" t="inlineStr">
        <is>
          <t>2.2 XD プロアクティブ</t>
        </is>
      </c>
      <c r="D377" s="17" t="n">
        <v>5</v>
      </c>
      <c r="E377" s="9" t="n">
        <v>139.8</v>
      </c>
      <c r="F377" s="9" t="n">
        <v>127</v>
      </c>
      <c r="G377" s="10" t="n">
        <v>10</v>
      </c>
      <c r="H377" s="7" t="inlineStr">
        <is>
          <t>なし</t>
        </is>
      </c>
      <c r="I377" s="7" t="inlineStr">
        <is>
          <t>車検整備付</t>
        </is>
      </c>
      <c r="J377" s="7" t="inlineStr">
        <is>
          <t>保証付</t>
        </is>
      </c>
      <c r="K377" s="16" t="inlineStr">
        <is>
          <t>修復歴なし / 車検整備付 / 保証付 / 同年式より安い（中央値 184万）</t>
        </is>
      </c>
      <c r="L377" s="16" t="inlineStr">
        <is>
          <t>CX-8 2.2 XD プロアクティブ ディーゼルターボ 純正ナビ TV 全方位カメラ LEDヘッドライト 純正19インチアルミホイール パワーシート シートヒーター ETC ステアリングスイッチ</t>
        </is>
      </c>
      <c r="M377" s="7" t="inlineStr">
        <is>
          <t>https://www.carsensor.net/usedcar/detail/AU7407919742/index.html</t>
        </is>
      </c>
    </row>
    <row r="378">
      <c r="A378" s="11" t="n">
        <v>2017</v>
      </c>
      <c r="B378" s="12" t="inlineStr">
        <is>
          <t>2WD</t>
        </is>
      </c>
      <c r="C378" s="12" t="inlineStr">
        <is>
          <t>2.2 XD プロアクティブ</t>
        </is>
      </c>
      <c r="D378" s="13" t="n">
        <v>5</v>
      </c>
      <c r="E378" s="14" t="n">
        <v>165.2</v>
      </c>
      <c r="F378" s="14" t="n">
        <v>163.3</v>
      </c>
      <c r="G378" s="15" t="n">
        <v>8.4</v>
      </c>
      <c r="H378" s="12" t="inlineStr">
        <is>
          <t>なし</t>
        </is>
      </c>
      <c r="I378" s="12" t="inlineStr">
        <is>
          <t>車検整備付</t>
        </is>
      </c>
      <c r="J378" s="12" t="inlineStr">
        <is>
          <t>保証付</t>
        </is>
      </c>
      <c r="K378" s="16" t="inlineStr">
        <is>
          <t>修復歴なし / 車検整備付 / 保証付 / 同年式より安い（中央値 184万）</t>
        </is>
      </c>
      <c r="L378" s="16" t="inlineStr">
        <is>
          <t>CX-8 2.2 XD プロアクティブ ディーゼルターボ 純正ナビTV ETC Bカメラ メモリー付きPシート シートヒーター コーナーセンサー レーダークルーズ</t>
        </is>
      </c>
      <c r="M378" s="12" t="inlineStr">
        <is>
          <t>https://www.carsensor.net/usedcar/detail/AU7193481840/index.html</t>
        </is>
      </c>
    </row>
    <row r="379">
      <c r="A379" s="6" t="n">
        <v>2018</v>
      </c>
      <c r="B379" s="7" t="inlineStr">
        <is>
          <t>2WD</t>
        </is>
      </c>
      <c r="C379" s="7" t="inlineStr">
        <is>
          <t>2.2 XD プロアクティブ</t>
        </is>
      </c>
      <c r="D379" s="17" t="n">
        <v>5</v>
      </c>
      <c r="E379" s="9" t="n">
        <v>209.8</v>
      </c>
      <c r="F379" s="9" t="n">
        <v>204.1</v>
      </c>
      <c r="G379" s="10" t="n">
        <v>4.3</v>
      </c>
      <c r="H379" s="7" t="inlineStr">
        <is>
          <t>なし</t>
        </is>
      </c>
      <c r="I379" s="7" t="inlineStr">
        <is>
          <t>2027(R09)年04月</t>
        </is>
      </c>
      <c r="J379" s="7" t="inlineStr">
        <is>
          <t>保証付</t>
        </is>
      </c>
      <c r="K379" s="16" t="inlineStr">
        <is>
          <t>走行が少なめ（4.3万km） / 修復歴なし / 車検 2027/04 まで（残り6ヶ月） / 保証付</t>
        </is>
      </c>
      <c r="L379" s="16" t="inlineStr">
        <is>
          <t>CX-8 2.2 XD プロアクティブ ディーゼルターボ 4WD 純正メーカーナビ/レーダークルーズ/ブレーキサポート/バックカメラ/LED/シートヒーター/パワーシート/純正19インチAW/レーンキープアシスト/ステアリングヒーター</t>
        </is>
      </c>
      <c r="M379" s="7" t="inlineStr">
        <is>
          <t>https://www.carsensor.net/usedcar/detail/AU7414395717/index.html</t>
        </is>
      </c>
    </row>
    <row r="380">
      <c r="A380" s="11" t="n">
        <v>2018</v>
      </c>
      <c r="B380" s="12" t="inlineStr">
        <is>
          <t>2WD</t>
        </is>
      </c>
      <c r="C380" s="12" t="inlineStr">
        <is>
          <t>2.2 XD プロアクティブ</t>
        </is>
      </c>
      <c r="D380" s="13" t="n">
        <v>5</v>
      </c>
      <c r="E380" s="14" t="n">
        <v>175.8</v>
      </c>
      <c r="F380" s="14" t="n">
        <v>164.3</v>
      </c>
      <c r="G380" s="15" t="n">
        <v>7.8</v>
      </c>
      <c r="H380" s="12" t="inlineStr">
        <is>
          <t>なし</t>
        </is>
      </c>
      <c r="I380" s="12" t="inlineStr">
        <is>
          <t>車検整備付</t>
        </is>
      </c>
      <c r="J380" s="12" t="inlineStr">
        <is>
          <t>保証付</t>
        </is>
      </c>
      <c r="K380" s="16" t="inlineStr">
        <is>
          <t>修復歴なし / 車検整備付 / 保証付 / 同年式より安い（中央値 196万）</t>
        </is>
      </c>
      <c r="L380" s="16" t="inlineStr">
        <is>
          <t>CX-8 2.2 XD プロアクティブ ディーゼルターボ 純正ナビ/全周囲カメラ/地デジ/追従クルコン/レーンキープアシスト/クリアランスソナー/パワーシート/シートヒーター/シートメモリー/ステアリングヒーター/LEDヘッドライト</t>
        </is>
      </c>
      <c r="M380" s="12" t="inlineStr">
        <is>
          <t>https://www.carsensor.net/usedcar/detail/AU7413363495/index.html</t>
        </is>
      </c>
    </row>
    <row r="381">
      <c r="A381" s="6" t="n">
        <v>2018</v>
      </c>
      <c r="B381" s="7" t="inlineStr">
        <is>
          <t>2WD</t>
        </is>
      </c>
      <c r="C381" s="7" t="inlineStr">
        <is>
          <t>2.2 XD プロアクティブ</t>
        </is>
      </c>
      <c r="D381" s="17" t="n">
        <v>5</v>
      </c>
      <c r="E381" s="9" t="n">
        <v>169.8</v>
      </c>
      <c r="F381" s="9" t="n">
        <v>159.7</v>
      </c>
      <c r="G381" s="10" t="n">
        <v>7.3</v>
      </c>
      <c r="H381" s="7" t="inlineStr">
        <is>
          <t>なし</t>
        </is>
      </c>
      <c r="I381" s="7" t="inlineStr">
        <is>
          <t>車検整備付</t>
        </is>
      </c>
      <c r="J381" s="7" t="inlineStr">
        <is>
          <t>保証付</t>
        </is>
      </c>
      <c r="K381" s="16" t="inlineStr">
        <is>
          <t>修復歴なし / 車検整備付 / 保証付 / 同年式より安い（中央値 196万）</t>
        </is>
      </c>
      <c r="L381" s="16" t="inlineStr">
        <is>
          <t>CX-8 2.2 XD プロアクティブ ディーゼルターボ 純正ナビ・360°ビューモニター・リアフリップダウンモニター・ブラインドスポットモニタリング・パーキングセンサー・レーダークルーズコントロール・レーンキープアシスト・アクティブドライビングディスプレイ</t>
        </is>
      </c>
      <c r="M381" s="7" t="inlineStr">
        <is>
          <t>https://www.carsensor.net/usedcar/detail/AU7274295934/index.html</t>
        </is>
      </c>
    </row>
    <row r="382">
      <c r="A382" s="11" t="n">
        <v>2018</v>
      </c>
      <c r="B382" s="12" t="inlineStr">
        <is>
          <t>2WD</t>
        </is>
      </c>
      <c r="C382" s="12" t="inlineStr">
        <is>
          <t>2.2 XD プロアクティブ</t>
        </is>
      </c>
      <c r="D382" s="13" t="n">
        <v>5</v>
      </c>
      <c r="E382" s="14" t="n">
        <v>174.9</v>
      </c>
      <c r="F382" s="14" t="n">
        <v>163.2</v>
      </c>
      <c r="G382" s="15" t="n">
        <v>9.5</v>
      </c>
      <c r="H382" s="12" t="inlineStr">
        <is>
          <t>なし</t>
        </is>
      </c>
      <c r="I382" s="12" t="inlineStr">
        <is>
          <t>2027(R09)年10月</t>
        </is>
      </c>
      <c r="J382" s="12" t="inlineStr">
        <is>
          <t>保証付</t>
        </is>
      </c>
      <c r="K382" s="16" t="inlineStr">
        <is>
          <t>修復歴なし / 車検 2027/10 まで（残り12ヶ月） / 保証付 / 同年式より安い（中央値 196万）</t>
        </is>
      </c>
      <c r="L382" s="16" t="inlineStr">
        <is>
          <t>CX-8 2.2 XD プロアクティブ ディーゼルターボ 禁煙 純正ナビ 衝突軽減 ディーゼル 後席モニター 全周囲カメラ パワーシート クリアランスソナー スマートキー LEDヘッド ETC 純正19インチアルミ</t>
        </is>
      </c>
      <c r="M382" s="12" t="inlineStr">
        <is>
          <t>https://www.carsensor.net/usedcar/detail/AU7315049450/index.html</t>
        </is>
      </c>
    </row>
    <row r="383">
      <c r="A383" s="6" t="n">
        <v>2018</v>
      </c>
      <c r="B383" s="7" t="inlineStr">
        <is>
          <t>2WD</t>
        </is>
      </c>
      <c r="C383" s="7" t="inlineStr">
        <is>
          <t>2.2 XD プロアクティブ</t>
        </is>
      </c>
      <c r="D383" s="17" t="n">
        <v>5</v>
      </c>
      <c r="E383" s="9" t="n">
        <v>120.8</v>
      </c>
      <c r="F383" s="9" t="n">
        <v>104</v>
      </c>
      <c r="G383" s="10" t="n">
        <v>9.1</v>
      </c>
      <c r="H383" s="7" t="inlineStr">
        <is>
          <t>なし</t>
        </is>
      </c>
      <c r="I383" s="7" t="inlineStr">
        <is>
          <t>車検整備付</t>
        </is>
      </c>
      <c r="J383" s="7" t="inlineStr">
        <is>
          <t>保証付</t>
        </is>
      </c>
      <c r="K383" s="16" t="inlineStr">
        <is>
          <t>修復歴なし / 車検整備付 / 保証付 / 同年式より安い（中央値 196万）</t>
        </is>
      </c>
      <c r="L383" s="16" t="inlineStr">
        <is>
          <t>CX-8 2.2 XD プロアクティブ ディーゼルターボ 純正ナビ 全方位カメラ 衝突軽減ブレーキ レーンアシスト レーダークルーズコントロール クリアランスソナー ブラインドスポットモニター パワーバックドア シートヒーター ステアリングヒーター</t>
        </is>
      </c>
      <c r="M383" s="7" t="inlineStr">
        <is>
          <t>https://www.carsensor.net/usedcar/detail/AU6962936339/index.html</t>
        </is>
      </c>
    </row>
    <row r="384">
      <c r="A384" s="11" t="n">
        <v>2018</v>
      </c>
      <c r="B384" s="12" t="inlineStr">
        <is>
          <t>2WD</t>
        </is>
      </c>
      <c r="C384" s="12" t="inlineStr">
        <is>
          <t>2.2 XD プロアクティブ</t>
        </is>
      </c>
      <c r="D384" s="13" t="n">
        <v>5</v>
      </c>
      <c r="E384" s="14" t="n">
        <v>159.8</v>
      </c>
      <c r="F384" s="14" t="n">
        <v>151.7</v>
      </c>
      <c r="G384" s="15" t="n">
        <v>8.699999999999999</v>
      </c>
      <c r="H384" s="12" t="inlineStr">
        <is>
          <t>なし</t>
        </is>
      </c>
      <c r="I384" s="12" t="inlineStr">
        <is>
          <t>2027(R09)年10月</t>
        </is>
      </c>
      <c r="J384" s="12" t="inlineStr">
        <is>
          <t>保証付</t>
        </is>
      </c>
      <c r="K384" s="16" t="inlineStr">
        <is>
          <t>修復歴なし / 車検 2027/10 まで（残り12ヶ月） / 保証付 / 同年式より安い（中央値 196万）</t>
        </is>
      </c>
      <c r="L384" s="16" t="inlineStr">
        <is>
          <t>CX-8 2.2 XD プロアクティブ ディーゼルターボ CD+DVD/フルセグTV/全方位/電動リアゲート/クリアランスソナー/ブラインドスポットモニター/ヘッドアップディスプレイ/スマートキー/プッシュスタート/パワーシート/レーダークルーズコントロール</t>
        </is>
      </c>
      <c r="M384" s="12" t="inlineStr">
        <is>
          <t>https://www.carsensor.net/usedcar/detail/AU7321114893/index.html</t>
        </is>
      </c>
    </row>
    <row r="385">
      <c r="A385" s="6" t="n">
        <v>2018</v>
      </c>
      <c r="B385" s="7" t="inlineStr">
        <is>
          <t>2WD</t>
        </is>
      </c>
      <c r="C385" s="7" t="inlineStr">
        <is>
          <t>2.2 XD プロアクティブ</t>
        </is>
      </c>
      <c r="D385" s="17" t="n">
        <v>5</v>
      </c>
      <c r="E385" s="9" t="n">
        <v>152.1</v>
      </c>
      <c r="F385" s="9" t="n">
        <v>137.6</v>
      </c>
      <c r="G385" s="10" t="n">
        <v>10</v>
      </c>
      <c r="H385" s="7" t="inlineStr">
        <is>
          <t>なし</t>
        </is>
      </c>
      <c r="I385" s="7" t="inlineStr">
        <is>
          <t>車検整備付</t>
        </is>
      </c>
      <c r="J385" s="7" t="inlineStr">
        <is>
          <t>保証付</t>
        </is>
      </c>
      <c r="K385" s="16" t="inlineStr">
        <is>
          <t>修復歴なし / 車検整備付 / 保証付 / 同年式より安い（中央値 196万）</t>
        </is>
      </c>
      <c r="L385" s="16" t="inlineStr">
        <is>
          <t>CX-8 2.2 XD プロアクティブ ディーゼルターボ</t>
        </is>
      </c>
      <c r="M385" s="7" t="inlineStr">
        <is>
          <t>https://www.carsensor.net/usedcar/detail/AU7414549651/index.html</t>
        </is>
      </c>
    </row>
    <row r="386">
      <c r="A386" s="11" t="n">
        <v>2018</v>
      </c>
      <c r="B386" s="12" t="inlineStr">
        <is>
          <t>2WD</t>
        </is>
      </c>
      <c r="C386" s="12" t="inlineStr">
        <is>
          <t>2.2 XD プロアクティブ</t>
        </is>
      </c>
      <c r="D386" s="13" t="n">
        <v>5</v>
      </c>
      <c r="E386" s="14" t="n">
        <v>154.9</v>
      </c>
      <c r="F386" s="14" t="n">
        <v>138</v>
      </c>
      <c r="G386" s="15" t="n">
        <v>7.3</v>
      </c>
      <c r="H386" s="12" t="inlineStr">
        <is>
          <t>なし</t>
        </is>
      </c>
      <c r="I386" s="12" t="inlineStr">
        <is>
          <t>車検整備付</t>
        </is>
      </c>
      <c r="J386" s="12" t="inlineStr">
        <is>
          <t>保証付</t>
        </is>
      </c>
      <c r="K386" s="16" t="inlineStr">
        <is>
          <t>修復歴なし / 車検整備付 / 保証付 / 同年式より安い（中央値 196万）</t>
        </is>
      </c>
      <c r="L386" s="16" t="inlineStr">
        <is>
          <t>CX-8 2.2 XD プロアクティブ ディーゼルターボ (175)全方位カメラ フルセグTV Bluetooth接続 アダプティブクルーズコントロール パワーシート シートヒーター ステアリングヒーター ブラインドスポットモニター ヘッドアップディスプレイ ETC</t>
        </is>
      </c>
      <c r="M386" s="12" t="inlineStr">
        <is>
          <t>https://www.carsensor.net/usedcar/detail/AU7443044777/index.html</t>
        </is>
      </c>
    </row>
    <row r="387">
      <c r="A387" s="6" t="n">
        <v>2018</v>
      </c>
      <c r="B387" s="7" t="inlineStr">
        <is>
          <t>2WD</t>
        </is>
      </c>
      <c r="C387" s="7" t="inlineStr">
        <is>
          <t>2.2 XD プロアクティブ</t>
        </is>
      </c>
      <c r="D387" s="17" t="n">
        <v>5</v>
      </c>
      <c r="E387" s="9" t="n">
        <v>162.8</v>
      </c>
      <c r="F387" s="9" t="n">
        <v>146</v>
      </c>
      <c r="G387" s="10" t="n">
        <v>8.199999999999999</v>
      </c>
      <c r="H387" s="7" t="inlineStr">
        <is>
          <t>なし</t>
        </is>
      </c>
      <c r="I387" s="7" t="inlineStr">
        <is>
          <t>車検整備付</t>
        </is>
      </c>
      <c r="J387" s="7" t="inlineStr">
        <is>
          <t>保証付</t>
        </is>
      </c>
      <c r="K387" s="16" t="inlineStr">
        <is>
          <t>修復歴なし / 車検整備付 / 保証付 / 同年式より安い（中央値 196万）</t>
        </is>
      </c>
      <c r="L387" s="16" t="inlineStr">
        <is>
          <t>CX-8 2.2 XD プロアクティブ ディーゼルターボ 純正ナビ バックカメラ Bluetooth 衝突軽減ブレーキ レーンアシスト ヘッドアップディスプレイ レーダークルーズコントロール クリアランスソナー ブラインドスポット フルセグ ビルトインETC</t>
        </is>
      </c>
      <c r="M387" s="7" t="inlineStr">
        <is>
          <t>https://www.carsensor.net/usedcar/detail/AU7373819481/index.html</t>
        </is>
      </c>
    </row>
    <row r="388">
      <c r="A388" s="11" t="n">
        <v>2018</v>
      </c>
      <c r="B388" s="12" t="inlineStr">
        <is>
          <t>2WD</t>
        </is>
      </c>
      <c r="C388" s="12" t="inlineStr">
        <is>
          <t>2.2 XD プロアクティブ</t>
        </is>
      </c>
      <c r="D388" s="13" t="n">
        <v>5</v>
      </c>
      <c r="E388" s="14" t="n">
        <v>175</v>
      </c>
      <c r="F388" s="14" t="n">
        <v>165</v>
      </c>
      <c r="G388" s="15" t="n">
        <v>9.4</v>
      </c>
      <c r="H388" s="12" t="inlineStr">
        <is>
          <t>なし</t>
        </is>
      </c>
      <c r="I388" s="12" t="inlineStr">
        <is>
          <t>車検整備付</t>
        </is>
      </c>
      <c r="J388" s="12" t="inlineStr">
        <is>
          <t>保証付</t>
        </is>
      </c>
      <c r="K388" s="16" t="inlineStr">
        <is>
          <t>修復歴なし / 車検整備付 / 保証付 / 同年式より安い（中央値 196万）</t>
        </is>
      </c>
      <c r="L388" s="16" t="inlineStr">
        <is>
          <t>CX-8 2.2 XD プロアクティブ ディーゼルターボ 46Gマシーングレー アルパイン後席モニター マツダ整備歴 カープレイオーディオ 全方位モニター スマートキー</t>
        </is>
      </c>
      <c r="M388" s="12" t="inlineStr">
        <is>
          <t>https://www.carsensor.net/usedcar/detail/AU7439270245/index.html</t>
        </is>
      </c>
    </row>
    <row r="389">
      <c r="A389" s="6" t="n">
        <v>2018</v>
      </c>
      <c r="B389" s="7" t="inlineStr">
        <is>
          <t>2WD</t>
        </is>
      </c>
      <c r="C389" s="7" t="inlineStr">
        <is>
          <t>2.2 XD プロアクティブ</t>
        </is>
      </c>
      <c r="D389" s="17" t="n">
        <v>5</v>
      </c>
      <c r="E389" s="9" t="n">
        <v>147.1</v>
      </c>
      <c r="F389" s="9" t="n">
        <v>129.8</v>
      </c>
      <c r="G389" s="10" t="n">
        <v>7.4</v>
      </c>
      <c r="H389" s="7" t="inlineStr">
        <is>
          <t>なし</t>
        </is>
      </c>
      <c r="I389" s="7" t="inlineStr">
        <is>
          <t>車検整備付</t>
        </is>
      </c>
      <c r="J389" s="7" t="inlineStr">
        <is>
          <t>保証付</t>
        </is>
      </c>
      <c r="K389" s="16" t="inlineStr">
        <is>
          <t>修復歴なし / 車検整備付 / 保証付 / 同年式より安い（中央値 196万）</t>
        </is>
      </c>
      <c r="L389" s="16" t="inlineStr">
        <is>
          <t>CX-8 2.2 XD プロアクティブ ディーゼルターボ 純正SDナビ BTオーディオ ETC 全周囲・バックカメラ USB入力端子 オートライト LEDヘッドライト 障害物センサー 車線逸脱警報 追従クルコン シートヒーター オートマチックハイビーム</t>
        </is>
      </c>
      <c r="M389" s="7" t="inlineStr">
        <is>
          <t>https://www.carsensor.net/usedcar/detail/AU7359915746/index.html</t>
        </is>
      </c>
    </row>
    <row r="390">
      <c r="A390" s="11" t="n">
        <v>2018</v>
      </c>
      <c r="B390" s="12" t="inlineStr">
        <is>
          <t>2WD</t>
        </is>
      </c>
      <c r="C390" s="12" t="inlineStr">
        <is>
          <t>2.2 XD プロアクティブ</t>
        </is>
      </c>
      <c r="D390" s="13" t="n">
        <v>5</v>
      </c>
      <c r="E390" s="14" t="n">
        <v>166.5</v>
      </c>
      <c r="F390" s="14" t="n">
        <v>153</v>
      </c>
      <c r="G390" s="15" t="n">
        <v>7</v>
      </c>
      <c r="H390" s="12" t="inlineStr">
        <is>
          <t>なし</t>
        </is>
      </c>
      <c r="I390" s="12" t="inlineStr">
        <is>
          <t>車検整備付</t>
        </is>
      </c>
      <c r="J390" s="12" t="inlineStr">
        <is>
          <t>保証付</t>
        </is>
      </c>
      <c r="K390" s="16" t="inlineStr">
        <is>
          <t>修復歴なし / 車検整備付 / 保証付 / 同年式より安い（中央値 196万）</t>
        </is>
      </c>
      <c r="L390" s="16" t="inlineStr">
        <is>
          <t>CX-8 2.2 XD プロアクティブ ディーゼルターボ 2.2D 2WD 360°ビュー ナビ TV 後席モニター 前席ヒーター 電動シート ハンドルヒーター 7名 3列シート 禁煙 ワンオーナー</t>
        </is>
      </c>
      <c r="M390" s="12" t="inlineStr">
        <is>
          <t>https://www.carsensor.net/usedcar/detail/AU7443631868/index.html</t>
        </is>
      </c>
    </row>
    <row r="391">
      <c r="A391" s="6" t="n">
        <v>2018</v>
      </c>
      <c r="B391" s="7" t="inlineStr">
        <is>
          <t>2WD</t>
        </is>
      </c>
      <c r="C391" s="7" t="inlineStr">
        <is>
          <t>2.2 XD プロアクティブ</t>
        </is>
      </c>
      <c r="D391" s="17" t="n">
        <v>5</v>
      </c>
      <c r="E391" s="9" t="n">
        <v>169.8</v>
      </c>
      <c r="F391" s="9" t="n">
        <v>158.3</v>
      </c>
      <c r="G391" s="10" t="n">
        <v>7.5</v>
      </c>
      <c r="H391" s="7" t="inlineStr">
        <is>
          <t>なし</t>
        </is>
      </c>
      <c r="I391" s="7" t="inlineStr">
        <is>
          <t>車検整備付</t>
        </is>
      </c>
      <c r="J391" s="7" t="inlineStr">
        <is>
          <t>保証付</t>
        </is>
      </c>
      <c r="K391" s="16" t="inlineStr">
        <is>
          <t>修復歴なし / 車検整備付 / 保証付 / 同年式より安い（中央値 196万）</t>
        </is>
      </c>
      <c r="L391" s="16" t="inlineStr">
        <is>
          <t>CX-8 2.2 XD プロアクティブ ディーゼルターボ 全周囲カメラ/レーダークルーズコントロール/シートヒーター/ブラインドスポットモニター/パワーシート/シートメモリー/クリアランスソナー/ステアリングヒーター/ヘッドアップディスプレイ/LEDヘッドライト</t>
        </is>
      </c>
      <c r="M391" s="7" t="inlineStr">
        <is>
          <t>https://www.carsensor.net/usedcar/detail/AU7439680120/index.html</t>
        </is>
      </c>
    </row>
    <row r="392">
      <c r="A392" s="11" t="n">
        <v>2018</v>
      </c>
      <c r="B392" s="12" t="inlineStr">
        <is>
          <t>2WD</t>
        </is>
      </c>
      <c r="C392" s="12" t="inlineStr">
        <is>
          <t>2.2 XD プロアクティブ</t>
        </is>
      </c>
      <c r="D392" s="13" t="n">
        <v>5</v>
      </c>
      <c r="E392" s="14" t="n">
        <v>179.8</v>
      </c>
      <c r="F392" s="14" t="n">
        <v>174</v>
      </c>
      <c r="G392" s="15" t="n">
        <v>8.6</v>
      </c>
      <c r="H392" s="12" t="inlineStr">
        <is>
          <t>なし</t>
        </is>
      </c>
      <c r="I392" s="12" t="inlineStr">
        <is>
          <t>2028(R10)年10月</t>
        </is>
      </c>
      <c r="J392" s="12" t="inlineStr">
        <is>
          <t>保証付</t>
        </is>
      </c>
      <c r="K392" s="16" t="inlineStr">
        <is>
          <t>修復歴なし / 車検 2028/10 まで（残り24ヶ月） / 保証付</t>
        </is>
      </c>
      <c r="L392" s="16" t="inlineStr">
        <is>
          <t>CX-8 2.2 XD プロアクティブ ディーゼルターボ 純正ナビ/マツダコネクト/フルセグTV/360°カメラ/パーキングセンサー/衝突軽減システム/ドラレコ/ETC/スモークフィルム/TVキット/7人/禁煙車/記録簿</t>
        </is>
      </c>
      <c r="M392" s="12" t="inlineStr">
        <is>
          <t>https://www.carsensor.net/usedcar/detail/AU7379131292/index.html</t>
        </is>
      </c>
    </row>
    <row r="393">
      <c r="A393" s="6" t="n">
        <v>2019</v>
      </c>
      <c r="B393" s="7" t="inlineStr">
        <is>
          <t>2WD</t>
        </is>
      </c>
      <c r="C393" s="7" t="inlineStr">
        <is>
          <t>2.2 XD プロアクティブ</t>
        </is>
      </c>
      <c r="D393" s="17" t="n">
        <v>5</v>
      </c>
      <c r="E393" s="9" t="n">
        <v>174.8</v>
      </c>
      <c r="F393" s="9" t="n">
        <v>163.3</v>
      </c>
      <c r="G393" s="10" t="n">
        <v>7.9</v>
      </c>
      <c r="H393" s="7" t="inlineStr">
        <is>
          <t>なし</t>
        </is>
      </c>
      <c r="I393" s="7" t="inlineStr">
        <is>
          <t>車検整備付</t>
        </is>
      </c>
      <c r="J393" s="7" t="inlineStr">
        <is>
          <t>保証付</t>
        </is>
      </c>
      <c r="K393" s="16" t="inlineStr">
        <is>
          <t>修復歴なし / 車検整備付 / 保証付 / 同年式より安い（中央値 231万）</t>
        </is>
      </c>
      <c r="L393" s="16" t="inlineStr">
        <is>
          <t>CX-8 2.2 XD プロアクティブ ディーゼルターボ 純正マツダコネクトナビ/AppleCarPlay/6人乗/ブラインドスポットモニター/ヘッドアップディスプレイ/ETC/シートヒーター/パワーシート/シートメモリ/全周囲カメラ/レーダークルーズコントロール/フルセグTV</t>
        </is>
      </c>
      <c r="M393" s="7" t="inlineStr">
        <is>
          <t>https://www.carsensor.net/usedcar/detail/AU7380712902/index.html</t>
        </is>
      </c>
    </row>
    <row r="394">
      <c r="A394" s="11" t="n">
        <v>2020</v>
      </c>
      <c r="B394" s="12" t="inlineStr">
        <is>
          <t>2WD</t>
        </is>
      </c>
      <c r="C394" s="12" t="inlineStr">
        <is>
          <t>2.2 XD プロアクティブ</t>
        </is>
      </c>
      <c r="D394" s="13" t="n">
        <v>5</v>
      </c>
      <c r="E394" s="14" t="n">
        <v>215.8</v>
      </c>
      <c r="F394" s="14" t="n">
        <v>203.4</v>
      </c>
      <c r="G394" s="15" t="n">
        <v>6.1</v>
      </c>
      <c r="H394" s="12" t="inlineStr">
        <is>
          <t>なし</t>
        </is>
      </c>
      <c r="I394" s="12" t="inlineStr">
        <is>
          <t>車検整備付</t>
        </is>
      </c>
      <c r="J394" s="12" t="inlineStr">
        <is>
          <t>保証付</t>
        </is>
      </c>
      <c r="K394" s="16" t="inlineStr">
        <is>
          <t>修復歴なし / 車検整備付 / 保証付 / 同年式より安い（中央値 250万）</t>
        </is>
      </c>
      <c r="L394" s="16" t="inlineStr">
        <is>
          <t>CX-8 2.2 XD プロアクティブ ディーゼルターボ 純正10.25インチナビ/全周囲カメラ/BOSEプレミアムサウンドシステム/AppleCarPlay/電動リアゲート/シートヒーター/ブラインドスポットモニター/サードシートUSB/ルーフレール/ワイヤレス充電/サイドガーニッシュ</t>
        </is>
      </c>
      <c r="M394" s="12" t="inlineStr">
        <is>
          <t>https://www.carsensor.net/usedcar/detail/AU7283202413/index.html</t>
        </is>
      </c>
    </row>
    <row r="395">
      <c r="A395" s="6" t="n">
        <v>2020</v>
      </c>
      <c r="B395" s="7" t="inlineStr">
        <is>
          <t>2WD</t>
        </is>
      </c>
      <c r="C395" s="7" t="inlineStr">
        <is>
          <t>2.2 XD プロアクティブ</t>
        </is>
      </c>
      <c r="D395" s="17" t="n">
        <v>5</v>
      </c>
      <c r="E395" s="9" t="n">
        <v>199.8</v>
      </c>
      <c r="F395" s="9" t="n">
        <v>185</v>
      </c>
      <c r="G395" s="10" t="n">
        <v>5.3</v>
      </c>
      <c r="H395" s="7" t="inlineStr">
        <is>
          <t>なし</t>
        </is>
      </c>
      <c r="I395" s="7" t="inlineStr">
        <is>
          <t>車検整備付</t>
        </is>
      </c>
      <c r="J395" s="7" t="inlineStr">
        <is>
          <t>保証付</t>
        </is>
      </c>
      <c r="K395" s="16" t="inlineStr">
        <is>
          <t>修復歴なし / 車検整備付 / 保証付 / 同年式より安い（中央値 250万）</t>
        </is>
      </c>
      <c r="L395" s="16" t="inlineStr">
        <is>
          <t>CX-8 2.2 XD プロアクティブ ディーゼルターボ /禁煙/シートヒーター/運転席パワーシート/ステアリングヒーター/アイアクティブセンス/クルコン/ブラインドスポットモニター/ナビ/360度ビューモニター/ETC/ドラレコ/スマートキー/Pスタート/</t>
        </is>
      </c>
      <c r="M395" s="7" t="inlineStr">
        <is>
          <t>https://www.carsensor.net/usedcar/detail/AU7448779246/index.html</t>
        </is>
      </c>
    </row>
    <row r="396">
      <c r="A396" s="11" t="n">
        <v>2021</v>
      </c>
      <c r="B396" s="12" t="inlineStr">
        <is>
          <t>2WD</t>
        </is>
      </c>
      <c r="C396" s="12" t="inlineStr">
        <is>
          <t>2.2 XD プロアクティブ</t>
        </is>
      </c>
      <c r="D396" s="13" t="n">
        <v>5</v>
      </c>
      <c r="E396" s="14" t="n">
        <v>229.8</v>
      </c>
      <c r="F396" s="14" t="n">
        <v>220.9</v>
      </c>
      <c r="G396" s="15" t="n">
        <v>4.8</v>
      </c>
      <c r="H396" s="12" t="inlineStr">
        <is>
          <t>なし</t>
        </is>
      </c>
      <c r="I396" s="12" t="inlineStr">
        <is>
          <t>車検整備付</t>
        </is>
      </c>
      <c r="J396" s="12" t="inlineStr">
        <is>
          <t>保証付</t>
        </is>
      </c>
      <c r="K396" s="16" t="inlineStr">
        <is>
          <t>修復歴なし / 車検整備付 / 保証付 / 同年式より安い（中央値 279万）</t>
        </is>
      </c>
      <c r="L396" s="16" t="inlineStr">
        <is>
          <t>CX-8 2.2 XD プロアクティブ ディーゼルターボ 純正ディスプレイ/360°ビューモニター/シートヒーター/ステアリングヒーター/ブラインドスポットモニター/ヘッドアップディスプレイ/ワイヤレス充電/前後ドライブレコーダー/フルセグTV/DVD/CD/AM/FM/禁煙車</t>
        </is>
      </c>
      <c r="M396" s="12" t="inlineStr">
        <is>
          <t>https://www.carsensor.net/usedcar/detail/AU7343974526/index.html</t>
        </is>
      </c>
    </row>
    <row r="397">
      <c r="A397" s="6" t="n">
        <v>2021</v>
      </c>
      <c r="B397" s="7" t="inlineStr">
        <is>
          <t>2WD</t>
        </is>
      </c>
      <c r="C397" s="7" t="inlineStr">
        <is>
          <t>2.2 XD プロアクティブ</t>
        </is>
      </c>
      <c r="D397" s="17" t="n">
        <v>5</v>
      </c>
      <c r="E397" s="9" t="n">
        <v>234.1</v>
      </c>
      <c r="F397" s="9" t="n">
        <v>219.8</v>
      </c>
      <c r="G397" s="10" t="n">
        <v>5.8</v>
      </c>
      <c r="H397" s="7" t="inlineStr">
        <is>
          <t>なし</t>
        </is>
      </c>
      <c r="I397" s="7" t="inlineStr">
        <is>
          <t>車検整備付</t>
        </is>
      </c>
      <c r="J397" s="7" t="inlineStr">
        <is>
          <t>保証付</t>
        </is>
      </c>
      <c r="K397" s="16" t="inlineStr">
        <is>
          <t>修復歴なし / 車検整備付 / 保証付 / 同年式より安い（中央値 279万）</t>
        </is>
      </c>
      <c r="L397" s="16" t="inlineStr">
        <is>
          <t>CX-8 2.2 XD プロアクティブ ディーゼルターボ マツダ認定中古車 ETC車載器 衝突被害軽減ブレーキ コネクティッドサービス 360°ビューモニター 運転席パワーシート</t>
        </is>
      </c>
      <c r="M397" s="7" t="inlineStr">
        <is>
          <t>https://www.carsensor.net/usedcar/detail/AU7364685796/index.html</t>
        </is>
      </c>
    </row>
    <row r="398">
      <c r="A398" s="11" t="n">
        <v>2018</v>
      </c>
      <c r="B398" s="12" t="inlineStr">
        <is>
          <t>2WD</t>
        </is>
      </c>
      <c r="C398" s="12" t="inlineStr">
        <is>
          <t>2.2 XD プロアクティブ</t>
        </is>
      </c>
      <c r="D398" s="13" t="n">
        <v>4.9</v>
      </c>
      <c r="E398" s="14" t="n">
        <v>262.9</v>
      </c>
      <c r="F398" s="14" t="n">
        <v>251.6</v>
      </c>
      <c r="G398" s="15" t="n">
        <v>4.1</v>
      </c>
      <c r="H398" s="12" t="inlineStr">
        <is>
          <t>なし</t>
        </is>
      </c>
      <c r="I398" s="12" t="inlineStr">
        <is>
          <t>2027(R09)年03月</t>
        </is>
      </c>
      <c r="J398" s="12" t="inlineStr">
        <is>
          <t>保証付</t>
        </is>
      </c>
      <c r="K398" s="16" t="inlineStr">
        <is>
          <t>走行が少なめ（4.1万km） / 修復歴なし / 車検 2027/03 まで（残り5ヶ月） / 保証付</t>
        </is>
      </c>
      <c r="L398" s="16" t="inlineStr">
        <is>
          <t>CX-8 2.2 XD プロアクティブ ディーゼルターボ 禁煙車 純正ナビ 全周囲カメラ ブラインドスポットモニター レーダークルーズ 電動リアゲート 純正19インチアルミ LEDヘッド オートライト レーンアシスト シートヒーター ETC</t>
        </is>
      </c>
      <c r="M398" s="12" t="inlineStr">
        <is>
          <t>https://www.carsensor.net/usedcar/detail/AU7358745382/index.html</t>
        </is>
      </c>
    </row>
    <row r="399">
      <c r="A399" s="6" t="n">
        <v>2018</v>
      </c>
      <c r="B399" s="7" t="inlineStr">
        <is>
          <t>2WD</t>
        </is>
      </c>
      <c r="C399" s="7" t="inlineStr">
        <is>
          <t>2.2 XD プロアクティブ</t>
        </is>
      </c>
      <c r="D399" s="17" t="n">
        <v>4.9</v>
      </c>
      <c r="E399" s="9" t="n">
        <v>180.9</v>
      </c>
      <c r="F399" s="9" t="n">
        <v>168</v>
      </c>
      <c r="G399" s="10" t="n">
        <v>4.5</v>
      </c>
      <c r="H399" s="7" t="inlineStr">
        <is>
          <t>なし</t>
        </is>
      </c>
      <c r="I399" s="7" t="inlineStr">
        <is>
          <t>2027(R09)年03月</t>
        </is>
      </c>
      <c r="J399" s="7" t="inlineStr">
        <is>
          <t>保証付</t>
        </is>
      </c>
      <c r="K399" s="16" t="inlineStr">
        <is>
          <t>走行が少なめ（4.5万km） / 修復歴なし / 車検 2027/03 まで（残り5ヶ月） / 保証付</t>
        </is>
      </c>
      <c r="L399" s="16" t="inlineStr">
        <is>
          <t>CX-8 2.2 XD プロアクティブ ディーゼルターボ (162)BOSEサウンドシステム 全方位カメラ パワーシート シートヒーター アダプティブクルーズコントロール ヘッドアップディスプレイ 純正ナビ Bluetoothオーディオ フルセグTV ブラインドスポットモニター</t>
        </is>
      </c>
      <c r="M399" s="7" t="inlineStr">
        <is>
          <t>https://www.carsensor.net/usedcar/detail/AU7384825358/index.html</t>
        </is>
      </c>
    </row>
    <row r="400">
      <c r="A400" s="11" t="n">
        <v>2018</v>
      </c>
      <c r="B400" s="12" t="inlineStr">
        <is>
          <t>2WD</t>
        </is>
      </c>
      <c r="C400" s="12" t="inlineStr">
        <is>
          <t>2.2 XD プロアクティブ</t>
        </is>
      </c>
      <c r="D400" s="13" t="n">
        <v>4.9</v>
      </c>
      <c r="E400" s="14" t="n">
        <v>213</v>
      </c>
      <c r="F400" s="14" t="n">
        <v>199</v>
      </c>
      <c r="G400" s="15" t="n">
        <v>4.4</v>
      </c>
      <c r="H400" s="12" t="inlineStr">
        <is>
          <t>なし</t>
        </is>
      </c>
      <c r="I400" s="12" t="inlineStr">
        <is>
          <t>2027(R09)年03月</t>
        </is>
      </c>
      <c r="J400" s="12" t="inlineStr">
        <is>
          <t>保証付</t>
        </is>
      </c>
      <c r="K400" s="16" t="inlineStr">
        <is>
          <t>走行が少なめ（4.4万km） / 修復歴なし / 車検 2027/03 まで（残り5ヶ月） / 保証付</t>
        </is>
      </c>
      <c r="L400" s="16" t="inlineStr">
        <is>
          <t>CX-8 2.2 XD プロアクティブ ディーゼルターボ ナビ・ETC・ドラレコ・BOSE・360度モニター</t>
        </is>
      </c>
      <c r="M400" s="12" t="inlineStr">
        <is>
          <t>https://www.carsensor.net/usedcar/detail/AU7225567633/index.html</t>
        </is>
      </c>
    </row>
    <row r="401">
      <c r="A401" s="6" t="n">
        <v>2022</v>
      </c>
      <c r="B401" s="7" t="inlineStr">
        <is>
          <t>2WD</t>
        </is>
      </c>
      <c r="C401" s="7" t="inlineStr">
        <is>
          <t>2.2 XD プロアクティブ</t>
        </is>
      </c>
      <c r="D401" s="17" t="n">
        <v>4.9</v>
      </c>
      <c r="E401" s="9" t="n">
        <v>243</v>
      </c>
      <c r="F401" s="9" t="n">
        <v>235</v>
      </c>
      <c r="G401" s="10" t="n">
        <v>4.9</v>
      </c>
      <c r="H401" s="7" t="inlineStr">
        <is>
          <t>なし</t>
        </is>
      </c>
      <c r="I401" s="7" t="inlineStr">
        <is>
          <t>2027(R09)年09月</t>
        </is>
      </c>
      <c r="J401" s="7" t="inlineStr">
        <is>
          <t>保証付</t>
        </is>
      </c>
      <c r="K401" s="16" t="inlineStr">
        <is>
          <t>修復歴なし / 車検 2027/09 まで（残り11ヶ月） / 保証付 / 同年式より安い（中央値 296万）</t>
        </is>
      </c>
      <c r="L401" s="16" t="inlineStr">
        <is>
          <t>CX-8 2.2 XD プロアクティブ ディーゼルターボ 1オーナー 純正ナビ後席モニター全方位</t>
        </is>
      </c>
      <c r="M401" s="7" t="inlineStr">
        <is>
          <t>https://www.carsensor.net/usedcar/detail/AU7301538770/index.html</t>
        </is>
      </c>
    </row>
    <row r="402">
      <c r="A402" s="11" t="n">
        <v>2018</v>
      </c>
      <c r="B402" s="12" t="inlineStr">
        <is>
          <t>2WD</t>
        </is>
      </c>
      <c r="C402" s="12" t="inlineStr">
        <is>
          <t>2.2 XD プロアクティブ</t>
        </is>
      </c>
      <c r="D402" s="13" t="n">
        <v>4.8</v>
      </c>
      <c r="E402" s="14" t="n">
        <v>193.8</v>
      </c>
      <c r="F402" s="14" t="n">
        <v>188.1</v>
      </c>
      <c r="G402" s="15" t="n">
        <v>5.3</v>
      </c>
      <c r="H402" s="12" t="inlineStr">
        <is>
          <t>なし</t>
        </is>
      </c>
      <c r="I402" s="12" t="inlineStr">
        <is>
          <t>2027(R09)年02月</t>
        </is>
      </c>
      <c r="J402" s="12" t="inlineStr">
        <is>
          <t>保証付</t>
        </is>
      </c>
      <c r="K402" s="16" t="inlineStr">
        <is>
          <t>走行が少なめ（5.3万km） / 修復歴なし / 車検 2027/02 まで（残り4ヶ月） / 保証付</t>
        </is>
      </c>
      <c r="L402" s="16" t="inlineStr">
        <is>
          <t>CX-8 2.2 XD プロアクティブ ディーゼルターボ パワーバックドア/ルーフレール/全方位カメラ/パワーシート/シートヒーター/純正19インチAW/アダプティブLEDヘッドライト/衝突軽減/レーダークルコン/HUD/純正ナビ/DVD/CD/TV/Bluetooth/ETC/前後ドラレコ/スペアキー</t>
        </is>
      </c>
      <c r="M402" s="12" t="inlineStr">
        <is>
          <t>https://www.carsensor.net/usedcar/detail/AU7395554384/index.html</t>
        </is>
      </c>
    </row>
    <row r="403">
      <c r="A403" s="6" t="n">
        <v>2018</v>
      </c>
      <c r="B403" s="7" t="inlineStr">
        <is>
          <t>2WD</t>
        </is>
      </c>
      <c r="C403" s="7" t="inlineStr">
        <is>
          <t>2.2 XD プロアクティブ</t>
        </is>
      </c>
      <c r="D403" s="17" t="n">
        <v>4.8</v>
      </c>
      <c r="E403" s="9" t="n">
        <v>221.2</v>
      </c>
      <c r="F403" s="9" t="n">
        <v>215.6</v>
      </c>
      <c r="G403" s="10" t="n">
        <v>4.8</v>
      </c>
      <c r="H403" s="7" t="inlineStr">
        <is>
          <t>なし</t>
        </is>
      </c>
      <c r="I403" s="7" t="inlineStr">
        <is>
          <t>2027(R09)年01月</t>
        </is>
      </c>
      <c r="J403" s="7" t="inlineStr">
        <is>
          <t>保証付</t>
        </is>
      </c>
      <c r="K403" s="16" t="inlineStr">
        <is>
          <t>走行が少なめ（4.8万km） / 修復歴なし / 車検 2027/01 まで（残り3ヶ月） / 保証付</t>
        </is>
      </c>
      <c r="L403" s="16" t="inlineStr">
        <is>
          <t>CX-8 2.2 XD プロアクティブ ディーゼルターボ 修復歴無し</t>
        </is>
      </c>
      <c r="M403" s="7" t="inlineStr">
        <is>
          <t>https://www.carsensor.net/usedcar/detail/AU7453636864/index.html</t>
        </is>
      </c>
    </row>
    <row r="404">
      <c r="A404" s="11" t="n">
        <v>2018</v>
      </c>
      <c r="B404" s="12" t="inlineStr">
        <is>
          <t>2WD</t>
        </is>
      </c>
      <c r="C404" s="12" t="inlineStr">
        <is>
          <t>2.2 XD プロアクティブ</t>
        </is>
      </c>
      <c r="D404" s="13" t="n">
        <v>4.8</v>
      </c>
      <c r="E404" s="14" t="n">
        <v>157.3</v>
      </c>
      <c r="F404" s="14" t="n">
        <v>144</v>
      </c>
      <c r="G404" s="15" t="n">
        <v>5.4</v>
      </c>
      <c r="H404" s="12" t="inlineStr">
        <is>
          <t>なし</t>
        </is>
      </c>
      <c r="I404" s="12" t="inlineStr">
        <is>
          <t>2027(R09)年07月</t>
        </is>
      </c>
      <c r="J404" s="12" t="inlineStr">
        <is>
          <t>保証付</t>
        </is>
      </c>
      <c r="K404" s="16" t="inlineStr">
        <is>
          <t>修復歴なし / 車検 2027/07 まで（残り9ヶ月） / 保証付 / 同年式より安い（中央値 196万）</t>
        </is>
      </c>
      <c r="L404" s="16" t="inlineStr">
        <is>
          <t>CX-8 2.2 XD プロアクティブ ディーゼルターボ 衝突軽減ブレーキ レーンアシスト ヘッドアップディスプレイ レーダークルーズ クリアランスソナー ブラインドスポット 純正ナビ 全方位カメラ アルパイン後席モニター Bluetooth フルセグ</t>
        </is>
      </c>
      <c r="M404" s="12" t="inlineStr">
        <is>
          <t>https://www.carsensor.net/usedcar/detail/AU7277012868/index.html</t>
        </is>
      </c>
    </row>
    <row r="405">
      <c r="A405" s="6" t="n">
        <v>2019</v>
      </c>
      <c r="B405" s="7" t="inlineStr">
        <is>
          <t>2WD</t>
        </is>
      </c>
      <c r="C405" s="7" t="inlineStr">
        <is>
          <t>2.2 XD プロアクティブ</t>
        </is>
      </c>
      <c r="D405" s="17" t="n">
        <v>4.8</v>
      </c>
      <c r="E405" s="9" t="n">
        <v>223.7</v>
      </c>
      <c r="F405" s="9" t="n">
        <v>209</v>
      </c>
      <c r="G405" s="10" t="n">
        <v>5.8</v>
      </c>
      <c r="H405" s="7" t="inlineStr">
        <is>
          <t>なし</t>
        </is>
      </c>
      <c r="I405" s="7" t="inlineStr">
        <is>
          <t>2028(R10)年07月</t>
        </is>
      </c>
      <c r="J405" s="7" t="inlineStr">
        <is>
          <t>保証付</t>
        </is>
      </c>
      <c r="K405" s="16" t="inlineStr">
        <is>
          <t>修復歴なし / 車検 2028/07 まで（残り21ヶ月） / 保証付</t>
        </is>
      </c>
      <c r="L405" s="16" t="inlineStr">
        <is>
          <t>CX-8 2.2 XD プロアクティブ ディーゼルターボ</t>
        </is>
      </c>
      <c r="M405" s="7" t="inlineStr">
        <is>
          <t>https://www.carsensor.net/usedcar/detail/AU7417636578/index.html</t>
        </is>
      </c>
    </row>
    <row r="406">
      <c r="A406" s="11" t="n">
        <v>2020</v>
      </c>
      <c r="B406" s="12" t="inlineStr">
        <is>
          <t>2WD</t>
        </is>
      </c>
      <c r="C406" s="12" t="inlineStr">
        <is>
          <t>2.2 XD プロアクティブ</t>
        </is>
      </c>
      <c r="D406" s="13" t="n">
        <v>4.8</v>
      </c>
      <c r="E406" s="14" t="n">
        <v>215.9</v>
      </c>
      <c r="F406" s="14" t="n">
        <v>199</v>
      </c>
      <c r="G406" s="15" t="n">
        <v>6</v>
      </c>
      <c r="H406" s="12" t="inlineStr">
        <is>
          <t>なし</t>
        </is>
      </c>
      <c r="I406" s="12" t="inlineStr">
        <is>
          <t>2027(R09)年08月</t>
        </is>
      </c>
      <c r="J406" s="12" t="inlineStr">
        <is>
          <t>保証付</t>
        </is>
      </c>
      <c r="K406" s="16" t="inlineStr">
        <is>
          <t>修復歴なし / 車検 2027/08 まで（残り10ヶ月） / 保証付 / 同年式より安い（中央値 250万）</t>
        </is>
      </c>
      <c r="L406" s="16" t="inlineStr">
        <is>
          <t>CX-8 2.2 XD プロアクティブ Sパッケージ ディーゼルターボ 禁煙車 360°ビューモニター スマートシティブレーキ レーダークルーズ クリアランスソナー ブラインドスポットモニター レーンキープ ヘッドアップディスプレイ 黒本革シート メモリパワーシート</t>
        </is>
      </c>
      <c r="M406" s="12" t="inlineStr">
        <is>
          <t>https://www.carsensor.net/usedcar/detail/AU7209942716/index.html</t>
        </is>
      </c>
    </row>
    <row r="407">
      <c r="A407" s="6" t="n">
        <v>2020</v>
      </c>
      <c r="B407" s="7" t="inlineStr">
        <is>
          <t>2WD</t>
        </is>
      </c>
      <c r="C407" s="7" t="inlineStr">
        <is>
          <t>2.2 XD プロアクティブ</t>
        </is>
      </c>
      <c r="D407" s="17" t="n">
        <v>4.8</v>
      </c>
      <c r="E407" s="9" t="n">
        <v>264.9</v>
      </c>
      <c r="F407" s="9" t="n">
        <v>249</v>
      </c>
      <c r="G407" s="10" t="n">
        <v>2.8</v>
      </c>
      <c r="H407" s="7" t="inlineStr">
        <is>
          <t>なし</t>
        </is>
      </c>
      <c r="I407" s="7" t="inlineStr">
        <is>
          <t>2027(R09)年02月</t>
        </is>
      </c>
      <c r="J407" s="7" t="inlineStr">
        <is>
          <t>保証付</t>
        </is>
      </c>
      <c r="K407" s="16" t="inlineStr">
        <is>
          <t>走行が少なめ（2.8万km） / 修復歴なし / 車検 2027/02 まで（残り4ヶ月） / 保証付</t>
        </is>
      </c>
      <c r="L407" s="16" t="inlineStr">
        <is>
          <t>CX-8 2.2 XD プロアクティブ Sパッケージ ディーゼルターボ 全方位カメラ パワーバックドア ベンチレーション シートヒーター ハンドルヒーター メモリーパワーシート 純正ナビ 純正アルミホイール TV レーダークルーズコントロール コーナーセンサー ETC</t>
        </is>
      </c>
      <c r="M407" s="7" t="inlineStr">
        <is>
          <t>https://www.carsensor.net/usedcar/detail/AU7087024508/index.html</t>
        </is>
      </c>
    </row>
    <row r="408">
      <c r="A408" s="11" t="n">
        <v>2018</v>
      </c>
      <c r="B408" s="12" t="inlineStr">
        <is>
          <t>2WD</t>
        </is>
      </c>
      <c r="C408" s="12" t="inlineStr">
        <is>
          <t>2.2 XD プロアクティブ</t>
        </is>
      </c>
      <c r="D408" s="13" t="n">
        <v>4.7</v>
      </c>
      <c r="E408" s="14" t="n">
        <v>169</v>
      </c>
      <c r="F408" s="14" t="n">
        <v>163.1</v>
      </c>
      <c r="G408" s="15" t="n">
        <v>8.300000000000001</v>
      </c>
      <c r="H408" s="12" t="inlineStr">
        <is>
          <t>なし</t>
        </is>
      </c>
      <c r="I408" s="12" t="inlineStr">
        <is>
          <t>2027(R09)年06月</t>
        </is>
      </c>
      <c r="J408" s="12" t="inlineStr">
        <is>
          <t>保証付</t>
        </is>
      </c>
      <c r="K408" s="16" t="inlineStr">
        <is>
          <t>修復歴なし / 車検 2027/06 まで（残り8ヶ月） / 保証付 / 同年式より安い（中央値 196万）</t>
        </is>
      </c>
      <c r="L408" s="16" t="inlineStr">
        <is>
          <t>CX-8 2.2 XD プロアクティブ ディーゼルターボ 修復歴無し</t>
        </is>
      </c>
      <c r="M408" s="12" t="inlineStr">
        <is>
          <t>https://www.carsensor.net/usedcar/detail/AU7318558576/index.html</t>
        </is>
      </c>
    </row>
    <row r="409">
      <c r="A409" s="6" t="n">
        <v>2018</v>
      </c>
      <c r="B409" s="7" t="inlineStr">
        <is>
          <t>2WD</t>
        </is>
      </c>
      <c r="C409" s="7" t="inlineStr">
        <is>
          <t>2.2 XD プロアクティブ</t>
        </is>
      </c>
      <c r="D409" s="17" t="n">
        <v>4.7</v>
      </c>
      <c r="E409" s="9" t="n">
        <v>159.8</v>
      </c>
      <c r="F409" s="9" t="n">
        <v>149.8</v>
      </c>
      <c r="G409" s="10" t="n">
        <v>8.699999999999999</v>
      </c>
      <c r="H409" s="7" t="inlineStr">
        <is>
          <t>なし</t>
        </is>
      </c>
      <c r="I409" s="7" t="inlineStr">
        <is>
          <t>2027(R09)年06月</t>
        </is>
      </c>
      <c r="J409" s="7" t="inlineStr">
        <is>
          <t>保証付</t>
        </is>
      </c>
      <c r="K409" s="16" t="inlineStr">
        <is>
          <t>修復歴なし / 車検 2027/06 まで（残り8ヶ月） / 保証付 / 同年式より安い（中央値 196万）</t>
        </is>
      </c>
      <c r="L409" s="16" t="inlineStr">
        <is>
          <t>CX-8 2.2 XD プロアクティブ ディーゼルターボ /シートヒータ/運転席パワーシート/パワーバックドア/スマートキー/Pスタート/アイアクティブセンス/ステアリングヒータ/後席モニター/純正ナビ/Bカメラ/360°ビューモニター/BOSEサウンド/ETC2.0/前後ドラレコ/LED/</t>
        </is>
      </c>
      <c r="M409" s="7" t="inlineStr">
        <is>
          <t>https://www.carsensor.net/usedcar/detail/AU7405106399/index.html</t>
        </is>
      </c>
    </row>
    <row r="410">
      <c r="A410" s="11" t="n">
        <v>2018</v>
      </c>
      <c r="B410" s="12" t="inlineStr">
        <is>
          <t>2WD</t>
        </is>
      </c>
      <c r="C410" s="12" t="inlineStr">
        <is>
          <t>2.2 XD プロアクティブ</t>
        </is>
      </c>
      <c r="D410" s="13" t="n">
        <v>4.7</v>
      </c>
      <c r="E410" s="14" t="n">
        <v>159.9</v>
      </c>
      <c r="F410" s="14" t="n">
        <v>149.9</v>
      </c>
      <c r="G410" s="15" t="n">
        <v>9.4</v>
      </c>
      <c r="H410" s="12" t="inlineStr">
        <is>
          <t>なし</t>
        </is>
      </c>
      <c r="I410" s="12" t="inlineStr">
        <is>
          <t>2028(R10)年06月</t>
        </is>
      </c>
      <c r="J410" s="12" t="inlineStr">
        <is>
          <t>保証無</t>
        </is>
      </c>
      <c r="K410" s="16" t="inlineStr">
        <is>
          <t>修復歴なし / 車検 2028/06 まで（残り20ヶ月） / 同年式より安い（中央値 196万）</t>
        </is>
      </c>
      <c r="L410" s="16" t="inlineStr">
        <is>
          <t>CX-8 2.2 XD プロアクティブ ディーゼルターボ ディーゼル/ターボ/純正ナビ/Bluetoothオーディオ/フルセグTV/360°ビュー・モニター/クルーズコントロール/ETC/デジタルインナ-ミラー/パワーシート/オートエアコン/シートヒーター/BOSEサウンド/社外17インチAW</t>
        </is>
      </c>
      <c r="M410" s="12" t="inlineStr">
        <is>
          <t>https://www.carsensor.net/usedcar/detail/AU7412797395/index.html</t>
        </is>
      </c>
    </row>
    <row r="411">
      <c r="A411" s="6" t="n">
        <v>2020</v>
      </c>
      <c r="B411" s="7" t="inlineStr">
        <is>
          <t>2WD</t>
        </is>
      </c>
      <c r="C411" s="7" t="inlineStr">
        <is>
          <t>2.2 XD プロアクティブ</t>
        </is>
      </c>
      <c r="D411" s="17" t="n">
        <v>4.7</v>
      </c>
      <c r="E411" s="9" t="n">
        <v>199.9</v>
      </c>
      <c r="F411" s="9" t="n">
        <v>188.9</v>
      </c>
      <c r="G411" s="10" t="n">
        <v>7.2</v>
      </c>
      <c r="H411" s="7" t="inlineStr">
        <is>
          <t>なし</t>
        </is>
      </c>
      <c r="I411" s="7" t="inlineStr">
        <is>
          <t>2027(R09)年06月</t>
        </is>
      </c>
      <c r="J411" s="7" t="inlineStr">
        <is>
          <t>保証付</t>
        </is>
      </c>
      <c r="K411" s="16" t="inlineStr">
        <is>
          <t>修復歴なし / 車検 2027/06 まで（残り8ヶ月） / 保証付 / 同年式より安い（中央値 250万）</t>
        </is>
      </c>
      <c r="L411" s="16" t="inlineStr">
        <is>
          <t>CX-8 2.2 XD プロアクティブ ディーゼルターボ 衝突軽減B ALPINE社外フリップダウンモニター 純正コネクトナビ Bluetooth対応 360℃モニター パワーバックドア クルーズコントロール シートヒーター LEDヘッドライト スマートキー 純正アルミホイール</t>
        </is>
      </c>
      <c r="M411" s="7" t="inlineStr">
        <is>
          <t>https://www.carsensor.net/usedcar/detail/AU7325291179/index.html</t>
        </is>
      </c>
    </row>
    <row r="412">
      <c r="A412" s="11" t="n">
        <v>2020</v>
      </c>
      <c r="B412" s="12" t="inlineStr">
        <is>
          <t>2WD</t>
        </is>
      </c>
      <c r="C412" s="12" t="inlineStr">
        <is>
          <t>2.2 XD プロアクティブ</t>
        </is>
      </c>
      <c r="D412" s="13" t="n">
        <v>4.7</v>
      </c>
      <c r="E412" s="14" t="n">
        <v>214</v>
      </c>
      <c r="F412" s="14" t="n">
        <v>204.6</v>
      </c>
      <c r="G412" s="15" t="n">
        <v>6.8</v>
      </c>
      <c r="H412" s="12" t="inlineStr">
        <is>
          <t>なし</t>
        </is>
      </c>
      <c r="I412" s="12" t="inlineStr">
        <is>
          <t>2027(R09)年06月</t>
        </is>
      </c>
      <c r="J412" s="12" t="inlineStr">
        <is>
          <t>保証付</t>
        </is>
      </c>
      <c r="K412" s="16" t="inlineStr">
        <is>
          <t>修復歴なし / 車検 2027/06 まで（残り8ヶ月） / 保証付 / 同年式より安い（中央値 250万）</t>
        </is>
      </c>
      <c r="L412" s="16" t="inlineStr">
        <is>
          <t>CX-8 2.2 XD プロアクティブ Sパッケージ ディーゼルターボ OBD診断済/純正ナビ/ブラインドスポットモニタリング/パーキングセンサー/レーダークルーズコントロール/スマートブレーキサポート/シートヒーター/シートベンチレーション/パワーバックドア/360度ビューモニター</t>
        </is>
      </c>
      <c r="M412" s="12" t="inlineStr">
        <is>
          <t>https://www.carsensor.net/usedcar/detail/AU7375886215/index.html</t>
        </is>
      </c>
    </row>
    <row r="413">
      <c r="A413" s="6" t="n">
        <v>2018</v>
      </c>
      <c r="B413" s="7" t="inlineStr">
        <is>
          <t>2WD</t>
        </is>
      </c>
      <c r="C413" s="7" t="inlineStr">
        <is>
          <t>2.2 XD プロアクティブ</t>
        </is>
      </c>
      <c r="D413" s="17" t="n">
        <v>4.6</v>
      </c>
      <c r="E413" s="9" t="n">
        <v>169.9</v>
      </c>
      <c r="F413" s="9" t="n">
        <v>158.4</v>
      </c>
      <c r="G413" s="10" t="n">
        <v>7</v>
      </c>
      <c r="H413" s="7" t="inlineStr">
        <is>
          <t>なし</t>
        </is>
      </c>
      <c r="I413" s="7" t="inlineStr">
        <is>
          <t>2027(R09)年05月</t>
        </is>
      </c>
      <c r="J413" s="7" t="inlineStr">
        <is>
          <t>保証付</t>
        </is>
      </c>
      <c r="K413" s="16" t="inlineStr">
        <is>
          <t>修復歴なし / 車検 2027/05 まで（残り7ヶ月） / 保証付 / 同年式より安い（中央値 196万）</t>
        </is>
      </c>
      <c r="L413" s="16" t="inlineStr">
        <is>
          <t>CX-8 2.2 XD プロアクティブ ディーゼルターボ 全周囲カメラ 衝突被害軽減システム レーダークルーズ パワーシート ドラレコ スマートキー LEDヘッド ETC ブラインドスポットモニター シートヒーター 純正19インチアルミ デュアルエアコン</t>
        </is>
      </c>
      <c r="M413" s="7" t="inlineStr">
        <is>
          <t>https://www.carsensor.net/usedcar/detail/AU7095654313/index.html</t>
        </is>
      </c>
    </row>
    <row r="414">
      <c r="A414" s="11" t="n">
        <v>2018</v>
      </c>
      <c r="B414" s="12" t="inlineStr">
        <is>
          <t>2WD</t>
        </is>
      </c>
      <c r="C414" s="12" t="inlineStr">
        <is>
          <t>2.2 XD プロアクティブ</t>
        </is>
      </c>
      <c r="D414" s="13" t="n">
        <v>4.6</v>
      </c>
      <c r="E414" s="14" t="n">
        <v>169.8</v>
      </c>
      <c r="F414" s="14" t="n">
        <v>149.8</v>
      </c>
      <c r="G414" s="15" t="n">
        <v>7.8</v>
      </c>
      <c r="H414" s="12" t="inlineStr">
        <is>
          <t>なし</t>
        </is>
      </c>
      <c r="I414" s="12" t="inlineStr">
        <is>
          <t>2027(R09)年05月</t>
        </is>
      </c>
      <c r="J414" s="12" t="inlineStr">
        <is>
          <t>保証付</t>
        </is>
      </c>
      <c r="K414" s="16" t="inlineStr">
        <is>
          <t>修復歴なし / 車検 2027/05 まで（残り7ヶ月） / 保証付 / 同年式より安い（中央値 196万）</t>
        </is>
      </c>
      <c r="L414" s="16" t="inlineStr">
        <is>
          <t>CX-8 2.2 XD プロアクティブ ディーゼルターボ BOSE HUD 衝突軽減B BSM Fセグナビ Bカメラ</t>
        </is>
      </c>
      <c r="M414" s="12" t="inlineStr">
        <is>
          <t>https://www.carsensor.net/usedcar/detail/AU7258651800/index.html</t>
        </is>
      </c>
    </row>
    <row r="415">
      <c r="A415" s="6" t="n">
        <v>2018</v>
      </c>
      <c r="B415" s="7" t="inlineStr">
        <is>
          <t>2WD</t>
        </is>
      </c>
      <c r="C415" s="7" t="inlineStr">
        <is>
          <t>2.2 XD プロアクティブ</t>
        </is>
      </c>
      <c r="D415" s="17" t="n">
        <v>4.6</v>
      </c>
      <c r="E415" s="9" t="n">
        <v>171.7</v>
      </c>
      <c r="F415" s="9" t="n">
        <v>164.8</v>
      </c>
      <c r="G415" s="10" t="n">
        <v>5.7</v>
      </c>
      <c r="H415" s="7" t="inlineStr">
        <is>
          <t>なし</t>
        </is>
      </c>
      <c r="I415" s="7" t="inlineStr">
        <is>
          <t>2027(R09)年05月</t>
        </is>
      </c>
      <c r="J415" s="7" t="inlineStr">
        <is>
          <t>保証付</t>
        </is>
      </c>
      <c r="K415" s="16" t="inlineStr">
        <is>
          <t>修復歴なし / 車検 2027/05 まで（残り7ヶ月） / 保証付 / 同年式より安い（中央値 196万）</t>
        </is>
      </c>
      <c r="L415" s="16" t="inlineStr">
        <is>
          <t>CX-8 2.2 XD プロアクティブ ディーゼルターボ ワンオーナー 純正SDナビ 360度カメラ フルセグTV パーキングセンサー アドバンスドスマートシティブレーキサポート 電動シート パワーシート スマートキー2個 ETC LEDライト 記録簿 車両・ナビ取説</t>
        </is>
      </c>
      <c r="M415" s="7" t="inlineStr">
        <is>
          <t>https://www.carsensor.net/usedcar/detail/AU7327937268/index.html</t>
        </is>
      </c>
    </row>
    <row r="416">
      <c r="A416" s="11" t="n">
        <v>2019</v>
      </c>
      <c r="B416" s="12" t="inlineStr">
        <is>
          <t>2WD</t>
        </is>
      </c>
      <c r="C416" s="12" t="inlineStr">
        <is>
          <t>2.2 XD プロアクティブ</t>
        </is>
      </c>
      <c r="D416" s="13" t="n">
        <v>4.6</v>
      </c>
      <c r="E416" s="14" t="n">
        <v>212.9</v>
      </c>
      <c r="F416" s="14" t="n">
        <v>200.7</v>
      </c>
      <c r="G416" s="15" t="n">
        <v>6.7</v>
      </c>
      <c r="H416" s="12" t="inlineStr">
        <is>
          <t>なし</t>
        </is>
      </c>
      <c r="I416" s="12" t="inlineStr">
        <is>
          <t>2028(R10)年05月</t>
        </is>
      </c>
      <c r="J416" s="12" t="inlineStr">
        <is>
          <t>保証付</t>
        </is>
      </c>
      <c r="K416" s="16" t="inlineStr">
        <is>
          <t>修復歴なし / 車検 2028/05 まで（残り19ヶ月） / 保証付</t>
        </is>
      </c>
      <c r="L416" s="16" t="inlineStr">
        <is>
          <t>CX-8 2.2 XD プロアクティブ ディーゼルターボ 禁煙車 6人乗り マツダコネクトナビ 全周囲カメラ レーダークルーズコントロール ブラインドスポットモニター パワーバックドア ドライブレコーダー メモリー付パワーシート リアオートエアコン ETC</t>
        </is>
      </c>
      <c r="M416" s="12" t="inlineStr">
        <is>
          <t>https://www.carsensor.net/usedcar/detail/AU7363846174/index.html</t>
        </is>
      </c>
    </row>
    <row r="417">
      <c r="A417" s="6" t="n">
        <v>2018</v>
      </c>
      <c r="B417" s="7" t="inlineStr">
        <is>
          <t>2WD</t>
        </is>
      </c>
      <c r="C417" s="7" t="inlineStr">
        <is>
          <t>2.2 XD プロアクティブ</t>
        </is>
      </c>
      <c r="D417" s="17" t="n">
        <v>4.4</v>
      </c>
      <c r="E417" s="9" t="n">
        <v>146.2</v>
      </c>
      <c r="F417" s="9" t="n">
        <v>139</v>
      </c>
      <c r="G417" s="10" t="n">
        <v>7.4</v>
      </c>
      <c r="H417" s="7" t="inlineStr">
        <is>
          <t>なし</t>
        </is>
      </c>
      <c r="I417" s="7" t="inlineStr">
        <is>
          <t>2027(R09)年03月</t>
        </is>
      </c>
      <c r="J417" s="7" t="inlineStr">
        <is>
          <t>保証付</t>
        </is>
      </c>
      <c r="K417" s="16" t="inlineStr">
        <is>
          <t>修復歴なし / 車検 2027/03 まで（残り5ヶ月） / 保証付 / 同年式より安い（中央値 196万）</t>
        </is>
      </c>
      <c r="L417" s="16" t="inlineStr">
        <is>
          <t>CX-8 2.2 XD プロアクティブ ディーゼルターボ 6ヶ月走行距離無制限保証付 禁煙車 全周囲カメラ 純正SDナビ 衝突軽減ブレーキ シートヒーター フルセグTV コーナーセンサー レーダークルーズコントロール Bluetooth パワーシート ステアリングヒーター</t>
        </is>
      </c>
      <c r="M417" s="7" t="inlineStr">
        <is>
          <t>https://www.carsensor.net/usedcar/detail/AU7370020735/index.html</t>
        </is>
      </c>
    </row>
    <row r="418">
      <c r="A418" s="11" t="n">
        <v>2018</v>
      </c>
      <c r="B418" s="12" t="inlineStr">
        <is>
          <t>2WD</t>
        </is>
      </c>
      <c r="C418" s="12" t="inlineStr">
        <is>
          <t>2.2 XD プロアクティブ</t>
        </is>
      </c>
      <c r="D418" s="13" t="n">
        <v>4.4</v>
      </c>
      <c r="E418" s="14" t="n">
        <v>171.9</v>
      </c>
      <c r="F418" s="14" t="n">
        <v>165.7</v>
      </c>
      <c r="G418" s="15" t="n">
        <v>6.9</v>
      </c>
      <c r="H418" s="12" t="inlineStr">
        <is>
          <t>なし</t>
        </is>
      </c>
      <c r="I418" s="12" t="inlineStr">
        <is>
          <t>2027(R09)年03月</t>
        </is>
      </c>
      <c r="J418" s="12" t="inlineStr">
        <is>
          <t>保証付</t>
        </is>
      </c>
      <c r="K418" s="16" t="inlineStr">
        <is>
          <t>修復歴なし / 車検 2027/03 まで（残り5ヶ月） / 保証付 / 同年式より安い（中央値 196万）</t>
        </is>
      </c>
      <c r="L418" s="16" t="inlineStr">
        <is>
          <t>CX-8 2.2 XD プロアクティブ ディーゼルターボ SDナビ/衝突安全装置/シートヒーター 前席/360°ビューモニター/車線逸脱防止支援システム/ヘッドランプ LED/USBジャック/Bluetooth接続/ETC/EBD付ABS</t>
        </is>
      </c>
      <c r="M418" s="12" t="inlineStr">
        <is>
          <t>https://www.carsensor.net/usedcar/detail/AU7318148952/index.html</t>
        </is>
      </c>
    </row>
    <row r="419">
      <c r="A419" s="6" t="n">
        <v>2019</v>
      </c>
      <c r="B419" s="7" t="inlineStr">
        <is>
          <t>2WD</t>
        </is>
      </c>
      <c r="C419" s="7" t="inlineStr">
        <is>
          <t>2.2 XD プロアクティブ</t>
        </is>
      </c>
      <c r="D419" s="17" t="n">
        <v>4.4</v>
      </c>
      <c r="E419" s="9" t="n">
        <v>208.6</v>
      </c>
      <c r="F419" s="9" t="n">
        <v>198.8</v>
      </c>
      <c r="G419" s="10" t="n">
        <v>6.6</v>
      </c>
      <c r="H419" s="7" t="inlineStr">
        <is>
          <t>なし</t>
        </is>
      </c>
      <c r="I419" s="7" t="inlineStr">
        <is>
          <t>2028(R10)年03月</t>
        </is>
      </c>
      <c r="J419" s="7" t="inlineStr">
        <is>
          <t>保証付</t>
        </is>
      </c>
      <c r="K419" s="16" t="inlineStr">
        <is>
          <t>修復歴なし / 車検 2028/03 まで（残り17ヶ月） / 保証付</t>
        </is>
      </c>
      <c r="L419" s="16" t="inlineStr">
        <is>
          <t>CX-8 2.2 XD プロアクティブ ディーゼルターボ マット・ナビ・ETC・360°ビューモニター・リアシートモニター</t>
        </is>
      </c>
      <c r="M419" s="7" t="inlineStr">
        <is>
          <t>https://www.carsensor.net/usedcar/detail/AU7320646377/index.html</t>
        </is>
      </c>
    </row>
    <row r="420">
      <c r="A420" s="11" t="n">
        <v>2020</v>
      </c>
      <c r="B420" s="12" t="inlineStr">
        <is>
          <t>2WD</t>
        </is>
      </c>
      <c r="C420" s="12" t="inlineStr">
        <is>
          <t>2.2 XD プロアクティブ</t>
        </is>
      </c>
      <c r="D420" s="13" t="n">
        <v>4.4</v>
      </c>
      <c r="E420" s="14" t="n">
        <v>200.8</v>
      </c>
      <c r="F420" s="14" t="n">
        <v>194</v>
      </c>
      <c r="G420" s="15" t="n">
        <v>6.8</v>
      </c>
      <c r="H420" s="12" t="inlineStr">
        <is>
          <t>なし</t>
        </is>
      </c>
      <c r="I420" s="12" t="inlineStr">
        <is>
          <t>2027(R09)年03月</t>
        </is>
      </c>
      <c r="J420" s="12" t="inlineStr">
        <is>
          <t>保証付</t>
        </is>
      </c>
      <c r="K420" s="16" t="inlineStr">
        <is>
          <t>修復歴なし / 車検 2027/03 まで（残り5ヶ月） / 保証付 / 同年式より安い（中央値 250万）</t>
        </is>
      </c>
      <c r="L420" s="16" t="inlineStr">
        <is>
          <t>CX-8 2.2 XD プロアクティブ Sパッケージ ディーゼルターボ 6ヶ月走行距離無制限保証付 本革シート レーダークルーズコントロール 全周囲カメラ 衝突軽減ブレーキ コーナーセンサー シートヒーター Bluetooth フルセグTV パワーシート 電動リアゲート 禁煙車 ETC</t>
        </is>
      </c>
      <c r="M420" s="12" t="inlineStr">
        <is>
          <t>https://www.carsensor.net/usedcar/detail/AU7352362134/index.html</t>
        </is>
      </c>
    </row>
    <row r="421">
      <c r="A421" s="6" t="n">
        <v>2019</v>
      </c>
      <c r="B421" s="7" t="inlineStr">
        <is>
          <t>2WD</t>
        </is>
      </c>
      <c r="C421" s="7" t="inlineStr">
        <is>
          <t>2.2 XD プロアクティブ</t>
        </is>
      </c>
      <c r="D421" s="17" t="n">
        <v>4.3</v>
      </c>
      <c r="E421" s="9" t="n">
        <v>216.3</v>
      </c>
      <c r="F421" s="9" t="n">
        <v>209</v>
      </c>
      <c r="G421" s="10" t="n">
        <v>5.5</v>
      </c>
      <c r="H421" s="7" t="inlineStr">
        <is>
          <t>なし</t>
        </is>
      </c>
      <c r="I421" s="7" t="inlineStr">
        <is>
          <t>2028(R10)年02月</t>
        </is>
      </c>
      <c r="J421" s="7" t="inlineStr">
        <is>
          <t>保証付</t>
        </is>
      </c>
      <c r="K421" s="16" t="inlineStr">
        <is>
          <t>修復歴なし / 車検 2028/02 まで（残り16ヶ月） / 保証付</t>
        </is>
      </c>
      <c r="L421" s="16" t="inlineStr">
        <is>
          <t>CX-8 2.2 XD プロアクティブ ディーゼルターボ 後席モニター 全周囲カメラ シートヒーター</t>
        </is>
      </c>
      <c r="M421" s="7" t="inlineStr">
        <is>
          <t>https://www.carsensor.net/usedcar/detail/AU7301343297/index.html</t>
        </is>
      </c>
    </row>
    <row r="422">
      <c r="A422" s="11" t="n">
        <v>2021</v>
      </c>
      <c r="B422" s="12" t="inlineStr">
        <is>
          <t>2WD</t>
        </is>
      </c>
      <c r="C422" s="12" t="inlineStr">
        <is>
          <t>2.2 XD プロアクティブ</t>
        </is>
      </c>
      <c r="D422" s="13" t="n">
        <v>4.3</v>
      </c>
      <c r="E422" s="14" t="n">
        <v>253.8</v>
      </c>
      <c r="F422" s="14" t="n">
        <v>247.4</v>
      </c>
      <c r="G422" s="15" t="n">
        <v>4.8</v>
      </c>
      <c r="H422" s="12" t="inlineStr">
        <is>
          <t>なし</t>
        </is>
      </c>
      <c r="I422" s="12" t="inlineStr">
        <is>
          <t>2028(R10)年02月</t>
        </is>
      </c>
      <c r="J422" s="12" t="inlineStr">
        <is>
          <t>保証付</t>
        </is>
      </c>
      <c r="K422" s="16" t="inlineStr">
        <is>
          <t>修復歴なし / 車検 2028/02 まで（残り16ヶ月） / 保証付</t>
        </is>
      </c>
      <c r="L422" s="16" t="inlineStr">
        <is>
          <t>CX-8 2.2 XD プロアクティブ ディーゼルターボ 4WD 純正10.2インチセンダーディスプレイ BOSEサウンド 純正フリップダウン 全方位モニター レーダークルーズコントロール ヘッドアップディスプレイ 全席シートヒーター メモリーパワーシート 純正19インチアルミ</t>
        </is>
      </c>
      <c r="M422" s="12" t="inlineStr">
        <is>
          <t>https://www.carsensor.net/usedcar/detail/AU7278530995/index.html</t>
        </is>
      </c>
    </row>
    <row r="423">
      <c r="A423" s="6" t="n">
        <v>2021</v>
      </c>
      <c r="B423" s="7" t="inlineStr">
        <is>
          <t>2WD</t>
        </is>
      </c>
      <c r="C423" s="7" t="inlineStr">
        <is>
          <t>2.2 XD プロアクティブ</t>
        </is>
      </c>
      <c r="D423" s="17" t="n">
        <v>4.3</v>
      </c>
      <c r="E423" s="9" t="n">
        <v>257.2</v>
      </c>
      <c r="F423" s="9" t="n">
        <v>246.5</v>
      </c>
      <c r="G423" s="10" t="n">
        <v>4.6</v>
      </c>
      <c r="H423" s="7" t="inlineStr">
        <is>
          <t>なし</t>
        </is>
      </c>
      <c r="I423" s="7" t="inlineStr">
        <is>
          <t>2028(R10)年02月</t>
        </is>
      </c>
      <c r="J423" s="7" t="inlineStr">
        <is>
          <t>保証付</t>
        </is>
      </c>
      <c r="K423" s="16" t="inlineStr">
        <is>
          <t>修復歴なし / 車検 2028/02 まで（残り16ヶ月） / 保証付</t>
        </is>
      </c>
      <c r="L423" s="16" t="inlineStr">
        <is>
          <t>CX-8 2.2 XD プロアクティブ ディーゼルターボ 禁煙車 10.25インチ純正ナビ 全方位カメラ ルーフレール ワイヤレス充電用USB 車両状態評価書5点 衝突被害軽減ブレーキ 車線逸脱警報 レーダークルーズコントロール 電動リヤゲート オートハイビーム 三菱認定中古車</t>
        </is>
      </c>
      <c r="M423" s="7" t="inlineStr">
        <is>
          <t>https://www.carsensor.net/usedcar/detail/AU7443258594/index.html</t>
        </is>
      </c>
    </row>
    <row r="424">
      <c r="A424" s="11" t="n">
        <v>2017</v>
      </c>
      <c r="B424" s="12" t="inlineStr">
        <is>
          <t>2WD</t>
        </is>
      </c>
      <c r="C424" s="12" t="inlineStr">
        <is>
          <t>2.2 XD プロアクティブ</t>
        </is>
      </c>
      <c r="D424" s="13" t="n">
        <v>4.2</v>
      </c>
      <c r="E424" s="14" t="n">
        <v>163.4</v>
      </c>
      <c r="F424" s="14" t="n">
        <v>157.9</v>
      </c>
      <c r="G424" s="15" t="n">
        <v>8.1</v>
      </c>
      <c r="H424" s="12" t="inlineStr">
        <is>
          <t>なし</t>
        </is>
      </c>
      <c r="I424" s="12" t="inlineStr">
        <is>
          <t>2026(R08)年12月</t>
        </is>
      </c>
      <c r="J424" s="12" t="inlineStr">
        <is>
          <t>保証付</t>
        </is>
      </c>
      <c r="K424" s="16" t="inlineStr">
        <is>
          <t>修復歴なし / 車検 2026/12 まで（残り2ヶ月） / 保証付 / 同年式より安い（中央値 184万）</t>
        </is>
      </c>
      <c r="L424" s="16" t="inlineStr">
        <is>
          <t>CX-8 2.2 XD プロアクティブ ディーゼルターボ 純正ナビ フルセグTV CD DVD Bluetooth バックカメラ ETC2.0 ミラー型前後ドライブレコーダー パワーシート ハーフレザーシート LEDヘッドライト シートヒーター スペアキー</t>
        </is>
      </c>
      <c r="M424" s="12" t="inlineStr">
        <is>
          <t>https://www.carsensor.net/usedcar/detail/AU7405104316/index.html</t>
        </is>
      </c>
    </row>
    <row r="425">
      <c r="A425" s="6" t="n">
        <v>2018</v>
      </c>
      <c r="B425" s="7" t="inlineStr">
        <is>
          <t>2WD</t>
        </is>
      </c>
      <c r="C425" s="7" t="inlineStr">
        <is>
          <t>2.2 XD プロアクティブ</t>
        </is>
      </c>
      <c r="D425" s="17" t="n">
        <v>4.2</v>
      </c>
      <c r="E425" s="9" t="n">
        <v>193.9</v>
      </c>
      <c r="F425" s="9" t="n">
        <v>187.2</v>
      </c>
      <c r="G425" s="10" t="n">
        <v>6.7</v>
      </c>
      <c r="H425" s="7" t="inlineStr">
        <is>
          <t>なし</t>
        </is>
      </c>
      <c r="I425" s="7" t="inlineStr">
        <is>
          <t>2027(R09)年12月</t>
        </is>
      </c>
      <c r="J425" s="7" t="inlineStr">
        <is>
          <t>保証付</t>
        </is>
      </c>
      <c r="K425" s="16" t="inlineStr">
        <is>
          <t>修復歴なし / 車検 2027/12 まで（残り14ヶ月） / 保証付</t>
        </is>
      </c>
      <c r="L425" s="16" t="inlineStr">
        <is>
          <t>CX-8 2.2 XD プロアクティブ ディーゼルターボ 新品タイヤ/SDナビ/フリップダウン 社外 9インチ/衝突安全装置/シートヒーター/全方位モニター/車線逸脱防止支援システム/ドライブレコーダー 前後/ヘッドランプ LED</t>
        </is>
      </c>
      <c r="M425" s="7" t="inlineStr">
        <is>
          <t>https://www.carsensor.net/usedcar/detail/AU7270780746/index.html</t>
        </is>
      </c>
    </row>
    <row r="426">
      <c r="A426" s="11" t="n">
        <v>2018</v>
      </c>
      <c r="B426" s="12" t="inlineStr">
        <is>
          <t>2WD</t>
        </is>
      </c>
      <c r="C426" s="12" t="inlineStr">
        <is>
          <t>2.2 XD プロアクティブ</t>
        </is>
      </c>
      <c r="D426" s="13" t="n">
        <v>4.2</v>
      </c>
      <c r="E426" s="14" t="n">
        <v>178.8</v>
      </c>
      <c r="F426" s="14" t="n">
        <v>170.1</v>
      </c>
      <c r="G426" s="15" t="n">
        <v>7.2</v>
      </c>
      <c r="H426" s="12" t="inlineStr">
        <is>
          <t>なし</t>
        </is>
      </c>
      <c r="I426" s="12" t="inlineStr">
        <is>
          <t>2028(R10)年01月</t>
        </is>
      </c>
      <c r="J426" s="12" t="inlineStr">
        <is>
          <t>保証付</t>
        </is>
      </c>
      <c r="K426" s="16" t="inlineStr">
        <is>
          <t>修復歴なし / 車検 2028/01 まで（残り15ヶ月） / 保証付</t>
        </is>
      </c>
      <c r="L426" s="16" t="inlineStr">
        <is>
          <t>CX-8 2.2 XD プロアクティブ ディーゼルターボ 360℃ビューモニター/マツダコネクトナビ/アルパイン後席フリップダウンモニター/メモリー機能付パワーシート/シートヒーター/ブラインドスポットモニター/ヘッドアップディスプレイ/障害物センサー</t>
        </is>
      </c>
      <c r="M426" s="12" t="inlineStr">
        <is>
          <t>https://www.carsensor.net/usedcar/detail/AU7294850755/index.html</t>
        </is>
      </c>
    </row>
    <row r="427">
      <c r="A427" s="6" t="n">
        <v>2019</v>
      </c>
      <c r="B427" s="7" t="inlineStr">
        <is>
          <t>2WD</t>
        </is>
      </c>
      <c r="C427" s="7" t="inlineStr">
        <is>
          <t>2.2 XD プロアクティブ</t>
        </is>
      </c>
      <c r="D427" s="17" t="n">
        <v>4.2</v>
      </c>
      <c r="E427" s="9" t="n">
        <v>199.9</v>
      </c>
      <c r="F427" s="9" t="n">
        <v>187.6</v>
      </c>
      <c r="G427" s="10" t="n">
        <v>9.800000000000001</v>
      </c>
      <c r="H427" s="7" t="inlineStr">
        <is>
          <t>なし</t>
        </is>
      </c>
      <c r="I427" s="7" t="inlineStr">
        <is>
          <t>2028(R10)年07月</t>
        </is>
      </c>
      <c r="J427" s="7" t="inlineStr">
        <is>
          <t>保証付</t>
        </is>
      </c>
      <c r="K427" s="16" t="inlineStr">
        <is>
          <t>走行が多め（9.8万km） / 修復歴なし / 車検 2028/07 まで（残り21ヶ月） / 保証付 / 同年式より安い（中央値 231万）</t>
        </is>
      </c>
      <c r="L427" s="16" t="inlineStr">
        <is>
          <t>CX-8 2.2 XD プロアクティブ ディーゼルターボ 純正ナビ 後席モニター 全周囲カメラ 衝突被害軽減システム レーダークルーズ 禁煙車 電動リアゲート パワーシート 前席シートヒーター ステアリングヒーター BSM HUD 純正19インチAW</t>
        </is>
      </c>
      <c r="M427" s="7" t="inlineStr">
        <is>
          <t>https://www.carsensor.net/usedcar/detail/AU7431811238/index.html</t>
        </is>
      </c>
    </row>
    <row r="428">
      <c r="A428" s="11" t="n">
        <v>2019</v>
      </c>
      <c r="B428" s="12" t="inlineStr">
        <is>
          <t>2WD</t>
        </is>
      </c>
      <c r="C428" s="12" t="inlineStr">
        <is>
          <t>2.2 XD プロアクティブ</t>
        </is>
      </c>
      <c r="D428" s="13" t="n">
        <v>4.2</v>
      </c>
      <c r="E428" s="14" t="n">
        <v>218.4</v>
      </c>
      <c r="F428" s="14" t="n">
        <v>208</v>
      </c>
      <c r="G428" s="15" t="n">
        <v>7.6</v>
      </c>
      <c r="H428" s="12" t="inlineStr">
        <is>
          <t>なし</t>
        </is>
      </c>
      <c r="I428" s="12" t="inlineStr">
        <is>
          <t>2028(R10)年01月</t>
        </is>
      </c>
      <c r="J428" s="12" t="inlineStr">
        <is>
          <t>保証付</t>
        </is>
      </c>
      <c r="K428" s="16" t="inlineStr">
        <is>
          <t>修復歴なし / 車検 2028/01 まで（残り15ヶ月） / 保証付</t>
        </is>
      </c>
      <c r="L428" s="16" t="inlineStr">
        <is>
          <t>CX-8 2.2 XD プロアクティブ ディーゼルターボ 4WD ワンオーナー メディアプレイヤー フルセグTV ブラインドスポットモニター パノラマミックモニター Bluetooth ドライブレコーダー パワーシートヒーター 19インチ純正アルミ スマートキー バックモニター</t>
        </is>
      </c>
      <c r="M428" s="12" t="inlineStr">
        <is>
          <t>https://www.carsensor.net/usedcar/detail/AU7282803238/index.html</t>
        </is>
      </c>
    </row>
    <row r="429">
      <c r="A429" s="6" t="n">
        <v>2017</v>
      </c>
      <c r="B429" s="7" t="inlineStr">
        <is>
          <t>2WD</t>
        </is>
      </c>
      <c r="C429" s="7" t="inlineStr">
        <is>
          <t>2.2 XD プロアクティブ</t>
        </is>
      </c>
      <c r="D429" s="17" t="n">
        <v>4</v>
      </c>
      <c r="E429" s="9" t="n">
        <v>165.9</v>
      </c>
      <c r="F429" s="9" t="n">
        <v>149</v>
      </c>
      <c r="G429" s="10" t="n">
        <v>8.1</v>
      </c>
      <c r="H429" s="7" t="inlineStr">
        <is>
          <t>なし</t>
        </is>
      </c>
      <c r="I429" s="7" t="inlineStr">
        <is>
          <t>車検整備付</t>
        </is>
      </c>
      <c r="J429" s="7" t="inlineStr">
        <is>
          <t>保証付</t>
        </is>
      </c>
      <c r="K429" s="16" t="inlineStr">
        <is>
          <t>修復歴なし / 車検整備付 / 保証付</t>
        </is>
      </c>
      <c r="L429" s="16" t="inlineStr">
        <is>
          <t>CX-8 2.2 XD プロアクティブ ディーゼルターボ (1)純正ナビ 全方位カメラ フルセグ アダプティブクルーズコントロール ブラインドスポットモニター ヘッドアップディスプレイ シートヒーター ドライブレコーダー前後 LED クリアランスソナー ETC</t>
        </is>
      </c>
      <c r="M429" s="7" t="inlineStr">
        <is>
          <t>https://www.carsensor.net/usedcar/detail/AU7330221050/index.html</t>
        </is>
      </c>
    </row>
    <row r="430">
      <c r="A430" s="11" t="n">
        <v>2017</v>
      </c>
      <c r="B430" s="12" t="inlineStr">
        <is>
          <t>2WD</t>
        </is>
      </c>
      <c r="C430" s="12" t="inlineStr">
        <is>
          <t>2.2 XD プロアクティブ</t>
        </is>
      </c>
      <c r="D430" s="13" t="n">
        <v>4</v>
      </c>
      <c r="E430" s="14" t="n">
        <v>199.8</v>
      </c>
      <c r="F430" s="14" t="n">
        <v>179.8</v>
      </c>
      <c r="G430" s="15" t="n">
        <v>6.4</v>
      </c>
      <c r="H430" s="12" t="inlineStr">
        <is>
          <t>なし</t>
        </is>
      </c>
      <c r="I430" s="12" t="inlineStr">
        <is>
          <t>車検整備付</t>
        </is>
      </c>
      <c r="J430" s="12" t="inlineStr">
        <is>
          <t>保証付</t>
        </is>
      </c>
      <c r="K430" s="16" t="inlineStr">
        <is>
          <t>修復歴なし / 車検整備付 / 保証付</t>
        </is>
      </c>
      <c r="L430" s="16" t="inlineStr">
        <is>
          <t>CX-8 2.2 XD プロアクティブ ディーゼルターボ 禁煙 7人乗り 車検整備付 フリップダウンモニター 全方位カメラ クルコン レーンキープ 電動シート シートヒーター ブラインドスポットモニター 20AW 社外マフラ- ヘッドアップディスプレイ</t>
        </is>
      </c>
      <c r="M430" s="12" t="inlineStr">
        <is>
          <t>https://www.carsensor.net/usedcar/detail/AU7062188700/index.html</t>
        </is>
      </c>
    </row>
    <row r="431">
      <c r="A431" s="6" t="n">
        <v>2017</v>
      </c>
      <c r="B431" s="7" t="inlineStr">
        <is>
          <t>2WD</t>
        </is>
      </c>
      <c r="C431" s="7" t="inlineStr">
        <is>
          <t>2.2 XD プロアクティブ</t>
        </is>
      </c>
      <c r="D431" s="17" t="n">
        <v>4</v>
      </c>
      <c r="E431" s="9" t="n">
        <v>214.7</v>
      </c>
      <c r="F431" s="9" t="n">
        <v>198</v>
      </c>
      <c r="G431" s="10" t="n">
        <v>6.7</v>
      </c>
      <c r="H431" s="7" t="inlineStr">
        <is>
          <t>なし</t>
        </is>
      </c>
      <c r="I431" s="7" t="inlineStr">
        <is>
          <t>車検整備付</t>
        </is>
      </c>
      <c r="J431" s="7" t="inlineStr">
        <is>
          <t>保証付</t>
        </is>
      </c>
      <c r="K431" s="16" t="inlineStr">
        <is>
          <t>修復歴なし / 車検整備付 / 保証付</t>
        </is>
      </c>
      <c r="L431" s="16" t="inlineStr">
        <is>
          <t>CX-8 2.2 XD プロアクティブ ディーゼルターボ</t>
        </is>
      </c>
      <c r="M431" s="7" t="inlineStr">
        <is>
          <t>https://www.carsensor.net/usedcar/detail/AU7348815983/index.html</t>
        </is>
      </c>
    </row>
    <row r="432">
      <c r="A432" s="11" t="n">
        <v>2017</v>
      </c>
      <c r="B432" s="12" t="inlineStr">
        <is>
          <t>2WD</t>
        </is>
      </c>
      <c r="C432" s="12" t="inlineStr">
        <is>
          <t>2.2 XD プロアクティブ</t>
        </is>
      </c>
      <c r="D432" s="13" t="n">
        <v>4</v>
      </c>
      <c r="E432" s="14" t="n">
        <v>179</v>
      </c>
      <c r="F432" s="14" t="n">
        <v>169</v>
      </c>
      <c r="G432" s="15" t="n">
        <v>9.699999999999999</v>
      </c>
      <c r="H432" s="12" t="inlineStr">
        <is>
          <t>なし</t>
        </is>
      </c>
      <c r="I432" s="12" t="inlineStr">
        <is>
          <t>車検整備付</t>
        </is>
      </c>
      <c r="J432" s="12" t="inlineStr">
        <is>
          <t>保証付</t>
        </is>
      </c>
      <c r="K432" s="16" t="inlineStr">
        <is>
          <t>修復歴なし / 車検整備付 / 保証付</t>
        </is>
      </c>
      <c r="L432" s="16" t="inlineStr">
        <is>
          <t>CX-8 2.2 XD プロアクティブ ディーゼルターボ 4WD</t>
        </is>
      </c>
      <c r="M432" s="12" t="inlineStr">
        <is>
          <t>https://www.carsensor.net/usedcar/detail/AU7407206827/index.html</t>
        </is>
      </c>
    </row>
    <row r="433">
      <c r="A433" s="6" t="n">
        <v>2018</v>
      </c>
      <c r="B433" s="7" t="inlineStr">
        <is>
          <t>2WD</t>
        </is>
      </c>
      <c r="C433" s="7" t="inlineStr">
        <is>
          <t>2.2 XD プロアクティブ</t>
        </is>
      </c>
      <c r="D433" s="17" t="n">
        <v>4</v>
      </c>
      <c r="E433" s="9" t="n">
        <v>179.8</v>
      </c>
      <c r="F433" s="9" t="n">
        <v>173</v>
      </c>
      <c r="G433" s="10" t="n">
        <v>7.2</v>
      </c>
      <c r="H433" s="7" t="inlineStr">
        <is>
          <t>なし</t>
        </is>
      </c>
      <c r="I433" s="7" t="inlineStr">
        <is>
          <t>車検整備付</t>
        </is>
      </c>
      <c r="J433" s="7" t="inlineStr">
        <is>
          <t>保証付</t>
        </is>
      </c>
      <c r="K433" s="16" t="inlineStr">
        <is>
          <t>修復歴なし / 車検整備付 / 保証付</t>
        </is>
      </c>
      <c r="L433" s="16" t="inlineStr">
        <is>
          <t>CX-8 2.2 XD プロアクティブ ディーゼルターボ 純正ナビTV 360カメラ ヘッドアップディスプレイ パワーシート/ヒーター ハンドルヒーター レーダークルコン 衝突軽減ブレーキ レーンアシスト BSM オートライト LEDヘッドライト スマートキー プッシュスタート</t>
        </is>
      </c>
      <c r="M433" s="7" t="inlineStr">
        <is>
          <t>https://www.carsensor.net/usedcar/detail/AU7278663736/index.html</t>
        </is>
      </c>
    </row>
    <row r="434">
      <c r="A434" s="11" t="n">
        <v>2018</v>
      </c>
      <c r="B434" s="12" t="inlineStr">
        <is>
          <t>2WD</t>
        </is>
      </c>
      <c r="C434" s="12" t="inlineStr">
        <is>
          <t>2.2 XD プロアクティブ</t>
        </is>
      </c>
      <c r="D434" s="13" t="n">
        <v>4</v>
      </c>
      <c r="E434" s="14" t="n">
        <v>180.1</v>
      </c>
      <c r="F434" s="14" t="n">
        <v>166.1</v>
      </c>
      <c r="G434" s="15" t="n">
        <v>8.800000000000001</v>
      </c>
      <c r="H434" s="12" t="inlineStr">
        <is>
          <t>なし</t>
        </is>
      </c>
      <c r="I434" s="12" t="inlineStr">
        <is>
          <t>車検整備付</t>
        </is>
      </c>
      <c r="J434" s="12" t="inlineStr">
        <is>
          <t>保証付</t>
        </is>
      </c>
      <c r="K434" s="16" t="inlineStr">
        <is>
          <t>修復歴なし / 車検整備付 / 保証付</t>
        </is>
      </c>
      <c r="L434" s="16" t="inlineStr">
        <is>
          <t>CX-8 2.2 XD プロアクティブ ディーゼルターボ 自社下取 さわやか保証1年走行無制限 魂動デザイン 人馬一体 オルガンペダル 衝突被害軽減ブレーキ 全周囲カメラ</t>
        </is>
      </c>
      <c r="M434" s="12" t="inlineStr">
        <is>
          <t>https://www.carsensor.net/usedcar/detail/AU7387541240/index.html</t>
        </is>
      </c>
    </row>
    <row r="435">
      <c r="A435" s="6" t="n">
        <v>2018</v>
      </c>
      <c r="B435" s="7" t="inlineStr">
        <is>
          <t>2WD</t>
        </is>
      </c>
      <c r="C435" s="7" t="inlineStr">
        <is>
          <t>2.2 XD プロアクティブ</t>
        </is>
      </c>
      <c r="D435" s="17" t="n">
        <v>4</v>
      </c>
      <c r="E435" s="9" t="n">
        <v>209.9</v>
      </c>
      <c r="F435" s="9" t="n">
        <v>194</v>
      </c>
      <c r="G435" s="10" t="n">
        <v>5.6</v>
      </c>
      <c r="H435" s="7" t="inlineStr">
        <is>
          <t>なし</t>
        </is>
      </c>
      <c r="I435" s="7" t="inlineStr">
        <is>
          <t>車検整備付</t>
        </is>
      </c>
      <c r="J435" s="7" t="inlineStr">
        <is>
          <t>保証付</t>
        </is>
      </c>
      <c r="K435" s="16" t="inlineStr">
        <is>
          <t>修復歴なし / 車検整備付 / 保証付</t>
        </is>
      </c>
      <c r="L435" s="16" t="inlineStr">
        <is>
          <t>CX-8 2.2 XD プロアクティブ ディーゼルターボ ディーゼル(軽油) 7人乗り 純正SDナビ 全周囲カメラ 衝突被害軽減システム レーダークルーズ 禁煙車 コーナーセンサー スマートキー LEDヘッド ETC</t>
        </is>
      </c>
      <c r="M435" s="7" t="inlineStr">
        <is>
          <t>https://www.carsensor.net/usedcar/detail/AU7411123277/index.html</t>
        </is>
      </c>
    </row>
    <row r="436">
      <c r="A436" s="11" t="n">
        <v>2018</v>
      </c>
      <c r="B436" s="12" t="inlineStr">
        <is>
          <t>2WD</t>
        </is>
      </c>
      <c r="C436" s="12" t="inlineStr">
        <is>
          <t>2.2 XD プロアクティブ</t>
        </is>
      </c>
      <c r="D436" s="13" t="n">
        <v>4</v>
      </c>
      <c r="E436" s="14" t="n">
        <v>208.8</v>
      </c>
      <c r="F436" s="14" t="n">
        <v>198.8</v>
      </c>
      <c r="G436" s="15" t="n">
        <v>6.5</v>
      </c>
      <c r="H436" s="12" t="inlineStr">
        <is>
          <t>なし</t>
        </is>
      </c>
      <c r="I436" s="12" t="inlineStr">
        <is>
          <t>車検整備付</t>
        </is>
      </c>
      <c r="J436" s="12" t="inlineStr">
        <is>
          <t>保証付</t>
        </is>
      </c>
      <c r="K436" s="16" t="inlineStr">
        <is>
          <t>修復歴なし / 車検整備付 / 保証付</t>
        </is>
      </c>
      <c r="L436" s="16" t="inlineStr">
        <is>
          <t>CX-8 2.2 XD プロアクティブ ディーゼルターボ 禁煙車 後席モニター 全方位カメラ 純正ナビ 衝突軽減B ACC BSM HUD メモリ付パワーシート シートヒーター LEDオートライト ETC 純正19インチAW</t>
        </is>
      </c>
      <c r="M436" s="12" t="inlineStr">
        <is>
          <t>https://www.carsensor.net/usedcar/detail/AU7326029795/index.html</t>
        </is>
      </c>
    </row>
    <row r="437">
      <c r="A437" s="6" t="n">
        <v>2018</v>
      </c>
      <c r="B437" s="7" t="inlineStr">
        <is>
          <t>2WD</t>
        </is>
      </c>
      <c r="C437" s="7" t="inlineStr">
        <is>
          <t>2.2 XD プロアクティブ</t>
        </is>
      </c>
      <c r="D437" s="17" t="n">
        <v>4</v>
      </c>
      <c r="E437" s="9" t="n">
        <v>219.9</v>
      </c>
      <c r="F437" s="9" t="n">
        <v>204</v>
      </c>
      <c r="G437" s="10" t="n">
        <v>5.6</v>
      </c>
      <c r="H437" s="7" t="inlineStr">
        <is>
          <t>なし</t>
        </is>
      </c>
      <c r="I437" s="7" t="inlineStr">
        <is>
          <t>車検整備付</t>
        </is>
      </c>
      <c r="J437" s="7" t="inlineStr">
        <is>
          <t>保証付</t>
        </is>
      </c>
      <c r="K437" s="16" t="inlineStr">
        <is>
          <t>修復歴なし / 車検整備付 / 保証付</t>
        </is>
      </c>
      <c r="L437" s="16" t="inlineStr">
        <is>
          <t>CX-8 2.2 XD プロアクティブ ディーゼルターボ フリップダウン 純正ナビ 全周囲カメラ 衝突軽減 レーダークルーズ シートヒーター 7人乗り 電動リアゲート 純正19AW LEDヘッド パワーシート</t>
        </is>
      </c>
      <c r="M437" s="7" t="inlineStr">
        <is>
          <t>https://www.carsensor.net/usedcar/detail/AU7242440355/index.html</t>
        </is>
      </c>
    </row>
    <row r="438">
      <c r="A438" s="11" t="n">
        <v>2018</v>
      </c>
      <c r="B438" s="12" t="inlineStr">
        <is>
          <t>2WD</t>
        </is>
      </c>
      <c r="C438" s="12" t="inlineStr">
        <is>
          <t>2.2 XD プロアクティブ</t>
        </is>
      </c>
      <c r="D438" s="13" t="n">
        <v>4</v>
      </c>
      <c r="E438" s="14" t="n">
        <v>176.8</v>
      </c>
      <c r="F438" s="14" t="n">
        <v>166.8</v>
      </c>
      <c r="G438" s="15" t="n">
        <v>8.6</v>
      </c>
      <c r="H438" s="12" t="inlineStr">
        <is>
          <t>なし</t>
        </is>
      </c>
      <c r="I438" s="12" t="inlineStr">
        <is>
          <t>車検整備付</t>
        </is>
      </c>
      <c r="J438" s="12" t="inlineStr">
        <is>
          <t>保証付</t>
        </is>
      </c>
      <c r="K438" s="16" t="inlineStr">
        <is>
          <t>修復歴なし / 車検整備付 / 保証付</t>
        </is>
      </c>
      <c r="L438" s="16" t="inlineStr">
        <is>
          <t>CX-8 2.2 XD プロアクティブ ディーゼルターボ 純正ナビ(フルセグ/BT/CD/DVD)/BOSE/ALPINEフリップダウンモニター/レーダークルーズコントロール/全方位カメラ/衝突軽減/コーナーセンサー/メモリ付きパワーシート/ドラレコ/ETC</t>
        </is>
      </c>
      <c r="M438" s="12" t="inlineStr">
        <is>
          <t>https://www.carsensor.net/usedcar/detail/AU7323807555/index.html</t>
        </is>
      </c>
    </row>
    <row r="439">
      <c r="A439" s="6" t="n">
        <v>2018</v>
      </c>
      <c r="B439" s="7" t="inlineStr">
        <is>
          <t>2WD</t>
        </is>
      </c>
      <c r="C439" s="7" t="inlineStr">
        <is>
          <t>2.2 XD プロアクティブ</t>
        </is>
      </c>
      <c r="D439" s="17" t="n">
        <v>4</v>
      </c>
      <c r="E439" s="9" t="n">
        <v>211.4</v>
      </c>
      <c r="F439" s="9" t="n">
        <v>200</v>
      </c>
      <c r="G439" s="10" t="n">
        <v>5.9</v>
      </c>
      <c r="H439" s="7" t="inlineStr">
        <is>
          <t>なし</t>
        </is>
      </c>
      <c r="I439" s="7" t="inlineStr">
        <is>
          <t>車検整備付</t>
        </is>
      </c>
      <c r="J439" s="7" t="inlineStr">
        <is>
          <t>保証付</t>
        </is>
      </c>
      <c r="K439" s="16" t="inlineStr">
        <is>
          <t>修復歴なし / 車検整備付 / 保証付</t>
        </is>
      </c>
      <c r="L439" s="16" t="inlineStr">
        <is>
          <t>CX-8 2.2 XD プロアクティブ ディーゼルターボ マツダコネクトナビ 全周囲カメラ 衝突軽減装置 BOSEサウンド 前席シートヒーター HUD ドラレコ ETC リアオートエアコン LEDヘッド 電動パーキングブレーキ 禁煙車</t>
        </is>
      </c>
      <c r="M439" s="7" t="inlineStr">
        <is>
          <t>https://www.carsensor.net/usedcar/detail/AU7386615033/index.html</t>
        </is>
      </c>
    </row>
    <row r="440">
      <c r="A440" s="11" t="n">
        <v>2018</v>
      </c>
      <c r="B440" s="12" t="inlineStr">
        <is>
          <t>2WD</t>
        </is>
      </c>
      <c r="C440" s="12" t="inlineStr">
        <is>
          <t>2.2 XD プロアクティブ</t>
        </is>
      </c>
      <c r="D440" s="13" t="n">
        <v>4</v>
      </c>
      <c r="E440" s="14" t="n">
        <v>259.9</v>
      </c>
      <c r="F440" s="14" t="n">
        <v>242.7</v>
      </c>
      <c r="G440" s="15" t="n">
        <v>5.5</v>
      </c>
      <c r="H440" s="12" t="inlineStr">
        <is>
          <t>なし</t>
        </is>
      </c>
      <c r="I440" s="12" t="inlineStr">
        <is>
          <t>車検整備付</t>
        </is>
      </c>
      <c r="J440" s="12" t="inlineStr">
        <is>
          <t>保証付</t>
        </is>
      </c>
      <c r="K440" s="16" t="inlineStr">
        <is>
          <t>修復歴なし / 車検整備付 / 保証付</t>
        </is>
      </c>
      <c r="L440" s="16" t="inlineStr">
        <is>
          <t>CX-8 2.2 XD プロアクティブ ディーゼルターボ 禁煙車 純正ナビ 衝突被害軽減 全周囲カメラ レーダークルーズコントロール ETC シートヒーター ドラレコ LEDヘッド パワーシート ステアリングヒーター クリアランスソナー オートエアコン</t>
        </is>
      </c>
      <c r="M440" s="12" t="inlineStr">
        <is>
          <t>https://www.carsensor.net/usedcar/detail/AU7243127262/index.html</t>
        </is>
      </c>
    </row>
    <row r="441">
      <c r="A441" s="6" t="n">
        <v>2018</v>
      </c>
      <c r="B441" s="7" t="inlineStr">
        <is>
          <t>2WD</t>
        </is>
      </c>
      <c r="C441" s="7" t="inlineStr">
        <is>
          <t>2.2 XD プロアクティブ</t>
        </is>
      </c>
      <c r="D441" s="17" t="n">
        <v>4</v>
      </c>
      <c r="E441" s="9" t="n">
        <v>199.9</v>
      </c>
      <c r="F441" s="9" t="n">
        <v>182.7</v>
      </c>
      <c r="G441" s="10" t="n">
        <v>9.800000000000001</v>
      </c>
      <c r="H441" s="7" t="inlineStr">
        <is>
          <t>なし</t>
        </is>
      </c>
      <c r="I441" s="7" t="inlineStr">
        <is>
          <t>車検整備付</t>
        </is>
      </c>
      <c r="J441" s="7" t="inlineStr">
        <is>
          <t>保証付</t>
        </is>
      </c>
      <c r="K441" s="16" t="inlineStr">
        <is>
          <t>修復歴なし / 車検整備付 / 保証付</t>
        </is>
      </c>
      <c r="L441" s="16" t="inlineStr">
        <is>
          <t>CX-8 2.2 XD プロアクティブ ディーゼルターボ 禁煙車 ディーゼル(軽油) 純正ナビ 全周囲カメラ 衝突被害軽減システム 電動リアゲート パワーシート コーナーセンサー スマートキー LEDヘッド ETC オートハイビーム</t>
        </is>
      </c>
      <c r="M441" s="7" t="inlineStr">
        <is>
          <t>https://www.carsensor.net/usedcar/detail/AU7404215911/index.html</t>
        </is>
      </c>
    </row>
    <row r="442">
      <c r="A442" s="11" t="n">
        <v>2018</v>
      </c>
      <c r="B442" s="12" t="inlineStr">
        <is>
          <t>2WD</t>
        </is>
      </c>
      <c r="C442" s="12" t="inlineStr">
        <is>
          <t>2.2 XD プロアクティブ</t>
        </is>
      </c>
      <c r="D442" s="13" t="n">
        <v>4</v>
      </c>
      <c r="E442" s="14" t="n">
        <v>187</v>
      </c>
      <c r="F442" s="14" t="n">
        <v>172.2</v>
      </c>
      <c r="G442" s="15" t="n">
        <v>6.4</v>
      </c>
      <c r="H442" s="12" t="inlineStr">
        <is>
          <t>なし</t>
        </is>
      </c>
      <c r="I442" s="12" t="inlineStr">
        <is>
          <t>車検整備付</t>
        </is>
      </c>
      <c r="J442" s="12" t="inlineStr">
        <is>
          <t>保証付</t>
        </is>
      </c>
      <c r="K442" s="16" t="inlineStr">
        <is>
          <t>修復歴なし / 車検整備付 / 保証付</t>
        </is>
      </c>
      <c r="L442" s="16" t="inlineStr">
        <is>
          <t>CX-8 2.2 XD プロアクティブ ディーゼルターボ マツダコネクトナビ ETC2.0 360°ビュー</t>
        </is>
      </c>
      <c r="M442" s="12" t="inlineStr">
        <is>
          <t>https://www.carsensor.net/usedcar/detail/AU7200267964/index.html</t>
        </is>
      </c>
    </row>
    <row r="443">
      <c r="A443" s="6" t="n">
        <v>2019</v>
      </c>
      <c r="B443" s="7" t="inlineStr">
        <is>
          <t>2WD</t>
        </is>
      </c>
      <c r="C443" s="7" t="inlineStr">
        <is>
          <t>2.2 XD プロアクティブ</t>
        </is>
      </c>
      <c r="D443" s="17" t="n">
        <v>4</v>
      </c>
      <c r="E443" s="9" t="n">
        <v>207.8</v>
      </c>
      <c r="F443" s="9" t="n">
        <v>201</v>
      </c>
      <c r="G443" s="10" t="n">
        <v>7</v>
      </c>
      <c r="H443" s="7" t="inlineStr">
        <is>
          <t>なし</t>
        </is>
      </c>
      <c r="I443" s="7" t="inlineStr">
        <is>
          <t>車検整備付</t>
        </is>
      </c>
      <c r="J443" s="7" t="inlineStr">
        <is>
          <t>保証付</t>
        </is>
      </c>
      <c r="K443" s="16" t="inlineStr">
        <is>
          <t>修復歴なし / 車検整備付 / 保証付</t>
        </is>
      </c>
      <c r="L443" s="16" t="inlineStr">
        <is>
          <t>CX-8 2.2 XD プロアクティブ ディーゼルターボ 衝突軽減システム シートヒーター ステアリングヒーター パワーシート 全方位カメラ ドラレコ ETC ステアリングリモコン プッシュスタート オートパーキングサポート 電動格納ミラー WAC</t>
        </is>
      </c>
      <c r="M443" s="7" t="inlineStr">
        <is>
          <t>https://www.carsensor.net/usedcar/detail/AU7240252947/index.html</t>
        </is>
      </c>
    </row>
    <row r="444">
      <c r="A444" s="11" t="n">
        <v>2019</v>
      </c>
      <c r="B444" s="12" t="inlineStr">
        <is>
          <t>2WD</t>
        </is>
      </c>
      <c r="C444" s="12" t="inlineStr">
        <is>
          <t>2.2 XD プロアクティブ</t>
        </is>
      </c>
      <c r="D444" s="13" t="n">
        <v>4</v>
      </c>
      <c r="E444" s="14" t="n">
        <v>223.9</v>
      </c>
      <c r="F444" s="14" t="n">
        <v>217</v>
      </c>
      <c r="G444" s="15" t="n">
        <v>4.9</v>
      </c>
      <c r="H444" s="12" t="inlineStr">
        <is>
          <t>なし</t>
        </is>
      </c>
      <c r="I444" s="12" t="inlineStr">
        <is>
          <t>車検整備付</t>
        </is>
      </c>
      <c r="J444" s="12" t="inlineStr">
        <is>
          <t>保証付</t>
        </is>
      </c>
      <c r="K444" s="16" t="inlineStr">
        <is>
          <t>修復歴なし / 車検整備付 / 保証付</t>
        </is>
      </c>
      <c r="L444" s="16" t="inlineStr">
        <is>
          <t>CX-8 2.2 XD プロアクティブ ディーゼルターボ 純正ナビ/シートヒーター/全方位カメラ/ETC/ステアリングヒーター/衝突軽減ブレーキ/レーダークルーズコントロール/ブラインドスポットモニタリング/パワーシート/フルセグTV/スマートキー/USB/プッシュスタート</t>
        </is>
      </c>
      <c r="M444" s="12" t="inlineStr">
        <is>
          <t>https://www.carsensor.net/usedcar/detail/AU7356176263/index.html</t>
        </is>
      </c>
    </row>
    <row r="445">
      <c r="A445" s="6" t="n">
        <v>2019</v>
      </c>
      <c r="B445" s="7" t="inlineStr">
        <is>
          <t>2WD</t>
        </is>
      </c>
      <c r="C445" s="7" t="inlineStr">
        <is>
          <t>2.2 XD プロアクティブ</t>
        </is>
      </c>
      <c r="D445" s="17" t="n">
        <v>4</v>
      </c>
      <c r="E445" s="9" t="n">
        <v>218.9</v>
      </c>
      <c r="F445" s="9" t="n">
        <v>212.1</v>
      </c>
      <c r="G445" s="10" t="n">
        <v>5.6</v>
      </c>
      <c r="H445" s="7" t="inlineStr">
        <is>
          <t>なし</t>
        </is>
      </c>
      <c r="I445" s="7" t="inlineStr">
        <is>
          <t>車検整備付</t>
        </is>
      </c>
      <c r="J445" s="7" t="inlineStr">
        <is>
          <t>保証付</t>
        </is>
      </c>
      <c r="K445" s="16" t="inlineStr">
        <is>
          <t>修復歴なし / 車検整備付 / 保証付</t>
        </is>
      </c>
      <c r="L445" s="16" t="inlineStr">
        <is>
          <t>CX-8 2.2 XD プロアクティブ ディーゼルターボ 禁煙 純正ナビ 全方位カメラ BSM HUD フルセグTV DVD再生 ETC シートヒーター 電動リアゲート 衝突軽減 追従クルコン LEDオートライト コーナーセンサー リアシェード フロアマット</t>
        </is>
      </c>
      <c r="M445" s="7" t="inlineStr">
        <is>
          <t>https://www.carsensor.net/usedcar/detail/AU7349798043/index.html</t>
        </is>
      </c>
    </row>
    <row r="446">
      <c r="A446" s="11" t="n">
        <v>2019</v>
      </c>
      <c r="B446" s="12" t="inlineStr">
        <is>
          <t>2WD</t>
        </is>
      </c>
      <c r="C446" s="12" t="inlineStr">
        <is>
          <t>2.2 XD プロアクティブ</t>
        </is>
      </c>
      <c r="D446" s="13" t="n">
        <v>4</v>
      </c>
      <c r="E446" s="14" t="n">
        <v>212.8</v>
      </c>
      <c r="F446" s="14" t="n">
        <v>206</v>
      </c>
      <c r="G446" s="15" t="n">
        <v>7.8</v>
      </c>
      <c r="H446" s="12" t="inlineStr">
        <is>
          <t>なし</t>
        </is>
      </c>
      <c r="I446" s="12" t="inlineStr">
        <is>
          <t>車検整備付</t>
        </is>
      </c>
      <c r="J446" s="12" t="inlineStr">
        <is>
          <t>保証付</t>
        </is>
      </c>
      <c r="K446" s="16" t="inlineStr">
        <is>
          <t>修復歴なし / 車検整備付 / 保証付</t>
        </is>
      </c>
      <c r="L446" s="16" t="inlineStr">
        <is>
          <t>CX-8 2.2 XD プロアクティブ ディーゼルターボ 純正ナビ7インチ クルーズコントロール ETC 3列シート 7人乗り クルーズコントロール パワーシート シートヒーター LEDランプ 全方位カメラ 横滑り防止システム レーンキープアシストスマートキ</t>
        </is>
      </c>
      <c r="M446" s="12" t="inlineStr">
        <is>
          <t>https://www.carsensor.net/usedcar/detail/AU7248447649/index.html</t>
        </is>
      </c>
    </row>
    <row r="447">
      <c r="A447" s="6" t="n">
        <v>2019</v>
      </c>
      <c r="B447" s="7" t="inlineStr">
        <is>
          <t>2WD</t>
        </is>
      </c>
      <c r="C447" s="7" t="inlineStr">
        <is>
          <t>2.2 XD プロアクティブ</t>
        </is>
      </c>
      <c r="D447" s="17" t="n">
        <v>4</v>
      </c>
      <c r="E447" s="9" t="n">
        <v>236.9</v>
      </c>
      <c r="F447" s="9" t="n">
        <v>230.1</v>
      </c>
      <c r="G447" s="10" t="n">
        <v>5.6</v>
      </c>
      <c r="H447" s="7" t="inlineStr">
        <is>
          <t>なし</t>
        </is>
      </c>
      <c r="I447" s="7" t="inlineStr">
        <is>
          <t>車検整備付</t>
        </is>
      </c>
      <c r="J447" s="7" t="inlineStr">
        <is>
          <t>保証付</t>
        </is>
      </c>
      <c r="K447" s="16" t="inlineStr">
        <is>
          <t>修復歴なし / 車検整備付 / 保証付</t>
        </is>
      </c>
      <c r="L447" s="16" t="inlineStr">
        <is>
          <t>CX-8 2.2 XD プロアクティブ ディーゼルターボ 禁煙車/純正ナビ/アルパイン後席モニター/シートヒーター/パワーシート/ステアリングヒーター/ETC/LEDヘッドライト/ブラインドスポットモニター/ヘッドアップディスプレイ/シートメモリー/プッシュスタート</t>
        </is>
      </c>
      <c r="M447" s="7" t="inlineStr">
        <is>
          <t>https://www.carsensor.net/usedcar/detail/AU7436823220/index.html</t>
        </is>
      </c>
    </row>
    <row r="448">
      <c r="A448" s="11" t="n">
        <v>2019</v>
      </c>
      <c r="B448" s="12" t="inlineStr">
        <is>
          <t>2WD</t>
        </is>
      </c>
      <c r="C448" s="12" t="inlineStr">
        <is>
          <t>2.2 XD プロアクティブ</t>
        </is>
      </c>
      <c r="D448" s="13" t="n">
        <v>4</v>
      </c>
      <c r="E448" s="14" t="n">
        <v>209.8</v>
      </c>
      <c r="F448" s="14" t="n">
        <v>203.1</v>
      </c>
      <c r="G448" s="15" t="n">
        <v>7.5</v>
      </c>
      <c r="H448" s="12" t="inlineStr">
        <is>
          <t>なし</t>
        </is>
      </c>
      <c r="I448" s="12" t="inlineStr">
        <is>
          <t>車検整備付</t>
        </is>
      </c>
      <c r="J448" s="12" t="inlineStr">
        <is>
          <t>保証付</t>
        </is>
      </c>
      <c r="K448" s="16" t="inlineStr">
        <is>
          <t>修復歴なし / 車検整備付 / 保証付</t>
        </is>
      </c>
      <c r="L448" s="16" t="inlineStr">
        <is>
          <t>CX-8 2.2 XD プロアクティブ ディーゼルターボ 禁煙 ルーフレール パワーバックドア BOSEサウンド マツダコネクト7インチナビ 360度ビューモニター AppleCarplay レーダークルーズコントロール BSM HUD アダプティブLED スマートキー プッシュスタート</t>
        </is>
      </c>
      <c r="M448" s="12" t="inlineStr">
        <is>
          <t>https://www.carsensor.net/usedcar/detail/AU7355462758/index.html</t>
        </is>
      </c>
    </row>
    <row r="449">
      <c r="A449" s="6" t="n">
        <v>2020</v>
      </c>
      <c r="B449" s="7" t="inlineStr">
        <is>
          <t>2WD</t>
        </is>
      </c>
      <c r="C449" s="7" t="inlineStr">
        <is>
          <t>2.2 XD プロアクティブ</t>
        </is>
      </c>
      <c r="D449" s="17" t="n">
        <v>4</v>
      </c>
      <c r="E449" s="9" t="n">
        <v>239.7</v>
      </c>
      <c r="F449" s="9" t="n">
        <v>232.9</v>
      </c>
      <c r="G449" s="10" t="n">
        <v>4.8</v>
      </c>
      <c r="H449" s="7" t="inlineStr">
        <is>
          <t>なし</t>
        </is>
      </c>
      <c r="I449" s="7" t="inlineStr">
        <is>
          <t>車検整備付</t>
        </is>
      </c>
      <c r="J449" s="7" t="inlineStr">
        <is>
          <t>保証付</t>
        </is>
      </c>
      <c r="K449" s="16" t="inlineStr">
        <is>
          <t>修復歴なし / 車検整備付 / 保証付</t>
        </is>
      </c>
      <c r="L449" s="16" t="inlineStr">
        <is>
          <t>CX-8 2.2 XD プロアクティブ Sパッケージ ディーゼルターボ 4WD 純正ナビ/BOSEサウンド/シートヒーター/ETC/ヘッドアップディスプレイ/ブラインドスポットモニター/レザーシート/シートベンチレーション/衝突軽減ブレーキ/パワーバックドア/レーンキープアシスト</t>
        </is>
      </c>
      <c r="M449" s="7" t="inlineStr">
        <is>
          <t>https://www.carsensor.net/usedcar/detail/AU7300217703/index.html</t>
        </is>
      </c>
    </row>
    <row r="450">
      <c r="A450" s="11" t="n">
        <v>2020</v>
      </c>
      <c r="B450" s="12" t="inlineStr">
        <is>
          <t>2WD</t>
        </is>
      </c>
      <c r="C450" s="12" t="inlineStr">
        <is>
          <t>2.2 XD プロアクティブ</t>
        </is>
      </c>
      <c r="D450" s="13" t="n">
        <v>4</v>
      </c>
      <c r="E450" s="14" t="n">
        <v>249.9</v>
      </c>
      <c r="F450" s="14" t="n">
        <v>232.7</v>
      </c>
      <c r="G450" s="15" t="n">
        <v>6.5</v>
      </c>
      <c r="H450" s="12" t="inlineStr">
        <is>
          <t>なし</t>
        </is>
      </c>
      <c r="I450" s="12" t="inlineStr">
        <is>
          <t>車検整備付</t>
        </is>
      </c>
      <c r="J450" s="12" t="inlineStr">
        <is>
          <t>保証付</t>
        </is>
      </c>
      <c r="K450" s="16" t="inlineStr">
        <is>
          <t>修復歴なし / 車検整備付 / 保証付</t>
        </is>
      </c>
      <c r="L450" s="16" t="inlineStr">
        <is>
          <t>CX-8 2.2 XD プロアクティブ Sパッケージ ディーゼルターボ 禁煙車 6人乗 8型コネクトナビTV BOSEサウンド フリップダウンモニター 360°ビューモニタ 黒革 電動バックドア アダプティブLEDヘッド シートベンチレーション シートヒーター DVD再生</t>
        </is>
      </c>
      <c r="M450" s="12" t="inlineStr">
        <is>
          <t>https://www.carsensor.net/usedcar/detail/AU7340318081/index.html</t>
        </is>
      </c>
    </row>
    <row r="451">
      <c r="A451" s="6" t="n">
        <v>2020</v>
      </c>
      <c r="B451" s="7" t="inlineStr">
        <is>
          <t>2WD</t>
        </is>
      </c>
      <c r="C451" s="7" t="inlineStr">
        <is>
          <t>2.2 XD プロアクティブ</t>
        </is>
      </c>
      <c r="D451" s="17" t="n">
        <v>4</v>
      </c>
      <c r="E451" s="9" t="n">
        <v>240.8</v>
      </c>
      <c r="F451" s="9" t="n">
        <v>233.8</v>
      </c>
      <c r="G451" s="10" t="n">
        <v>4.4</v>
      </c>
      <c r="H451" s="7" t="inlineStr">
        <is>
          <t>なし</t>
        </is>
      </c>
      <c r="I451" s="7" t="inlineStr">
        <is>
          <t>車検整備付</t>
        </is>
      </c>
      <c r="J451" s="7" t="inlineStr">
        <is>
          <t>保証付</t>
        </is>
      </c>
      <c r="K451" s="16" t="inlineStr">
        <is>
          <t>修復歴なし / 車検整備付 / 保証付</t>
        </is>
      </c>
      <c r="L451" s="16" t="inlineStr">
        <is>
          <t>CX-8 2.2 XD プロアクティブ Sパッケージ ディーゼルターボ 純正ナビ・360°ビューモニター・スマートシティーブレーキサポート・パワーバックドア・ヘッドアップディスプレイ・ステアリングヒーター・黒革シート・前席パワーシート・全席シートヒーター・ETC・LED</t>
        </is>
      </c>
      <c r="M451" s="7" t="inlineStr">
        <is>
          <t>https://www.carsensor.net/usedcar/detail/AU7446358541/index.html</t>
        </is>
      </c>
    </row>
    <row r="452">
      <c r="A452" s="11" t="n">
        <v>2021</v>
      </c>
      <c r="B452" s="12" t="inlineStr">
        <is>
          <t>2WD</t>
        </is>
      </c>
      <c r="C452" s="12" t="inlineStr">
        <is>
          <t>2.2 XD プロアクティブ</t>
        </is>
      </c>
      <c r="D452" s="13" t="n">
        <v>4</v>
      </c>
      <c r="E452" s="14" t="n">
        <v>299.8</v>
      </c>
      <c r="F452" s="14" t="n">
        <v>282.7</v>
      </c>
      <c r="G452" s="15" t="n">
        <v>4.1</v>
      </c>
      <c r="H452" s="12" t="inlineStr">
        <is>
          <t>なし</t>
        </is>
      </c>
      <c r="I452" s="12" t="inlineStr">
        <is>
          <t>車検整備付</t>
        </is>
      </c>
      <c r="J452" s="12" t="inlineStr">
        <is>
          <t>保証付</t>
        </is>
      </c>
      <c r="K452" s="16" t="inlineStr">
        <is>
          <t>修復歴なし / 車検整備付 / 保証付</t>
        </is>
      </c>
      <c r="L452" s="16" t="inlineStr">
        <is>
          <t>CX-8 2.2 XD プロアクティブ ディーゼルターボ 360°ビューモニター・CD/DVDプレーヤー</t>
        </is>
      </c>
      <c r="M452" s="12" t="inlineStr">
        <is>
          <t>https://www.carsensor.net/usedcar/detail/AU5430347816/index.html</t>
        </is>
      </c>
    </row>
    <row r="453">
      <c r="A453" s="6" t="n">
        <v>2022</v>
      </c>
      <c r="B453" s="7" t="inlineStr">
        <is>
          <t>2WD</t>
        </is>
      </c>
      <c r="C453" s="7" t="inlineStr">
        <is>
          <t>2.2 XD プロアクティブ</t>
        </is>
      </c>
      <c r="D453" s="17" t="n">
        <v>4</v>
      </c>
      <c r="E453" s="9" t="n">
        <v>285.6</v>
      </c>
      <c r="F453" s="9" t="n">
        <v>270.7</v>
      </c>
      <c r="G453" s="10" t="n">
        <v>3.7</v>
      </c>
      <c r="H453" s="7" t="inlineStr">
        <is>
          <t>なし</t>
        </is>
      </c>
      <c r="I453" s="7" t="inlineStr">
        <is>
          <t>車検整備付</t>
        </is>
      </c>
      <c r="J453" s="7" t="inlineStr">
        <is>
          <t>保証付</t>
        </is>
      </c>
      <c r="K453" s="16" t="inlineStr">
        <is>
          <t>修復歴なし / 車検整備付 / 保証付</t>
        </is>
      </c>
      <c r="L453" s="16" t="inlineStr">
        <is>
          <t>CX-8 2.2 XD プロアクティブ ディーゼルターボ 360度モニター シートヒーター 前後ドラ</t>
        </is>
      </c>
      <c r="M453" s="7" t="inlineStr">
        <is>
          <t>https://www.carsensor.net/usedcar/detail/AU7310274326/index.html</t>
        </is>
      </c>
    </row>
    <row r="454">
      <c r="A454" s="11" t="n">
        <v>2018</v>
      </c>
      <c r="B454" s="12" t="inlineStr">
        <is>
          <t>2WD</t>
        </is>
      </c>
      <c r="C454" s="12" t="inlineStr">
        <is>
          <t>2.2 XD プロアクティブ</t>
        </is>
      </c>
      <c r="D454" s="13" t="n">
        <v>3.9</v>
      </c>
      <c r="E454" s="14" t="n">
        <v>188.5</v>
      </c>
      <c r="F454" s="14" t="n">
        <v>176.8</v>
      </c>
      <c r="G454" s="15" t="n">
        <v>6.9</v>
      </c>
      <c r="H454" s="12" t="inlineStr">
        <is>
          <t>なし</t>
        </is>
      </c>
      <c r="I454" s="12" t="inlineStr">
        <is>
          <t>2027(R09)年09月</t>
        </is>
      </c>
      <c r="J454" s="12" t="inlineStr">
        <is>
          <t>保証付</t>
        </is>
      </c>
      <c r="K454" s="16" t="inlineStr">
        <is>
          <t>修復歴なし / 車検 2027/09 まで（残り11ヶ月） / 保証付</t>
        </is>
      </c>
      <c r="L454" s="16" t="inlineStr">
        <is>
          <t>CX-8 2.2 XD プロアクティブ ディーゼルターボ マツダコネクトナビ サイド・バックカメラ 衝突軽減 レーダークルーズ ブラインドスポットモニター パワーバックドア メモリー機能付きパワーシート シートヒーター LEDヘッド 19インチアルミ ETC</t>
        </is>
      </c>
      <c r="M454" s="12" t="inlineStr">
        <is>
          <t>https://www.carsensor.net/usedcar/detail/AU7266428509/index.html</t>
        </is>
      </c>
    </row>
    <row r="455">
      <c r="A455" s="6" t="n">
        <v>2018</v>
      </c>
      <c r="B455" s="7" t="inlineStr">
        <is>
          <t>2WD</t>
        </is>
      </c>
      <c r="C455" s="7" t="inlineStr">
        <is>
          <t>2.2 XD プロアクティブ</t>
        </is>
      </c>
      <c r="D455" s="17" t="n">
        <v>3.9</v>
      </c>
      <c r="E455" s="9" t="n">
        <v>203.8</v>
      </c>
      <c r="F455" s="9" t="n">
        <v>197.8</v>
      </c>
      <c r="G455" s="10" t="n">
        <v>6.9</v>
      </c>
      <c r="H455" s="7" t="inlineStr">
        <is>
          <t>なし</t>
        </is>
      </c>
      <c r="I455" s="7" t="inlineStr">
        <is>
          <t>2027(R09)年09月</t>
        </is>
      </c>
      <c r="J455" s="7" t="inlineStr">
        <is>
          <t>保証付</t>
        </is>
      </c>
      <c r="K455" s="16" t="inlineStr">
        <is>
          <t>修復歴なし / 車検 2027/09 まで（残り11ヶ月） / 保証付</t>
        </is>
      </c>
      <c r="L455" s="16" t="inlineStr">
        <is>
          <t>CX-8 2.2 XD プロアクティブ ディーゼルターボ BOSEサウンド 純正ナビ バックカメラ ETC ドライブレコーダー パワーシート シートヒーター BSM 衝突被害軽減 コーナーセンサー レーンアシスト クルーズコントロール オートハイビーム</t>
        </is>
      </c>
      <c r="M455" s="7" t="inlineStr">
        <is>
          <t>https://www.carsensor.net/usedcar/detail/AU7318557558/index.html</t>
        </is>
      </c>
    </row>
    <row r="456">
      <c r="A456" s="11" t="n">
        <v>2019</v>
      </c>
      <c r="B456" s="12" t="inlineStr">
        <is>
          <t>2WD</t>
        </is>
      </c>
      <c r="C456" s="12" t="inlineStr">
        <is>
          <t>2.2 XD プロアクティブ</t>
        </is>
      </c>
      <c r="D456" s="13" t="n">
        <v>3.9</v>
      </c>
      <c r="E456" s="14" t="n">
        <v>199.9</v>
      </c>
      <c r="F456" s="14" t="n">
        <v>187.8</v>
      </c>
      <c r="G456" s="15" t="n">
        <v>8.699999999999999</v>
      </c>
      <c r="H456" s="12" t="inlineStr">
        <is>
          <t>なし</t>
        </is>
      </c>
      <c r="I456" s="12" t="inlineStr">
        <is>
          <t>2028(R10)年03月</t>
        </is>
      </c>
      <c r="J456" s="12" t="inlineStr">
        <is>
          <t>保証付</t>
        </is>
      </c>
      <c r="K456" s="16" t="inlineStr">
        <is>
          <t>走行が多め（8.7万km） / 修復歴なし / 車検 2028/03 まで（残り17ヶ月） / 保証付 / 同年式より安い（中央値 231万）</t>
        </is>
      </c>
      <c r="L456" s="16" t="inlineStr">
        <is>
          <t>CX-8 2.2 XD プロアクティブ ディーゼルターボ ディーゼル 純正ナビ 全周囲カメラ 衝突被害軽減システム パワーシート ドラレコ コーナーセンサー スマートキー LEDヘッド ETC 純正19インチアルミ オートライト</t>
        </is>
      </c>
      <c r="M456" s="12" t="inlineStr">
        <is>
          <t>https://www.carsensor.net/usedcar/detail/AU7266094226/index.html</t>
        </is>
      </c>
    </row>
    <row r="457">
      <c r="A457" s="6" t="n">
        <v>2019</v>
      </c>
      <c r="B457" s="7" t="inlineStr">
        <is>
          <t>2WD</t>
        </is>
      </c>
      <c r="C457" s="7" t="inlineStr">
        <is>
          <t>2.2 XD プロアクティブ</t>
        </is>
      </c>
      <c r="D457" s="17" t="n">
        <v>3.9</v>
      </c>
      <c r="E457" s="9" t="n">
        <v>160</v>
      </c>
      <c r="F457" s="9" t="n">
        <v>150</v>
      </c>
      <c r="G457" s="10" t="n">
        <v>13.4</v>
      </c>
      <c r="H457" s="7" t="inlineStr">
        <is>
          <t>なし</t>
        </is>
      </c>
      <c r="I457" s="7" t="inlineStr">
        <is>
          <t>2028(R10)年03月</t>
        </is>
      </c>
      <c r="J457" s="7" t="inlineStr">
        <is>
          <t>保証付</t>
        </is>
      </c>
      <c r="K457" s="16" t="inlineStr">
        <is>
          <t>走行が多め（13.4万km） / 修復歴なし / 車検 2028/03 まで（残り17ヶ月） / 保証付 / 同年式より安い（中央値 231万）</t>
        </is>
      </c>
      <c r="L457" s="16" t="inlineStr">
        <is>
          <t>CX-8 2.2 XD プロアクティブ ディーゼルターボ</t>
        </is>
      </c>
      <c r="M457" s="7" t="inlineStr">
        <is>
          <t>https://www.carsensor.net/usedcar/detail/AU7104891968/index.html</t>
        </is>
      </c>
    </row>
    <row r="458">
      <c r="A458" s="11" t="n">
        <v>2020</v>
      </c>
      <c r="B458" s="12" t="inlineStr">
        <is>
          <t>2WD</t>
        </is>
      </c>
      <c r="C458" s="12" t="inlineStr">
        <is>
          <t>2.2 XD プロアクティブ</t>
        </is>
      </c>
      <c r="D458" s="13" t="n">
        <v>3.9</v>
      </c>
      <c r="E458" s="14" t="n">
        <v>249.9</v>
      </c>
      <c r="F458" s="14" t="n">
        <v>238.1</v>
      </c>
      <c r="G458" s="15" t="n">
        <v>4.7</v>
      </c>
      <c r="H458" s="12" t="inlineStr">
        <is>
          <t>なし</t>
        </is>
      </c>
      <c r="I458" s="12" t="inlineStr">
        <is>
          <t>2027(R09)年09月</t>
        </is>
      </c>
      <c r="J458" s="12" t="inlineStr">
        <is>
          <t>保証付</t>
        </is>
      </c>
      <c r="K458" s="16" t="inlineStr">
        <is>
          <t>修復歴なし / 車検 2027/09 まで（残り11ヶ月） / 保証付</t>
        </is>
      </c>
      <c r="L458" s="16" t="inlineStr">
        <is>
          <t>CX-8 2.2 XD プロアクティブ ディーゼルターボ 純正8型ナビ 全周囲カメラレーダークルーズ ヘッドアップディスプレイ 禁煙車 電動リアゲート パワーシート シートヒーター 前後ドラレコ ブラインドスポットモニター 純正19インチAW フルセグ</t>
        </is>
      </c>
      <c r="M458" s="12" t="inlineStr">
        <is>
          <t>https://www.carsensor.net/usedcar/detail/AU7311459751/index.html</t>
        </is>
      </c>
    </row>
    <row r="459">
      <c r="A459" s="6" t="n">
        <v>2020</v>
      </c>
      <c r="B459" s="7" t="inlineStr">
        <is>
          <t>2WD</t>
        </is>
      </c>
      <c r="C459" s="7" t="inlineStr">
        <is>
          <t>2.2 XD プロアクティブ</t>
        </is>
      </c>
      <c r="D459" s="17" t="n">
        <v>3.9</v>
      </c>
      <c r="E459" s="9" t="n">
        <v>244.2</v>
      </c>
      <c r="F459" s="9" t="n">
        <v>234.1</v>
      </c>
      <c r="G459" s="10" t="n">
        <v>4.6</v>
      </c>
      <c r="H459" s="7" t="inlineStr">
        <is>
          <t>なし</t>
        </is>
      </c>
      <c r="I459" s="7" t="inlineStr">
        <is>
          <t>2027(R09)年09月</t>
        </is>
      </c>
      <c r="J459" s="7" t="inlineStr">
        <is>
          <t>保証付</t>
        </is>
      </c>
      <c r="K459" s="16" t="inlineStr">
        <is>
          <t>修復歴なし / 車検 2027/09 まで（残り11ヶ月） / 保証付</t>
        </is>
      </c>
      <c r="L459" s="16" t="inlineStr">
        <is>
          <t>CX-8 2.2 XD プロアクティブ Sパッケージ ディーゼルターボ</t>
        </is>
      </c>
      <c r="M459" s="7" t="inlineStr">
        <is>
          <t>https://www.carsensor.net/usedcar/detail/AU7292128664/index.html</t>
        </is>
      </c>
    </row>
    <row r="460">
      <c r="A460" s="11" t="n">
        <v>2018</v>
      </c>
      <c r="B460" s="12" t="inlineStr">
        <is>
          <t>2WD</t>
        </is>
      </c>
      <c r="C460" s="12" t="inlineStr">
        <is>
          <t>2.2 XD プロアクティブ</t>
        </is>
      </c>
      <c r="D460" s="13" t="n">
        <v>3.8</v>
      </c>
      <c r="E460" s="14" t="n">
        <v>229.8</v>
      </c>
      <c r="F460" s="14" t="n">
        <v>216.3</v>
      </c>
      <c r="G460" s="15" t="n">
        <v>6.2</v>
      </c>
      <c r="H460" s="12" t="inlineStr">
        <is>
          <t>なし</t>
        </is>
      </c>
      <c r="I460" s="12" t="inlineStr">
        <is>
          <t>2027(R09)年07月</t>
        </is>
      </c>
      <c r="J460" s="12" t="inlineStr">
        <is>
          <t>保証付</t>
        </is>
      </c>
      <c r="K460" s="16" t="inlineStr">
        <is>
          <t>修復歴なし / 車検 2027/07 まで（残り9ヶ月） / 保証付</t>
        </is>
      </c>
      <c r="L460" s="16" t="inlineStr">
        <is>
          <t>CX-8 2.2 XD プロアクティブ ディーゼルターボ ワンオーナー 純正ナビフルセグ Bカメラ サイドカメラ ディーゼルターボ クリアランスソナー 360度ドラレコリア付き 純正19AW ETC レーダーブレーキ Pシート シートヒーター 電動パーキング</t>
        </is>
      </c>
      <c r="M460" s="12" t="inlineStr">
        <is>
          <t>https://www.carsensor.net/usedcar/detail/AU6913733847/index.html</t>
        </is>
      </c>
    </row>
    <row r="461">
      <c r="A461" s="6" t="n">
        <v>2019</v>
      </c>
      <c r="B461" s="7" t="inlineStr">
        <is>
          <t>2WD</t>
        </is>
      </c>
      <c r="C461" s="7" t="inlineStr">
        <is>
          <t>2.2 XD プロアクティブ</t>
        </is>
      </c>
      <c r="D461" s="17" t="n">
        <v>3.8</v>
      </c>
      <c r="E461" s="9" t="n">
        <v>176.5</v>
      </c>
      <c r="F461" s="9" t="n">
        <v>167</v>
      </c>
      <c r="G461" s="10" t="n">
        <v>8.699999999999999</v>
      </c>
      <c r="H461" s="7" t="inlineStr">
        <is>
          <t>なし</t>
        </is>
      </c>
      <c r="I461" s="7" t="inlineStr">
        <is>
          <t>2028(R10)年01月</t>
        </is>
      </c>
      <c r="J461" s="7" t="inlineStr">
        <is>
          <t>保証付</t>
        </is>
      </c>
      <c r="K461" s="16" t="inlineStr">
        <is>
          <t>走行が多め（8.7万km） / 修復歴なし / 車検 2028/01 まで（残り15ヶ月） / 保証付 / 同年式より安い（中央値 231万）</t>
        </is>
      </c>
      <c r="L461" s="16" t="inlineStr">
        <is>
          <t>CX-8 2.2 XD プロアクティブ ディーゼルターボ 360°モニター Sヒーター Pセンサー ETC</t>
        </is>
      </c>
      <c r="M461" s="7" t="inlineStr">
        <is>
          <t>https://www.carsensor.net/usedcar/detail/AU7338937902/index.html</t>
        </is>
      </c>
    </row>
    <row r="462">
      <c r="A462" s="11" t="n">
        <v>2020</v>
      </c>
      <c r="B462" s="12" t="inlineStr">
        <is>
          <t>2WD</t>
        </is>
      </c>
      <c r="C462" s="12" t="inlineStr">
        <is>
          <t>2.2 XD プロアクティブ</t>
        </is>
      </c>
      <c r="D462" s="13" t="n">
        <v>3.8</v>
      </c>
      <c r="E462" s="14" t="n">
        <v>239.9</v>
      </c>
      <c r="F462" s="14" t="n">
        <v>228.2</v>
      </c>
      <c r="G462" s="15" t="n">
        <v>5.6</v>
      </c>
      <c r="H462" s="12" t="inlineStr">
        <is>
          <t>なし</t>
        </is>
      </c>
      <c r="I462" s="12" t="inlineStr">
        <is>
          <t>2027(R09)年08月</t>
        </is>
      </c>
      <c r="J462" s="12" t="inlineStr">
        <is>
          <t>保証付</t>
        </is>
      </c>
      <c r="K462" s="16" t="inlineStr">
        <is>
          <t>修復歴なし / 車検 2027/08 まで（残り10ヶ月） / 保証付</t>
        </is>
      </c>
      <c r="L462" s="16" t="inlineStr">
        <is>
          <t>CX-8 2.2 XD プロアクティブ Sパッケージ ディーゼルターボ 禁煙車/純正8型ナビ/全周囲カメラ/ETC/ドラレコ/サンルーフ/BOSEサウンド/電動リアゲート/衝突被害軽減システム/BSM/レーダークルーズ/シートヒーター/シートエアコン/パワーシート</t>
        </is>
      </c>
      <c r="M462" s="12" t="inlineStr">
        <is>
          <t>https://www.carsensor.net/usedcar/detail/AU7227901322/index.html</t>
        </is>
      </c>
    </row>
    <row r="463">
      <c r="A463" s="6" t="n">
        <v>2018</v>
      </c>
      <c r="B463" s="7" t="inlineStr">
        <is>
          <t>2WD</t>
        </is>
      </c>
      <c r="C463" s="7" t="inlineStr">
        <is>
          <t>2.2 XD プロアクティブ</t>
        </is>
      </c>
      <c r="D463" s="17" t="n">
        <v>3.7</v>
      </c>
      <c r="E463" s="9" t="n">
        <v>195.6</v>
      </c>
      <c r="F463" s="9" t="n">
        <v>189.8</v>
      </c>
      <c r="G463" s="10" t="n">
        <v>7.5</v>
      </c>
      <c r="H463" s="7" t="inlineStr">
        <is>
          <t>なし</t>
        </is>
      </c>
      <c r="I463" s="7" t="inlineStr">
        <is>
          <t>2027(R09)年06月</t>
        </is>
      </c>
      <c r="J463" s="7" t="inlineStr">
        <is>
          <t>保証付</t>
        </is>
      </c>
      <c r="K463" s="16" t="inlineStr">
        <is>
          <t>修復歴なし / 車検 2027/06 まで（残り8ヶ月） / 保証付</t>
        </is>
      </c>
      <c r="L463" s="16" t="inlineStr">
        <is>
          <t>CX-8 2.2 XD プロアクティブ ディーゼルターボ 4WD マツダコネクトナビ 地デジTV バックカメ</t>
        </is>
      </c>
      <c r="M463" s="7" t="inlineStr">
        <is>
          <t>https://www.carsensor.net/usedcar/detail/AU7450283864/index.html</t>
        </is>
      </c>
    </row>
    <row r="464">
      <c r="A464" s="11" t="n">
        <v>2018</v>
      </c>
      <c r="B464" s="12" t="inlineStr">
        <is>
          <t>2WD</t>
        </is>
      </c>
      <c r="C464" s="12" t="inlineStr">
        <is>
          <t>2.2 XD プロアクティブ</t>
        </is>
      </c>
      <c r="D464" s="13" t="n">
        <v>3.7</v>
      </c>
      <c r="E464" s="14" t="n">
        <v>179.8</v>
      </c>
      <c r="F464" s="14" t="n">
        <v>172.4</v>
      </c>
      <c r="G464" s="15" t="n">
        <v>7.1</v>
      </c>
      <c r="H464" s="12" t="inlineStr">
        <is>
          <t>なし</t>
        </is>
      </c>
      <c r="I464" s="12" t="inlineStr">
        <is>
          <t>2027(R09)年06月</t>
        </is>
      </c>
      <c r="J464" s="12" t="inlineStr">
        <is>
          <t>保証付</t>
        </is>
      </c>
      <c r="K464" s="16" t="inlineStr">
        <is>
          <t>修復歴なし / 車検 2027/06 まで（残り8ヶ月） / 保証付</t>
        </is>
      </c>
      <c r="L464" s="16" t="inlineStr">
        <is>
          <t>CX-8 2.2 XD プロアクティブ ディーゼルターボ 衝突軽減ブレーキ/コネクトナビ/360°ビューカメラ/パーキングセンサー/パワーバックドア/ルーフレール/後席モニター/レーダークルーズコントロール/パワーシート/LEDヘッドライト/ETC/スマートキー/6人乗り</t>
        </is>
      </c>
      <c r="M464" s="12" t="inlineStr">
        <is>
          <t>https://www.carsensor.net/usedcar/detail/AU7348036352/index.html</t>
        </is>
      </c>
    </row>
    <row r="465">
      <c r="A465" s="6" t="n">
        <v>2018</v>
      </c>
      <c r="B465" s="7" t="inlineStr">
        <is>
          <t>2WD</t>
        </is>
      </c>
      <c r="C465" s="7" t="inlineStr">
        <is>
          <t>2.2 XD プロアクティブ</t>
        </is>
      </c>
      <c r="D465" s="17" t="n">
        <v>3.7</v>
      </c>
      <c r="E465" s="9" t="n">
        <v>199</v>
      </c>
      <c r="F465" s="9" t="n">
        <v>189</v>
      </c>
      <c r="G465" s="10" t="n">
        <v>9.699999999999999</v>
      </c>
      <c r="H465" s="7" t="inlineStr">
        <is>
          <t>なし</t>
        </is>
      </c>
      <c r="I465" s="7" t="inlineStr">
        <is>
          <t>2027(R09)年06月</t>
        </is>
      </c>
      <c r="J465" s="7" t="inlineStr">
        <is>
          <t>保証付</t>
        </is>
      </c>
      <c r="K465" s="16" t="inlineStr">
        <is>
          <t>修復歴なし / 車検 2027/06 まで（残り8ヶ月） / 保証付</t>
        </is>
      </c>
      <c r="L465" s="16" t="inlineStr">
        <is>
          <t>CX-8 2.2 XD プロアクティブ ディーゼルターボ バックカメラ メモリナビ</t>
        </is>
      </c>
      <c r="M465" s="7" t="inlineStr">
        <is>
          <t>https://www.carsensor.net/usedcar/detail/AU7352548667/index.html</t>
        </is>
      </c>
    </row>
    <row r="466">
      <c r="A466" s="11" t="n">
        <v>2020</v>
      </c>
      <c r="B466" s="12" t="inlineStr">
        <is>
          <t>2WD</t>
        </is>
      </c>
      <c r="C466" s="12" t="inlineStr">
        <is>
          <t>2.2 XD プロアクティブ</t>
        </is>
      </c>
      <c r="D466" s="13" t="n">
        <v>3.7</v>
      </c>
      <c r="E466" s="14" t="n">
        <v>194.8</v>
      </c>
      <c r="F466" s="14" t="n">
        <v>188.4</v>
      </c>
      <c r="G466" s="15" t="n">
        <v>8.6</v>
      </c>
      <c r="H466" s="12" t="inlineStr">
        <is>
          <t>なし</t>
        </is>
      </c>
      <c r="I466" s="12" t="inlineStr">
        <is>
          <t>2027(R09)年12月</t>
        </is>
      </c>
      <c r="J466" s="12" t="inlineStr">
        <is>
          <t>保証付</t>
        </is>
      </c>
      <c r="K466" s="16" t="inlineStr">
        <is>
          <t>走行が多め（8.6万km） / 修復歴なし / 車検 2027/12 まで（残り14ヶ月） / 保証付 / 同年式より安い（中央値 250万）</t>
        </is>
      </c>
      <c r="L466" s="16" t="inlineStr">
        <is>
          <t>CX-8 2.2 XD プロアクティブ ディーゼルターボ 純正10.25型ナビ BOSE 後席モニター 全方位 レーダークルーズコントロール シートヒーター ETC LEDヘッドライト ドライブレコーダー シートメモリー レーンキープアシスト パワーシート ヘッドアップディスプレイ</t>
        </is>
      </c>
      <c r="M466" s="12" t="inlineStr">
        <is>
          <t>https://www.carsensor.net/usedcar/detail/AU7295122717/index.html</t>
        </is>
      </c>
    </row>
    <row r="467">
      <c r="A467" s="6" t="n">
        <v>2018</v>
      </c>
      <c r="B467" s="7" t="inlineStr">
        <is>
          <t>2WD</t>
        </is>
      </c>
      <c r="C467" s="7" t="inlineStr">
        <is>
          <t>2.2 XD プロアクティブ</t>
        </is>
      </c>
      <c r="D467" s="17" t="n">
        <v>3.6</v>
      </c>
      <c r="E467" s="9" t="n">
        <v>176.9</v>
      </c>
      <c r="F467" s="9" t="n">
        <v>170.6</v>
      </c>
      <c r="G467" s="10" t="n">
        <v>7.2</v>
      </c>
      <c r="H467" s="7" t="inlineStr">
        <is>
          <t>なし</t>
        </is>
      </c>
      <c r="I467" s="7" t="inlineStr">
        <is>
          <t>2027(R09)年05月</t>
        </is>
      </c>
      <c r="J467" s="7" t="inlineStr">
        <is>
          <t>保証付</t>
        </is>
      </c>
      <c r="K467" s="16" t="inlineStr">
        <is>
          <t>修復歴なし / 車検 2027/05 まで（残り7ヶ月） / 保証付</t>
        </is>
      </c>
      <c r="L467" s="16" t="inlineStr">
        <is>
          <t>CX-8 2.2 XD プロアクティブ ディーゼルターボ SDナビ/衝突安全装置/シートヒーター/全方位モニター/車線逸脱防止支援システム/電動バックドア/ドライブレコーダー 社外/ヘッドランプ LED/Bluetooth接続/ETC</t>
        </is>
      </c>
      <c r="M467" s="7" t="inlineStr">
        <is>
          <t>https://www.carsensor.net/usedcar/detail/AU7422432135/index.html</t>
        </is>
      </c>
    </row>
    <row r="468">
      <c r="A468" s="11" t="n">
        <v>2018</v>
      </c>
      <c r="B468" s="12" t="inlineStr">
        <is>
          <t>2WD</t>
        </is>
      </c>
      <c r="C468" s="12" t="inlineStr">
        <is>
          <t>2.2 XD プロアクティブ</t>
        </is>
      </c>
      <c r="D468" s="13" t="n">
        <v>3.6</v>
      </c>
      <c r="E468" s="14" t="n">
        <v>198.8</v>
      </c>
      <c r="F468" s="14" t="n">
        <v>192.9</v>
      </c>
      <c r="G468" s="15" t="n">
        <v>7</v>
      </c>
      <c r="H468" s="12" t="inlineStr">
        <is>
          <t>なし</t>
        </is>
      </c>
      <c r="I468" s="12" t="inlineStr">
        <is>
          <t>2027(R09)年05月</t>
        </is>
      </c>
      <c r="J468" s="12" t="inlineStr">
        <is>
          <t>保証付</t>
        </is>
      </c>
      <c r="K468" s="16" t="inlineStr">
        <is>
          <t>修復歴なし / 車検 2027/05 まで（残り7ヶ月） / 保証付</t>
        </is>
      </c>
      <c r="L468" s="16" t="inlineStr">
        <is>
          <t>CX-8 2.2 XD プロアクティブ ディーゼルターボ プッシュスタート パワーステアリング パワーウィンドウ 純正ナビ BT USB フリップダウンモニター パワーシート シートヒーター ハンドルヒーター ブラインドスポットモニター HUD クルコン</t>
        </is>
      </c>
      <c r="M468" s="12" t="inlineStr">
        <is>
          <t>https://www.carsensor.net/usedcar/detail/AU7329296779/index.html</t>
        </is>
      </c>
    </row>
    <row r="469">
      <c r="A469" s="6" t="n">
        <v>2020</v>
      </c>
      <c r="B469" s="7" t="inlineStr">
        <is>
          <t>2WD</t>
        </is>
      </c>
      <c r="C469" s="7" t="inlineStr">
        <is>
          <t>2.2 XD プロアクティブ</t>
        </is>
      </c>
      <c r="D469" s="17" t="n">
        <v>3.6</v>
      </c>
      <c r="E469" s="9" t="n">
        <v>234.8</v>
      </c>
      <c r="F469" s="9" t="n">
        <v>228.9</v>
      </c>
      <c r="G469" s="10" t="n">
        <v>5.7</v>
      </c>
      <c r="H469" s="7" t="inlineStr">
        <is>
          <t>なし</t>
        </is>
      </c>
      <c r="I469" s="7" t="inlineStr">
        <is>
          <t>2027(R09)年05月</t>
        </is>
      </c>
      <c r="J469" s="7" t="inlineStr">
        <is>
          <t>保証付</t>
        </is>
      </c>
      <c r="K469" s="16" t="inlineStr">
        <is>
          <t>修復歴なし / 車検 2027/05 まで（残り7ヶ月） / 保証付</t>
        </is>
      </c>
      <c r="L469" s="16" t="inlineStr">
        <is>
          <t>CX-8 2.2 XD プロアクティブ Sパッケージ ディーゼルターボ 純正8インチナビ 衝突軽減ブレーキ 全方位カメラ ETC シートヒーター エアシート 前後ドライブレコーダー レーダークルーズコントロール 前後コーナーセンサー レザーシート ルーフレール</t>
        </is>
      </c>
      <c r="M469" s="7" t="inlineStr">
        <is>
          <t>https://www.carsensor.net/usedcar/detail/AU7439504889/index.html</t>
        </is>
      </c>
    </row>
    <row r="470">
      <c r="A470" s="11" t="n">
        <v>2018</v>
      </c>
      <c r="B470" s="12" t="inlineStr">
        <is>
          <t>2WD</t>
        </is>
      </c>
      <c r="C470" s="12" t="inlineStr">
        <is>
          <t>2.2 XD プロアクティブ</t>
        </is>
      </c>
      <c r="D470" s="13" t="n">
        <v>3.5</v>
      </c>
      <c r="E470" s="14" t="n">
        <v>186.8</v>
      </c>
      <c r="F470" s="14" t="n">
        <v>181.1</v>
      </c>
      <c r="G470" s="15" t="n">
        <v>7</v>
      </c>
      <c r="H470" s="12" t="inlineStr">
        <is>
          <t>なし</t>
        </is>
      </c>
      <c r="I470" s="12" t="inlineStr">
        <is>
          <t>2027(R09)年04月</t>
        </is>
      </c>
      <c r="J470" s="12" t="inlineStr">
        <is>
          <t>保証付</t>
        </is>
      </c>
      <c r="K470" s="16" t="inlineStr">
        <is>
          <t>修復歴なし / 車検 2027/04 まで（残り6ヶ月） / 保証付</t>
        </is>
      </c>
      <c r="L470" s="16" t="inlineStr">
        <is>
          <t>CX-8 2.2 XD プロアクティブ ディーゼルターボ 純正ナビ・360°ビューモニター・アドバンストスマートシティブレーキサポート・スマートブレーキサポート・レーダークルーズコントロール・ブラインドスポットモニタリング・ETC・ドライブレコーダー</t>
        </is>
      </c>
      <c r="M470" s="12" t="inlineStr">
        <is>
          <t>https://www.carsensor.net/usedcar/detail/AU7401382733/index.html</t>
        </is>
      </c>
    </row>
    <row r="471">
      <c r="A471" s="6" t="n">
        <v>2018</v>
      </c>
      <c r="B471" s="7" t="inlineStr">
        <is>
          <t>2WD</t>
        </is>
      </c>
      <c r="C471" s="7" t="inlineStr">
        <is>
          <t>2.2 XD プロアクティブ</t>
        </is>
      </c>
      <c r="D471" s="17" t="n">
        <v>3.5</v>
      </c>
      <c r="E471" s="9" t="n">
        <v>163.9</v>
      </c>
      <c r="F471" s="9" t="n">
        <v>151.3</v>
      </c>
      <c r="G471" s="10" t="n">
        <v>9.4</v>
      </c>
      <c r="H471" s="7" t="inlineStr">
        <is>
          <t>なし</t>
        </is>
      </c>
      <c r="I471" s="7" t="inlineStr">
        <is>
          <t>2027(R09)年04月</t>
        </is>
      </c>
      <c r="J471" s="7" t="inlineStr">
        <is>
          <t>保証無</t>
        </is>
      </c>
      <c r="K471" s="16" t="inlineStr">
        <is>
          <t>修復歴なし / 車検 2027/04 まで（残り6ヶ月） / 同年式より安い（中央値 196万）</t>
        </is>
      </c>
      <c r="L471" s="16" t="inlineStr">
        <is>
          <t>CX-8 2.2 XD プロアクティブ ディーゼルターボ ターボ</t>
        </is>
      </c>
      <c r="M471" s="7" t="inlineStr">
        <is>
          <t>https://www.carsensor.net/usedcar/detail/AU6968550936/index.html</t>
        </is>
      </c>
    </row>
    <row r="472">
      <c r="A472" s="11" t="n">
        <v>2018</v>
      </c>
      <c r="B472" s="12" t="inlineStr">
        <is>
          <t>2WD</t>
        </is>
      </c>
      <c r="C472" s="12" t="inlineStr">
        <is>
          <t>2.2 XD プロアクティブ</t>
        </is>
      </c>
      <c r="D472" s="13" t="n">
        <v>3.5</v>
      </c>
      <c r="E472" s="14" t="n">
        <v>216.2</v>
      </c>
      <c r="F472" s="14" t="n">
        <v>199.9</v>
      </c>
      <c r="G472" s="15" t="n">
        <v>4.6</v>
      </c>
      <c r="H472" s="12" t="inlineStr">
        <is>
          <t>なし</t>
        </is>
      </c>
      <c r="I472" s="12" t="inlineStr">
        <is>
          <t>車検整備無</t>
        </is>
      </c>
      <c r="J472" s="12" t="inlineStr">
        <is>
          <t>保証無</t>
        </is>
      </c>
      <c r="K472" s="16" t="inlineStr">
        <is>
          <t>走行が少なめ（4.6万km） / 修復歴なし</t>
        </is>
      </c>
      <c r="L472" s="16" t="inlineStr">
        <is>
          <t>CX-8 2.2 XD プロアクティブ ディーゼルターボ フルセグTV CD DVD USB AUX バックカメラ 前後ドライブレコーダー 電動シート シートヒーター コーナーセンサー ヘッドアップディスプレイ レーダークルーズコントロール BSM 純正AW</t>
        </is>
      </c>
      <c r="M472" s="12" t="inlineStr">
        <is>
          <t>https://www.carsensor.net/usedcar/detail/AU7438645506/index.html</t>
        </is>
      </c>
    </row>
    <row r="473">
      <c r="A473" s="6" t="n">
        <v>2019</v>
      </c>
      <c r="B473" s="7" t="inlineStr">
        <is>
          <t>2WD</t>
        </is>
      </c>
      <c r="C473" s="7" t="inlineStr">
        <is>
          <t>2.2 XD プロアクティブ</t>
        </is>
      </c>
      <c r="D473" s="17" t="n">
        <v>3.5</v>
      </c>
      <c r="E473" s="9" t="n">
        <v>178.9</v>
      </c>
      <c r="F473" s="9" t="n">
        <v>165.9</v>
      </c>
      <c r="G473" s="10" t="n">
        <v>9.6</v>
      </c>
      <c r="H473" s="7" t="inlineStr">
        <is>
          <t>なし</t>
        </is>
      </c>
      <c r="I473" s="7" t="inlineStr">
        <is>
          <t>車検整備付</t>
        </is>
      </c>
      <c r="J473" s="7" t="inlineStr">
        <is>
          <t>保証付</t>
        </is>
      </c>
      <c r="K473" s="16" t="inlineStr">
        <is>
          <t>走行が多め（9.6万km） / 修復歴なし / 車検整備付 / 保証付 / 同年式より安い（中央値 231万）</t>
        </is>
      </c>
      <c r="L473" s="16" t="inlineStr">
        <is>
          <t>CX-8 2.2 XD プロアクティブ ディーゼルターボ 新品タイヤ/SDナビ/アイアクティブセンス/シートヒーター/360°ビューモニター/車線逸脱防止支援システム/電動バックドア/ヘッドランプ LED/Bluetooth接続/ETC</t>
        </is>
      </c>
      <c r="M473" s="7" t="inlineStr">
        <is>
          <t>https://www.carsensor.net/usedcar/detail/AU7193349326/index.html</t>
        </is>
      </c>
    </row>
    <row r="474">
      <c r="A474" s="11" t="n">
        <v>2020</v>
      </c>
      <c r="B474" s="12" t="inlineStr">
        <is>
          <t>2WD</t>
        </is>
      </c>
      <c r="C474" s="12" t="inlineStr">
        <is>
          <t>2.2 XD プロアクティブ</t>
        </is>
      </c>
      <c r="D474" s="13" t="n">
        <v>3.5</v>
      </c>
      <c r="E474" s="14" t="n">
        <v>204.8</v>
      </c>
      <c r="F474" s="14" t="n">
        <v>189.9</v>
      </c>
      <c r="G474" s="15" t="n">
        <v>8.300000000000001</v>
      </c>
      <c r="H474" s="12" t="inlineStr">
        <is>
          <t>なし</t>
        </is>
      </c>
      <c r="I474" s="12" t="inlineStr">
        <is>
          <t>車検整備付</t>
        </is>
      </c>
      <c r="J474" s="12" t="inlineStr">
        <is>
          <t>保証付</t>
        </is>
      </c>
      <c r="K474" s="16" t="inlineStr">
        <is>
          <t>走行が多め（8.3万km） / 修復歴なし / 車検整備付 / 保証付 / 同年式より安い（中央値 250万）</t>
        </is>
      </c>
      <c r="L474" s="16" t="inlineStr">
        <is>
          <t>CX-8 2.2 XD プロアクティブ Sパッケージ ディーゼルターボ 3列7人乗/360度ビュー/黒革/衝突軽減ブレーキ/BSM/前後パーキングセンサー/追従クルコン/LKA/1列目パワーシート・ベンチレーション/1・2列目シートヒーター/電動バックドア/マツコネ/フルセグ/DVD/BT/AppleCarPlay</t>
        </is>
      </c>
      <c r="M474" s="12" t="inlineStr">
        <is>
          <t>https://www.carsensor.net/usedcar/detail/AU7238198413/index.html</t>
        </is>
      </c>
    </row>
    <row r="475">
      <c r="A475" s="6" t="n">
        <v>2020</v>
      </c>
      <c r="B475" s="7" t="inlineStr">
        <is>
          <t>2WD</t>
        </is>
      </c>
      <c r="C475" s="7" t="inlineStr">
        <is>
          <t>2.2 XD プロアクティブ</t>
        </is>
      </c>
      <c r="D475" s="17" t="n">
        <v>3.5</v>
      </c>
      <c r="E475" s="9" t="n">
        <v>224</v>
      </c>
      <c r="F475" s="9" t="n">
        <v>209.8</v>
      </c>
      <c r="G475" s="10" t="n">
        <v>8.199999999999999</v>
      </c>
      <c r="H475" s="7" t="inlineStr">
        <is>
          <t>なし</t>
        </is>
      </c>
      <c r="I475" s="7" t="inlineStr">
        <is>
          <t>車検整備付</t>
        </is>
      </c>
      <c r="J475" s="7" t="inlineStr">
        <is>
          <t>保証付</t>
        </is>
      </c>
      <c r="K475" s="16" t="inlineStr">
        <is>
          <t>走行が多め（8.2万km） / 修復歴なし / 車検整備付 / 保証付 / 同年式より安い（中央値 250万）</t>
        </is>
      </c>
      <c r="L475" s="16" t="inlineStr">
        <is>
          <t>CX-8 2.2 XD プロアクティブ ディーゼルターボ ナビ ETC車載器 360°ビューモニター 運転席パワーシート ヘッドアップディスプレイ 衝突被害軽減ブレーキ</t>
        </is>
      </c>
      <c r="M475" s="7" t="inlineStr">
        <is>
          <t>https://www.carsensor.net/usedcar/detail/AU7322411174/index.html</t>
        </is>
      </c>
    </row>
    <row r="476">
      <c r="A476" s="11" t="n">
        <v>2021</v>
      </c>
      <c r="B476" s="12" t="inlineStr">
        <is>
          <t>2WD</t>
        </is>
      </c>
      <c r="C476" s="12" t="inlineStr">
        <is>
          <t>2.2 XD プロアクティブ</t>
        </is>
      </c>
      <c r="D476" s="13" t="n">
        <v>3.5</v>
      </c>
      <c r="E476" s="14" t="n">
        <v>189</v>
      </c>
      <c r="F476" s="14" t="n">
        <v>177</v>
      </c>
      <c r="G476" s="15" t="n">
        <v>8.800000000000001</v>
      </c>
      <c r="H476" s="12" t="inlineStr">
        <is>
          <t>なし</t>
        </is>
      </c>
      <c r="I476" s="12" t="inlineStr">
        <is>
          <t>車検整備付</t>
        </is>
      </c>
      <c r="J476" s="12" t="inlineStr">
        <is>
          <t>保証付</t>
        </is>
      </c>
      <c r="K476" s="16" t="inlineStr">
        <is>
          <t>走行が多め（8.8万km） / 修復歴なし / 車検整備付 / 保証付 / 同年式より安い（中央値 279万）</t>
        </is>
      </c>
      <c r="L476" s="16" t="inlineStr">
        <is>
          <t>CX-8 2.2 XD プロアクティブ ディーゼルターボ 純正10.25インチナビ パノラミックビューモニター ブラインドスポットモニター パワーバックドア ヘッドアップディスプレイ シートヒーター 前後ドライブレコーダー パワーシート ETC ステアリングヒーター</t>
        </is>
      </c>
      <c r="M476" s="12" t="inlineStr">
        <is>
          <t>https://www.carsensor.net/usedcar/detail/AU7446064141/index.html</t>
        </is>
      </c>
    </row>
    <row r="477">
      <c r="A477" s="6" t="n">
        <v>2018</v>
      </c>
      <c r="B477" s="7" t="inlineStr">
        <is>
          <t>2WD</t>
        </is>
      </c>
      <c r="C477" s="7" t="inlineStr">
        <is>
          <t>2.2 XD プロアクティブ</t>
        </is>
      </c>
      <c r="D477" s="17" t="n">
        <v>3.4</v>
      </c>
      <c r="E477" s="9" t="n">
        <v>199.8</v>
      </c>
      <c r="F477" s="9" t="n">
        <v>194</v>
      </c>
      <c r="G477" s="10" t="n">
        <v>7.3</v>
      </c>
      <c r="H477" s="7" t="inlineStr">
        <is>
          <t>なし</t>
        </is>
      </c>
      <c r="I477" s="7" t="inlineStr">
        <is>
          <t>2027(R09)年03月</t>
        </is>
      </c>
      <c r="J477" s="7" t="inlineStr">
        <is>
          <t>保証付</t>
        </is>
      </c>
      <c r="K477" s="16" t="inlineStr">
        <is>
          <t>修復歴なし / 車検 2027/03 まで（残り5ヶ月） / 保証付</t>
        </is>
      </c>
      <c r="L477" s="16" t="inlineStr">
        <is>
          <t>CX-8 2.2 XD プロアクティブ ディーゼルターボ 禁煙車 県外仕入れ 純正ナビ フルセグTV</t>
        </is>
      </c>
      <c r="M477" s="7" t="inlineStr">
        <is>
          <t>https://www.carsensor.net/usedcar/detail/AU7415468264/index.html</t>
        </is>
      </c>
    </row>
    <row r="478">
      <c r="A478" s="11" t="n">
        <v>2018</v>
      </c>
      <c r="B478" s="12" t="inlineStr">
        <is>
          <t>2WD</t>
        </is>
      </c>
      <c r="C478" s="12" t="inlineStr">
        <is>
          <t>2.2 XD プロアクティブ</t>
        </is>
      </c>
      <c r="D478" s="13" t="n">
        <v>3.4</v>
      </c>
      <c r="E478" s="14" t="n">
        <v>184</v>
      </c>
      <c r="F478" s="14" t="n">
        <v>174.8</v>
      </c>
      <c r="G478" s="15" t="n">
        <v>6.8</v>
      </c>
      <c r="H478" s="12" t="inlineStr">
        <is>
          <t>なし</t>
        </is>
      </c>
      <c r="I478" s="12" t="inlineStr">
        <is>
          <t>2027(R09)年03月</t>
        </is>
      </c>
      <c r="J478" s="12" t="inlineStr">
        <is>
          <t>保証付</t>
        </is>
      </c>
      <c r="K478" s="16" t="inlineStr">
        <is>
          <t>修復歴なし / 車検 2027/03 まで（残り5ヶ月） / 保証付</t>
        </is>
      </c>
      <c r="L478" s="16" t="inlineStr">
        <is>
          <t>CX-8 2.2 XD プロアクティブ ディーゼルターボ 純正ナビ バックカメラ ETC 障害物センサー マツダ・レーダー・クルーズ・コントロール シートヒーター 電動シート ブラインド・スポット・モニタリング プッシュボタンスタート DVD</t>
        </is>
      </c>
      <c r="M478" s="12" t="inlineStr">
        <is>
          <t>https://www.carsensor.net/usedcar/detail/AU7240414804/index.html</t>
        </is>
      </c>
    </row>
    <row r="479">
      <c r="A479" s="6" t="n">
        <v>2018</v>
      </c>
      <c r="B479" s="7" t="inlineStr">
        <is>
          <t>2WD</t>
        </is>
      </c>
      <c r="C479" s="7" t="inlineStr">
        <is>
          <t>2.2 XD プロアクティブ</t>
        </is>
      </c>
      <c r="D479" s="17" t="n">
        <v>3.3</v>
      </c>
      <c r="E479" s="9" t="n">
        <v>158.9</v>
      </c>
      <c r="F479" s="9" t="n">
        <v>147.3</v>
      </c>
      <c r="G479" s="10" t="n">
        <v>10.6</v>
      </c>
      <c r="H479" s="7" t="inlineStr">
        <is>
          <t>なし</t>
        </is>
      </c>
      <c r="I479" s="7" t="inlineStr">
        <is>
          <t>2027(R09)年08月</t>
        </is>
      </c>
      <c r="J479" s="7" t="inlineStr">
        <is>
          <t>保証付</t>
        </is>
      </c>
      <c r="K479" s="16" t="inlineStr">
        <is>
          <t>走行が多め（10.6万km） / 修復歴なし / 車検 2027/08 まで（残り10ヶ月） / 保証付 / 同年式より安い（中央値 196万）</t>
        </is>
      </c>
      <c r="L479" s="16" t="inlineStr">
        <is>
          <t>CX-8 2.2 XD プロアクティブ ディーゼルターボ 7人乗 純正ナビフルセグ 全周囲カメラ BOSEサウンド パワーバックドア スマートブレーキサポート レーダークルーズ メモリ付パワーシート シートヒータ スマートキー LEDヘッドライト</t>
        </is>
      </c>
      <c r="M479" s="7" t="inlineStr">
        <is>
          <t>https://www.carsensor.net/usedcar/detail/AU7440314066/index.html</t>
        </is>
      </c>
    </row>
    <row r="480">
      <c r="A480" s="11" t="n">
        <v>2020</v>
      </c>
      <c r="B480" s="12" t="inlineStr">
        <is>
          <t>2WD</t>
        </is>
      </c>
      <c r="C480" s="12" t="inlineStr">
        <is>
          <t>2.2 XD プロアクティブ</t>
        </is>
      </c>
      <c r="D480" s="13" t="n">
        <v>3.3</v>
      </c>
      <c r="E480" s="14" t="n">
        <v>249.9</v>
      </c>
      <c r="F480" s="14" t="n">
        <v>238.5</v>
      </c>
      <c r="G480" s="15" t="n">
        <v>4.6</v>
      </c>
      <c r="H480" s="12" t="inlineStr">
        <is>
          <t>なし</t>
        </is>
      </c>
      <c r="I480" s="12" t="inlineStr">
        <is>
          <t>2027(R09)年02月</t>
        </is>
      </c>
      <c r="J480" s="12" t="inlineStr">
        <is>
          <t>保証付</t>
        </is>
      </c>
      <c r="K480" s="16" t="inlineStr">
        <is>
          <t>修復歴なし / 車検 2027/02 まで（残り4ヶ月） / 保証付</t>
        </is>
      </c>
      <c r="L480" s="16" t="inlineStr">
        <is>
          <t>CX-8 2.2 XD プロアクティブ Sパッケージ ディーゼルターボ ディーゼル(軽油) 純正SDナビ 後席モニター 全周囲カメラ 衝突被害軽減システム 禁煙車 電動リアゲート レザーシート ドラレコ コーナーセンサー スマートキー LEDヘッド ETC</t>
        </is>
      </c>
      <c r="M480" s="12" t="inlineStr">
        <is>
          <t>https://www.carsensor.net/usedcar/detail/AU7355647653/index.html</t>
        </is>
      </c>
    </row>
    <row r="481">
      <c r="A481" s="6" t="n">
        <v>2017</v>
      </c>
      <c r="B481" s="7" t="inlineStr">
        <is>
          <t>2WD</t>
        </is>
      </c>
      <c r="C481" s="7" t="inlineStr">
        <is>
          <t>2.2 XD プロアクティブ</t>
        </is>
      </c>
      <c r="D481" s="17" t="n">
        <v>3.2</v>
      </c>
      <c r="E481" s="9" t="n">
        <v>173.8</v>
      </c>
      <c r="F481" s="9" t="n">
        <v>163.8</v>
      </c>
      <c r="G481" s="10" t="n">
        <v>9.5</v>
      </c>
      <c r="H481" s="7" t="inlineStr">
        <is>
          <t>なし</t>
        </is>
      </c>
      <c r="I481" s="7" t="inlineStr">
        <is>
          <t>2026(R08)年12月</t>
        </is>
      </c>
      <c r="J481" s="7" t="inlineStr">
        <is>
          <t>保証付</t>
        </is>
      </c>
      <c r="K481" s="16" t="inlineStr">
        <is>
          <t>修復歴なし / 車検 2026/12 まで（残り2ヶ月） / 保証付</t>
        </is>
      </c>
      <c r="L481" s="16" t="inlineStr">
        <is>
          <t>CX-8 2.2 XD プロアクティブ ディーゼルターボ 純正ナビ/Bluetooth/全方位カメラ/ETC/レーダークルーズコントロール/パワーシート/シートヒーター/BSM/HUD/コーナーセンサー/ステアリングヒーター/CD/DVD/TV/衝突軽減/純正19インチAW/LEDヘッドライト</t>
        </is>
      </c>
      <c r="M481" s="7" t="inlineStr">
        <is>
          <t>https://www.carsensor.net/usedcar/detail/AU7381285881/index.html</t>
        </is>
      </c>
    </row>
    <row r="482">
      <c r="A482" s="11" t="n">
        <v>2017</v>
      </c>
      <c r="B482" s="12" t="inlineStr">
        <is>
          <t>2WD</t>
        </is>
      </c>
      <c r="C482" s="12" t="inlineStr">
        <is>
          <t>2.2 XD プロアクティブ</t>
        </is>
      </c>
      <c r="D482" s="13" t="n">
        <v>3.2</v>
      </c>
      <c r="E482" s="14" t="n">
        <v>171.8</v>
      </c>
      <c r="F482" s="14" t="n">
        <v>154</v>
      </c>
      <c r="G482" s="15" t="n">
        <v>7.4</v>
      </c>
      <c r="H482" s="12" t="inlineStr">
        <is>
          <t>なし</t>
        </is>
      </c>
      <c r="I482" s="12" t="inlineStr">
        <is>
          <t>2026(R08)年12月</t>
        </is>
      </c>
      <c r="J482" s="12" t="inlineStr">
        <is>
          <t>保証付</t>
        </is>
      </c>
      <c r="K482" s="16" t="inlineStr">
        <is>
          <t>修復歴なし / 車検 2026/12 まで（残り2ヶ月） / 保証付</t>
        </is>
      </c>
      <c r="L482" s="16" t="inlineStr">
        <is>
          <t>CX-8 2.2 XD プロアクティブ ディーゼルターボ ナビ・ETC・ドラレコ・7人乗り・シートヒーター</t>
        </is>
      </c>
      <c r="M482" s="12" t="inlineStr">
        <is>
          <t>https://www.carsensor.net/usedcar/detail/AU7275482758/index.html</t>
        </is>
      </c>
    </row>
    <row r="483">
      <c r="A483" s="6" t="n">
        <v>2018</v>
      </c>
      <c r="B483" s="7" t="inlineStr">
        <is>
          <t>2WD</t>
        </is>
      </c>
      <c r="C483" s="7" t="inlineStr">
        <is>
          <t>2.2 XD プロアクティブ</t>
        </is>
      </c>
      <c r="D483" s="17" t="n">
        <v>3.2</v>
      </c>
      <c r="E483" s="9" t="n">
        <v>199.9</v>
      </c>
      <c r="F483" s="9" t="n">
        <v>188.7</v>
      </c>
      <c r="G483" s="10" t="n">
        <v>7</v>
      </c>
      <c r="H483" s="7" t="inlineStr">
        <is>
          <t>なし</t>
        </is>
      </c>
      <c r="I483" s="7" t="inlineStr">
        <is>
          <t>2027(R09)年01月</t>
        </is>
      </c>
      <c r="J483" s="7" t="inlineStr">
        <is>
          <t>保証付</t>
        </is>
      </c>
      <c r="K483" s="16" t="inlineStr">
        <is>
          <t>修復歴なし / 車検 2027/01 まで（残り3ヶ月） / 保証付</t>
        </is>
      </c>
      <c r="L483" s="16" t="inlineStr">
        <is>
          <t>CX-8 2.2 XD プロアクティブ ディーゼルターボ 純正SDナビ 全周囲カメラ シティブレーキサポート ターボ 7人乗り レーダークルーズ 禁煙車 シートヒーター パワーシート コーナーセンサー スマートキー LEDヘッド ETC ステアリングヒーター</t>
        </is>
      </c>
      <c r="M483" s="7" t="inlineStr">
        <is>
          <t>https://www.carsensor.net/usedcar/detail/AU7366838609/index.html</t>
        </is>
      </c>
    </row>
    <row r="484">
      <c r="A484" s="11" t="n">
        <v>2018</v>
      </c>
      <c r="B484" s="12" t="inlineStr">
        <is>
          <t>2WD</t>
        </is>
      </c>
      <c r="C484" s="12" t="inlineStr">
        <is>
          <t>2.2 XD プロアクティブ</t>
        </is>
      </c>
      <c r="D484" s="13" t="n">
        <v>3.2</v>
      </c>
      <c r="E484" s="14" t="n">
        <v>229.9</v>
      </c>
      <c r="F484" s="14" t="n">
        <v>218.7</v>
      </c>
      <c r="G484" s="15" t="n">
        <v>6.8</v>
      </c>
      <c r="H484" s="12" t="inlineStr">
        <is>
          <t>なし</t>
        </is>
      </c>
      <c r="I484" s="12" t="inlineStr">
        <is>
          <t>2027(R09)年01月</t>
        </is>
      </c>
      <c r="J484" s="12" t="inlineStr">
        <is>
          <t>保証付</t>
        </is>
      </c>
      <c r="K484" s="16" t="inlineStr">
        <is>
          <t>修復歴なし / 車検 2027/01 まで（残り3ヶ月） / 保証付</t>
        </is>
      </c>
      <c r="L484" s="16" t="inlineStr">
        <is>
          <t>CX-8 2.2 XD プロアクティブ ディーゼルターボ ターボ ディーゼル マツダコネクトナビ 後席モニター 全周囲カメラ 衝突被害軽減システム レーダークルーズ 禁煙車 電動リアゲート パワーシート ドラレコ コーナーセンサー スマートキー</t>
        </is>
      </c>
      <c r="M484" s="12" t="inlineStr">
        <is>
          <t>https://www.carsensor.net/usedcar/detail/AU7330212023/index.html</t>
        </is>
      </c>
    </row>
    <row r="485">
      <c r="A485" s="6" t="n">
        <v>2018</v>
      </c>
      <c r="B485" s="7" t="inlineStr">
        <is>
          <t>2WD</t>
        </is>
      </c>
      <c r="C485" s="7" t="inlineStr">
        <is>
          <t>2.2 XD プロアクティブ</t>
        </is>
      </c>
      <c r="D485" s="17" t="n">
        <v>3.2</v>
      </c>
      <c r="E485" s="9" t="n">
        <v>219.9</v>
      </c>
      <c r="F485" s="9" t="n">
        <v>209.9</v>
      </c>
      <c r="G485" s="10" t="n">
        <v>5.6</v>
      </c>
      <c r="H485" s="7" t="inlineStr">
        <is>
          <t>なし</t>
        </is>
      </c>
      <c r="I485" s="7" t="inlineStr">
        <is>
          <t>2027(R09)年01月</t>
        </is>
      </c>
      <c r="J485" s="7" t="inlineStr">
        <is>
          <t>保証付</t>
        </is>
      </c>
      <c r="K485" s="16" t="inlineStr">
        <is>
          <t>修復歴なし / 車検 2027/01 まで（残り3ヶ月） / 保証付</t>
        </is>
      </c>
      <c r="L485" s="16" t="inlineStr">
        <is>
          <t>CX-8 2.2 XD プロアクティブ ディーゼルターボ 禁煙車 純正ナビ フルセグTV Bluetooth 360°ビューモニター シートヒーター 前後ドライブレコーダー ブラインドスポットモニター ステアリングヒーター コーナーセンサー オートホールド</t>
        </is>
      </c>
      <c r="M485" s="7" t="inlineStr">
        <is>
          <t>https://www.carsensor.net/usedcar/detail/AU7407703600/index.html</t>
        </is>
      </c>
    </row>
    <row r="486">
      <c r="A486" s="11" t="n">
        <v>2017</v>
      </c>
      <c r="B486" s="12" t="inlineStr">
        <is>
          <t>2WD</t>
        </is>
      </c>
      <c r="C486" s="12" t="inlineStr">
        <is>
          <t>2.2 XD プロアクティブ</t>
        </is>
      </c>
      <c r="D486" s="13" t="n">
        <v>3.1</v>
      </c>
      <c r="E486" s="14" t="n">
        <v>191.9</v>
      </c>
      <c r="F486" s="14" t="n">
        <v>185.9</v>
      </c>
      <c r="G486" s="15" t="n">
        <v>6.1</v>
      </c>
      <c r="H486" s="12" t="inlineStr">
        <is>
          <t>なし</t>
        </is>
      </c>
      <c r="I486" s="12" t="inlineStr">
        <is>
          <t>2026(R08)年11月</t>
        </is>
      </c>
      <c r="J486" s="12" t="inlineStr">
        <is>
          <t>保証付</t>
        </is>
      </c>
      <c r="K486" s="16" t="inlineStr">
        <is>
          <t>修復歴なし / 車検 2026/11 まで（残り1ヶ月） / 保証付</t>
        </is>
      </c>
      <c r="L486" s="16" t="inlineStr">
        <is>
          <t>CX-8 2.2 XD プロアクティブ ディーゼルターボ 新品タイヤ/SDナビ/シートヒーター/車線逸脱防止支援システム/ヘッドランプ LED/Bluetooth接続/ETC/EBD付ABS/アイドリングストップ/サイドモニター</t>
        </is>
      </c>
      <c r="M486" s="12" t="inlineStr">
        <is>
          <t>https://www.carsensor.net/usedcar/detail/AU7126837176/index.html</t>
        </is>
      </c>
    </row>
    <row r="487">
      <c r="A487" s="6" t="n">
        <v>2020</v>
      </c>
      <c r="B487" s="7" t="inlineStr">
        <is>
          <t>2WD</t>
        </is>
      </c>
      <c r="C487" s="7" t="inlineStr">
        <is>
          <t>2.2 XD プロアクティブ</t>
        </is>
      </c>
      <c r="D487" s="17" t="n">
        <v>3.1</v>
      </c>
      <c r="E487" s="9" t="n">
        <v>204.8</v>
      </c>
      <c r="F487" s="9" t="n">
        <v>193.3</v>
      </c>
      <c r="G487" s="10" t="n">
        <v>9.300000000000001</v>
      </c>
      <c r="H487" s="7" t="inlineStr">
        <is>
          <t>なし</t>
        </is>
      </c>
      <c r="I487" s="7" t="inlineStr">
        <is>
          <t>2027(R09)年05月</t>
        </is>
      </c>
      <c r="J487" s="7" t="inlineStr">
        <is>
          <t>保証付</t>
        </is>
      </c>
      <c r="K487" s="16" t="inlineStr">
        <is>
          <t>走行が多め（9.3万km） / 修復歴なし / 車検 2027/05 まで（残り7ヶ月） / 保証付 / 同年式より安い（中央値 250万）</t>
        </is>
      </c>
      <c r="L487" s="16" t="inlineStr">
        <is>
          <t>CX-8 2.2 XD プロアクティブ Sパッケージ ディーゼルターボ ディーゼル(軽油) 全周囲カメラ BOSEサウンド 電動リアゲート レザーシート 前席シートエアコン コーナーセンサー LEDヘッド ETC クルコン 純正19インチアルミ オートライト</t>
        </is>
      </c>
      <c r="M487" s="7" t="inlineStr">
        <is>
          <t>https://www.carsensor.net/usedcar/detail/AU7356994497/index.html</t>
        </is>
      </c>
    </row>
    <row r="488">
      <c r="A488" s="11" t="n">
        <v>2019</v>
      </c>
      <c r="B488" s="12" t="inlineStr">
        <is>
          <t>2WD</t>
        </is>
      </c>
      <c r="C488" s="12" t="inlineStr">
        <is>
          <t>2.2 XD プロアクティブ</t>
        </is>
      </c>
      <c r="D488" s="13" t="n">
        <v>3</v>
      </c>
      <c r="E488" s="14" t="n">
        <v>218.9</v>
      </c>
      <c r="F488" s="14" t="n">
        <v>206</v>
      </c>
      <c r="G488" s="15" t="n">
        <v>5.9</v>
      </c>
      <c r="H488" s="12" t="inlineStr">
        <is>
          <t>なし</t>
        </is>
      </c>
      <c r="I488" s="12" t="inlineStr">
        <is>
          <t>2026(R08)年10月</t>
        </is>
      </c>
      <c r="J488" s="12" t="inlineStr">
        <is>
          <t>保証付</t>
        </is>
      </c>
      <c r="K488" s="16" t="inlineStr">
        <is>
          <t>修復歴なし / 保証付</t>
        </is>
      </c>
      <c r="L488" s="16" t="inlineStr">
        <is>
          <t>CX-8 2.2 XD プロアクティブ ディーゼルターボ SDナビ/フリップダウン/衝突安全装置/シートヒーター/全方位モニター/車線逸脱防止支援システム/電動バックドア/ヘッドランプ LED/Bluetooth接続/ETC</t>
        </is>
      </c>
      <c r="M488" s="12" t="inlineStr">
        <is>
          <t>https://www.carsensor.net/usedcar/detail/AU7354214087/index.html</t>
        </is>
      </c>
    </row>
    <row r="489">
      <c r="A489" s="6" t="n">
        <v>2020</v>
      </c>
      <c r="B489" s="7" t="inlineStr">
        <is>
          <t>2WD</t>
        </is>
      </c>
      <c r="C489" s="7" t="inlineStr">
        <is>
          <t>2.2 XD プロアクティブ</t>
        </is>
      </c>
      <c r="D489" s="17" t="n">
        <v>3</v>
      </c>
      <c r="E489" s="9" t="n">
        <v>218.9</v>
      </c>
      <c r="F489" s="9" t="n">
        <v>207.4</v>
      </c>
      <c r="G489" s="10" t="n">
        <v>7.8</v>
      </c>
      <c r="H489" s="7" t="inlineStr">
        <is>
          <t>なし</t>
        </is>
      </c>
      <c r="I489" s="7" t="inlineStr">
        <is>
          <t>2027(R09)年04月</t>
        </is>
      </c>
      <c r="J489" s="7" t="inlineStr">
        <is>
          <t>保証付</t>
        </is>
      </c>
      <c r="K489" s="16" t="inlineStr">
        <is>
          <t>走行が多め（7.8万km） / 修復歴なし / 車検 2027/04 まで（残り6ヶ月） / 保証付 / 同年式より安い（中央値 250万）</t>
        </is>
      </c>
      <c r="L489" s="16" t="inlineStr">
        <is>
          <t>CX-8 2.2 XD プロアクティブ ディーゼルターボ ディーゼル 7人乗 純正8型コネクトナビ 全周囲カメラ DVD/TV スマートブレーキサポート レーダークルーズ BSM コーナーセンサー パワーバックドア メモリ付パワーシート シートヒーター</t>
        </is>
      </c>
      <c r="M489" s="7" t="inlineStr">
        <is>
          <t>https://www.carsensor.net/usedcar/detail/AU7369864466/index.html</t>
        </is>
      </c>
    </row>
    <row r="490">
      <c r="A490" s="11" t="n">
        <v>2018</v>
      </c>
      <c r="B490" s="12" t="inlineStr">
        <is>
          <t>2WD</t>
        </is>
      </c>
      <c r="C490" s="12" t="inlineStr">
        <is>
          <t>2.2 XD プロアクティブ</t>
        </is>
      </c>
      <c r="D490" s="13" t="n">
        <v>2.8</v>
      </c>
      <c r="E490" s="14" t="n">
        <v>129.6</v>
      </c>
      <c r="F490" s="14" t="n">
        <v>123</v>
      </c>
      <c r="G490" s="15" t="n">
        <v>10.9</v>
      </c>
      <c r="H490" s="12" t="inlineStr">
        <is>
          <t>なし</t>
        </is>
      </c>
      <c r="I490" s="12" t="inlineStr">
        <is>
          <t>2027(R09)年01月</t>
        </is>
      </c>
      <c r="J490" s="12" t="inlineStr">
        <is>
          <t>保証付</t>
        </is>
      </c>
      <c r="K490" s="16" t="inlineStr">
        <is>
          <t>走行が多め（10.9万km） / 修復歴なし / 車検 2027/01 まで（残り3ヶ月） / 保証付 / 同年式より安い（中央値 196万）</t>
        </is>
      </c>
      <c r="L490" s="16" t="inlineStr">
        <is>
          <t>CX-8 2.2 XD プロアクティブ ディーゼルターボ 6ヶ月走行距離無制限保証付 BOSEサウンド 全周囲カメラ レーダークルーズコントロール 衝突軽減ブレーキ 電動リアゲート 禁煙車 コーナーセンサー シートヒーター Bluetooth パワーシート ETC2.0</t>
        </is>
      </c>
      <c r="M490" s="12" t="inlineStr">
        <is>
          <t>https://www.carsensor.net/usedcar/detail/AU7441478606/index.html</t>
        </is>
      </c>
    </row>
    <row r="491">
      <c r="A491" s="6" t="n">
        <v>2020</v>
      </c>
      <c r="B491" s="7" t="inlineStr">
        <is>
          <t>2WD</t>
        </is>
      </c>
      <c r="C491" s="7" t="inlineStr">
        <is>
          <t>2.2 XD プロアクティブ</t>
        </is>
      </c>
      <c r="D491" s="17" t="n">
        <v>2.8</v>
      </c>
      <c r="E491" s="9" t="n">
        <v>172.1</v>
      </c>
      <c r="F491" s="9" t="n">
        <v>166.3</v>
      </c>
      <c r="G491" s="10" t="n">
        <v>17.5</v>
      </c>
      <c r="H491" s="7" t="inlineStr">
        <is>
          <t>なし</t>
        </is>
      </c>
      <c r="I491" s="7" t="inlineStr">
        <is>
          <t>2027(R09)年02月</t>
        </is>
      </c>
      <c r="J491" s="7" t="inlineStr">
        <is>
          <t>保証付</t>
        </is>
      </c>
      <c r="K491" s="16" t="inlineStr">
        <is>
          <t>走行が多め（17.5万km） / 修復歴なし / 車検 2027/02 まで（残り4ヶ月） / 保証付 / 同年式より安い（中央値 250万）</t>
        </is>
      </c>
      <c r="L491" s="16" t="inlineStr">
        <is>
          <t>CX-8 2.2 XD プロアクティブ Sパッケージ ディーゼルターボ パワーシート シートメモリー フルセグTV</t>
        </is>
      </c>
      <c r="M491" s="7" t="inlineStr">
        <is>
          <t>https://www.carsensor.net/usedcar/detail/AU7452923685/index.html</t>
        </is>
      </c>
    </row>
    <row r="492">
      <c r="A492" s="11" t="n">
        <v>2021</v>
      </c>
      <c r="B492" s="12" t="inlineStr">
        <is>
          <t>2WD</t>
        </is>
      </c>
      <c r="C492" s="12" t="inlineStr">
        <is>
          <t>2.2 XD プロアクティブ</t>
        </is>
      </c>
      <c r="D492" s="13" t="n">
        <v>2.8</v>
      </c>
      <c r="E492" s="14" t="n">
        <v>174.8</v>
      </c>
      <c r="F492" s="14" t="n">
        <v>162.8</v>
      </c>
      <c r="G492" s="15" t="n">
        <v>8.300000000000001</v>
      </c>
      <c r="H492" s="12" t="inlineStr">
        <is>
          <t>なし</t>
        </is>
      </c>
      <c r="I492" s="12" t="inlineStr">
        <is>
          <t>2028(R10)年01月</t>
        </is>
      </c>
      <c r="J492" s="12" t="inlineStr">
        <is>
          <t>保証無</t>
        </is>
      </c>
      <c r="K492" s="16" t="inlineStr">
        <is>
          <t>走行が多め（8.3万km） / 修復歴なし / 車検 2028/01 まで（残り15ヶ月） / 同年式より安い（中央値 279万）</t>
        </is>
      </c>
      <c r="L492" s="16" t="inlineStr">
        <is>
          <t>CX-8 2.2 XD プロアクティブ ディーゼルターボ 禁煙車 純正12.3インチナビ フルセグTV 全周囲カメラ レーダークルーズ LED パワーバックドア ETC バックカメラ シートヒーター 衝突軽減 3列シート 後席エアコン パドルシフト</t>
        </is>
      </c>
      <c r="M492" s="12" t="inlineStr">
        <is>
          <t>https://www.carsensor.net/usedcar/detail/AU7364889038/index.html</t>
        </is>
      </c>
    </row>
    <row r="493">
      <c r="A493" s="6" t="n">
        <v>2018</v>
      </c>
      <c r="B493" s="7" t="inlineStr">
        <is>
          <t>2WD</t>
        </is>
      </c>
      <c r="C493" s="7" t="inlineStr">
        <is>
          <t>2.2 XD プロアクティブ</t>
        </is>
      </c>
      <c r="D493" s="17" t="n">
        <v>2.5</v>
      </c>
      <c r="E493" s="9" t="n">
        <v>153</v>
      </c>
      <c r="F493" s="9" t="n">
        <v>143</v>
      </c>
      <c r="G493" s="10" t="n">
        <v>11.5</v>
      </c>
      <c r="H493" s="7" t="inlineStr">
        <is>
          <t>なし</t>
        </is>
      </c>
      <c r="I493" s="7" t="inlineStr">
        <is>
          <t>車検整備付</t>
        </is>
      </c>
      <c r="J493" s="7" t="inlineStr">
        <is>
          <t>保証無</t>
        </is>
      </c>
      <c r="K493" s="16" t="inlineStr">
        <is>
          <t>走行が多め（11.5万km） / 修復歴なし / 車検整備付 / 同年式より安い（中央値 196万）</t>
        </is>
      </c>
      <c r="L493" s="16" t="inlineStr">
        <is>
          <t>CX-8 2.2 XD プロアクティブ ディーゼルターボ レーダークルーズコントロール ドラレコ ETC LEDヘッドライト シートヒーター 後席モニター フロント.サイド.バックカメラ CD/DVD Bluetooth 電動シート スマートキー キーレス 三列シート</t>
        </is>
      </c>
      <c r="M493" s="7" t="inlineStr">
        <is>
          <t>https://www.carsensor.net/usedcar/detail/AU6702141360/index.html</t>
        </is>
      </c>
    </row>
    <row r="494">
      <c r="A494" s="11" t="n">
        <v>2018</v>
      </c>
      <c r="B494" s="12" t="inlineStr">
        <is>
          <t>2WD</t>
        </is>
      </c>
      <c r="C494" s="12" t="inlineStr">
        <is>
          <t>2.2 XD プロアクティブ</t>
        </is>
      </c>
      <c r="D494" s="13" t="n">
        <v>2.3</v>
      </c>
      <c r="E494" s="14" t="n">
        <v>116.9</v>
      </c>
      <c r="F494" s="14" t="n">
        <v>105.2</v>
      </c>
      <c r="G494" s="15" t="n">
        <v>9.5</v>
      </c>
      <c r="H494" s="12" t="inlineStr">
        <is>
          <t>なし</t>
        </is>
      </c>
      <c r="I494" s="12" t="inlineStr">
        <is>
          <t>2027(R09)年02月</t>
        </is>
      </c>
      <c r="J494" s="12" t="inlineStr">
        <is>
          <t>保証無</t>
        </is>
      </c>
      <c r="K494" s="16" t="inlineStr">
        <is>
          <t>修復歴なし / 車検 2027/02 まで（残り4ヶ月）</t>
        </is>
      </c>
      <c r="L494" s="16" t="inlineStr">
        <is>
          <t>CX-8 2.2 XD プロアクティブ ディーゼルターボ 禁煙車 純正ナビ フルセグTV バックカメラ ブラインドスポットモニター レーダークルーズコントロール 左右温熱パワーシート ステアリングヒーター パワーリフトゲート SBS/SCBS ETC</t>
        </is>
      </c>
      <c r="M494" s="12" t="inlineStr">
        <is>
          <t>https://www.carsensor.net/usedcar/detail/AU7190765992/index.html</t>
        </is>
      </c>
    </row>
    <row r="495">
      <c r="A495" s="6" t="n">
        <v>2020</v>
      </c>
      <c r="B495" s="7" t="inlineStr">
        <is>
          <t>2WD</t>
        </is>
      </c>
      <c r="C495" s="7" t="inlineStr">
        <is>
          <t>2.2 XD プロアクティブ</t>
        </is>
      </c>
      <c r="D495" s="17" t="n">
        <v>2.3</v>
      </c>
      <c r="E495" s="9" t="n">
        <v>226.9</v>
      </c>
      <c r="F495" s="9" t="n">
        <v>220.8</v>
      </c>
      <c r="G495" s="10" t="n">
        <v>7.7</v>
      </c>
      <c r="H495" s="7" t="inlineStr">
        <is>
          <t>なし</t>
        </is>
      </c>
      <c r="I495" s="7" t="inlineStr">
        <is>
          <t>2027(R09)年08月</t>
        </is>
      </c>
      <c r="J495" s="7" t="inlineStr">
        <is>
          <t>保証付</t>
        </is>
      </c>
      <c r="K495" s="16" t="inlineStr">
        <is>
          <t>走行が多め（7.7万km） / 修復歴なし / 車検 2027/08 まで（残り10ヶ月） / 保証付</t>
        </is>
      </c>
      <c r="L495" s="16" t="inlineStr">
        <is>
          <t>CX-8 2.2 XD プロアクティブ ディーゼルターボ 社外アルミ夏タイヤバックカメラアラウンドビューアイドリングストップクルーズコントロールドアバイザープッシュスタートETCパワーバックドアシートヒーターシートメモリードライブレコー</t>
        </is>
      </c>
      <c r="M495" s="7" t="inlineStr">
        <is>
          <t>https://www.carsensor.net/usedcar/detail/AU7301367137/index.html</t>
        </is>
      </c>
    </row>
    <row r="496">
      <c r="A496" s="11" t="n">
        <v>2020</v>
      </c>
      <c r="B496" s="12" t="inlineStr">
        <is>
          <t>2WD</t>
        </is>
      </c>
      <c r="C496" s="12" t="inlineStr">
        <is>
          <t>2.2 XD プロアクティブ</t>
        </is>
      </c>
      <c r="D496" s="13" t="n">
        <v>1.8</v>
      </c>
      <c r="E496" s="14" t="n">
        <v>149.9</v>
      </c>
      <c r="F496" s="14" t="n">
        <v>144.2</v>
      </c>
      <c r="G496" s="15" t="n">
        <v>14.6</v>
      </c>
      <c r="H496" s="12" t="inlineStr">
        <is>
          <t>なし</t>
        </is>
      </c>
      <c r="I496" s="12" t="inlineStr">
        <is>
          <t>2027(R09)年01月</t>
        </is>
      </c>
      <c r="J496" s="12" t="inlineStr">
        <is>
          <t>保証付</t>
        </is>
      </c>
      <c r="K496" s="16" t="inlineStr">
        <is>
          <t>走行が多め（14.6万km） / 修復歴なし / 車検 2027/01 まで（残り3ヶ月） / 保証付</t>
        </is>
      </c>
      <c r="L496" s="16" t="inlineStr">
        <is>
          <t>CX-8 2.2 XD プロアクティブ ディーゼルターボ 修復歴無し</t>
        </is>
      </c>
      <c r="M496" s="12" t="inlineStr">
        <is>
          <t>https://www.carsensor.net/usedcar/detail/AU7452922830/index.html</t>
        </is>
      </c>
    </row>
    <row r="497">
      <c r="A497" s="6" t="n">
        <v>2021</v>
      </c>
      <c r="B497" s="7" t="inlineStr">
        <is>
          <t>2WD</t>
        </is>
      </c>
      <c r="C497" s="7" t="inlineStr">
        <is>
          <t>2.2 XD プロアクティブ</t>
        </is>
      </c>
      <c r="D497" s="17" t="n">
        <v>1.5</v>
      </c>
      <c r="E497" s="9" t="n">
        <v>174.8</v>
      </c>
      <c r="F497" s="9" t="n">
        <v>154.9</v>
      </c>
      <c r="G497" s="10" t="n">
        <v>8.199999999999999</v>
      </c>
      <c r="H497" s="7" t="inlineStr">
        <is>
          <t>なし</t>
        </is>
      </c>
      <c r="I497" s="7" t="inlineStr">
        <is>
          <t>車検整備無</t>
        </is>
      </c>
      <c r="J497" s="7" t="inlineStr">
        <is>
          <t>保証無</t>
        </is>
      </c>
      <c r="K497" s="16" t="inlineStr">
        <is>
          <t>走行が多め（8.2万km） / 修復歴なし / 同年式より安い（中央値 279万）</t>
        </is>
      </c>
      <c r="L497" s="16" t="inlineStr">
        <is>
          <t>CX-8 2.2 XD プロアクティブ ディーゼルターボ 禁煙車 純正10.2インチナビ フルセグ アラウンドビューモニター 電動リアゲート パワーシート シートヒーター ステアリングヒーター オートクルーズコントロール 純正19インチアルミホイール ETC</t>
        </is>
      </c>
      <c r="M497" s="7" t="inlineStr">
        <is>
          <t>https://www.carsensor.net/usedcar/detail/AU7443635537/index.html</t>
        </is>
      </c>
    </row>
    <row r="498">
      <c r="A498" s="11" t="n">
        <v>2019</v>
      </c>
      <c r="B498" s="12" t="inlineStr">
        <is>
          <t>2WD</t>
        </is>
      </c>
      <c r="C498" s="12" t="inlineStr">
        <is>
          <t>2.5 25S</t>
        </is>
      </c>
      <c r="D498" s="13" t="n">
        <v>6.5</v>
      </c>
      <c r="E498" s="14" t="n">
        <v>204.3</v>
      </c>
      <c r="F498" s="14" t="n">
        <v>189.8</v>
      </c>
      <c r="G498" s="15" t="n">
        <v>3.2</v>
      </c>
      <c r="H498" s="12" t="inlineStr">
        <is>
          <t>なし</t>
        </is>
      </c>
      <c r="I498" s="12" t="inlineStr">
        <is>
          <t>車検整備付</t>
        </is>
      </c>
      <c r="J498" s="12" t="inlineStr">
        <is>
          <t>保証付</t>
        </is>
      </c>
      <c r="K498" s="16" t="inlineStr">
        <is>
          <t>走行が少なめ（3.2万km） / 修復歴なし / 車検整備付 / 保証付 / 同年式より安い（中央値 231万）</t>
        </is>
      </c>
      <c r="L498" s="16" t="inlineStr">
        <is>
          <t>CX-8 2.5 25S</t>
        </is>
      </c>
      <c r="M498" s="12" t="inlineStr">
        <is>
          <t>https://www.carsensor.net/usedcar/detail/AU7450485320/index.html</t>
        </is>
      </c>
    </row>
    <row r="499">
      <c r="A499" s="6" t="n">
        <v>2019</v>
      </c>
      <c r="B499" s="7" t="inlineStr">
        <is>
          <t>2WD</t>
        </is>
      </c>
      <c r="C499" s="7" t="inlineStr">
        <is>
          <t>2.5 25S</t>
        </is>
      </c>
      <c r="D499" s="17" t="n">
        <v>4</v>
      </c>
      <c r="E499" s="9" t="n">
        <v>213.7</v>
      </c>
      <c r="F499" s="9" t="n">
        <v>199.8</v>
      </c>
      <c r="G499" s="10" t="n">
        <v>5</v>
      </c>
      <c r="H499" s="7" t="inlineStr">
        <is>
          <t>なし</t>
        </is>
      </c>
      <c r="I499" s="7" t="inlineStr">
        <is>
          <t>車検整備付</t>
        </is>
      </c>
      <c r="J499" s="7" t="inlineStr">
        <is>
          <t>保証付</t>
        </is>
      </c>
      <c r="K499" s="16" t="inlineStr">
        <is>
          <t>修復歴なし / 車検整備付 / 保証付</t>
        </is>
      </c>
      <c r="L499" s="16" t="inlineStr">
        <is>
          <t>CX-8 2.5 25S</t>
        </is>
      </c>
      <c r="M499" s="7" t="inlineStr">
        <is>
          <t>https://www.carsensor.net/usedcar/detail/AU7304006339/index.html</t>
        </is>
      </c>
    </row>
    <row r="500">
      <c r="A500" s="11" t="n">
        <v>2023</v>
      </c>
      <c r="B500" s="12" t="inlineStr">
        <is>
          <t>2WD</t>
        </is>
      </c>
      <c r="C500" s="12" t="inlineStr">
        <is>
          <t>2.5 25S 10.25インチナビ</t>
        </is>
      </c>
      <c r="D500" s="13" t="n">
        <v>6.5</v>
      </c>
      <c r="E500" s="14" t="n">
        <v>289.9</v>
      </c>
      <c r="F500" s="14" t="n">
        <v>272.6</v>
      </c>
      <c r="G500" s="15" t="n">
        <v>2.4</v>
      </c>
      <c r="H500" s="12" t="inlineStr">
        <is>
          <t>なし</t>
        </is>
      </c>
      <c r="I500" s="12" t="inlineStr">
        <is>
          <t>車検整備付</t>
        </is>
      </c>
      <c r="J500" s="12" t="inlineStr">
        <is>
          <t>保証付</t>
        </is>
      </c>
      <c r="K500" s="16" t="inlineStr">
        <is>
          <t>走行が少なめ（2.4万km） / 修復歴なし / 車検整備付 / 保証付 / 同年式より安い（中央値 348万）</t>
        </is>
      </c>
      <c r="L500" s="16" t="inlineStr">
        <is>
          <t>CX-8 2.5 25S 10.25インチナビ 禁煙車 360℃ビューモニター ETC ドライブレコーダー スマートシティブレーキサポート レーダークルーズコントロール フルセグ Bluetooth接続可 LEDヘッドライト</t>
        </is>
      </c>
      <c r="M500" s="12" t="inlineStr">
        <is>
          <t>https://www.carsensor.net/usedcar/detail/AU7293219875/index.html</t>
        </is>
      </c>
    </row>
    <row r="501">
      <c r="A501" s="6" t="n">
        <v>2020</v>
      </c>
      <c r="B501" s="7" t="inlineStr">
        <is>
          <t>2WD</t>
        </is>
      </c>
      <c r="C501" s="7" t="inlineStr">
        <is>
          <t>2.5 25S 2WD</t>
        </is>
      </c>
      <c r="D501" s="17" t="n">
        <v>4.7</v>
      </c>
      <c r="E501" s="9" t="n">
        <v>222</v>
      </c>
      <c r="F501" s="9" t="n">
        <v>209</v>
      </c>
      <c r="G501" s="10" t="n">
        <v>4.4</v>
      </c>
      <c r="H501" s="7" t="inlineStr">
        <is>
          <t>なし</t>
        </is>
      </c>
      <c r="I501" s="7" t="inlineStr">
        <is>
          <t>2027(R09)年06月</t>
        </is>
      </c>
      <c r="J501" s="7" t="inlineStr">
        <is>
          <t>保証付</t>
        </is>
      </c>
      <c r="K501" s="16" t="inlineStr">
        <is>
          <t>修復歴なし / 車検 2027/06 まで（残り8ヶ月） / 保証付 / 同年式より安い（中央値 250万）</t>
        </is>
      </c>
      <c r="L501" s="16" t="inlineStr">
        <is>
          <t>CX-8 2.5 25S 2WD SKYACTIV-G2.5</t>
        </is>
      </c>
      <c r="M501" s="7" t="inlineStr">
        <is>
          <t>https://www.carsensor.net/usedcar/detail/AU7107048538/index.html</t>
        </is>
      </c>
    </row>
    <row r="502">
      <c r="A502" s="11" t="n">
        <v>2021</v>
      </c>
      <c r="B502" s="12" t="inlineStr">
        <is>
          <t>2WD</t>
        </is>
      </c>
      <c r="C502" s="12" t="inlineStr">
        <is>
          <t>2.5 25S Lパッケージ</t>
        </is>
      </c>
      <c r="D502" s="13" t="n">
        <v>7</v>
      </c>
      <c r="E502" s="14" t="n">
        <v>293</v>
      </c>
      <c r="F502" s="14" t="n">
        <v>279.8</v>
      </c>
      <c r="G502" s="15" t="n">
        <v>1.4</v>
      </c>
      <c r="H502" s="12" t="inlineStr">
        <is>
          <t>なし</t>
        </is>
      </c>
      <c r="I502" s="12" t="inlineStr">
        <is>
          <t>車検整備付</t>
        </is>
      </c>
      <c r="J502" s="12" t="inlineStr">
        <is>
          <t>保証付</t>
        </is>
      </c>
      <c r="K502" s="16" t="inlineStr">
        <is>
          <t>同年式の半分以下の走行（1.4万km） / 修復歴なし / 車検整備付 / 保証付</t>
        </is>
      </c>
      <c r="L502" s="16" t="inlineStr">
        <is>
          <t>CX-8 2.5 25S Lパッケージ 6人乗り シートベンチレーション</t>
        </is>
      </c>
      <c r="M502" s="12" t="inlineStr">
        <is>
          <t>https://www.carsensor.net/usedcar/detail/AU7386794139/index.html</t>
        </is>
      </c>
    </row>
    <row r="503">
      <c r="A503" s="6" t="n">
        <v>2019</v>
      </c>
      <c r="B503" s="7" t="inlineStr">
        <is>
          <t>2WD</t>
        </is>
      </c>
      <c r="C503" s="7" t="inlineStr">
        <is>
          <t>2.5 25S Lパッケージ</t>
        </is>
      </c>
      <c r="D503" s="17" t="n">
        <v>6</v>
      </c>
      <c r="E503" s="9" t="n">
        <v>218.5</v>
      </c>
      <c r="F503" s="9" t="n">
        <v>204.6</v>
      </c>
      <c r="G503" s="10" t="n">
        <v>4.2</v>
      </c>
      <c r="H503" s="7" t="inlineStr">
        <is>
          <t>なし</t>
        </is>
      </c>
      <c r="I503" s="7" t="inlineStr">
        <is>
          <t>2028(R10)年04月</t>
        </is>
      </c>
      <c r="J503" s="7" t="inlineStr">
        <is>
          <t>保証付</t>
        </is>
      </c>
      <c r="K503" s="16" t="inlineStr">
        <is>
          <t>走行が少なめ（4.2万km） / 修復歴なし / 車検 2028/04 まで（残り18ヶ月） / 保証付</t>
        </is>
      </c>
      <c r="L503" s="16" t="inlineStr">
        <is>
          <t>CX-8 2.5 25S Lパッケージ 6人・本革エアシート・全方位カメラ・ナビ ・フルセグ・ETC・前後ドラレコ・Pバックドア・ルーフレール・19AW・LEDライト・LEDフォグ・オート格納ミラー・2列目シートヒーター・Rサンシェード・前後ソナー・マット</t>
        </is>
      </c>
      <c r="M503" s="7" t="inlineStr">
        <is>
          <t>https://www.carsensor.net/usedcar/detail/AU7410961870/index.html</t>
        </is>
      </c>
    </row>
    <row r="504">
      <c r="A504" s="11" t="n">
        <v>2019</v>
      </c>
      <c r="B504" s="12" t="inlineStr">
        <is>
          <t>2WD</t>
        </is>
      </c>
      <c r="C504" s="12" t="inlineStr">
        <is>
          <t>2.5 25S Lパッケージ</t>
        </is>
      </c>
      <c r="D504" s="13" t="n">
        <v>5.5</v>
      </c>
      <c r="E504" s="14" t="n">
        <v>240.3</v>
      </c>
      <c r="F504" s="14" t="n">
        <v>225</v>
      </c>
      <c r="G504" s="15" t="n">
        <v>3.2</v>
      </c>
      <c r="H504" s="12" t="inlineStr">
        <is>
          <t>なし</t>
        </is>
      </c>
      <c r="I504" s="12" t="inlineStr">
        <is>
          <t>車検整備付</t>
        </is>
      </c>
      <c r="J504" s="12" t="inlineStr">
        <is>
          <t>保証付</t>
        </is>
      </c>
      <c r="K504" s="16" t="inlineStr">
        <is>
          <t>走行が少なめ（3.2万km） / 修復歴なし / 車検整備付 / 保証付</t>
        </is>
      </c>
      <c r="L504" s="16" t="inlineStr">
        <is>
          <t>CX-8 2.5 25S Lパッケージ 革シ-ト 最長5年保証 ワンオ-ナ- 純正ナビ TV Rカメラ マルチビュ- BTオ-ディオ DVD ドラレコ 衝突軽減B ETC LEDライト 横滑り防止 シ-トヒ-タ- クルコン アルミ AAC</t>
        </is>
      </c>
      <c r="M504" s="12" t="inlineStr">
        <is>
          <t>https://www.carsensor.net/usedcar/detail/AU7231245028/index.html</t>
        </is>
      </c>
    </row>
    <row r="505">
      <c r="A505" s="6" t="n">
        <v>2020</v>
      </c>
      <c r="B505" s="7" t="inlineStr">
        <is>
          <t>2WD</t>
        </is>
      </c>
      <c r="C505" s="7" t="inlineStr">
        <is>
          <t>2.5 25S Lパッケージ</t>
        </is>
      </c>
      <c r="D505" s="17" t="n">
        <v>5.5</v>
      </c>
      <c r="E505" s="9" t="n">
        <v>259.8</v>
      </c>
      <c r="F505" s="9" t="n">
        <v>249.7</v>
      </c>
      <c r="G505" s="10" t="n">
        <v>3.1</v>
      </c>
      <c r="H505" s="7" t="inlineStr">
        <is>
          <t>なし</t>
        </is>
      </c>
      <c r="I505" s="7" t="inlineStr">
        <is>
          <t>車検整備付</t>
        </is>
      </c>
      <c r="J505" s="7" t="inlineStr">
        <is>
          <t>保証付</t>
        </is>
      </c>
      <c r="K505" s="16" t="inlineStr">
        <is>
          <t>走行が少なめ（3.1万km） / 修復歴なし / 車検整備付 / 保証付</t>
        </is>
      </c>
      <c r="L505" s="16" t="inlineStr">
        <is>
          <t>CX-8 2.5 25S Lパッケージ 禁煙車/純正ナビ/BSM/フリップダウンモニター/全周囲カメラ/レーダークルーズコントロール/メモリ付きパワーシート/全席シートヒーター/エアシート/パワーバックドア/ステアリングヒーター</t>
        </is>
      </c>
      <c r="M505" s="7" t="inlineStr">
        <is>
          <t>https://www.carsensor.net/usedcar/detail/AU7418529267/index.html</t>
        </is>
      </c>
    </row>
    <row r="506">
      <c r="A506" s="11" t="n">
        <v>2020</v>
      </c>
      <c r="B506" s="12" t="inlineStr">
        <is>
          <t>2WD</t>
        </is>
      </c>
      <c r="C506" s="12" t="inlineStr">
        <is>
          <t>2.5 25S Lパッケージ</t>
        </is>
      </c>
      <c r="D506" s="13" t="n">
        <v>5.5</v>
      </c>
      <c r="E506" s="14" t="n">
        <v>272.5</v>
      </c>
      <c r="F506" s="14" t="n">
        <v>259.8</v>
      </c>
      <c r="G506" s="15" t="n">
        <v>3.6</v>
      </c>
      <c r="H506" s="12" t="inlineStr">
        <is>
          <t>なし</t>
        </is>
      </c>
      <c r="I506" s="12" t="inlineStr">
        <is>
          <t>車検整備付</t>
        </is>
      </c>
      <c r="J506" s="12" t="inlineStr">
        <is>
          <t>保証付</t>
        </is>
      </c>
      <c r="K506" s="16" t="inlineStr">
        <is>
          <t>走行が少なめ（3.6万km） / 修復歴なし / 車検整備付 / 保証付</t>
        </is>
      </c>
      <c r="L506" s="16" t="inlineStr">
        <is>
          <t>CX-8 2.5 25S Lパッケージ 評価書付中古車</t>
        </is>
      </c>
      <c r="M506" s="12" t="inlineStr">
        <is>
          <t>https://www.carsensor.net/usedcar/detail/AU7425366517/index.html</t>
        </is>
      </c>
    </row>
    <row r="507">
      <c r="A507" s="6" t="n">
        <v>2021</v>
      </c>
      <c r="B507" s="7" t="inlineStr">
        <is>
          <t>2WD</t>
        </is>
      </c>
      <c r="C507" s="7" t="inlineStr">
        <is>
          <t>2.5 25S Lパッケージ</t>
        </is>
      </c>
      <c r="D507" s="17" t="n">
        <v>5.5</v>
      </c>
      <c r="E507" s="9" t="n">
        <v>289.9</v>
      </c>
      <c r="F507" s="9" t="n">
        <v>272.6</v>
      </c>
      <c r="G507" s="10" t="n">
        <v>3.6</v>
      </c>
      <c r="H507" s="7" t="inlineStr">
        <is>
          <t>なし</t>
        </is>
      </c>
      <c r="I507" s="7" t="inlineStr">
        <is>
          <t>車検整備付</t>
        </is>
      </c>
      <c r="J507" s="7" t="inlineStr">
        <is>
          <t>保証付</t>
        </is>
      </c>
      <c r="K507" s="16" t="inlineStr">
        <is>
          <t>走行が少なめ（3.6万km） / 修復歴なし / 車検整備付 / 保証付</t>
        </is>
      </c>
      <c r="L507" s="16" t="inlineStr">
        <is>
          <t>CX-8 2.5 25S Lパッケージ 10.25インチナビ 禁煙車 360℃ビューモニター アドバンスドスマートシティブレーキサポート ブラインドスポットモニター ETC ドライブレコーダー BOSEサウンド シートベンチレーション</t>
        </is>
      </c>
      <c r="M507" s="7" t="inlineStr">
        <is>
          <t>https://www.carsensor.net/usedcar/detail/AU7371784134/index.html</t>
        </is>
      </c>
    </row>
    <row r="508">
      <c r="A508" s="11" t="n">
        <v>2021</v>
      </c>
      <c r="B508" s="12" t="inlineStr">
        <is>
          <t>2WD</t>
        </is>
      </c>
      <c r="C508" s="12" t="inlineStr">
        <is>
          <t>2.5 25S Lパッケージ</t>
        </is>
      </c>
      <c r="D508" s="13" t="n">
        <v>5.5</v>
      </c>
      <c r="E508" s="14" t="n">
        <v>289.9</v>
      </c>
      <c r="F508" s="14" t="n">
        <v>276.9</v>
      </c>
      <c r="G508" s="15" t="n">
        <v>3.1</v>
      </c>
      <c r="H508" s="12" t="inlineStr">
        <is>
          <t>なし</t>
        </is>
      </c>
      <c r="I508" s="12" t="inlineStr">
        <is>
          <t>車検整備付</t>
        </is>
      </c>
      <c r="J508" s="12" t="inlineStr">
        <is>
          <t>保証付</t>
        </is>
      </c>
      <c r="K508" s="16" t="inlineStr">
        <is>
          <t>走行が少なめ（3.1万km） / 修復歴なし / 車検整備付 / 保証付</t>
        </is>
      </c>
      <c r="L508" s="16" t="inlineStr">
        <is>
          <t>CX-8 2.5 25S Lパッケージ 新品タイヤ/サンルーフ/JBL/10.2インチ メモリーナビ/アイアクティブセンス/シートヒーター 前席/360°ビューモニター/車線逸脱防止支援システム/シート フルレザー</t>
        </is>
      </c>
      <c r="M508" s="12" t="inlineStr">
        <is>
          <t>https://www.carsensor.net/usedcar/detail/AU7441487207/index.html</t>
        </is>
      </c>
    </row>
    <row r="509">
      <c r="A509" s="6" t="n">
        <v>2022</v>
      </c>
      <c r="B509" s="7" t="inlineStr">
        <is>
          <t>2WD</t>
        </is>
      </c>
      <c r="C509" s="7" t="inlineStr">
        <is>
          <t>2.5 25S Lパッケージ</t>
        </is>
      </c>
      <c r="D509" s="17" t="n">
        <v>5.5</v>
      </c>
      <c r="E509" s="9" t="n">
        <v>333.8</v>
      </c>
      <c r="F509" s="9" t="n">
        <v>318.8</v>
      </c>
      <c r="G509" s="10" t="n">
        <v>2.3</v>
      </c>
      <c r="H509" s="7" t="inlineStr">
        <is>
          <t>なし</t>
        </is>
      </c>
      <c r="I509" s="7" t="inlineStr">
        <is>
          <t>車検整備付</t>
        </is>
      </c>
      <c r="J509" s="7" t="inlineStr">
        <is>
          <t>保証付</t>
        </is>
      </c>
      <c r="K509" s="16" t="inlineStr">
        <is>
          <t>走行が少なめ（2.3万km） / 修復歴なし / 車検整備付 / 保証付</t>
        </is>
      </c>
      <c r="L509" s="16" t="inlineStr">
        <is>
          <t>CX-8 2.5 25S Lパッケージ ワンオーナー 全周囲カメラ ETC ローダ</t>
        </is>
      </c>
      <c r="M509" s="7" t="inlineStr">
        <is>
          <t>https://www.carsensor.net/usedcar/detail/AU7094414662/index.html</t>
        </is>
      </c>
    </row>
    <row r="510">
      <c r="A510" s="11" t="n">
        <v>2022</v>
      </c>
      <c r="B510" s="12" t="inlineStr">
        <is>
          <t>2WD</t>
        </is>
      </c>
      <c r="C510" s="12" t="inlineStr">
        <is>
          <t>2.5 25S Lパッケージ</t>
        </is>
      </c>
      <c r="D510" s="13" t="n">
        <v>5.5</v>
      </c>
      <c r="E510" s="14" t="n">
        <v>319.7</v>
      </c>
      <c r="F510" s="14" t="n">
        <v>305.1</v>
      </c>
      <c r="G510" s="15" t="n">
        <v>2.8</v>
      </c>
      <c r="H510" s="12" t="inlineStr">
        <is>
          <t>なし</t>
        </is>
      </c>
      <c r="I510" s="12" t="inlineStr">
        <is>
          <t>車検整備付</t>
        </is>
      </c>
      <c r="J510" s="12" t="inlineStr">
        <is>
          <t>保証付</t>
        </is>
      </c>
      <c r="K510" s="16" t="inlineStr">
        <is>
          <t>走行が少なめ（2.8万km） / 修復歴なし / 車検整備付 / 保証付</t>
        </is>
      </c>
      <c r="L510" s="16" t="inlineStr">
        <is>
          <t>CX-8 2.5 25S Lパッケージ 6人乗り バーガンディスムースレザーシ</t>
        </is>
      </c>
      <c r="M510" s="12" t="inlineStr">
        <is>
          <t>https://www.carsensor.net/usedcar/detail/AU7446359718/index.html</t>
        </is>
      </c>
    </row>
    <row r="511">
      <c r="A511" s="6" t="n">
        <v>2022</v>
      </c>
      <c r="B511" s="7" t="inlineStr">
        <is>
          <t>2WD</t>
        </is>
      </c>
      <c r="C511" s="7" t="inlineStr">
        <is>
          <t>2.5 25S Lパッケージ</t>
        </is>
      </c>
      <c r="D511" s="17" t="n">
        <v>5.5</v>
      </c>
      <c r="E511" s="9" t="n">
        <v>317.8</v>
      </c>
      <c r="F511" s="9" t="n">
        <v>303.8</v>
      </c>
      <c r="G511" s="10" t="n">
        <v>3.1</v>
      </c>
      <c r="H511" s="7" t="inlineStr">
        <is>
          <t>なし</t>
        </is>
      </c>
      <c r="I511" s="7" t="inlineStr">
        <is>
          <t>車検整備付</t>
        </is>
      </c>
      <c r="J511" s="7" t="inlineStr">
        <is>
          <t>保証付</t>
        </is>
      </c>
      <c r="K511" s="16" t="inlineStr">
        <is>
          <t>走行が少なめ（3.1万km） / 修復歴なし / 車検整備付 / 保証付</t>
        </is>
      </c>
      <c r="L511" s="16" t="inlineStr">
        <is>
          <t>CX-8 2.5 25S Lパッケージ ワンオーナー BOSE ETC 純正前後ドライブレコーダー 7人乗り リアシートモニター 360°全方位カメラ 黒革シート 前列電動シート</t>
        </is>
      </c>
      <c r="M511" s="7" t="inlineStr">
        <is>
          <t>https://www.carsensor.net/usedcar/detail/AU7305258420/index.html</t>
        </is>
      </c>
    </row>
    <row r="512">
      <c r="A512" s="11" t="n">
        <v>2022</v>
      </c>
      <c r="B512" s="12" t="inlineStr">
        <is>
          <t>2WD</t>
        </is>
      </c>
      <c r="C512" s="12" t="inlineStr">
        <is>
          <t>2.5 25S Lパッケージ</t>
        </is>
      </c>
      <c r="D512" s="13" t="n">
        <v>4.9</v>
      </c>
      <c r="E512" s="14" t="n">
        <v>291.9</v>
      </c>
      <c r="F512" s="14" t="n">
        <v>279</v>
      </c>
      <c r="G512" s="15" t="n">
        <v>3.1</v>
      </c>
      <c r="H512" s="12" t="inlineStr">
        <is>
          <t>なし</t>
        </is>
      </c>
      <c r="I512" s="12" t="inlineStr">
        <is>
          <t>2027(R09)年03月</t>
        </is>
      </c>
      <c r="J512" s="12" t="inlineStr">
        <is>
          <t>保証付</t>
        </is>
      </c>
      <c r="K512" s="16" t="inlineStr">
        <is>
          <t>走行が少なめ（3.1万km） / 修復歴なし / 車検 2027/03 まで（残り5ヶ月） / 保証付</t>
        </is>
      </c>
      <c r="L512" s="16" t="inlineStr">
        <is>
          <t>CX-8 2.5 25S Lパッケージ BODE 全方位モニター シートヒーター ベンチレーション パワーバックドア レザーシート 純正ナビ TV 純正ドライブレコーダー 純正アルミホイール レーダークルーズコントロール 衝突軽減ブレーキ ETC LED</t>
        </is>
      </c>
      <c r="M512" s="12" t="inlineStr">
        <is>
          <t>https://www.carsensor.net/usedcar/detail/AU7439670571/index.html</t>
        </is>
      </c>
    </row>
    <row r="513">
      <c r="A513" s="6" t="n">
        <v>2022</v>
      </c>
      <c r="B513" s="7" t="inlineStr">
        <is>
          <t>2WD</t>
        </is>
      </c>
      <c r="C513" s="7" t="inlineStr">
        <is>
          <t>2.5 25S Lパッケージ</t>
        </is>
      </c>
      <c r="D513" s="17" t="n">
        <v>4.8</v>
      </c>
      <c r="E513" s="9" t="n">
        <v>299.1</v>
      </c>
      <c r="F513" s="9" t="n">
        <v>289.8</v>
      </c>
      <c r="G513" s="10" t="n">
        <v>2.8</v>
      </c>
      <c r="H513" s="7" t="inlineStr">
        <is>
          <t>なし</t>
        </is>
      </c>
      <c r="I513" s="7" t="inlineStr">
        <is>
          <t>2027(R09)年02月</t>
        </is>
      </c>
      <c r="J513" s="7" t="inlineStr">
        <is>
          <t>保証付</t>
        </is>
      </c>
      <c r="K513" s="16" t="inlineStr">
        <is>
          <t>走行が少なめ（2.8万km） / 修復歴なし / 車検 2027/02 まで（残り4ヶ月） / 保証付</t>
        </is>
      </c>
      <c r="L513" s="16" t="inlineStr">
        <is>
          <t>CX-8 2.5 25S Lパッケージ 6人乗り 6スピーカー</t>
        </is>
      </c>
      <c r="M513" s="7" t="inlineStr">
        <is>
          <t>https://www.carsensor.net/usedcar/detail/AU7280285748/index.html</t>
        </is>
      </c>
    </row>
    <row r="514">
      <c r="A514" s="11" t="n">
        <v>2019</v>
      </c>
      <c r="B514" s="12" t="inlineStr">
        <is>
          <t>2WD</t>
        </is>
      </c>
      <c r="C514" s="12" t="inlineStr">
        <is>
          <t>2.5 25S Lパッケージ</t>
        </is>
      </c>
      <c r="D514" s="13" t="n">
        <v>4.6</v>
      </c>
      <c r="E514" s="14" t="n">
        <v>227.4</v>
      </c>
      <c r="F514" s="14" t="n">
        <v>215.7</v>
      </c>
      <c r="G514" s="15" t="n">
        <v>7.2</v>
      </c>
      <c r="H514" s="12" t="inlineStr">
        <is>
          <t>なし</t>
        </is>
      </c>
      <c r="I514" s="12" t="inlineStr">
        <is>
          <t>2028(R10)年05月</t>
        </is>
      </c>
      <c r="J514" s="12" t="inlineStr">
        <is>
          <t>保証付</t>
        </is>
      </c>
      <c r="K514" s="16" t="inlineStr">
        <is>
          <t>修復歴なし / 車検 2028/05 まで（残り19ヶ月） / 保証付</t>
        </is>
      </c>
      <c r="L514" s="16" t="inlineStr">
        <is>
          <t>CX-8 2.5 25S Lパッケージ 衝突被害軽減システム レーダークルーズ レーンアシスト 全方位モニター パーキングセンサー 純正ナビ フルセグ Bluetooth 後席モニター スマートキー ETC パワーシート 電動リアゲート</t>
        </is>
      </c>
      <c r="M514" s="12" t="inlineStr">
        <is>
          <t>https://www.carsensor.net/usedcar/detail/AU7446353168/index.html</t>
        </is>
      </c>
    </row>
    <row r="515">
      <c r="A515" s="6" t="n">
        <v>2019</v>
      </c>
      <c r="B515" s="7" t="inlineStr">
        <is>
          <t>2WD</t>
        </is>
      </c>
      <c r="C515" s="7" t="inlineStr">
        <is>
          <t>2.5 25S Lパッケージ</t>
        </is>
      </c>
      <c r="D515" s="17" t="n">
        <v>4.6</v>
      </c>
      <c r="E515" s="9" t="n">
        <v>245.8</v>
      </c>
      <c r="F515" s="9" t="n">
        <v>239.3</v>
      </c>
      <c r="G515" s="10" t="n">
        <v>5.6</v>
      </c>
      <c r="H515" s="7" t="inlineStr">
        <is>
          <t>なし</t>
        </is>
      </c>
      <c r="I515" s="7" t="inlineStr">
        <is>
          <t>2028(R10)年05月</t>
        </is>
      </c>
      <c r="J515" s="7" t="inlineStr">
        <is>
          <t>保証付</t>
        </is>
      </c>
      <c r="K515" s="16" t="inlineStr">
        <is>
          <t>修復歴なし / 車検 2028/05 まで（残り19ヶ月） / 保証付</t>
        </is>
      </c>
      <c r="L515" s="16" t="inlineStr">
        <is>
          <t>CX-8 2.5 25S Lパッケージ BOSE/白革/全方位/2列目コンソール/TV/BSM</t>
        </is>
      </c>
      <c r="M515" s="7" t="inlineStr">
        <is>
          <t>https://www.carsensor.net/usedcar/detail/AU7449026424/index.html</t>
        </is>
      </c>
    </row>
    <row r="516">
      <c r="A516" s="11" t="n">
        <v>2021</v>
      </c>
      <c r="B516" s="12" t="inlineStr">
        <is>
          <t>2WD</t>
        </is>
      </c>
      <c r="C516" s="12" t="inlineStr">
        <is>
          <t>2.5 25S Lパッケージ</t>
        </is>
      </c>
      <c r="D516" s="13" t="n">
        <v>4.4</v>
      </c>
      <c r="E516" s="14" t="n">
        <v>278.8</v>
      </c>
      <c r="F516" s="14" t="n">
        <v>272.3</v>
      </c>
      <c r="G516" s="15" t="n">
        <v>4.6</v>
      </c>
      <c r="H516" s="12" t="inlineStr">
        <is>
          <t>なし</t>
        </is>
      </c>
      <c r="I516" s="12" t="inlineStr">
        <is>
          <t>2028(R10)年03月</t>
        </is>
      </c>
      <c r="J516" s="12" t="inlineStr">
        <is>
          <t>保証付</t>
        </is>
      </c>
      <c r="K516" s="16" t="inlineStr">
        <is>
          <t>修復歴なし / 車検 2028/03 まで（残り17ヶ月） / 保証付</t>
        </is>
      </c>
      <c r="L516" s="16" t="inlineStr">
        <is>
          <t>CX-8 2.5 25S Lパッケージ 県外仕入 純正ナビTV 全方位カメラ 黒革シート パワーシート シートヒータ パワーバックドア ヘッドアップディスプレイ ブラインドスポットモニター LEDヘッドライト 純正19インチアルミホイール</t>
        </is>
      </c>
      <c r="M516" s="12" t="inlineStr">
        <is>
          <t>https://www.carsensor.net/usedcar/detail/AU7320957186/index.html</t>
        </is>
      </c>
    </row>
    <row r="517">
      <c r="A517" s="6" t="n">
        <v>2018</v>
      </c>
      <c r="B517" s="7" t="inlineStr">
        <is>
          <t>2WD</t>
        </is>
      </c>
      <c r="C517" s="7" t="inlineStr">
        <is>
          <t>2.5 25S Lパッケージ</t>
        </is>
      </c>
      <c r="D517" s="17" t="n">
        <v>4</v>
      </c>
      <c r="E517" s="9" t="n">
        <v>179.9</v>
      </c>
      <c r="F517" s="9" t="n">
        <v>168.9</v>
      </c>
      <c r="G517" s="10" t="n">
        <v>9.9</v>
      </c>
      <c r="H517" s="7" t="inlineStr">
        <is>
          <t>なし</t>
        </is>
      </c>
      <c r="I517" s="7" t="inlineStr">
        <is>
          <t>車検整備付</t>
        </is>
      </c>
      <c r="J517" s="7" t="inlineStr">
        <is>
          <t>保証付</t>
        </is>
      </c>
      <c r="K517" s="16" t="inlineStr">
        <is>
          <t>修復歴なし / 車検整備付 / 保証付</t>
        </is>
      </c>
      <c r="L517" s="16" t="inlineStr">
        <is>
          <t>CX-8 2.5 25S Lパッケージ (禁煙車)(純正ナビ)(白革シート)(レーダークルーズコントロール)(マツダコネクト)(クリアランスソナー)(電動リアゲート)(純正19インチAW)(シートヒーター)(シートメモリ)(オートライト)</t>
        </is>
      </c>
      <c r="M517" s="7" t="inlineStr">
        <is>
          <t>https://www.carsensor.net/usedcar/detail/AU7311310392/index.html</t>
        </is>
      </c>
    </row>
    <row r="518">
      <c r="A518" s="11" t="n">
        <v>2018</v>
      </c>
      <c r="B518" s="12" t="inlineStr">
        <is>
          <t>2WD</t>
        </is>
      </c>
      <c r="C518" s="12" t="inlineStr">
        <is>
          <t>2.5 25S Lパッケージ</t>
        </is>
      </c>
      <c r="D518" s="13" t="n">
        <v>4</v>
      </c>
      <c r="E518" s="14" t="n">
        <v>213.7</v>
      </c>
      <c r="F518" s="14" t="n">
        <v>199.8</v>
      </c>
      <c r="G518" s="15" t="n">
        <v>6.3</v>
      </c>
      <c r="H518" s="12" t="inlineStr">
        <is>
          <t>なし</t>
        </is>
      </c>
      <c r="I518" s="12" t="inlineStr">
        <is>
          <t>車検整備付</t>
        </is>
      </c>
      <c r="J518" s="12" t="inlineStr">
        <is>
          <t>保証付</t>
        </is>
      </c>
      <c r="K518" s="16" t="inlineStr">
        <is>
          <t>修復歴なし / 車検整備付 / 保証付</t>
        </is>
      </c>
      <c r="L518" s="16" t="inlineStr">
        <is>
          <t>CX-8 2.5 25S Lパッケージ ETC車載器 衝突被害軽減ブレーキ 360°ビューモニター 運転席パワーシート BOSEサウンドシステム</t>
        </is>
      </c>
      <c r="M518" s="12" t="inlineStr">
        <is>
          <t>https://www.carsensor.net/usedcar/detail/AU7417814473/index.html</t>
        </is>
      </c>
    </row>
    <row r="519">
      <c r="A519" s="6" t="n">
        <v>2019</v>
      </c>
      <c r="B519" s="7" t="inlineStr">
        <is>
          <t>2WD</t>
        </is>
      </c>
      <c r="C519" s="7" t="inlineStr">
        <is>
          <t>2.5 25S Lパッケージ</t>
        </is>
      </c>
      <c r="D519" s="17" t="n">
        <v>4</v>
      </c>
      <c r="E519" s="9" t="n">
        <v>232.2</v>
      </c>
      <c r="F519" s="9" t="n">
        <v>215</v>
      </c>
      <c r="G519" s="10" t="n">
        <v>7.9</v>
      </c>
      <c r="H519" s="7" t="inlineStr">
        <is>
          <t>なし</t>
        </is>
      </c>
      <c r="I519" s="7" t="inlineStr">
        <is>
          <t>車検整備付</t>
        </is>
      </c>
      <c r="J519" s="7" t="inlineStr">
        <is>
          <t>保証付</t>
        </is>
      </c>
      <c r="K519" s="16" t="inlineStr">
        <is>
          <t>修復歴なし / 車検整備付 / 保証付</t>
        </is>
      </c>
      <c r="L519" s="16" t="inlineStr">
        <is>
          <t>CX-8 2.5 25S Lパッケージ 純正ナビ 全周囲カメラ 衝突軽減 レーダークルーズ BSM HUD パワーバックドア ナッパレザーシート シートベンチレーション ステアリングヒーター パワーバックドア コーナーセンサー ルーフレール</t>
        </is>
      </c>
      <c r="M519" s="7" t="inlineStr">
        <is>
          <t>https://www.carsensor.net/usedcar/detail/AU7412414566/index.html</t>
        </is>
      </c>
    </row>
    <row r="520">
      <c r="A520" s="11" t="n">
        <v>2019</v>
      </c>
      <c r="B520" s="12" t="inlineStr">
        <is>
          <t>2WD</t>
        </is>
      </c>
      <c r="C520" s="12" t="inlineStr">
        <is>
          <t>2.5 25S Lパッケージ</t>
        </is>
      </c>
      <c r="D520" s="13" t="n">
        <v>4</v>
      </c>
      <c r="E520" s="14" t="n">
        <v>259.8</v>
      </c>
      <c r="F520" s="14" t="n">
        <v>249.7</v>
      </c>
      <c r="G520" s="15" t="n">
        <v>4.7</v>
      </c>
      <c r="H520" s="12" t="inlineStr">
        <is>
          <t>なし</t>
        </is>
      </c>
      <c r="I520" s="12" t="inlineStr">
        <is>
          <t>車検整備付</t>
        </is>
      </c>
      <c r="J520" s="12" t="inlineStr">
        <is>
          <t>保証付</t>
        </is>
      </c>
      <c r="K520" s="16" t="inlineStr">
        <is>
          <t>修復歴なし / 車検整備付 / 保証付</t>
        </is>
      </c>
      <c r="L520" s="16" t="inlineStr">
        <is>
          <t>CX-8 2.5 25S Lパッケージ BOSEスピーカー ワンオーナー 衝突軽減ブレーキ レーンキープアシスト レーダークルーズコントロール BSM 純正ナビ 全周囲カメラ フリップダウンモニター ブラウンレザーシート パワーシート シートヒータ</t>
        </is>
      </c>
      <c r="M520" s="12" t="inlineStr">
        <is>
          <t>https://www.carsensor.net/usedcar/detail/AU7421667205/index.html</t>
        </is>
      </c>
    </row>
    <row r="521">
      <c r="A521" s="6" t="n">
        <v>2020</v>
      </c>
      <c r="B521" s="7" t="inlineStr">
        <is>
          <t>2WD</t>
        </is>
      </c>
      <c r="C521" s="7" t="inlineStr">
        <is>
          <t>2.5 25S Lパッケージ</t>
        </is>
      </c>
      <c r="D521" s="17" t="n">
        <v>4</v>
      </c>
      <c r="E521" s="9" t="n">
        <v>262.2</v>
      </c>
      <c r="F521" s="9" t="n">
        <v>248</v>
      </c>
      <c r="G521" s="10" t="n">
        <v>5.5</v>
      </c>
      <c r="H521" s="7" t="inlineStr">
        <is>
          <t>なし</t>
        </is>
      </c>
      <c r="I521" s="7" t="inlineStr">
        <is>
          <t>車検整備付</t>
        </is>
      </c>
      <c r="J521" s="7" t="inlineStr">
        <is>
          <t>保証付</t>
        </is>
      </c>
      <c r="K521" s="16" t="inlineStr">
        <is>
          <t>修復歴なし / 車検整備付 / 保証付</t>
        </is>
      </c>
      <c r="L521" s="16" t="inlineStr">
        <is>
          <t>CX-8 2.5 25S Lパッケージ ディーラー保証付き ETC ドラレコ 360°ビューモニター BOSEスピーカー クルーズ・コントロール 運転席・助手席シートヒーター パワーリフトゲート</t>
        </is>
      </c>
      <c r="M521" s="7" t="inlineStr">
        <is>
          <t>https://www.carsensor.net/usedcar/detail/AU7271586283/index.html</t>
        </is>
      </c>
    </row>
    <row r="522">
      <c r="A522" s="11" t="n">
        <v>2021</v>
      </c>
      <c r="B522" s="12" t="inlineStr">
        <is>
          <t>2WD</t>
        </is>
      </c>
      <c r="C522" s="12" t="inlineStr">
        <is>
          <t>2.5 25S Lパッケージ</t>
        </is>
      </c>
      <c r="D522" s="13" t="n">
        <v>4</v>
      </c>
      <c r="E522" s="14" t="n">
        <v>268.8</v>
      </c>
      <c r="F522" s="14" t="n">
        <v>249.8</v>
      </c>
      <c r="G522" s="15" t="n">
        <v>4.8</v>
      </c>
      <c r="H522" s="12" t="inlineStr">
        <is>
          <t>なし</t>
        </is>
      </c>
      <c r="I522" s="12" t="inlineStr">
        <is>
          <t>車検整備付</t>
        </is>
      </c>
      <c r="J522" s="12" t="inlineStr">
        <is>
          <t>保証付</t>
        </is>
      </c>
      <c r="K522" s="16" t="inlineStr">
        <is>
          <t>修復歴なし / 車検整備付 / 保証付</t>
        </is>
      </c>
      <c r="L522" s="16" t="inlineStr">
        <is>
          <t>CX-8 2.5 25S Lパッケージ BOSEサウンド・サンルーフ・全方位カメラ・マツダコネクトナビ・パワーゲート・シートヒーター・ステアリングヒーター/クーラー・LEDヘッドライト・スマートキー・純正AW・Bluetooth・ETC・ドライブレコーダー</t>
        </is>
      </c>
      <c r="M522" s="12" t="inlineStr">
        <is>
          <t>https://www.carsensor.net/usedcar/detail/AU7285035316/index.html</t>
        </is>
      </c>
    </row>
    <row r="523">
      <c r="A523" s="6" t="n">
        <v>2021</v>
      </c>
      <c r="B523" s="7" t="inlineStr">
        <is>
          <t>2WD</t>
        </is>
      </c>
      <c r="C523" s="7" t="inlineStr">
        <is>
          <t>2.5 25S Lパッケージ</t>
        </is>
      </c>
      <c r="D523" s="17" t="n">
        <v>4</v>
      </c>
      <c r="E523" s="9" t="n">
        <v>315</v>
      </c>
      <c r="F523" s="9" t="n">
        <v>298</v>
      </c>
      <c r="G523" s="10" t="n">
        <v>4.5</v>
      </c>
      <c r="H523" s="7" t="inlineStr">
        <is>
          <t>なし</t>
        </is>
      </c>
      <c r="I523" s="7" t="inlineStr">
        <is>
          <t>車検整備付</t>
        </is>
      </c>
      <c r="J523" s="7" t="inlineStr">
        <is>
          <t>保証付</t>
        </is>
      </c>
      <c r="K523" s="16" t="inlineStr">
        <is>
          <t>修復歴なし / 車検整備付 / 保証付</t>
        </is>
      </c>
      <c r="L523" s="16" t="inlineStr">
        <is>
          <t>CX-8 2.5 25S Lパッケージ 2.5 25S Lパッケージ 当社下取りワンオーナー/禁煙車・ナビ・AppleCarPlay/Android Auto/Bluetooth/USB/地デジ/ラジオ・360°ビューモニター(前後コーナーセンサー)・ETC/クルーズコントロール/パワーリフトゲート</t>
        </is>
      </c>
      <c r="M523" s="7" t="inlineStr">
        <is>
          <t>https://www.carsensor.net/usedcar/detail/AU7384154964/index.html</t>
        </is>
      </c>
    </row>
    <row r="524">
      <c r="A524" s="11" t="n">
        <v>2022</v>
      </c>
      <c r="B524" s="12" t="inlineStr">
        <is>
          <t>2WD</t>
        </is>
      </c>
      <c r="C524" s="12" t="inlineStr">
        <is>
          <t>2.5 25S Lパッケージ</t>
        </is>
      </c>
      <c r="D524" s="13" t="n">
        <v>3.9</v>
      </c>
      <c r="E524" s="14" t="n">
        <v>289</v>
      </c>
      <c r="F524" s="14" t="n">
        <v>280.8</v>
      </c>
      <c r="G524" s="15" t="n">
        <v>4.6</v>
      </c>
      <c r="H524" s="12" t="inlineStr">
        <is>
          <t>なし</t>
        </is>
      </c>
      <c r="I524" s="12" t="inlineStr">
        <is>
          <t>2027(R09)年09月</t>
        </is>
      </c>
      <c r="J524" s="12" t="inlineStr">
        <is>
          <t>保証付</t>
        </is>
      </c>
      <c r="K524" s="16" t="inlineStr">
        <is>
          <t>修復歴なし / 車検 2027/09 まで（残り11ヶ月） / 保証付</t>
        </is>
      </c>
      <c r="L524" s="16" t="inlineStr">
        <is>
          <t>CX-8 2.5 25S Lパッケージ</t>
        </is>
      </c>
      <c r="M524" s="12" t="inlineStr">
        <is>
          <t>https://www.carsensor.net/usedcar/detail/AU7419562266/index.html</t>
        </is>
      </c>
    </row>
    <row r="525">
      <c r="A525" s="6" t="n">
        <v>2020</v>
      </c>
      <c r="B525" s="7" t="inlineStr">
        <is>
          <t>2WD</t>
        </is>
      </c>
      <c r="C525" s="7" t="inlineStr">
        <is>
          <t>2.5 25S Lパッケージ</t>
        </is>
      </c>
      <c r="D525" s="17" t="n">
        <v>3.4</v>
      </c>
      <c r="E525" s="9" t="n">
        <v>248</v>
      </c>
      <c r="F525" s="9" t="n">
        <v>234.1</v>
      </c>
      <c r="G525" s="10" t="n">
        <v>5.4</v>
      </c>
      <c r="H525" s="7" t="inlineStr">
        <is>
          <t>なし</t>
        </is>
      </c>
      <c r="I525" s="7" t="inlineStr">
        <is>
          <t>2027(R09)年03月</t>
        </is>
      </c>
      <c r="J525" s="7" t="inlineStr">
        <is>
          <t>保証付</t>
        </is>
      </c>
      <c r="K525" s="16" t="inlineStr">
        <is>
          <t>修復歴なし / 車検 2027/03 まで（残り5ヶ月） / 保証付</t>
        </is>
      </c>
      <c r="L525" s="16" t="inlineStr">
        <is>
          <t>CX-8 2.5 25S Lパッケージ アラウンドビューモニター/シートヒーター/シートエアコン/パワーシート/電動リアゲート/ルーフレール/純正19インチAW/クリアランスソナー/BSM/アップルカープレイ/アンドロイドオート</t>
        </is>
      </c>
      <c r="M525" s="7" t="inlineStr">
        <is>
          <t>https://www.carsensor.net/usedcar/detail/AU7413208966/index.html</t>
        </is>
      </c>
    </row>
    <row r="526">
      <c r="A526" s="11" t="n">
        <v>2022</v>
      </c>
      <c r="B526" s="12" t="inlineStr">
        <is>
          <t>2WD</t>
        </is>
      </c>
      <c r="C526" s="12" t="inlineStr">
        <is>
          <t>2.5 25S Lパッケージ</t>
        </is>
      </c>
      <c r="D526" s="13" t="n">
        <v>3.4</v>
      </c>
      <c r="E526" s="14" t="n">
        <v>276.9</v>
      </c>
      <c r="F526" s="14" t="n">
        <v>270.6</v>
      </c>
      <c r="G526" s="15" t="n">
        <v>4.2</v>
      </c>
      <c r="H526" s="12" t="inlineStr">
        <is>
          <t>なし</t>
        </is>
      </c>
      <c r="I526" s="12" t="inlineStr">
        <is>
          <t>2027(R09)年03月</t>
        </is>
      </c>
      <c r="J526" s="12" t="inlineStr">
        <is>
          <t>保証付</t>
        </is>
      </c>
      <c r="K526" s="16" t="inlineStr">
        <is>
          <t>修復歴なし / 車検 2027/03 まで（残り5ヶ月） / 保証付</t>
        </is>
      </c>
      <c r="L526" s="16" t="inlineStr">
        <is>
          <t>CX-8 2.5 25S Lパッケージ BOSE/ディスプレイオーディオ10インチ/アイアクティブセンス/シートヒーター 全席/360°ビューモニター/車線逸脱防止支援システム/シート 合皮/電動バックドア</t>
        </is>
      </c>
      <c r="M526" s="12" t="inlineStr">
        <is>
          <t>https://www.carsensor.net/usedcar/detail/AU7345129485/index.html</t>
        </is>
      </c>
    </row>
    <row r="527">
      <c r="A527" s="6" t="n">
        <v>2022</v>
      </c>
      <c r="B527" s="7" t="inlineStr">
        <is>
          <t>2WD</t>
        </is>
      </c>
      <c r="C527" s="7" t="inlineStr">
        <is>
          <t>2.5 25S Lパッケージ</t>
        </is>
      </c>
      <c r="D527" s="17" t="n">
        <v>2.5</v>
      </c>
      <c r="E527" s="9" t="n">
        <v>289.7</v>
      </c>
      <c r="F527" s="9" t="n">
        <v>272</v>
      </c>
      <c r="G527" s="10" t="n">
        <v>6.5</v>
      </c>
      <c r="H527" s="7" t="inlineStr">
        <is>
          <t>なし</t>
        </is>
      </c>
      <c r="I527" s="7" t="inlineStr">
        <is>
          <t>車検整備付</t>
        </is>
      </c>
      <c r="J527" s="7" t="inlineStr">
        <is>
          <t>保証付</t>
        </is>
      </c>
      <c r="K527" s="16" t="inlineStr">
        <is>
          <t>走行が多め（6.5万km） / 修復歴なし / 車検整備付 / 保証付</t>
        </is>
      </c>
      <c r="L527" s="16" t="inlineStr">
        <is>
          <t>CX-8 2.5 25S Lパッケージ 当社下取り/ワンオーナー/禁煙車/安全装備/BOSEサウンド/レザーシート/サンルーフ/カープレイ対応/6人乗り/ナビ/フルセグTV/360°モニター/ドラレコ2カメラ/BSM/LED/純正19インチアルミ/キーレス</t>
        </is>
      </c>
      <c r="M527" s="7" t="inlineStr">
        <is>
          <t>https://www.carsensor.net/usedcar/detail/AU7441659775/index.html</t>
        </is>
      </c>
    </row>
    <row r="528">
      <c r="A528" s="11" t="n">
        <v>2023</v>
      </c>
      <c r="B528" s="12" t="inlineStr">
        <is>
          <t>2WD</t>
        </is>
      </c>
      <c r="C528" s="12" t="inlineStr">
        <is>
          <t>2.5 25S エクスクルーシブ</t>
        </is>
      </c>
      <c r="D528" s="13" t="n">
        <v>4.3</v>
      </c>
      <c r="E528" s="14" t="n">
        <v>321.8</v>
      </c>
      <c r="F528" s="14" t="n">
        <v>310.8</v>
      </c>
      <c r="G528" s="15" t="n">
        <v>4.4</v>
      </c>
      <c r="H528" s="12" t="inlineStr">
        <is>
          <t>なし</t>
        </is>
      </c>
      <c r="I528" s="12" t="inlineStr">
        <is>
          <t>2028(R10)年02月</t>
        </is>
      </c>
      <c r="J528" s="12" t="inlineStr">
        <is>
          <t>保証付</t>
        </is>
      </c>
      <c r="K528" s="16" t="inlineStr">
        <is>
          <t>修復歴なし / 車検 2028/02 まで（残り16ヶ月） / 保証付</t>
        </is>
      </c>
      <c r="L528" s="16" t="inlineStr">
        <is>
          <t>CX-8 2.5 25S エクスクルーシブ モード 360度モニター BOSE Fベンチレーション</t>
        </is>
      </c>
      <c r="M528" s="12" t="inlineStr">
        <is>
          <t>https://www.carsensor.net/usedcar/detail/AU7347656985/index.html</t>
        </is>
      </c>
    </row>
    <row r="529">
      <c r="A529" s="6" t="n">
        <v>2022</v>
      </c>
      <c r="B529" s="7" t="inlineStr">
        <is>
          <t>2WD</t>
        </is>
      </c>
      <c r="C529" s="7" t="inlineStr">
        <is>
          <t>2.5 25S エクスクルーシブ</t>
        </is>
      </c>
      <c r="D529" s="17" t="n">
        <v>3.8</v>
      </c>
      <c r="E529" s="9" t="n">
        <v>340.2</v>
      </c>
      <c r="F529" s="9" t="n">
        <v>329.7</v>
      </c>
      <c r="G529" s="10" t="n">
        <v>4.5</v>
      </c>
      <c r="H529" s="7" t="inlineStr">
        <is>
          <t>なし</t>
        </is>
      </c>
      <c r="I529" s="7" t="inlineStr">
        <is>
          <t>2027(R09)年08月</t>
        </is>
      </c>
      <c r="J529" s="7" t="inlineStr">
        <is>
          <t>保証付</t>
        </is>
      </c>
      <c r="K529" s="16" t="inlineStr">
        <is>
          <t>修復歴なし / 車検 2027/08 まで（残り10ヶ月） / 保証付</t>
        </is>
      </c>
      <c r="L529" s="16" t="inlineStr">
        <is>
          <t>CX-8 2.5 25S エクスクルーシブ モード 10.25インチマツダコネクト 360°モニタ</t>
        </is>
      </c>
      <c r="M529" s="7" t="inlineStr">
        <is>
          <t>https://www.carsensor.net/usedcar/detail/AU7286288182/index.html</t>
        </is>
      </c>
    </row>
    <row r="530">
      <c r="A530" s="11" t="n">
        <v>2023</v>
      </c>
      <c r="B530" s="12" t="inlineStr">
        <is>
          <t>2WD</t>
        </is>
      </c>
      <c r="C530" s="12" t="inlineStr">
        <is>
          <t>2.5 25S エクスクルーシブ</t>
        </is>
      </c>
      <c r="D530" s="13" t="n">
        <v>3.8</v>
      </c>
      <c r="E530" s="14" t="n">
        <v>299.3</v>
      </c>
      <c r="F530" s="14" t="n">
        <v>289.8</v>
      </c>
      <c r="G530" s="15" t="n">
        <v>6.9</v>
      </c>
      <c r="H530" s="12" t="inlineStr">
        <is>
          <t>なし</t>
        </is>
      </c>
      <c r="I530" s="12" t="inlineStr">
        <is>
          <t>2028(R10)年02月</t>
        </is>
      </c>
      <c r="J530" s="12" t="inlineStr">
        <is>
          <t>保証付</t>
        </is>
      </c>
      <c r="K530" s="16" t="inlineStr">
        <is>
          <t>走行が多め（6.9万km） / 修復歴なし / 車検 2028/02 まで（残り16ヶ月） / 保証付 / 同年式より安い（中央値 348万）</t>
        </is>
      </c>
      <c r="L530" s="16" t="inlineStr">
        <is>
          <t>CX-8 2.5 25S エクスクルーシブ モード</t>
        </is>
      </c>
      <c r="M530" s="12" t="inlineStr">
        <is>
          <t>https://www.carsensor.net/usedcar/detail/AU7421794357/index.html</t>
        </is>
      </c>
    </row>
    <row r="531">
      <c r="A531" s="6" t="n">
        <v>2022</v>
      </c>
      <c r="B531" s="7" t="inlineStr">
        <is>
          <t>2WD</t>
        </is>
      </c>
      <c r="C531" s="7" t="inlineStr">
        <is>
          <t>2.5 25S エクスクルーシブ</t>
        </is>
      </c>
      <c r="D531" s="17" t="n">
        <v>3.5</v>
      </c>
      <c r="E531" s="9" t="n">
        <v>313.9</v>
      </c>
      <c r="F531" s="9" t="n">
        <v>307.5</v>
      </c>
      <c r="G531" s="10" t="n">
        <v>4.2</v>
      </c>
      <c r="H531" s="7" t="inlineStr">
        <is>
          <t>なし</t>
        </is>
      </c>
      <c r="I531" s="7" t="inlineStr">
        <is>
          <t>2027(R09)年04月</t>
        </is>
      </c>
      <c r="J531" s="7" t="inlineStr">
        <is>
          <t>保証付</t>
        </is>
      </c>
      <c r="K531" s="16" t="inlineStr">
        <is>
          <t>修復歴なし / 車検 2027/04 まで（残り6ヶ月） / 保証付</t>
        </is>
      </c>
      <c r="L531" s="16" t="inlineStr">
        <is>
          <t>CX-8 2.5 25S エクスクルーシブ モード 新品タイヤ/BOSE/8インチ SDナビ/アイアクティブセンス/シートヒーター/360°ビューモニター/車線逸脱防止支援システム/シート フルレザー/電動バックドア</t>
        </is>
      </c>
      <c r="M531" s="7" t="inlineStr">
        <is>
          <t>https://www.carsensor.net/usedcar/detail/AU7094958743/index.html</t>
        </is>
      </c>
    </row>
    <row r="532">
      <c r="A532" s="11" t="n">
        <v>2023</v>
      </c>
      <c r="B532" s="12" t="inlineStr">
        <is>
          <t>2WD</t>
        </is>
      </c>
      <c r="C532" s="12" t="inlineStr">
        <is>
          <t>2.5 25S スポーツ</t>
        </is>
      </c>
      <c r="D532" s="13" t="n">
        <v>7.4</v>
      </c>
      <c r="E532" s="14" t="n">
        <v>365.9</v>
      </c>
      <c r="F532" s="14" t="n">
        <v>353.8</v>
      </c>
      <c r="G532" s="15" t="n">
        <v>1</v>
      </c>
      <c r="H532" s="12" t="inlineStr">
        <is>
          <t>なし</t>
        </is>
      </c>
      <c r="I532" s="12" t="inlineStr">
        <is>
          <t>2028(R10)年03月</t>
        </is>
      </c>
      <c r="J532" s="12" t="inlineStr">
        <is>
          <t>保証付</t>
        </is>
      </c>
      <c r="K532" s="16" t="inlineStr">
        <is>
          <t>同年式の半分以下の走行（1.0万km） / 修復歴なし / 車検 2028/03 まで（残り17ヶ月） / 保証付</t>
        </is>
      </c>
      <c r="L532" s="16" t="inlineStr">
        <is>
          <t>CX-8 2.5 25S スポーツ アピアランス 禁煙車 10.25型マツダコネクト 全周囲カメラ 衝突軽減 レーダークルーズ BSM 電動リアゲート シートベンチレーション コーナーセンサー LEDヘッド ETC2.0 ワイヤレス充電 黒革シート</t>
        </is>
      </c>
      <c r="M532" s="12" t="inlineStr">
        <is>
          <t>https://www.carsensor.net/usedcar/detail/AU7422250252/index.html</t>
        </is>
      </c>
    </row>
    <row r="533">
      <c r="A533" s="6" t="n">
        <v>2023</v>
      </c>
      <c r="B533" s="7" t="inlineStr">
        <is>
          <t>2WD</t>
        </is>
      </c>
      <c r="C533" s="7" t="inlineStr">
        <is>
          <t>2.5 25S スポーツ</t>
        </is>
      </c>
      <c r="D533" s="17" t="n">
        <v>5.4</v>
      </c>
      <c r="E533" s="9" t="n">
        <v>295</v>
      </c>
      <c r="F533" s="9" t="n">
        <v>287</v>
      </c>
      <c r="G533" s="10" t="n">
        <v>4.4</v>
      </c>
      <c r="H533" s="7" t="inlineStr">
        <is>
          <t>なし</t>
        </is>
      </c>
      <c r="I533" s="7" t="inlineStr">
        <is>
          <t>2028(R10)年03月</t>
        </is>
      </c>
      <c r="J533" s="7" t="inlineStr">
        <is>
          <t>保証付</t>
        </is>
      </c>
      <c r="K533" s="16" t="inlineStr">
        <is>
          <t>修復歴なし / 車検 2028/03 まで（残り17ヶ月） / 保証付 / 同年式より安い（中央値 348万）</t>
        </is>
      </c>
      <c r="L533" s="16" t="inlineStr">
        <is>
          <t>CX-8 2.5 25S スポーツ アピアランス</t>
        </is>
      </c>
      <c r="M533" s="7" t="inlineStr">
        <is>
          <t>https://www.carsensor.net/usedcar/detail/AU7384515413/index.html</t>
        </is>
      </c>
    </row>
    <row r="534">
      <c r="A534" s="11" t="n">
        <v>2023</v>
      </c>
      <c r="B534" s="12" t="inlineStr">
        <is>
          <t>2WD</t>
        </is>
      </c>
      <c r="C534" s="12" t="inlineStr">
        <is>
          <t>2.5 25S スポーツ</t>
        </is>
      </c>
      <c r="D534" s="13" t="n">
        <v>4.6</v>
      </c>
      <c r="E534" s="14" t="n">
        <v>334.8</v>
      </c>
      <c r="F534" s="14" t="n">
        <v>326.7</v>
      </c>
      <c r="G534" s="15" t="n">
        <v>2.8</v>
      </c>
      <c r="H534" s="12" t="inlineStr">
        <is>
          <t>なし</t>
        </is>
      </c>
      <c r="I534" s="12" t="inlineStr">
        <is>
          <t>2028(R10)年05月</t>
        </is>
      </c>
      <c r="J534" s="12" t="inlineStr">
        <is>
          <t>保証付</t>
        </is>
      </c>
      <c r="K534" s="16" t="inlineStr">
        <is>
          <t>修復歴なし / 車検 2028/05 まで（残り19ヶ月） / 保証付</t>
        </is>
      </c>
      <c r="L534" s="16" t="inlineStr">
        <is>
          <t>CX-8 2.5 25S スポーツ アピアランス BOSEサウンド/10.25インチディスプレイオーディオ/AppleCarPlay/アラウンドビューモニター/アルパインフリップダウンモニター/レーダークルーズコントロール/シートメモリー/パワーシート/電動リアゲート</t>
        </is>
      </c>
      <c r="M534" s="12" t="inlineStr">
        <is>
          <t>https://www.carsensor.net/usedcar/detail/AU7407212459/index.html</t>
        </is>
      </c>
    </row>
    <row r="535">
      <c r="A535" s="6" t="n">
        <v>2023</v>
      </c>
      <c r="B535" s="7" t="inlineStr">
        <is>
          <t>2WD</t>
        </is>
      </c>
      <c r="C535" s="7" t="inlineStr">
        <is>
          <t>2.5 25S スポーツ</t>
        </is>
      </c>
      <c r="D535" s="17" t="n">
        <v>4.4</v>
      </c>
      <c r="E535" s="9" t="n">
        <v>349.9</v>
      </c>
      <c r="F535" s="9" t="n">
        <v>337.8</v>
      </c>
      <c r="G535" s="10" t="n">
        <v>2.8</v>
      </c>
      <c r="H535" s="7" t="inlineStr">
        <is>
          <t>なし</t>
        </is>
      </c>
      <c r="I535" s="7" t="inlineStr">
        <is>
          <t>2028(R10)年03月</t>
        </is>
      </c>
      <c r="J535" s="7" t="inlineStr">
        <is>
          <t>保証付</t>
        </is>
      </c>
      <c r="K535" s="16" t="inlineStr">
        <is>
          <t>修復歴なし / 車検 2028/03 まで（残り17ヶ月） / 保証付</t>
        </is>
      </c>
      <c r="L535" s="16" t="inlineStr">
        <is>
          <t>CX-8 2.5 25S スポーツ アピアランス フリップダウンモニター 10.25型マツダコネクトナビ 全周囲カメラ 衝突軽減装置 レーダークルーズ シートベンチレーション 電動リアゲート 純正19インチアルミ ETC スマートキー LEDヘッド</t>
        </is>
      </c>
      <c r="M535" s="7" t="inlineStr">
        <is>
          <t>https://www.carsensor.net/usedcar/detail/AU7440315095/index.html</t>
        </is>
      </c>
    </row>
    <row r="536">
      <c r="A536" s="11" t="n">
        <v>2023</v>
      </c>
      <c r="B536" s="12" t="inlineStr">
        <is>
          <t>2WD</t>
        </is>
      </c>
      <c r="C536" s="12" t="inlineStr">
        <is>
          <t>2.5 25S スポーツ</t>
        </is>
      </c>
      <c r="D536" s="13" t="n">
        <v>4.4</v>
      </c>
      <c r="E536" s="14" t="n">
        <v>320</v>
      </c>
      <c r="F536" s="14" t="n">
        <v>305</v>
      </c>
      <c r="G536" s="15" t="n">
        <v>4.4</v>
      </c>
      <c r="H536" s="12" t="inlineStr">
        <is>
          <t>なし</t>
        </is>
      </c>
      <c r="I536" s="12" t="inlineStr">
        <is>
          <t>2028(R10)年03月</t>
        </is>
      </c>
      <c r="J536" s="12" t="inlineStr">
        <is>
          <t>保証付</t>
        </is>
      </c>
      <c r="K536" s="16" t="inlineStr">
        <is>
          <t>修復歴なし / 車検 2028/03 まで（残り17ヶ月） / 保証付</t>
        </is>
      </c>
      <c r="L536" s="16" t="inlineStr">
        <is>
          <t>CX-8 2.5 25S スポーツ アピアランス SUV BOSEサウンド ロジウムホワイトプレミアムメタリック 360度ビューモニタ ハンズフリーパワーリフトゲート</t>
        </is>
      </c>
      <c r="M536" s="12" t="inlineStr">
        <is>
          <t>https://www.carsensor.net/usedcar/detail/AU7450485495/index.html</t>
        </is>
      </c>
    </row>
    <row r="537">
      <c r="A537" s="6" t="n">
        <v>2023</v>
      </c>
      <c r="B537" s="7" t="inlineStr">
        <is>
          <t>2WD</t>
        </is>
      </c>
      <c r="C537" s="7" t="inlineStr">
        <is>
          <t>2.5 25S スポーツ</t>
        </is>
      </c>
      <c r="D537" s="17" t="n">
        <v>4</v>
      </c>
      <c r="E537" s="9" t="n">
        <v>347.1</v>
      </c>
      <c r="F537" s="9" t="n">
        <v>331.5</v>
      </c>
      <c r="G537" s="10" t="n">
        <v>3.7</v>
      </c>
      <c r="H537" s="7" t="inlineStr">
        <is>
          <t>なし</t>
        </is>
      </c>
      <c r="I537" s="7" t="inlineStr">
        <is>
          <t>車検整備付</t>
        </is>
      </c>
      <c r="J537" s="7" t="inlineStr">
        <is>
          <t>保証付</t>
        </is>
      </c>
      <c r="K537" s="16" t="inlineStr">
        <is>
          <t>修復歴なし / 車検整備付 / 保証付</t>
        </is>
      </c>
      <c r="L537" s="16" t="inlineStr">
        <is>
          <t>CX-8 2.5 25S スポーツ アピアランス ワンオーナー 360度ビューカメラ 7人乗り仕様 ナビSD ETC シートエアコン&amp;シートヒータ― 3列シート ガソリン2500 リアドアサンシェード マツコネ連動ドラレコ ハンズフリー電動リアゲート</t>
        </is>
      </c>
      <c r="M537" s="7" t="inlineStr">
        <is>
          <t>https://www.carsensor.net/usedcar/detail/AU7439502808/index.html</t>
        </is>
      </c>
    </row>
    <row r="538">
      <c r="A538" s="11" t="n">
        <v>2024</v>
      </c>
      <c r="B538" s="12" t="inlineStr">
        <is>
          <t>2WD</t>
        </is>
      </c>
      <c r="C538" s="12" t="inlineStr">
        <is>
          <t>2.5 25S スポーツ</t>
        </is>
      </c>
      <c r="D538" s="13" t="n">
        <v>4</v>
      </c>
      <c r="E538" s="14" t="n">
        <v>331.3</v>
      </c>
      <c r="F538" s="14" t="n">
        <v>317</v>
      </c>
      <c r="G538" s="15" t="n">
        <v>2.4</v>
      </c>
      <c r="H538" s="12" t="inlineStr">
        <is>
          <t>なし</t>
        </is>
      </c>
      <c r="I538" s="12" t="inlineStr">
        <is>
          <t>車検整備付</t>
        </is>
      </c>
      <c r="J538" s="12" t="inlineStr">
        <is>
          <t>保証付</t>
        </is>
      </c>
      <c r="K538" s="16" t="inlineStr">
        <is>
          <t>修復歴なし / 車検整備付 / 保証付</t>
        </is>
      </c>
      <c r="L538" s="16" t="inlineStr">
        <is>
          <t>CX-8 2.5 25S スポーツ アピアランス 純正ナビ・全方位モニター・ドライブレコーダー・ETC・アダプティブクルーズコントロール</t>
        </is>
      </c>
      <c r="M538" s="12" t="inlineStr">
        <is>
          <t>https://www.carsensor.net/usedcar/detail/AU7439503763/index.html</t>
        </is>
      </c>
    </row>
    <row r="539">
      <c r="A539" s="6" t="n">
        <v>2023</v>
      </c>
      <c r="B539" s="7" t="inlineStr">
        <is>
          <t>2WD</t>
        </is>
      </c>
      <c r="C539" s="7" t="inlineStr">
        <is>
          <t>2.5 25S スポーツ</t>
        </is>
      </c>
      <c r="D539" s="17" t="n">
        <v>3.2</v>
      </c>
      <c r="E539" s="9" t="n">
        <v>343.9</v>
      </c>
      <c r="F539" s="9" t="n">
        <v>330.9</v>
      </c>
      <c r="G539" s="10" t="n">
        <v>2.5</v>
      </c>
      <c r="H539" s="7" t="inlineStr">
        <is>
          <t>なし</t>
        </is>
      </c>
      <c r="I539" s="7" t="inlineStr">
        <is>
          <t>2026(R08)年12月</t>
        </is>
      </c>
      <c r="J539" s="7" t="inlineStr">
        <is>
          <t>保証付</t>
        </is>
      </c>
      <c r="K539" s="16" t="inlineStr">
        <is>
          <t>修復歴なし / 車検 2026/12 まで（残り2ヶ月） / 保証付</t>
        </is>
      </c>
      <c r="L539" s="16" t="inlineStr">
        <is>
          <t>CX-8 2.5 25S スポーツ アピアランス BOSE/SDナビ/衝突安全装置/シートヒーター/全方位モニター/車線逸脱防止支援システム/シート 合皮/電動バックドア/ヘッドランプ LED/ETC/EBD付ABS/横滑り防止装置</t>
        </is>
      </c>
      <c r="M539" s="7" t="inlineStr">
        <is>
          <t>https://www.carsensor.net/usedcar/detail/AU7401056419/index.html</t>
        </is>
      </c>
    </row>
    <row r="540">
      <c r="A540" s="11" t="n">
        <v>2023</v>
      </c>
      <c r="B540" s="12" t="inlineStr">
        <is>
          <t>2WD</t>
        </is>
      </c>
      <c r="C540" s="12" t="inlineStr">
        <is>
          <t>2.5 25S スマート</t>
        </is>
      </c>
      <c r="D540" s="13" t="n">
        <v>8</v>
      </c>
      <c r="E540" s="14" t="n">
        <v>288.5</v>
      </c>
      <c r="F540" s="14" t="n">
        <v>273</v>
      </c>
      <c r="G540" s="15" t="n">
        <v>0.9</v>
      </c>
      <c r="H540" s="12" t="inlineStr">
        <is>
          <t>なし</t>
        </is>
      </c>
      <c r="I540" s="12" t="inlineStr">
        <is>
          <t>車検整備付</t>
        </is>
      </c>
      <c r="J540" s="12" t="inlineStr">
        <is>
          <t>保証付</t>
        </is>
      </c>
      <c r="K540" s="16" t="inlineStr">
        <is>
          <t>同年式の半分以下の走行（0.9万km） / 修復歴なし / 車検整備付 / 保証付 / 同年式より安い（中央値 348万）</t>
        </is>
      </c>
      <c r="L540" s="16" t="inlineStr">
        <is>
          <t>CX-8 2.5 25S スマート エディション 純正10.25型ディスプレイオーディオ ナビ ETC車載器 ドライブレコーダー LEDヘッドライト スマートキー プッシュボタンスタート 電子制御パーキングブレーキ 電動リヤゲート 衝突被害軽減ブレーキ 障害物センサー</t>
        </is>
      </c>
      <c r="M540" s="12" t="inlineStr">
        <is>
          <t>https://www.carsensor.net/usedcar/detail/AU7374918532/index.html</t>
        </is>
      </c>
    </row>
    <row r="541">
      <c r="A541" s="6" t="n">
        <v>2023</v>
      </c>
      <c r="B541" s="7" t="inlineStr">
        <is>
          <t>2WD</t>
        </is>
      </c>
      <c r="C541" s="7" t="inlineStr">
        <is>
          <t>2.5 25S スマート</t>
        </is>
      </c>
      <c r="D541" s="17" t="n">
        <v>8</v>
      </c>
      <c r="E541" s="9" t="n">
        <v>295.4</v>
      </c>
      <c r="F541" s="9" t="n">
        <v>280.5</v>
      </c>
      <c r="G541" s="10" t="n">
        <v>1.1</v>
      </c>
      <c r="H541" s="7" t="inlineStr">
        <is>
          <t>なし</t>
        </is>
      </c>
      <c r="I541" s="7" t="inlineStr">
        <is>
          <t>車検整備付</t>
        </is>
      </c>
      <c r="J541" s="7" t="inlineStr">
        <is>
          <t>保証付</t>
        </is>
      </c>
      <c r="K541" s="16" t="inlineStr">
        <is>
          <t>同年式の半分以下の走行（1.1万km） / 修復歴なし / 車検整備付 / 保証付 / 同年式より安い（中央値 348万）</t>
        </is>
      </c>
      <c r="L541" s="16" t="inlineStr">
        <is>
          <t>CX-8 2.5 25S スマート エディション</t>
        </is>
      </c>
      <c r="M541" s="7" t="inlineStr">
        <is>
          <t>https://www.carsensor.net/usedcar/detail/AU7327940990/index.html</t>
        </is>
      </c>
    </row>
    <row r="542">
      <c r="A542" s="11" t="n">
        <v>2023</v>
      </c>
      <c r="B542" s="12" t="inlineStr">
        <is>
          <t>2WD</t>
        </is>
      </c>
      <c r="C542" s="12" t="inlineStr">
        <is>
          <t>2.5 25S スマート</t>
        </is>
      </c>
      <c r="D542" s="13" t="n">
        <v>7.8</v>
      </c>
      <c r="E542" s="14" t="n">
        <v>264.8</v>
      </c>
      <c r="F542" s="14" t="n">
        <v>252</v>
      </c>
      <c r="G542" s="15" t="n">
        <v>1.4</v>
      </c>
      <c r="H542" s="12" t="inlineStr">
        <is>
          <t>なし</t>
        </is>
      </c>
      <c r="I542" s="12" t="inlineStr">
        <is>
          <t>2028(R10)年07月</t>
        </is>
      </c>
      <c r="J542" s="12" t="inlineStr">
        <is>
          <t>保証無</t>
        </is>
      </c>
      <c r="K542" s="16" t="inlineStr">
        <is>
          <t>同年式の半分以下の走行（1.4万km） / 修復歴なし / 車検 2028/07 まで（残り21ヶ月） / 同年式より安い（中央値 348万）</t>
        </is>
      </c>
      <c r="L542" s="16" t="inlineStr">
        <is>
          <t>CX-8 2.5 25S スマート エディション 後期型 ワンオーナー 禁煙車 純正10.25インチナビ TV アラウンドビューモニター アダプティブクルーズコントロール LEDヘッドライト サンシェード オートマチックハイビーム パワーシート</t>
        </is>
      </c>
      <c r="M542" s="12" t="inlineStr">
        <is>
          <t>https://www.carsensor.net/usedcar/detail/AU7231898128/index.html</t>
        </is>
      </c>
    </row>
    <row r="543">
      <c r="A543" s="6" t="n">
        <v>2022</v>
      </c>
      <c r="B543" s="7" t="inlineStr">
        <is>
          <t>2WD</t>
        </is>
      </c>
      <c r="C543" s="7" t="inlineStr">
        <is>
          <t>2.5 25S スマート</t>
        </is>
      </c>
      <c r="D543" s="17" t="n">
        <v>6.5</v>
      </c>
      <c r="E543" s="9" t="n">
        <v>258.8</v>
      </c>
      <c r="F543" s="9" t="n">
        <v>248.6</v>
      </c>
      <c r="G543" s="10" t="n">
        <v>2.9</v>
      </c>
      <c r="H543" s="7" t="inlineStr">
        <is>
          <t>なし</t>
        </is>
      </c>
      <c r="I543" s="7" t="inlineStr">
        <is>
          <t>車検整備付</t>
        </is>
      </c>
      <c r="J543" s="7" t="inlineStr">
        <is>
          <t>保証付</t>
        </is>
      </c>
      <c r="K543" s="16" t="inlineStr">
        <is>
          <t>走行が少なめ（2.9万km） / 修復歴なし / 車検整備付 / 保証付 / 同年式より安い（中央値 296万）</t>
        </is>
      </c>
      <c r="L543" s="16" t="inlineStr">
        <is>
          <t>CX-8 2.5 25S スマート エディション マツダコネクト i‐ACTIVSENSE ETC レーダークルーズコントロール アラウンドビューカメラ LEDオートライト アイドリングストップ スペアキー ドライブレコーダー 純正17インチAW</t>
        </is>
      </c>
      <c r="M543" s="7" t="inlineStr">
        <is>
          <t>https://www.carsensor.net/usedcar/detail/AU7327176119/index.html</t>
        </is>
      </c>
    </row>
    <row r="544">
      <c r="A544" s="11" t="n">
        <v>2023</v>
      </c>
      <c r="B544" s="12" t="inlineStr">
        <is>
          <t>2WD</t>
        </is>
      </c>
      <c r="C544" s="12" t="inlineStr">
        <is>
          <t>2.5 25S スマート</t>
        </is>
      </c>
      <c r="D544" s="13" t="n">
        <v>6.5</v>
      </c>
      <c r="E544" s="14" t="n">
        <v>289.9</v>
      </c>
      <c r="F544" s="14" t="n">
        <v>272.6</v>
      </c>
      <c r="G544" s="15" t="n">
        <v>1.6</v>
      </c>
      <c r="H544" s="12" t="inlineStr">
        <is>
          <t>なし</t>
        </is>
      </c>
      <c r="I544" s="12" t="inlineStr">
        <is>
          <t>車検整備付</t>
        </is>
      </c>
      <c r="J544" s="12" t="inlineStr">
        <is>
          <t>保証付</t>
        </is>
      </c>
      <c r="K544" s="16" t="inlineStr">
        <is>
          <t>走行が少なめ（1.6万km） / 修復歴なし / 車検整備付 / 保証付 / 同年式より安い（中央値 348万）</t>
        </is>
      </c>
      <c r="L544" s="16" t="inlineStr">
        <is>
          <t>CX-8 2.5 25S スマート エディション 8.8型マツダコネクト 全周囲カメラ 禁煙車 シートヒーター パワーシート LEDヘッド ダブルオートエアコン ドラレコ ETC Bluetooth接続 ステアリングヒーター スマートキー</t>
        </is>
      </c>
      <c r="M544" s="12" t="inlineStr">
        <is>
          <t>https://www.carsensor.net/usedcar/detail/AU7383236227/index.html</t>
        </is>
      </c>
    </row>
    <row r="545">
      <c r="A545" s="6" t="n">
        <v>2023</v>
      </c>
      <c r="B545" s="7" t="inlineStr">
        <is>
          <t>2WD</t>
        </is>
      </c>
      <c r="C545" s="7" t="inlineStr">
        <is>
          <t>2.5 25S スマート</t>
        </is>
      </c>
      <c r="D545" s="17" t="n">
        <v>6.5</v>
      </c>
      <c r="E545" s="9" t="n">
        <v>299.8</v>
      </c>
      <c r="F545" s="9" t="n">
        <v>289.6</v>
      </c>
      <c r="G545" s="10" t="n">
        <v>2.3</v>
      </c>
      <c r="H545" s="7" t="inlineStr">
        <is>
          <t>なし</t>
        </is>
      </c>
      <c r="I545" s="7" t="inlineStr">
        <is>
          <t>車検整備付</t>
        </is>
      </c>
      <c r="J545" s="7" t="inlineStr">
        <is>
          <t>保証付</t>
        </is>
      </c>
      <c r="K545" s="16" t="inlineStr">
        <is>
          <t>走行が少なめ（2.3万km） / 修復歴なし / 車検整備付 / 保証付 / 同年式より安い（中央値 348万）</t>
        </is>
      </c>
      <c r="L545" s="16" t="inlineStr">
        <is>
          <t>CX-8 2.5 25S スマート エディション 禁煙 アドバンスドスマートシティブレーキサポート ブラインドスポットモニター パーキングセンサー レーダークルーズコントロール アダプティブLEDヘッドライト マツダコネクト 360度ビューモニター</t>
        </is>
      </c>
      <c r="M545" s="7" t="inlineStr">
        <is>
          <t>https://www.carsensor.net/usedcar/detail/AU7365821267/index.html</t>
        </is>
      </c>
    </row>
    <row r="546">
      <c r="A546" s="11" t="n">
        <v>2023</v>
      </c>
      <c r="B546" s="12" t="inlineStr">
        <is>
          <t>2WD</t>
        </is>
      </c>
      <c r="C546" s="12" t="inlineStr">
        <is>
          <t>2.5 25S スマート</t>
        </is>
      </c>
      <c r="D546" s="13" t="n">
        <v>6.5</v>
      </c>
      <c r="E546" s="14" t="n">
        <v>302</v>
      </c>
      <c r="F546" s="14" t="n">
        <v>286.7</v>
      </c>
      <c r="G546" s="15" t="n">
        <v>2.3</v>
      </c>
      <c r="H546" s="12" t="inlineStr">
        <is>
          <t>なし</t>
        </is>
      </c>
      <c r="I546" s="12" t="inlineStr">
        <is>
          <t>車検整備付</t>
        </is>
      </c>
      <c r="J546" s="12" t="inlineStr">
        <is>
          <t>保証付</t>
        </is>
      </c>
      <c r="K546" s="16" t="inlineStr">
        <is>
          <t>走行が少なめ（2.3万km） / 修復歴なし / 車検整備付 / 保証付 / 同年式より安い（中央値 348万）</t>
        </is>
      </c>
      <c r="L546" s="16" t="inlineStr">
        <is>
          <t>CX-8 2.5 25S スマート エディション 下取車 ワンオーナー シートカラー:ブラ</t>
        </is>
      </c>
      <c r="M546" s="12" t="inlineStr">
        <is>
          <t>https://www.carsensor.net/usedcar/detail/AU7353814457/index.html</t>
        </is>
      </c>
    </row>
    <row r="547">
      <c r="A547" s="6" t="n">
        <v>2023</v>
      </c>
      <c r="B547" s="7" t="inlineStr">
        <is>
          <t>2WD</t>
        </is>
      </c>
      <c r="C547" s="7" t="inlineStr">
        <is>
          <t>2.5 25S スマート</t>
        </is>
      </c>
      <c r="D547" s="17" t="n">
        <v>6.5</v>
      </c>
      <c r="E547" s="9" t="n">
        <v>313.2</v>
      </c>
      <c r="F547" s="9" t="n">
        <v>297.8</v>
      </c>
      <c r="G547" s="10" t="n">
        <v>2.1</v>
      </c>
      <c r="H547" s="7" t="inlineStr">
        <is>
          <t>なし</t>
        </is>
      </c>
      <c r="I547" s="7" t="inlineStr">
        <is>
          <t>車検整備付</t>
        </is>
      </c>
      <c r="J547" s="7" t="inlineStr">
        <is>
          <t>保証付</t>
        </is>
      </c>
      <c r="K547" s="16" t="inlineStr">
        <is>
          <t>走行が少なめ（2.1万km） / 修復歴なし / 車検整備付 / 保証付 / 同年式より安い（中央値 348万）</t>
        </is>
      </c>
      <c r="L547" s="16" t="inlineStr">
        <is>
          <t>CX-8 2.5 25S スマート エディション 最長5年保証 ワンオ-ナ- 純正ナビ TV Rカメラ マルチビュ- BTオ-ディオ ドラレコ 衝突軽減B ETC LEDライト 横滑り防止 シ-トヒ-タ- クルコン アルミ スマ-トキ- スペアキ-</t>
        </is>
      </c>
      <c r="M547" s="7" t="inlineStr">
        <is>
          <t>https://www.carsensor.net/usedcar/detail/AU7453651170/index.html</t>
        </is>
      </c>
    </row>
    <row r="548">
      <c r="A548" s="11" t="n">
        <v>2024</v>
      </c>
      <c r="B548" s="12" t="inlineStr">
        <is>
          <t>2WD</t>
        </is>
      </c>
      <c r="C548" s="12" t="inlineStr">
        <is>
          <t>2.5 25S スマート</t>
        </is>
      </c>
      <c r="D548" s="13" t="n">
        <v>6.5</v>
      </c>
      <c r="E548" s="14" t="n">
        <v>289.9</v>
      </c>
      <c r="F548" s="14" t="n">
        <v>278.6</v>
      </c>
      <c r="G548" s="15" t="n">
        <v>1.3</v>
      </c>
      <c r="H548" s="12" t="inlineStr">
        <is>
          <t>なし</t>
        </is>
      </c>
      <c r="I548" s="12" t="inlineStr">
        <is>
          <t>車検整備付</t>
        </is>
      </c>
      <c r="J548" s="12" t="inlineStr">
        <is>
          <t>保証付</t>
        </is>
      </c>
      <c r="K548" s="16" t="inlineStr">
        <is>
          <t>走行が少なめ（1.3万km） / 修復歴なし / 車検整備付 / 保証付 / 同年式より安い（中央値 339万）</t>
        </is>
      </c>
      <c r="L548" s="16" t="inlineStr">
        <is>
          <t>CX-8 2.5 25S スマート エディション 後期 純正10型ナビ バックカメラ 360度ビューモニター スマートブレーキサポート レーダークルーズ 禁煙車 寒冷地仕様 シートヒーター パワーシート ステアリングヒーター パワーバックドア ETC</t>
        </is>
      </c>
      <c r="M548" s="12" t="inlineStr">
        <is>
          <t>https://www.carsensor.net/usedcar/detail/AU7370367752/index.html</t>
        </is>
      </c>
    </row>
    <row r="549">
      <c r="A549" s="6" t="n">
        <v>2023</v>
      </c>
      <c r="B549" s="7" t="inlineStr">
        <is>
          <t>2WD</t>
        </is>
      </c>
      <c r="C549" s="7" t="inlineStr">
        <is>
          <t>2.5 25S スマート</t>
        </is>
      </c>
      <c r="D549" s="17" t="n">
        <v>6.2</v>
      </c>
      <c r="E549" s="9" t="n">
        <v>262.6</v>
      </c>
      <c r="F549" s="9" t="n">
        <v>250.2</v>
      </c>
      <c r="G549" s="10" t="n">
        <v>1.6</v>
      </c>
      <c r="H549" s="7" t="inlineStr">
        <is>
          <t>なし</t>
        </is>
      </c>
      <c r="I549" s="7" t="inlineStr">
        <is>
          <t>2028(R10)年06月</t>
        </is>
      </c>
      <c r="J549" s="7" t="inlineStr">
        <is>
          <t>保証無</t>
        </is>
      </c>
      <c r="K549" s="16" t="inlineStr">
        <is>
          <t>走行が少なめ（1.6万km） / 修復歴なし / 車検 2028/06 まで（残り20ヶ月） / 同年式より安い（中央値 348万）</t>
        </is>
      </c>
      <c r="L549" s="16" t="inlineStr">
        <is>
          <t>CX-8 2.5 25S スマート エディション 禁煙車 純正10.2インチナビ フルセグ アラウンドビューモニター シートヒーター ステアリングヒーター 電動リアゲート デジタルインナーミラー パワーシート 後席モニター 純正17インチAW ETC</t>
        </is>
      </c>
      <c r="M549" s="7" t="inlineStr">
        <is>
          <t>https://www.carsensor.net/usedcar/detail/AU7443633946/index.html</t>
        </is>
      </c>
    </row>
    <row r="550">
      <c r="A550" s="11" t="n">
        <v>2023</v>
      </c>
      <c r="B550" s="12" t="inlineStr">
        <is>
          <t>2WD</t>
        </is>
      </c>
      <c r="C550" s="12" t="inlineStr">
        <is>
          <t>2.5 25S スマート</t>
        </is>
      </c>
      <c r="D550" s="13" t="n">
        <v>6</v>
      </c>
      <c r="E550" s="14" t="n">
        <v>247.8</v>
      </c>
      <c r="F550" s="14" t="n">
        <v>227.9</v>
      </c>
      <c r="G550" s="15" t="n">
        <v>1.1</v>
      </c>
      <c r="H550" s="12" t="inlineStr">
        <is>
          <t>なし</t>
        </is>
      </c>
      <c r="I550" s="12" t="inlineStr">
        <is>
          <t>車検整備無</t>
        </is>
      </c>
      <c r="J550" s="12" t="inlineStr">
        <is>
          <t>保証無</t>
        </is>
      </c>
      <c r="K550" s="16" t="inlineStr">
        <is>
          <t>同年式の半分以下の走行（1.1万km） / 修復歴なし / 同年式より安い（中央値 348万）</t>
        </is>
      </c>
      <c r="L550" s="16" t="inlineStr">
        <is>
          <t>CX-8 2.5 25S スマート エディション 禁煙車 純正10.25インチナビ フルセグTV 全周囲カメラ アイアクティブセンス アダプティブクルーズコントロール パワーシート シートヒーター ブラインドスポットモニター ETC</t>
        </is>
      </c>
      <c r="M550" s="12" t="inlineStr">
        <is>
          <t>https://www.carsensor.net/usedcar/detail/AU7415680141/index.html</t>
        </is>
      </c>
    </row>
    <row r="551">
      <c r="A551" s="6" t="n">
        <v>2021</v>
      </c>
      <c r="B551" s="7" t="inlineStr">
        <is>
          <t>2WD</t>
        </is>
      </c>
      <c r="C551" s="7" t="inlineStr">
        <is>
          <t>2.5 25S スマート</t>
        </is>
      </c>
      <c r="D551" s="17" t="n">
        <v>5.7</v>
      </c>
      <c r="E551" s="9" t="n">
        <v>232.9</v>
      </c>
      <c r="F551" s="9" t="n">
        <v>225.8</v>
      </c>
      <c r="G551" s="10" t="n">
        <v>4.7</v>
      </c>
      <c r="H551" s="7" t="inlineStr">
        <is>
          <t>なし</t>
        </is>
      </c>
      <c r="I551" s="7" t="inlineStr">
        <is>
          <t>2028(R10)年06月</t>
        </is>
      </c>
      <c r="J551" s="7" t="inlineStr">
        <is>
          <t>保証付</t>
        </is>
      </c>
      <c r="K551" s="16" t="inlineStr">
        <is>
          <t>修復歴なし / 車検 2028/06 まで（残り20ヶ月） / 保証付 / 同年式より安い（中央値 279万）</t>
        </is>
      </c>
      <c r="L551" s="16" t="inlineStr">
        <is>
          <t>CX-8 2.5 25S スマート エディション 10インチ SDナビ/全方位モニター/車線逸脱防止支援システム/ヘッドランプ LED/Bluetooth接続/ETC/横滑り防止装置/アイドリングストップ/クルーズコントロール</t>
        </is>
      </c>
      <c r="M551" s="7" t="inlineStr">
        <is>
          <t>https://www.carsensor.net/usedcar/detail/AU7401205952/index.html</t>
        </is>
      </c>
    </row>
    <row r="552">
      <c r="A552" s="11" t="n">
        <v>2020</v>
      </c>
      <c r="B552" s="12" t="inlineStr">
        <is>
          <t>2WD</t>
        </is>
      </c>
      <c r="C552" s="12" t="inlineStr">
        <is>
          <t>2.5 25S スマート</t>
        </is>
      </c>
      <c r="D552" s="13" t="n">
        <v>5.5</v>
      </c>
      <c r="E552" s="14" t="n">
        <v>219.8</v>
      </c>
      <c r="F552" s="14" t="n">
        <v>213.3</v>
      </c>
      <c r="G552" s="15" t="n">
        <v>5.2</v>
      </c>
      <c r="H552" s="12" t="inlineStr">
        <is>
          <t>なし</t>
        </is>
      </c>
      <c r="I552" s="12" t="inlineStr">
        <is>
          <t>2028(R10)年04月</t>
        </is>
      </c>
      <c r="J552" s="12" t="inlineStr">
        <is>
          <t>保証付</t>
        </is>
      </c>
      <c r="K552" s="16" t="inlineStr">
        <is>
          <t>修復歴なし / 車検 2028/04 まで（残り18ヶ月） / 保証付 / 同年式より安い（中央値 250万）</t>
        </is>
      </c>
      <c r="L552" s="16" t="inlineStr">
        <is>
          <t>CX-8 2.5 25S スマート エディション 純正8インチナビ 全方位カメラ 衝突軽減機能 車線逸脱警報 レーダークルーズ パーキングセンサー 交通標識認識システム HUD 革巻きステアリング パワーバックドア LEDライト 純正17インチAW</t>
        </is>
      </c>
      <c r="M552" s="12" t="inlineStr">
        <is>
          <t>https://www.carsensor.net/usedcar/detail/AU7305990475/index.html</t>
        </is>
      </c>
    </row>
    <row r="553">
      <c r="A553" s="6" t="n">
        <v>2022</v>
      </c>
      <c r="B553" s="7" t="inlineStr">
        <is>
          <t>2WD</t>
        </is>
      </c>
      <c r="C553" s="7" t="inlineStr">
        <is>
          <t>2.5 25S スマート</t>
        </is>
      </c>
      <c r="D553" s="17" t="n">
        <v>5.5</v>
      </c>
      <c r="E553" s="9" t="n">
        <v>270.4</v>
      </c>
      <c r="F553" s="9" t="n">
        <v>255</v>
      </c>
      <c r="G553" s="10" t="n">
        <v>2.2</v>
      </c>
      <c r="H553" s="7" t="inlineStr">
        <is>
          <t>なし</t>
        </is>
      </c>
      <c r="I553" s="7" t="inlineStr">
        <is>
          <t>車検整備付</t>
        </is>
      </c>
      <c r="J553" s="7" t="inlineStr">
        <is>
          <t>保証付</t>
        </is>
      </c>
      <c r="K553" s="16" t="inlineStr">
        <is>
          <t>走行が少なめ（2.2万km） / 修復歴なし / 車検整備付 / 保証付</t>
        </is>
      </c>
      <c r="L553" s="16" t="inlineStr">
        <is>
          <t>CX-8 2.5 25S スマート エディション 全包囲モニター</t>
        </is>
      </c>
      <c r="M553" s="7" t="inlineStr">
        <is>
          <t>https://www.carsensor.net/usedcar/detail/AU7340662895/index.html</t>
        </is>
      </c>
    </row>
    <row r="554">
      <c r="A554" s="11" t="n">
        <v>2023</v>
      </c>
      <c r="B554" s="12" t="inlineStr">
        <is>
          <t>2WD</t>
        </is>
      </c>
      <c r="C554" s="12" t="inlineStr">
        <is>
          <t>2.5 25S スマート</t>
        </is>
      </c>
      <c r="D554" s="13" t="n">
        <v>5.5</v>
      </c>
      <c r="E554" s="14" t="n">
        <v>333.3</v>
      </c>
      <c r="F554" s="14" t="n">
        <v>316</v>
      </c>
      <c r="G554" s="15" t="n">
        <v>1.7</v>
      </c>
      <c r="H554" s="12" t="inlineStr">
        <is>
          <t>なし</t>
        </is>
      </c>
      <c r="I554" s="12" t="inlineStr">
        <is>
          <t>車検整備付</t>
        </is>
      </c>
      <c r="J554" s="12" t="inlineStr">
        <is>
          <t>保証付</t>
        </is>
      </c>
      <c r="K554" s="16" t="inlineStr">
        <is>
          <t>走行が少なめ（1.7万km） / 修復歴なし / 車検整備付 / 保証付</t>
        </is>
      </c>
      <c r="L554" s="16" t="inlineStr">
        <is>
          <t>CX-8 2.5 25S スマート エディション 禁煙車 純正10.25型マツダコネクトナビ 全周囲カメラ BSM HUD ステアリングヒーター レーダークルーズコントロール シートヒーター パワーシート 電動リアゲート 純正17インチアルミホイール</t>
        </is>
      </c>
      <c r="M554" s="12" t="inlineStr">
        <is>
          <t>https://www.carsensor.net/usedcar/detail/AU7387353055/index.html</t>
        </is>
      </c>
    </row>
    <row r="555">
      <c r="A555" s="6" t="n">
        <v>2023</v>
      </c>
      <c r="B555" s="7" t="inlineStr">
        <is>
          <t>2WD</t>
        </is>
      </c>
      <c r="C555" s="7" t="inlineStr">
        <is>
          <t>2.5 25S スマート</t>
        </is>
      </c>
      <c r="D555" s="17" t="n">
        <v>5.3</v>
      </c>
      <c r="E555" s="9" t="n">
        <v>270</v>
      </c>
      <c r="F555" s="9" t="n">
        <v>258.9</v>
      </c>
      <c r="G555" s="10" t="n">
        <v>2.5</v>
      </c>
      <c r="H555" s="7" t="inlineStr">
        <is>
          <t>なし</t>
        </is>
      </c>
      <c r="I555" s="7" t="inlineStr">
        <is>
          <t>2028(R10)年02月</t>
        </is>
      </c>
      <c r="J555" s="7" t="inlineStr">
        <is>
          <t>保証付</t>
        </is>
      </c>
      <c r="K555" s="16" t="inlineStr">
        <is>
          <t>修復歴なし / 車検 2028/02 まで（残り16ヶ月） / 保証付 / 同年式より安い（中央値 348万）</t>
        </is>
      </c>
      <c r="L555" s="16" t="inlineStr">
        <is>
          <t>CX-8 2.5 25S スマート エディション 衝突軽減ブレーキ 車線逸脱警報システム</t>
        </is>
      </c>
      <c r="M555" s="7" t="inlineStr">
        <is>
          <t>https://www.carsensor.net/usedcar/detail/AU7396309550/index.html</t>
        </is>
      </c>
    </row>
    <row r="556">
      <c r="A556" s="11" t="n">
        <v>2020</v>
      </c>
      <c r="B556" s="12" t="inlineStr">
        <is>
          <t>2WD</t>
        </is>
      </c>
      <c r="C556" s="12" t="inlineStr">
        <is>
          <t>2.5 25S スマート</t>
        </is>
      </c>
      <c r="D556" s="13" t="n">
        <v>5</v>
      </c>
      <c r="E556" s="14" t="n">
        <v>206.9</v>
      </c>
      <c r="F556" s="14" t="n">
        <v>198</v>
      </c>
      <c r="G556" s="15" t="n">
        <v>6.2</v>
      </c>
      <c r="H556" s="12" t="inlineStr">
        <is>
          <t>なし</t>
        </is>
      </c>
      <c r="I556" s="12" t="inlineStr">
        <is>
          <t>2027(R09)年10月</t>
        </is>
      </c>
      <c r="J556" s="12" t="inlineStr">
        <is>
          <t>保証付</t>
        </is>
      </c>
      <c r="K556" s="16" t="inlineStr">
        <is>
          <t>修復歴なし / 車検 2027/10 まで（残り12ヶ月） / 保証付 / 同年式より安い（中央値 250万）</t>
        </is>
      </c>
      <c r="L556" s="16" t="inlineStr">
        <is>
          <t>CX-8 2.5 25S スマート エディション</t>
        </is>
      </c>
      <c r="M556" s="12" t="inlineStr">
        <is>
          <t>https://www.carsensor.net/usedcar/detail/AU6904508058/index.html</t>
        </is>
      </c>
    </row>
    <row r="557">
      <c r="A557" s="6" t="n">
        <v>2021</v>
      </c>
      <c r="B557" s="7" t="inlineStr">
        <is>
          <t>2WD</t>
        </is>
      </c>
      <c r="C557" s="7" t="inlineStr">
        <is>
          <t>2.5 25S スマート</t>
        </is>
      </c>
      <c r="D557" s="17" t="n">
        <v>5</v>
      </c>
      <c r="E557" s="9" t="n">
        <v>215.3</v>
      </c>
      <c r="F557" s="9" t="n">
        <v>197.9</v>
      </c>
      <c r="G557" s="10" t="n">
        <v>6.2</v>
      </c>
      <c r="H557" s="7" t="inlineStr">
        <is>
          <t>なし</t>
        </is>
      </c>
      <c r="I557" s="7" t="inlineStr">
        <is>
          <t>車検整備付</t>
        </is>
      </c>
      <c r="J557" s="7" t="inlineStr">
        <is>
          <t>保証付</t>
        </is>
      </c>
      <c r="K557" s="16" t="inlineStr">
        <is>
          <t>修復歴なし / 車検整備付 / 保証付 / 同年式より安い（中央値 279万）</t>
        </is>
      </c>
      <c r="L557" s="16" t="inlineStr">
        <is>
          <t>CX-8 2.5 25S スマート エディション 衝突軽減ブレーキ レーンキープアシスト 純正ナビ フルセグTV BT接続 バックカメラ サイドカメラ フロントカメラ キーレス プッシュスタート ETC コーナーセンサー クルーズコントロール</t>
        </is>
      </c>
      <c r="M557" s="7" t="inlineStr">
        <is>
          <t>https://www.carsensor.net/usedcar/detail/AU6981927219/index.html</t>
        </is>
      </c>
    </row>
    <row r="558">
      <c r="A558" s="11" t="n">
        <v>2023</v>
      </c>
      <c r="B558" s="12" t="inlineStr">
        <is>
          <t>2WD</t>
        </is>
      </c>
      <c r="C558" s="12" t="inlineStr">
        <is>
          <t>2.5 25S スマート</t>
        </is>
      </c>
      <c r="D558" s="13" t="n">
        <v>5</v>
      </c>
      <c r="E558" s="14" t="n">
        <v>280.6</v>
      </c>
      <c r="F558" s="14" t="n">
        <v>265</v>
      </c>
      <c r="G558" s="15" t="n">
        <v>2.5</v>
      </c>
      <c r="H558" s="12" t="inlineStr">
        <is>
          <t>なし</t>
        </is>
      </c>
      <c r="I558" s="12" t="inlineStr">
        <is>
          <t>車検整備付</t>
        </is>
      </c>
      <c r="J558" s="12" t="inlineStr">
        <is>
          <t>保証付</t>
        </is>
      </c>
      <c r="K558" s="16" t="inlineStr">
        <is>
          <t>修復歴なし / 車検整備付 / 保証付 / 同年式より安い（中央値 348万）</t>
        </is>
      </c>
      <c r="L558" s="16" t="inlineStr">
        <is>
          <t>CX-8 2.5 25S スマート エディション 7人乗り 全周囲カメラ クリアランスソナー オートクルーズコントロール レーンアシスト 衝突被害軽減システム 電動リアゲート ETC車載器 Bluetoothオーディオ TV シートヒーター</t>
        </is>
      </c>
      <c r="M558" s="12" t="inlineStr">
        <is>
          <t>https://www.carsensor.net/usedcar/detail/AU7119805235/index.html</t>
        </is>
      </c>
    </row>
    <row r="559">
      <c r="A559" s="6" t="n">
        <v>2022</v>
      </c>
      <c r="B559" s="7" t="inlineStr">
        <is>
          <t>2WD</t>
        </is>
      </c>
      <c r="C559" s="7" t="inlineStr">
        <is>
          <t>2.5 25S スマート</t>
        </is>
      </c>
      <c r="D559" s="17" t="n">
        <v>4.8</v>
      </c>
      <c r="E559" s="9" t="n">
        <v>232.9</v>
      </c>
      <c r="F559" s="9" t="n">
        <v>226.3</v>
      </c>
      <c r="G559" s="10" t="n">
        <v>4.4</v>
      </c>
      <c r="H559" s="7" t="inlineStr">
        <is>
          <t>なし</t>
        </is>
      </c>
      <c r="I559" s="7" t="inlineStr">
        <is>
          <t>2027(R09)年08月</t>
        </is>
      </c>
      <c r="J559" s="7" t="inlineStr">
        <is>
          <t>保証付</t>
        </is>
      </c>
      <c r="K559" s="16" t="inlineStr">
        <is>
          <t>修復歴なし / 車検 2027/08 まで（残り10ヶ月） / 保証付 / 同年式より安い（中央値 296万）</t>
        </is>
      </c>
      <c r="L559" s="16" t="inlineStr">
        <is>
          <t>CX-8 2.5 25S スマート エディション 新品タイヤ/SDナビ/アイアクティブセンス/全方位モニター/車線逸脱防止支援システム/ヘッドランプ LED/Bluetooth接続/ETC/EBD付ABS/横滑り防止装置</t>
        </is>
      </c>
      <c r="M559" s="7" t="inlineStr">
        <is>
          <t>https://www.carsensor.net/usedcar/detail/AU7439107688/index.html</t>
        </is>
      </c>
    </row>
    <row r="560">
      <c r="A560" s="11" t="n">
        <v>2021</v>
      </c>
      <c r="B560" s="12" t="inlineStr">
        <is>
          <t>2WD</t>
        </is>
      </c>
      <c r="C560" s="12" t="inlineStr">
        <is>
          <t>2.5 25S スマート</t>
        </is>
      </c>
      <c r="D560" s="13" t="n">
        <v>4.2</v>
      </c>
      <c r="E560" s="14" t="n">
        <v>217.8</v>
      </c>
      <c r="F560" s="14" t="n">
        <v>207.5</v>
      </c>
      <c r="G560" s="15" t="n">
        <v>6.3</v>
      </c>
      <c r="H560" s="12" t="inlineStr">
        <is>
          <t>なし</t>
        </is>
      </c>
      <c r="I560" s="12" t="inlineStr">
        <is>
          <t>2026(R08)年12月</t>
        </is>
      </c>
      <c r="J560" s="12" t="inlineStr">
        <is>
          <t>保証付</t>
        </is>
      </c>
      <c r="K560" s="16" t="inlineStr">
        <is>
          <t>修復歴なし / 車検 2026/12 まで（残り2ヶ月） / 保証付 / 同年式より安い（中央値 279万）</t>
        </is>
      </c>
      <c r="L560" s="16" t="inlineStr">
        <is>
          <t>CX-8 2.5 25S スマート エディション 禁煙 アドバンスドスマートシティブレーキサポート 10.25インチセンターディスプレイ 360度ビューモニター アルパインフリップダウンモニター LEDヘッドライト レーダークルーズコントロール スマートキー</t>
        </is>
      </c>
      <c r="M560" s="12" t="inlineStr">
        <is>
          <t>https://www.carsensor.net/usedcar/detail/AU7311980268/index.html</t>
        </is>
      </c>
    </row>
    <row r="561">
      <c r="A561" s="6" t="n">
        <v>2020</v>
      </c>
      <c r="B561" s="7" t="inlineStr">
        <is>
          <t>2WD</t>
        </is>
      </c>
      <c r="C561" s="7" t="inlineStr">
        <is>
          <t>2.5 25S スマート</t>
        </is>
      </c>
      <c r="D561" s="17" t="n">
        <v>4.1</v>
      </c>
      <c r="E561" s="9" t="n">
        <v>225.9</v>
      </c>
      <c r="F561" s="9" t="n">
        <v>214</v>
      </c>
      <c r="G561" s="10" t="n">
        <v>4.6</v>
      </c>
      <c r="H561" s="7" t="inlineStr">
        <is>
          <t>なし</t>
        </is>
      </c>
      <c r="I561" s="7" t="inlineStr">
        <is>
          <t>2027(R09)年11月</t>
        </is>
      </c>
      <c r="J561" s="7" t="inlineStr">
        <is>
          <t>保証付</t>
        </is>
      </c>
      <c r="K561" s="16" t="inlineStr">
        <is>
          <t>修復歴なし / 車検 2027/11 まで（残り13ヶ月） / 保証付</t>
        </is>
      </c>
      <c r="L561" s="16" t="inlineStr">
        <is>
          <t>CX-8 2.5 25S スマート エディション 純正SDナビ 全周囲カメラ コーナーセンサー スマートキー LEDヘッド ETC クルコン 純正17インチアルミ 車線逸脱警報 オートライト デュアルエアコン Bluetooth</t>
        </is>
      </c>
      <c r="M561" s="7" t="inlineStr">
        <is>
          <t>https://www.carsensor.net/usedcar/detail/AU7452155734/index.html</t>
        </is>
      </c>
    </row>
    <row r="562">
      <c r="A562" s="11" t="n">
        <v>2020</v>
      </c>
      <c r="B562" s="12" t="inlineStr">
        <is>
          <t>2WD</t>
        </is>
      </c>
      <c r="C562" s="12" t="inlineStr">
        <is>
          <t>2.5 25S スマート</t>
        </is>
      </c>
      <c r="D562" s="13" t="n">
        <v>4.1</v>
      </c>
      <c r="E562" s="14" t="n">
        <v>239.9</v>
      </c>
      <c r="F562" s="14" t="n">
        <v>228</v>
      </c>
      <c r="G562" s="15" t="n">
        <v>5.7</v>
      </c>
      <c r="H562" s="12" t="inlineStr">
        <is>
          <t>なし</t>
        </is>
      </c>
      <c r="I562" s="12" t="inlineStr">
        <is>
          <t>2027(R09)年11月</t>
        </is>
      </c>
      <c r="J562" s="12" t="inlineStr">
        <is>
          <t>保証付</t>
        </is>
      </c>
      <c r="K562" s="16" t="inlineStr">
        <is>
          <t>修復歴なし / 車検 2027/11 まで（残り13ヶ月） / 保証付</t>
        </is>
      </c>
      <c r="L562" s="16" t="inlineStr">
        <is>
          <t>CX-8 2.5 25S スマート エディション 禁煙車 純正SDナビ 全周囲カメラ 衝突被害軽減システム 電動リアゲート ドラレコ コーナーセンサー スマートキー LEDヘッド ETC 純正17インチアルミ 車線逸脱警報 オートライト</t>
        </is>
      </c>
      <c r="M562" s="12" t="inlineStr">
        <is>
          <t>https://www.carsensor.net/usedcar/detail/AU7349119893/index.html</t>
        </is>
      </c>
    </row>
    <row r="563">
      <c r="A563" s="6" t="n">
        <v>2020</v>
      </c>
      <c r="B563" s="7" t="inlineStr">
        <is>
          <t>2WD</t>
        </is>
      </c>
      <c r="C563" s="7" t="inlineStr">
        <is>
          <t>2.5 25S スマート</t>
        </is>
      </c>
      <c r="D563" s="17" t="n">
        <v>4</v>
      </c>
      <c r="E563" s="9" t="n">
        <v>234</v>
      </c>
      <c r="F563" s="9" t="n">
        <v>219.8</v>
      </c>
      <c r="G563" s="10" t="n">
        <v>5.5</v>
      </c>
      <c r="H563" s="7" t="inlineStr">
        <is>
          <t>なし</t>
        </is>
      </c>
      <c r="I563" s="7" t="inlineStr">
        <is>
          <t>車検整備付</t>
        </is>
      </c>
      <c r="J563" s="7" t="inlineStr">
        <is>
          <t>保証付</t>
        </is>
      </c>
      <c r="K563" s="16" t="inlineStr">
        <is>
          <t>修復歴なし / 車検整備付 / 保証付</t>
        </is>
      </c>
      <c r="L563" s="16" t="inlineStr">
        <is>
          <t>CX-8 2.5 25S スマート エディション マツダ認定中古車 ETC車載器 衝突被害軽減ブレーキ 360°ビューモニター ヘッドアップディスプレイ</t>
        </is>
      </c>
      <c r="M563" s="7" t="inlineStr">
        <is>
          <t>https://www.carsensor.net/usedcar/detail/AU7353012958/index.html</t>
        </is>
      </c>
    </row>
    <row r="564">
      <c r="A564" s="11" t="n">
        <v>2020</v>
      </c>
      <c r="B564" s="12" t="inlineStr">
        <is>
          <t>2WD</t>
        </is>
      </c>
      <c r="C564" s="12" t="inlineStr">
        <is>
          <t>2.5 25S スマート</t>
        </is>
      </c>
      <c r="D564" s="13" t="n">
        <v>3.8</v>
      </c>
      <c r="E564" s="14" t="n">
        <v>243.8</v>
      </c>
      <c r="F564" s="14" t="n">
        <v>233.6</v>
      </c>
      <c r="G564" s="15" t="n">
        <v>4.7</v>
      </c>
      <c r="H564" s="12" t="inlineStr">
        <is>
          <t>なし</t>
        </is>
      </c>
      <c r="I564" s="12" t="inlineStr">
        <is>
          <t>2027(R09)年08月</t>
        </is>
      </c>
      <c r="J564" s="12" t="inlineStr">
        <is>
          <t>保証付</t>
        </is>
      </c>
      <c r="K564" s="16" t="inlineStr">
        <is>
          <t>修復歴なし / 車検 2027/08 まで（残り10ヶ月） / 保証付</t>
        </is>
      </c>
      <c r="L564" s="16" t="inlineStr">
        <is>
          <t>CX-8 2.5 25S スマート エディション 純正ナビ/フルセグテレビ/CD/DVD/Bluetooth/360°ビューモニター/レーダークルーズコントロール/レーンキープアシスト/クリアランスソナー/ETC/ドライブレコーダー/BSM</t>
        </is>
      </c>
      <c r="M564" s="12" t="inlineStr">
        <is>
          <t>https://www.carsensor.net/usedcar/detail/AU7166382502/index.html</t>
        </is>
      </c>
    </row>
    <row r="565">
      <c r="A565" s="6" t="n">
        <v>2022</v>
      </c>
      <c r="B565" s="7" t="inlineStr">
        <is>
          <t>2WD</t>
        </is>
      </c>
      <c r="C565" s="7" t="inlineStr">
        <is>
          <t>2.5 25S スマート</t>
        </is>
      </c>
      <c r="D565" s="17" t="n">
        <v>3.7</v>
      </c>
      <c r="E565" s="9" t="n">
        <v>267.1</v>
      </c>
      <c r="F565" s="9" t="n">
        <v>257.5</v>
      </c>
      <c r="G565" s="10" t="n">
        <v>3.9</v>
      </c>
      <c r="H565" s="7" t="inlineStr">
        <is>
          <t>なし</t>
        </is>
      </c>
      <c r="I565" s="7" t="inlineStr">
        <is>
          <t>2027(R09)年06月</t>
        </is>
      </c>
      <c r="J565" s="7" t="inlineStr">
        <is>
          <t>保証付</t>
        </is>
      </c>
      <c r="K565" s="16" t="inlineStr">
        <is>
          <t>修復歴なし / 車検 2027/06 まで（残り8ヶ月） / 保証付</t>
        </is>
      </c>
      <c r="L565" s="16" t="inlineStr">
        <is>
          <t>CX-8 2.5 25S スマート エディション ナビ 360°モニター ETC 3列シート ワンオーナー 7人乗り</t>
        </is>
      </c>
      <c r="M565" s="7" t="inlineStr">
        <is>
          <t>https://www.carsensor.net/usedcar/detail/AU7337925814/index.html</t>
        </is>
      </c>
    </row>
    <row r="566">
      <c r="A566" s="11" t="n">
        <v>2022</v>
      </c>
      <c r="B566" s="12" t="inlineStr">
        <is>
          <t>2WD</t>
        </is>
      </c>
      <c r="C566" s="12" t="inlineStr">
        <is>
          <t>2.5 25S スマート</t>
        </is>
      </c>
      <c r="D566" s="13" t="n">
        <v>3.4</v>
      </c>
      <c r="E566" s="14" t="n">
        <v>267.3</v>
      </c>
      <c r="F566" s="14" t="n">
        <v>258</v>
      </c>
      <c r="G566" s="15" t="n">
        <v>4.1</v>
      </c>
      <c r="H566" s="12" t="inlineStr">
        <is>
          <t>なし</t>
        </is>
      </c>
      <c r="I566" s="12" t="inlineStr">
        <is>
          <t>2027(R09)年03月</t>
        </is>
      </c>
      <c r="J566" s="12" t="inlineStr">
        <is>
          <t>保証付</t>
        </is>
      </c>
      <c r="K566" s="16" t="inlineStr">
        <is>
          <t>修復歴なし / 車検 2027/03 まで（残り5ヶ月） / 保証付</t>
        </is>
      </c>
      <c r="L566" s="16" t="inlineStr">
        <is>
          <t>CX-8 2.5 25S スマート エディション</t>
        </is>
      </c>
      <c r="M566" s="12" t="inlineStr">
        <is>
          <t>https://www.carsensor.net/usedcar/detail/AU7203161012/index.html</t>
        </is>
      </c>
    </row>
    <row r="567">
      <c r="A567" s="6" t="n">
        <v>2022</v>
      </c>
      <c r="B567" s="7" t="inlineStr">
        <is>
          <t>2WD</t>
        </is>
      </c>
      <c r="C567" s="7" t="inlineStr">
        <is>
          <t>2.5 25S スマート</t>
        </is>
      </c>
      <c r="D567" s="17" t="n">
        <v>3.2</v>
      </c>
      <c r="E567" s="9" t="n">
        <v>183.8</v>
      </c>
      <c r="F567" s="9" t="n">
        <v>175.4</v>
      </c>
      <c r="G567" s="10" t="n">
        <v>7.5</v>
      </c>
      <c r="H567" s="7" t="inlineStr">
        <is>
          <t>なし</t>
        </is>
      </c>
      <c r="I567" s="7" t="inlineStr">
        <is>
          <t>2027(R09)年06月</t>
        </is>
      </c>
      <c r="J567" s="7" t="inlineStr">
        <is>
          <t>保証付</t>
        </is>
      </c>
      <c r="K567" s="16" t="inlineStr">
        <is>
          <t>走行が多め（7.5万km） / 修復歴なし / 車検 2027/06 まで（残り8ヶ月） / 保証付 / 同年式より安い（中央値 296万）</t>
        </is>
      </c>
      <c r="L567" s="16" t="inlineStr">
        <is>
          <t>CX-8 2.5 25S スマート エディション マツダコネクトナビ/全周囲カメラ/レーダークルーズコントロール/クリアランスソナー/ブラインドスポットモニター/ヘッドアップディスプレイ/AppleCarPlay/ETC/3列シート/アイドリングストップ/LEDヘッドライト</t>
        </is>
      </c>
      <c r="M567" s="7" t="inlineStr">
        <is>
          <t>https://www.carsensor.net/usedcar/detail/AU7241676815/index.html</t>
        </is>
      </c>
    </row>
    <row r="568">
      <c r="A568" s="11" t="n">
        <v>2021</v>
      </c>
      <c r="B568" s="12" t="inlineStr">
        <is>
          <t>2WD</t>
        </is>
      </c>
      <c r="C568" s="12" t="inlineStr">
        <is>
          <t>2.5 25S スマート</t>
        </is>
      </c>
      <c r="D568" s="13" t="n">
        <v>0.5</v>
      </c>
      <c r="E568" s="14" t="n">
        <v>194.8</v>
      </c>
      <c r="F568" s="14" t="n">
        <v>179.9</v>
      </c>
      <c r="G568" s="15" t="n">
        <v>2.9</v>
      </c>
      <c r="H568" s="12" t="inlineStr">
        <is>
          <t>あり</t>
        </is>
      </c>
      <c r="I568" s="12" t="inlineStr">
        <is>
          <t>車検整備付</t>
        </is>
      </c>
      <c r="J568" s="12" t="inlineStr">
        <is>
          <t>保証付</t>
        </is>
      </c>
      <c r="K568" s="16" t="inlineStr">
        <is>
          <t>走行が少なめ（2.9万km） / 修復歴あり / 車検整備付 / 保証付 / 同年式より安い（中央値 279万）</t>
        </is>
      </c>
      <c r="L568" s="16" t="inlineStr">
        <is>
          <t>CX-8 2.5 25S スマート エディション マツコネナビ 360°カメラ LED ETC MRCC 純正17AW</t>
        </is>
      </c>
      <c r="M568" s="12" t="inlineStr">
        <is>
          <t>https://www.carsensor.net/usedcar/detail/AU7331344242/index.html</t>
        </is>
      </c>
    </row>
    <row r="569">
      <c r="A569" s="6" t="n">
        <v>2018</v>
      </c>
      <c r="B569" s="7" t="inlineStr">
        <is>
          <t>2WD</t>
        </is>
      </c>
      <c r="C569" s="7" t="inlineStr">
        <is>
          <t>2.5 25S セーフティクルーズPkg</t>
        </is>
      </c>
      <c r="D569" s="17" t="n">
        <v>7</v>
      </c>
      <c r="E569" s="9" t="n">
        <v>239.5</v>
      </c>
      <c r="F569" s="9" t="n">
        <v>229</v>
      </c>
      <c r="G569" s="10" t="n">
        <v>3</v>
      </c>
      <c r="H569" s="7" t="inlineStr">
        <is>
          <t>なし</t>
        </is>
      </c>
      <c r="I569" s="7" t="inlineStr">
        <is>
          <t>車検整備付</t>
        </is>
      </c>
      <c r="J569" s="7" t="inlineStr">
        <is>
          <t>保証付</t>
        </is>
      </c>
      <c r="K569" s="16" t="inlineStr">
        <is>
          <t>同年式の半分以下の走行（3.0万km） / 修復歴なし / 車検整備付 / 保証付</t>
        </is>
      </c>
      <c r="L569" s="16" t="inlineStr">
        <is>
          <t>CX-8 2.5 25S セーフティクルーズPkg</t>
        </is>
      </c>
      <c r="M569" s="7" t="inlineStr">
        <is>
          <t>https://www.carsensor.net/usedcar/detail/AU0744238553/index.html</t>
        </is>
      </c>
    </row>
    <row r="570">
      <c r="A570" s="11" t="n">
        <v>2022</v>
      </c>
      <c r="B570" s="12" t="inlineStr">
        <is>
          <t>2WD</t>
        </is>
      </c>
      <c r="C570" s="12" t="inlineStr">
        <is>
          <t>2.5 25S ブラックトーン</t>
        </is>
      </c>
      <c r="D570" s="13" t="n">
        <v>6.1</v>
      </c>
      <c r="E570" s="14" t="n">
        <v>312.5</v>
      </c>
      <c r="F570" s="14" t="n">
        <v>299.9</v>
      </c>
      <c r="G570" s="15" t="n">
        <v>1.7</v>
      </c>
      <c r="H570" s="12" t="inlineStr">
        <is>
          <t>なし</t>
        </is>
      </c>
      <c r="I570" s="12" t="inlineStr">
        <is>
          <t>2027(R09)年11月</t>
        </is>
      </c>
      <c r="J570" s="12" t="inlineStr">
        <is>
          <t>保証無</t>
        </is>
      </c>
      <c r="K570" s="16" t="inlineStr">
        <is>
          <t>同年式の半分以下の走行（1.7万km） / 修復歴なし / 車検 2027/11 まで（残り13ヶ月）</t>
        </is>
      </c>
      <c r="L570" s="16" t="inlineStr">
        <is>
          <t>CX-8 2.5 25S ブラックトーン エディション BOSEサウンド アルパイン後席モニター 360°モニター 10.25インチディスプレイ ETC2.0 前後シート&amp;ステアヒーター パワーバックドア シートメモリー ワイヤレス充電 フルセグTV BTオーディオ</t>
        </is>
      </c>
      <c r="M570" s="12" t="inlineStr">
        <is>
          <t>https://www.carsensor.net/usedcar/detail/AU7450282751/index.html</t>
        </is>
      </c>
    </row>
    <row r="571">
      <c r="A571" s="6" t="n">
        <v>2021</v>
      </c>
      <c r="B571" s="7" t="inlineStr">
        <is>
          <t>2WD</t>
        </is>
      </c>
      <c r="C571" s="7" t="inlineStr">
        <is>
          <t>2.5 25S ブラックトーン</t>
        </is>
      </c>
      <c r="D571" s="17" t="n">
        <v>5.5</v>
      </c>
      <c r="E571" s="9" t="n">
        <v>247.8</v>
      </c>
      <c r="F571" s="9" t="n">
        <v>238</v>
      </c>
      <c r="G571" s="10" t="n">
        <v>6.7</v>
      </c>
      <c r="H571" s="7" t="inlineStr">
        <is>
          <t>なし</t>
        </is>
      </c>
      <c r="I571" s="7" t="inlineStr">
        <is>
          <t>2028(R10)年04月</t>
        </is>
      </c>
      <c r="J571" s="7" t="inlineStr">
        <is>
          <t>保証付</t>
        </is>
      </c>
      <c r="K571" s="16" t="inlineStr">
        <is>
          <t>修復歴なし / 車検 2028/04 まで（残り18ヶ月） / 保証付 / 同年式より安い（中央値 279万）</t>
        </is>
      </c>
      <c r="L571" s="16" t="inlineStr">
        <is>
          <t>CX-8 2.5 25S ブラックトーン エディション 純正ナビ・全方位モニター・ETC・前方ドライブレコーダー・ハンドルヒーター・シートヒーター・アダプティブクルーズコントロール・パワーバックドア・BSM</t>
        </is>
      </c>
      <c r="M571" s="7" t="inlineStr">
        <is>
          <t>https://www.carsensor.net/usedcar/detail/AU7174831727/index.html</t>
        </is>
      </c>
    </row>
    <row r="572">
      <c r="A572" s="11" t="n">
        <v>2021</v>
      </c>
      <c r="B572" s="12" t="inlineStr">
        <is>
          <t>2WD</t>
        </is>
      </c>
      <c r="C572" s="12" t="inlineStr">
        <is>
          <t>2.5 25S ブラックトーン</t>
        </is>
      </c>
      <c r="D572" s="13" t="n">
        <v>5.5</v>
      </c>
      <c r="E572" s="14" t="n">
        <v>283</v>
      </c>
      <c r="F572" s="14" t="n">
        <v>268.4</v>
      </c>
      <c r="G572" s="15" t="n">
        <v>2.4</v>
      </c>
      <c r="H572" s="12" t="inlineStr">
        <is>
          <t>なし</t>
        </is>
      </c>
      <c r="I572" s="12" t="inlineStr">
        <is>
          <t>車検整備付</t>
        </is>
      </c>
      <c r="J572" s="12" t="inlineStr">
        <is>
          <t>保証付</t>
        </is>
      </c>
      <c r="K572" s="16" t="inlineStr">
        <is>
          <t>走行が少なめ（2.4万km） / 修復歴なし / 車検整備付 / 保証付</t>
        </is>
      </c>
      <c r="L572" s="16" t="inlineStr">
        <is>
          <t>CX-8 2.5 25S ブラックトーン エディション 前後ソナー アドバンスドキー LEDライ</t>
        </is>
      </c>
      <c r="M572" s="12" t="inlineStr">
        <is>
          <t>https://www.carsensor.net/usedcar/detail/AU7362085169/index.html</t>
        </is>
      </c>
    </row>
    <row r="573">
      <c r="A573" s="6" t="n">
        <v>2022</v>
      </c>
      <c r="B573" s="7" t="inlineStr">
        <is>
          <t>2WD</t>
        </is>
      </c>
      <c r="C573" s="7" t="inlineStr">
        <is>
          <t>2.5 25S ブラックトーン</t>
        </is>
      </c>
      <c r="D573" s="17" t="n">
        <v>5.5</v>
      </c>
      <c r="E573" s="9" t="n">
        <v>293.4</v>
      </c>
      <c r="F573" s="9" t="n">
        <v>279.8</v>
      </c>
      <c r="G573" s="10" t="n">
        <v>2.9</v>
      </c>
      <c r="H573" s="7" t="inlineStr">
        <is>
          <t>なし</t>
        </is>
      </c>
      <c r="I573" s="7" t="inlineStr">
        <is>
          <t>車検整備付</t>
        </is>
      </c>
      <c r="J573" s="7" t="inlineStr">
        <is>
          <t>保証付</t>
        </is>
      </c>
      <c r="K573" s="16" t="inlineStr">
        <is>
          <t>走行が少なめ（2.9万km） / 修復歴なし / 車検整備付 / 保証付</t>
        </is>
      </c>
      <c r="L573" s="16" t="inlineStr">
        <is>
          <t>CX-8 2.5 25S ブラックトーン エディション</t>
        </is>
      </c>
      <c r="M573" s="7" t="inlineStr">
        <is>
          <t>https://www.carsensor.net/usedcar/detail/AU7412001200/index.html</t>
        </is>
      </c>
    </row>
    <row r="574">
      <c r="A574" s="11" t="n">
        <v>2022</v>
      </c>
      <c r="B574" s="12" t="inlineStr">
        <is>
          <t>2WD</t>
        </is>
      </c>
      <c r="C574" s="12" t="inlineStr">
        <is>
          <t>2.5 25S ブラックトーン</t>
        </is>
      </c>
      <c r="D574" s="13" t="n">
        <v>5.5</v>
      </c>
      <c r="E574" s="14" t="n">
        <v>299.9</v>
      </c>
      <c r="F574" s="14" t="n">
        <v>282.6</v>
      </c>
      <c r="G574" s="15" t="n">
        <v>3</v>
      </c>
      <c r="H574" s="12" t="inlineStr">
        <is>
          <t>なし</t>
        </is>
      </c>
      <c r="I574" s="12" t="inlineStr">
        <is>
          <t>車検整備付</t>
        </is>
      </c>
      <c r="J574" s="12" t="inlineStr">
        <is>
          <t>保証付</t>
        </is>
      </c>
      <c r="K574" s="16" t="inlineStr">
        <is>
          <t>走行が少なめ（3.0万km） / 修復歴なし / 車検整備付 / 保証付</t>
        </is>
      </c>
      <c r="L574" s="16" t="inlineStr">
        <is>
          <t>CX-8 2.5 25S ブラックトーン エディション 禁煙車 6人乗り 10型ナビフルセグ 全周囲カメラ レーダークルーズ ブラインドスポットモニター ヘッドアップディスプレイ シートヒーター 電動リアゲート ステアリングヒーター ETC ドラレコ</t>
        </is>
      </c>
      <c r="M574" s="12" t="inlineStr">
        <is>
          <t>https://www.carsensor.net/usedcar/detail/AU7383428134/index.html</t>
        </is>
      </c>
    </row>
    <row r="575">
      <c r="A575" s="6" t="n">
        <v>2022</v>
      </c>
      <c r="B575" s="7" t="inlineStr">
        <is>
          <t>2WD</t>
        </is>
      </c>
      <c r="C575" s="7" t="inlineStr">
        <is>
          <t>2.5 25S ブラックトーン</t>
        </is>
      </c>
      <c r="D575" s="17" t="n">
        <v>5.5</v>
      </c>
      <c r="E575" s="9" t="n">
        <v>305.9</v>
      </c>
      <c r="F575" s="9" t="n">
        <v>289.8</v>
      </c>
      <c r="G575" s="10" t="n">
        <v>2.1</v>
      </c>
      <c r="H575" s="7" t="inlineStr">
        <is>
          <t>なし</t>
        </is>
      </c>
      <c r="I575" s="7" t="inlineStr">
        <is>
          <t>車検整備付</t>
        </is>
      </c>
      <c r="J575" s="7" t="inlineStr">
        <is>
          <t>保証付</t>
        </is>
      </c>
      <c r="K575" s="16" t="inlineStr">
        <is>
          <t>走行が少なめ（2.1万km） / 修復歴なし / 車検整備付 / 保証付</t>
        </is>
      </c>
      <c r="L575" s="16" t="inlineStr">
        <is>
          <t>CX-8 2.5 25S ブラックトーン エディション BOSE・サンルーフ・フルセグTV・デイライト・ルーフレール・6人乗りウォークスルー</t>
        </is>
      </c>
      <c r="M575" s="7" t="inlineStr">
        <is>
          <t>https://www.carsensor.net/usedcar/detail/AU6807481563/index.html</t>
        </is>
      </c>
    </row>
    <row r="576">
      <c r="A576" s="11" t="n">
        <v>2022</v>
      </c>
      <c r="B576" s="12" t="inlineStr">
        <is>
          <t>2WD</t>
        </is>
      </c>
      <c r="C576" s="12" t="inlineStr">
        <is>
          <t>2.5 25S ブラックトーン</t>
        </is>
      </c>
      <c r="D576" s="13" t="n">
        <v>5.5</v>
      </c>
      <c r="E576" s="14" t="n">
        <v>312.6</v>
      </c>
      <c r="F576" s="14" t="n">
        <v>295</v>
      </c>
      <c r="G576" s="15" t="n">
        <v>2.3</v>
      </c>
      <c r="H576" s="12" t="inlineStr">
        <is>
          <t>なし</t>
        </is>
      </c>
      <c r="I576" s="12" t="inlineStr">
        <is>
          <t>車検整備付</t>
        </is>
      </c>
      <c r="J576" s="12" t="inlineStr">
        <is>
          <t>保証付</t>
        </is>
      </c>
      <c r="K576" s="16" t="inlineStr">
        <is>
          <t>走行が少なめ（2.3万km） / 修復歴なし / 車検整備付 / 保証付</t>
        </is>
      </c>
      <c r="L576" s="16" t="inlineStr">
        <is>
          <t>CX-8 2.5 25S ブラックトーン エディション 禁煙・当社下取ワンオーナー・10.25インチナビ・Apple CarPlay/Android Auto/Bluetooth/USB/ワイヤレス充電/地デジ/ラジオ・BOSEサウンドスピーカー・360°ビューモニター(前後コーナーセンサー)・MRCC・ドラレコ</t>
        </is>
      </c>
      <c r="M576" s="12" t="inlineStr">
        <is>
          <t>https://www.carsensor.net/usedcar/detail/AU7276858768/index.html</t>
        </is>
      </c>
    </row>
    <row r="577">
      <c r="A577" s="6" t="n">
        <v>2023</v>
      </c>
      <c r="B577" s="7" t="inlineStr">
        <is>
          <t>2WD</t>
        </is>
      </c>
      <c r="C577" s="7" t="inlineStr">
        <is>
          <t>2.5 25S ブラックトーン</t>
        </is>
      </c>
      <c r="D577" s="17" t="n">
        <v>5.5</v>
      </c>
      <c r="E577" s="9" t="n">
        <v>329.9</v>
      </c>
      <c r="F577" s="9" t="n">
        <v>312.6</v>
      </c>
      <c r="G577" s="10" t="n">
        <v>1.9</v>
      </c>
      <c r="H577" s="7" t="inlineStr">
        <is>
          <t>なし</t>
        </is>
      </c>
      <c r="I577" s="7" t="inlineStr">
        <is>
          <t>車検整備付</t>
        </is>
      </c>
      <c r="J577" s="7" t="inlineStr">
        <is>
          <t>保証付</t>
        </is>
      </c>
      <c r="K577" s="16" t="inlineStr">
        <is>
          <t>走行が少なめ（1.9万km） / 修復歴なし / 車検整備付 / 保証付</t>
        </is>
      </c>
      <c r="L577" s="16" t="inlineStr">
        <is>
          <t>CX-8 2.5 25S ブラックトーン エディション 10.25型マツダコネクト 全周囲カメラ フルセグ スマートシティブレーキサポート ブラインドスポットモニター レーダークルーズ LEDヘッド 純正19インチAW パワーバックドア シートヒーター</t>
        </is>
      </c>
      <c r="M577" s="7" t="inlineStr">
        <is>
          <t>https://www.carsensor.net/usedcar/detail/AU7383140362/index.html</t>
        </is>
      </c>
    </row>
    <row r="578">
      <c r="A578" s="11" t="n">
        <v>2023</v>
      </c>
      <c r="B578" s="12" t="inlineStr">
        <is>
          <t>2WD</t>
        </is>
      </c>
      <c r="C578" s="12" t="inlineStr">
        <is>
          <t>2.5 25S ブラックトーン</t>
        </is>
      </c>
      <c r="D578" s="13" t="n">
        <v>5.5</v>
      </c>
      <c r="E578" s="14" t="n">
        <v>328.2</v>
      </c>
      <c r="F578" s="14" t="n">
        <v>314.1</v>
      </c>
      <c r="G578" s="15" t="n">
        <v>2.2</v>
      </c>
      <c r="H578" s="12" t="inlineStr">
        <is>
          <t>なし</t>
        </is>
      </c>
      <c r="I578" s="12" t="inlineStr">
        <is>
          <t>車検整備付</t>
        </is>
      </c>
      <c r="J578" s="12" t="inlineStr">
        <is>
          <t>保証付</t>
        </is>
      </c>
      <c r="K578" s="16" t="inlineStr">
        <is>
          <t>走行が少なめ（2.2万km） / 修復歴なし / 車検整備付 / 保証付</t>
        </is>
      </c>
      <c r="L578" s="16" t="inlineStr">
        <is>
          <t>CX-8 2.5 25S ブラックトーン エディション 自社下取 さわやか保証1年走行無制限 魂動デザイン 人馬一体 オルガンペダル 衝突被害軽減ブレーキ 全周囲カメラ 残価設定型クレジット対応</t>
        </is>
      </c>
      <c r="M578" s="12" t="inlineStr">
        <is>
          <t>https://www.carsensor.net/usedcar/detail/AU7415949233/index.html</t>
        </is>
      </c>
    </row>
    <row r="579">
      <c r="A579" s="6" t="n">
        <v>2021</v>
      </c>
      <c r="B579" s="7" t="inlineStr">
        <is>
          <t>2WD</t>
        </is>
      </c>
      <c r="C579" s="7" t="inlineStr">
        <is>
          <t>2.5 25S ブラックトーン</t>
        </is>
      </c>
      <c r="D579" s="17" t="n">
        <v>5.4</v>
      </c>
      <c r="E579" s="9" t="n">
        <v>259.8</v>
      </c>
      <c r="F579" s="9" t="n">
        <v>253.7</v>
      </c>
      <c r="G579" s="10" t="n">
        <v>3.4</v>
      </c>
      <c r="H579" s="7" t="inlineStr">
        <is>
          <t>なし</t>
        </is>
      </c>
      <c r="I579" s="7" t="inlineStr">
        <is>
          <t>2027(R09)年09月</t>
        </is>
      </c>
      <c r="J579" s="7" t="inlineStr">
        <is>
          <t>保証付</t>
        </is>
      </c>
      <c r="K579" s="16" t="inlineStr">
        <is>
          <t>走行が少なめ（3.4万km） / 修復歴なし / 車検 2027/09 まで（残り11ヶ月） / 保証付</t>
        </is>
      </c>
      <c r="L579" s="16" t="inlineStr">
        <is>
          <t>CX-8 2.5 25S ブラックトーン エディション CLIMATEエアロ 純正19インチAW パワーバックドア LEDヘッドランプ 純正10.25型SDナビ アラウンドビューモニター キャメル革調シートカバー シートヒーター 純正CD/DVDプレーヤー ETC ドラレコ</t>
        </is>
      </c>
      <c r="M579" s="7" t="inlineStr">
        <is>
          <t>https://www.carsensor.net/usedcar/detail/AU7401382934/index.html</t>
        </is>
      </c>
    </row>
    <row r="580">
      <c r="A580" s="11" t="n">
        <v>2022</v>
      </c>
      <c r="B580" s="12" t="inlineStr">
        <is>
          <t>2WD</t>
        </is>
      </c>
      <c r="C580" s="12" t="inlineStr">
        <is>
          <t>2.5 25S ブラックトーン</t>
        </is>
      </c>
      <c r="D580" s="13" t="n">
        <v>5.4</v>
      </c>
      <c r="E580" s="14" t="n">
        <v>274.8</v>
      </c>
      <c r="F580" s="14" t="n">
        <v>268.3</v>
      </c>
      <c r="G580" s="15" t="n">
        <v>3.2</v>
      </c>
      <c r="H580" s="12" t="inlineStr">
        <is>
          <t>なし</t>
        </is>
      </c>
      <c r="I580" s="12" t="inlineStr">
        <is>
          <t>2027(R09)年09月</t>
        </is>
      </c>
      <c r="J580" s="12" t="inlineStr">
        <is>
          <t>保証付</t>
        </is>
      </c>
      <c r="K580" s="16" t="inlineStr">
        <is>
          <t>走行が少なめ（3.2万km） / 修復歴なし / 車検 2027/09 まで（残り11ヶ月） / 保証付</t>
        </is>
      </c>
      <c r="L580" s="16" t="inlineStr">
        <is>
          <t>CX-8 2.5 25S ブラックトーン エディション 4WD ワンオーナー 衝突軽減ブレーキ ACC/LKA/BSM 純正SDナビ フルセグTV Bluetooth/Carplay 全方位カメラ ハーフレザー シートヒーター 電動リアゲート 前後ドラレコ</t>
        </is>
      </c>
      <c r="M580" s="12" t="inlineStr">
        <is>
          <t>https://www.carsensor.net/usedcar/detail/AU7333655574/index.html</t>
        </is>
      </c>
    </row>
    <row r="581">
      <c r="A581" s="6" t="n">
        <v>2022</v>
      </c>
      <c r="B581" s="7" t="inlineStr">
        <is>
          <t>2WD</t>
        </is>
      </c>
      <c r="C581" s="7" t="inlineStr">
        <is>
          <t>2.5 25S ブラックトーン</t>
        </is>
      </c>
      <c r="D581" s="17" t="n">
        <v>5.4</v>
      </c>
      <c r="E581" s="9" t="n">
        <v>276.4</v>
      </c>
      <c r="F581" s="9" t="n">
        <v>264.6</v>
      </c>
      <c r="G581" s="10" t="n">
        <v>2.5</v>
      </c>
      <c r="H581" s="7" t="inlineStr">
        <is>
          <t>なし</t>
        </is>
      </c>
      <c r="I581" s="7" t="inlineStr">
        <is>
          <t>2027(R09)年09月</t>
        </is>
      </c>
      <c r="J581" s="7" t="inlineStr">
        <is>
          <t>保証付</t>
        </is>
      </c>
      <c r="K581" s="16" t="inlineStr">
        <is>
          <t>走行が少なめ（2.5万km） / 修復歴なし / 車検 2027/09 まで（残り11ヶ月） / 保証付</t>
        </is>
      </c>
      <c r="L581" s="16" t="inlineStr">
        <is>
          <t>CX-8 2.5 25S ブラックトーン エディション BOSEサウンド 純正10型ナビ 全周囲カメラ レーダークルーズ ブラインドスポットモニター 衝突軽減 パワーバックドア ETC フルセグ Bluetooth シートヒーター ステアリングヒーター</t>
        </is>
      </c>
      <c r="M581" s="7" t="inlineStr">
        <is>
          <t>https://www.carsensor.net/usedcar/detail/AU7432633760/index.html</t>
        </is>
      </c>
    </row>
    <row r="582">
      <c r="A582" s="11" t="n">
        <v>2023</v>
      </c>
      <c r="B582" s="12" t="inlineStr">
        <is>
          <t>2WD</t>
        </is>
      </c>
      <c r="C582" s="12" t="inlineStr">
        <is>
          <t>2.5 25S ブラックトーン</t>
        </is>
      </c>
      <c r="D582" s="13" t="n">
        <v>5.4</v>
      </c>
      <c r="E582" s="14" t="n">
        <v>295.8</v>
      </c>
      <c r="F582" s="14" t="n">
        <v>285</v>
      </c>
      <c r="G582" s="15" t="n">
        <v>3.5</v>
      </c>
      <c r="H582" s="12" t="inlineStr">
        <is>
          <t>なし</t>
        </is>
      </c>
      <c r="I582" s="12" t="inlineStr">
        <is>
          <t>2028(R10)年03月</t>
        </is>
      </c>
      <c r="J582" s="12" t="inlineStr">
        <is>
          <t>保証付</t>
        </is>
      </c>
      <c r="K582" s="16" t="inlineStr">
        <is>
          <t>修復歴なし / 車検 2028/03 まで（残り17ヶ月） / 保証付 / 同年式より安い（中央値 348万）</t>
        </is>
      </c>
      <c r="L582" s="16" t="inlineStr">
        <is>
          <t>CX-8 2.5 25S ブラックトーン エディション 前席Pシートヒーター・Pバックゲート</t>
        </is>
      </c>
      <c r="M582" s="12" t="inlineStr">
        <is>
          <t>https://www.carsensor.net/usedcar/detail/AU7082723729/index.html</t>
        </is>
      </c>
    </row>
    <row r="583">
      <c r="A583" s="6" t="n">
        <v>2021</v>
      </c>
      <c r="B583" s="7" t="inlineStr">
        <is>
          <t>2WD</t>
        </is>
      </c>
      <c r="C583" s="7" t="inlineStr">
        <is>
          <t>2.5 25S ブラックトーン</t>
        </is>
      </c>
      <c r="D583" s="17" t="n">
        <v>5.3</v>
      </c>
      <c r="E583" s="9" t="n">
        <v>249.8</v>
      </c>
      <c r="F583" s="9" t="n">
        <v>243.3</v>
      </c>
      <c r="G583" s="10" t="n">
        <v>4.6</v>
      </c>
      <c r="H583" s="7" t="inlineStr">
        <is>
          <t>なし</t>
        </is>
      </c>
      <c r="I583" s="7" t="inlineStr">
        <is>
          <t>2028(R10)年02月</t>
        </is>
      </c>
      <c r="J583" s="7" t="inlineStr">
        <is>
          <t>保証付</t>
        </is>
      </c>
      <c r="K583" s="16" t="inlineStr">
        <is>
          <t>修復歴なし / 車検 2028/02 まで（残り16ヶ月） / 保証付 / 同年式より安い（中央値 279万）</t>
        </is>
      </c>
      <c r="L583" s="16" t="inlineStr">
        <is>
          <t>CX-8 2.5 25S ブラックトーン エディション 禁煙車 10.25型ナビ 全方位カメラ Apple CarPlay レーダークルーズコントロール ドライブレコーダー ETC オートマチックハイビーム シートヒーター パワーシート パワーバックドア ワイヤレス充電</t>
        </is>
      </c>
      <c r="M583" s="7" t="inlineStr">
        <is>
          <t>https://www.carsensor.net/usedcar/detail/AU7170655723/index.html</t>
        </is>
      </c>
    </row>
    <row r="584">
      <c r="A584" s="11" t="n">
        <v>2021</v>
      </c>
      <c r="B584" s="12" t="inlineStr">
        <is>
          <t>2WD</t>
        </is>
      </c>
      <c r="C584" s="12" t="inlineStr">
        <is>
          <t>2.5 25S ブラックトーン</t>
        </is>
      </c>
      <c r="D584" s="13" t="n">
        <v>5</v>
      </c>
      <c r="E584" s="14" t="n">
        <v>237.1</v>
      </c>
      <c r="F584" s="14" t="n">
        <v>218.4</v>
      </c>
      <c r="G584" s="15" t="n">
        <v>4.8</v>
      </c>
      <c r="H584" s="12" t="inlineStr">
        <is>
          <t>なし</t>
        </is>
      </c>
      <c r="I584" s="12" t="inlineStr">
        <is>
          <t>車検整備付</t>
        </is>
      </c>
      <c r="J584" s="12" t="inlineStr">
        <is>
          <t>保証付</t>
        </is>
      </c>
      <c r="K584" s="16" t="inlineStr">
        <is>
          <t>修復歴なし / 車検整備付 / 保証付 / 同年式より安い（中央値 279万）</t>
        </is>
      </c>
      <c r="L584" s="16" t="inlineStr">
        <is>
          <t>CX-8 2.5 25S ブラックトーン エディション 純正ナビ/衝突軽減/HUD/全方位カメラ/ルーフレール/メモリ付パワーシート/障害物センサー/シートヒーター</t>
        </is>
      </c>
      <c r="M584" s="12" t="inlineStr">
        <is>
          <t>https://www.carsensor.net/usedcar/detail/AU7338936875/index.html</t>
        </is>
      </c>
    </row>
    <row r="585">
      <c r="A585" s="6" t="n">
        <v>2021</v>
      </c>
      <c r="B585" s="7" t="inlineStr">
        <is>
          <t>2WD</t>
        </is>
      </c>
      <c r="C585" s="7" t="inlineStr">
        <is>
          <t>2.5 25S ブラックトーン</t>
        </is>
      </c>
      <c r="D585" s="17" t="n">
        <v>4.8</v>
      </c>
      <c r="E585" s="9" t="n">
        <v>259.9</v>
      </c>
      <c r="F585" s="9" t="n">
        <v>247.5</v>
      </c>
      <c r="G585" s="10" t="n">
        <v>4.6</v>
      </c>
      <c r="H585" s="7" t="inlineStr">
        <is>
          <t>なし</t>
        </is>
      </c>
      <c r="I585" s="7" t="inlineStr">
        <is>
          <t>2028(R10)年08月</t>
        </is>
      </c>
      <c r="J585" s="7" t="inlineStr">
        <is>
          <t>保証付</t>
        </is>
      </c>
      <c r="K585" s="16" t="inlineStr">
        <is>
          <t>修復歴なし / 車検 2028/08 まで（残り22ヶ月） / 保証付</t>
        </is>
      </c>
      <c r="L585" s="16" t="inlineStr">
        <is>
          <t>CX-8 2.5 25S ブラックトーン エディション BOSEサウンド 禁煙車 純正10型ナビ 全周囲カメラ 衝突軽減 レーダークルーズ ブラインドスポットモニター ETC ドラレコ フルセグ Bluetooth接続 パワーバックドア シートヒーター</t>
        </is>
      </c>
      <c r="M585" s="7" t="inlineStr">
        <is>
          <t>https://www.carsensor.net/usedcar/detail/AU7427906569/index.html</t>
        </is>
      </c>
    </row>
    <row r="586">
      <c r="A586" s="11" t="n">
        <v>2023</v>
      </c>
      <c r="B586" s="12" t="inlineStr">
        <is>
          <t>2WD</t>
        </is>
      </c>
      <c r="C586" s="12" t="inlineStr">
        <is>
          <t>2.5 25S ブラックトーン</t>
        </is>
      </c>
      <c r="D586" s="13" t="n">
        <v>4.4</v>
      </c>
      <c r="E586" s="14" t="n">
        <v>341.8</v>
      </c>
      <c r="F586" s="14" t="n">
        <v>335.3</v>
      </c>
      <c r="G586" s="15" t="n">
        <v>2.8</v>
      </c>
      <c r="H586" s="12" t="inlineStr">
        <is>
          <t>なし</t>
        </is>
      </c>
      <c r="I586" s="12" t="inlineStr">
        <is>
          <t>2028(R10)年03月</t>
        </is>
      </c>
      <c r="J586" s="12" t="inlineStr">
        <is>
          <t>保証付</t>
        </is>
      </c>
      <c r="K586" s="16" t="inlineStr">
        <is>
          <t>修復歴なし / 車検 2028/03 まで（残り17ヶ月） / 保証付</t>
        </is>
      </c>
      <c r="L586" s="16" t="inlineStr">
        <is>
          <t>CX-8 2.5 25S ブラックトーン エディション 禁煙車 サンルーフ BOSE 全方位カメラ 純正ナビ ETC ドラレコ 衝突軽減システム BSM レーンキープ クルコン HUD LEDライト 純正フロアマット 純正AW19インチ プッシュスタート</t>
        </is>
      </c>
      <c r="M586" s="12" t="inlineStr">
        <is>
          <t>https://www.carsensor.net/usedcar/detail/AU7333655197/index.html</t>
        </is>
      </c>
    </row>
    <row r="587">
      <c r="A587" s="6" t="n">
        <v>2023</v>
      </c>
      <c r="B587" s="7" t="inlineStr">
        <is>
          <t>2WD</t>
        </is>
      </c>
      <c r="C587" s="7" t="inlineStr">
        <is>
          <t>2.5 25S ブラックトーン</t>
        </is>
      </c>
      <c r="D587" s="17" t="n">
        <v>4.3</v>
      </c>
      <c r="E587" s="9" t="n">
        <v>314.9</v>
      </c>
      <c r="F587" s="9" t="n">
        <v>302.8</v>
      </c>
      <c r="G587" s="10" t="n">
        <v>3.4</v>
      </c>
      <c r="H587" s="7" t="inlineStr">
        <is>
          <t>なし</t>
        </is>
      </c>
      <c r="I587" s="7" t="inlineStr">
        <is>
          <t>2028(R10)年02月</t>
        </is>
      </c>
      <c r="J587" s="7" t="inlineStr">
        <is>
          <t>保証付</t>
        </is>
      </c>
      <c r="K587" s="16" t="inlineStr">
        <is>
          <t>修復歴なし / 車検 2028/02 まで（残り16ヶ月） / 保証付</t>
        </is>
      </c>
      <c r="L587" s="16" t="inlineStr">
        <is>
          <t>CX-8 2.5 25S ブラックトーン エディション 禁煙車 全周囲カメラ 衝突被害軽減システム 電動リアゲート ハーフレザーシート ドラレコ コーナーセンサー スマートキー LEDヘッド ETC 純正19インチアルミ 車線逸脱警報 オートライト</t>
        </is>
      </c>
      <c r="M587" s="7" t="inlineStr">
        <is>
          <t>https://www.carsensor.net/usedcar/detail/AU7444806503/index.html</t>
        </is>
      </c>
    </row>
    <row r="588">
      <c r="A588" s="11" t="n">
        <v>2021</v>
      </c>
      <c r="B588" s="12" t="inlineStr">
        <is>
          <t>2WD</t>
        </is>
      </c>
      <c r="C588" s="12" t="inlineStr">
        <is>
          <t>2.5 25S ブラックトーン</t>
        </is>
      </c>
      <c r="D588" s="13" t="n">
        <v>4</v>
      </c>
      <c r="E588" s="14" t="n">
        <v>259.9</v>
      </c>
      <c r="F588" s="14" t="n">
        <v>242.6</v>
      </c>
      <c r="G588" s="15" t="n">
        <v>5.7</v>
      </c>
      <c r="H588" s="12" t="inlineStr">
        <is>
          <t>なし</t>
        </is>
      </c>
      <c r="I588" s="12" t="inlineStr">
        <is>
          <t>車検整備付</t>
        </is>
      </c>
      <c r="J588" s="12" t="inlineStr">
        <is>
          <t>保証付</t>
        </is>
      </c>
      <c r="K588" s="16" t="inlineStr">
        <is>
          <t>修復歴なし / 車検整備付 / 保証付</t>
        </is>
      </c>
      <c r="L588" s="16" t="inlineStr">
        <is>
          <t>CX-8 2.5 25S ブラックトーン エディション 全周囲カメラ 衝突被害軽減システム 禁煙車 電動リアゲート ハーフレザーシート コーナーセンサー スマートキー LEDヘッド ETC 純正19インチアルミ 車線逸脱警報 オートライト</t>
        </is>
      </c>
      <c r="M588" s="12" t="inlineStr">
        <is>
          <t>https://www.carsensor.net/usedcar/detail/AU7374310608/index.html</t>
        </is>
      </c>
    </row>
    <row r="589">
      <c r="A589" s="6" t="n">
        <v>2022</v>
      </c>
      <c r="B589" s="7" t="inlineStr">
        <is>
          <t>2WD</t>
        </is>
      </c>
      <c r="C589" s="7" t="inlineStr">
        <is>
          <t>2.5 25S ブラックトーン</t>
        </is>
      </c>
      <c r="D589" s="17" t="n">
        <v>4</v>
      </c>
      <c r="E589" s="9" t="n">
        <v>301.2</v>
      </c>
      <c r="F589" s="9" t="n">
        <v>288</v>
      </c>
      <c r="G589" s="10" t="n">
        <v>3.4</v>
      </c>
      <c r="H589" s="7" t="inlineStr">
        <is>
          <t>なし</t>
        </is>
      </c>
      <c r="I589" s="7" t="inlineStr">
        <is>
          <t>車検整備付</t>
        </is>
      </c>
      <c r="J589" s="7" t="inlineStr">
        <is>
          <t>保証付</t>
        </is>
      </c>
      <c r="K589" s="16" t="inlineStr">
        <is>
          <t>修復歴なし / 車検整備付 / 保証付</t>
        </is>
      </c>
      <c r="L589" s="16" t="inlineStr">
        <is>
          <t>CX-8 2.5 25S ブラックトーン エディション ワンオーナー シートヒーター ナビETC 360度カメラ Apple CarPlay&amp;Android Auto対応 7人乗り</t>
        </is>
      </c>
      <c r="M589" s="7" t="inlineStr">
        <is>
          <t>https://www.carsensor.net/usedcar/detail/AU7357785827/index.html</t>
        </is>
      </c>
    </row>
    <row r="590">
      <c r="A590" s="11" t="n">
        <v>2023</v>
      </c>
      <c r="B590" s="12" t="inlineStr">
        <is>
          <t>2WD</t>
        </is>
      </c>
      <c r="C590" s="12" t="inlineStr">
        <is>
          <t>2.5 25S ブラックトーン</t>
        </is>
      </c>
      <c r="D590" s="13" t="n">
        <v>4</v>
      </c>
      <c r="E590" s="14" t="n">
        <v>345.9</v>
      </c>
      <c r="F590" s="14" t="n">
        <v>331.1</v>
      </c>
      <c r="G590" s="15" t="n">
        <v>2.7</v>
      </c>
      <c r="H590" s="12" t="inlineStr">
        <is>
          <t>なし</t>
        </is>
      </c>
      <c r="I590" s="12" t="inlineStr">
        <is>
          <t>車検整備付</t>
        </is>
      </c>
      <c r="J590" s="12" t="inlineStr">
        <is>
          <t>保証付</t>
        </is>
      </c>
      <c r="K590" s="16" t="inlineStr">
        <is>
          <t>修復歴なし / 車検整備付 / 保証付</t>
        </is>
      </c>
      <c r="L590" s="16" t="inlineStr">
        <is>
          <t>CX-8 2.5 25S ブラックトーン エディション</t>
        </is>
      </c>
      <c r="M590" s="12" t="inlineStr">
        <is>
          <t>https://www.carsensor.net/usedcar/detail/AU7441681531/index.html</t>
        </is>
      </c>
    </row>
    <row r="591">
      <c r="A591" s="6" t="n">
        <v>2023</v>
      </c>
      <c r="B591" s="7" t="inlineStr">
        <is>
          <t>2WD</t>
        </is>
      </c>
      <c r="C591" s="7" t="inlineStr">
        <is>
          <t>2.5 25S ブラックトーン</t>
        </is>
      </c>
      <c r="D591" s="17" t="n">
        <v>4</v>
      </c>
      <c r="E591" s="9" t="n">
        <v>339.6</v>
      </c>
      <c r="F591" s="9" t="n">
        <v>324.5</v>
      </c>
      <c r="G591" s="10" t="n">
        <v>2.8</v>
      </c>
      <c r="H591" s="7" t="inlineStr">
        <is>
          <t>なし</t>
        </is>
      </c>
      <c r="I591" s="7" t="inlineStr">
        <is>
          <t>車検整備付</t>
        </is>
      </c>
      <c r="J591" s="7" t="inlineStr">
        <is>
          <t>保証付</t>
        </is>
      </c>
      <c r="K591" s="16" t="inlineStr">
        <is>
          <t>修復歴なし / 車検整備付 / 保証付</t>
        </is>
      </c>
      <c r="L591" s="16" t="inlineStr">
        <is>
          <t>CX-8 2.5 25S ブラックトーン エディション</t>
        </is>
      </c>
      <c r="M591" s="7" t="inlineStr">
        <is>
          <t>https://www.carsensor.net/usedcar/detail/AU7384823252/index.html</t>
        </is>
      </c>
    </row>
    <row r="592">
      <c r="A592" s="11" t="n">
        <v>2022</v>
      </c>
      <c r="B592" s="12" t="inlineStr">
        <is>
          <t>2WD</t>
        </is>
      </c>
      <c r="C592" s="12" t="inlineStr">
        <is>
          <t>2.5 25S ブラックトーン</t>
        </is>
      </c>
      <c r="D592" s="13" t="n">
        <v>3.9</v>
      </c>
      <c r="E592" s="14" t="n">
        <v>282</v>
      </c>
      <c r="F592" s="14" t="n">
        <v>271.4</v>
      </c>
      <c r="G592" s="15" t="n">
        <v>5.1</v>
      </c>
      <c r="H592" s="12" t="inlineStr">
        <is>
          <t>なし</t>
        </is>
      </c>
      <c r="I592" s="12" t="inlineStr">
        <is>
          <t>2027(R09)年09月</t>
        </is>
      </c>
      <c r="J592" s="12" t="inlineStr">
        <is>
          <t>保証付</t>
        </is>
      </c>
      <c r="K592" s="16" t="inlineStr">
        <is>
          <t>修復歴なし / 車検 2027/09 まで（残り11ヶ月） / 保証付</t>
        </is>
      </c>
      <c r="L592" s="16" t="inlineStr">
        <is>
          <t>CX-8 2.5 25S ブラックトーン エディション 10.25インチマツダコネクト ETC 360°モ</t>
        </is>
      </c>
      <c r="M592" s="12" t="inlineStr">
        <is>
          <t>https://www.carsensor.net/usedcar/detail/AU7386769541/index.html</t>
        </is>
      </c>
    </row>
    <row r="593">
      <c r="A593" s="6" t="n">
        <v>2023</v>
      </c>
      <c r="B593" s="7" t="inlineStr">
        <is>
          <t>2WD</t>
        </is>
      </c>
      <c r="C593" s="7" t="inlineStr">
        <is>
          <t>2.5 25S ブラックトーン</t>
        </is>
      </c>
      <c r="D593" s="17" t="n">
        <v>3.9</v>
      </c>
      <c r="E593" s="9" t="n">
        <v>284.8</v>
      </c>
      <c r="F593" s="9" t="n">
        <v>272.7</v>
      </c>
      <c r="G593" s="10" t="n">
        <v>4.8</v>
      </c>
      <c r="H593" s="7" t="inlineStr">
        <is>
          <t>なし</t>
        </is>
      </c>
      <c r="I593" s="7" t="inlineStr">
        <is>
          <t>2028(R10)年03月</t>
        </is>
      </c>
      <c r="J593" s="7" t="inlineStr">
        <is>
          <t>保証付</t>
        </is>
      </c>
      <c r="K593" s="16" t="inlineStr">
        <is>
          <t>走行が多め（4.8万km） / 修復歴なし / 車検 2028/03 まで（残り17ヶ月） / 保証付 / 同年式より安い（中央値 348万）</t>
        </is>
      </c>
      <c r="L593" s="16" t="inlineStr">
        <is>
          <t>CX-8 2.5 25S ブラックトーン エディション 7人乗り 10.25型ディスプレイオーディオ 禁煙車 全周囲カメラ ヘッドアップディスプレイ ブラインドスポットモニター 純正19インチアルミ ハンズフリーパワーバックドア ハーフレザーシート</t>
        </is>
      </c>
      <c r="M593" s="7" t="inlineStr">
        <is>
          <t>https://www.carsensor.net/usedcar/detail/AU7348029281/index.html</t>
        </is>
      </c>
    </row>
    <row r="594">
      <c r="A594" s="11" t="n">
        <v>2022</v>
      </c>
      <c r="B594" s="12" t="inlineStr">
        <is>
          <t>2WD</t>
        </is>
      </c>
      <c r="C594" s="12" t="inlineStr">
        <is>
          <t>2.5 25S ブラックトーン</t>
        </is>
      </c>
      <c r="D594" s="13" t="n">
        <v>3.4</v>
      </c>
      <c r="E594" s="14" t="n">
        <v>307.4</v>
      </c>
      <c r="F594" s="14" t="n">
        <v>298.8</v>
      </c>
      <c r="G594" s="15" t="n">
        <v>4.6</v>
      </c>
      <c r="H594" s="12" t="inlineStr">
        <is>
          <t>なし</t>
        </is>
      </c>
      <c r="I594" s="12" t="inlineStr">
        <is>
          <t>2027(R09)年03月</t>
        </is>
      </c>
      <c r="J594" s="12" t="inlineStr">
        <is>
          <t>保証付</t>
        </is>
      </c>
      <c r="K594" s="16" t="inlineStr">
        <is>
          <t>修復歴なし / 車検 2027/03 まで（残り5ヶ月） / 保証付</t>
        </is>
      </c>
      <c r="L594" s="16" t="inlineStr">
        <is>
          <t>CX-8 2.5 25S ブラックトーン エディション ワンオーナー 360°ビューモニター</t>
        </is>
      </c>
      <c r="M594" s="12" t="inlineStr">
        <is>
          <t>https://www.carsensor.net/usedcar/detail/AU6883316654/index.html</t>
        </is>
      </c>
    </row>
    <row r="595">
      <c r="A595" s="6" t="n">
        <v>2022</v>
      </c>
      <c r="B595" s="7" t="inlineStr">
        <is>
          <t>2WD</t>
        </is>
      </c>
      <c r="C595" s="7" t="inlineStr">
        <is>
          <t>2.5 25S ブラックトーン</t>
        </is>
      </c>
      <c r="D595" s="17" t="n">
        <v>3.3</v>
      </c>
      <c r="E595" s="9" t="n">
        <v>279.9</v>
      </c>
      <c r="F595" s="9" t="n">
        <v>268.5</v>
      </c>
      <c r="G595" s="10" t="n">
        <v>4.7</v>
      </c>
      <c r="H595" s="7" t="inlineStr">
        <is>
          <t>なし</t>
        </is>
      </c>
      <c r="I595" s="7" t="inlineStr">
        <is>
          <t>2027(R09)年02月</t>
        </is>
      </c>
      <c r="J595" s="7" t="inlineStr">
        <is>
          <t>保証付</t>
        </is>
      </c>
      <c r="K595" s="16" t="inlineStr">
        <is>
          <t>修復歴なし / 車検 2027/02 まで（残り4ヶ月） / 保証付</t>
        </is>
      </c>
      <c r="L595" s="16" t="inlineStr">
        <is>
          <t>CX-8 2.5 25S ブラックトーン エディション 10.25インチディスプレイオーディオ 全周囲カメラ 衝突軽減システム レーダークルーズ クリアランスソナー 禁煙車 電動リアゲート ハーフレザーシート スマートキー LEDヘッド E</t>
        </is>
      </c>
      <c r="M595" s="7" t="inlineStr">
        <is>
          <t>https://www.carsensor.net/usedcar/detail/AU7376718452/index.html</t>
        </is>
      </c>
    </row>
    <row r="596">
      <c r="A596" s="11" t="n">
        <v>2022</v>
      </c>
      <c r="B596" s="12" t="inlineStr">
        <is>
          <t>2WD</t>
        </is>
      </c>
      <c r="C596" s="12" t="inlineStr">
        <is>
          <t>2.5 25S ブラックトーン</t>
        </is>
      </c>
      <c r="D596" s="13" t="n">
        <v>3.3</v>
      </c>
      <c r="E596" s="14" t="n">
        <v>314.9</v>
      </c>
      <c r="F596" s="14" t="n">
        <v>293</v>
      </c>
      <c r="G596" s="15" t="n">
        <v>3.3</v>
      </c>
      <c r="H596" s="12" t="inlineStr">
        <is>
          <t>なし</t>
        </is>
      </c>
      <c r="I596" s="12" t="inlineStr">
        <is>
          <t>2027(R09)年02月</t>
        </is>
      </c>
      <c r="J596" s="12" t="inlineStr">
        <is>
          <t>保証付</t>
        </is>
      </c>
      <c r="K596" s="16" t="inlineStr">
        <is>
          <t>修復歴なし / 車検 2027/02 まで（残り4ヶ月） / 保証付</t>
        </is>
      </c>
      <c r="L596" s="16" t="inlineStr">
        <is>
          <t>CX-8 2.5 25S ブラックトーン エディション 禁煙 6人乗 360°ビューモニター レーダークルーズ クリアランスソナー レーンキープ BSM ヘッドアップディスプレイ メーカーナビ 地デジ DVD アルパインフリップダウンモニター パワーバックドア</t>
        </is>
      </c>
      <c r="M596" s="12" t="inlineStr">
        <is>
          <t>https://www.carsensor.net/usedcar/detail/AU7355649580/index.html</t>
        </is>
      </c>
    </row>
    <row r="597">
      <c r="A597" s="6" t="n">
        <v>2023</v>
      </c>
      <c r="B597" s="7" t="inlineStr">
        <is>
          <t>2WD</t>
        </is>
      </c>
      <c r="C597" s="7" t="inlineStr">
        <is>
          <t>2.5 25S ブラックトーン</t>
        </is>
      </c>
      <c r="D597" s="17" t="n">
        <v>3</v>
      </c>
      <c r="E597" s="9" t="n">
        <v>285</v>
      </c>
      <c r="F597" s="9" t="n">
        <v>265.2</v>
      </c>
      <c r="G597" s="10" t="n">
        <v>3.6</v>
      </c>
      <c r="H597" s="7" t="inlineStr">
        <is>
          <t>なし</t>
        </is>
      </c>
      <c r="I597" s="7" t="inlineStr">
        <is>
          <t>車検整備無</t>
        </is>
      </c>
      <c r="J597" s="7" t="inlineStr">
        <is>
          <t>保証無</t>
        </is>
      </c>
      <c r="K597" s="16" t="inlineStr">
        <is>
          <t>修復歴なし / 同年式より安い（中央値 348万）</t>
        </is>
      </c>
      <c r="L597" s="16" t="inlineStr">
        <is>
          <t>CX-8 2.5 25S ブラックトーン エディション 禁煙車 純正10.25インチナビ フルセグTV 全周囲カメラ シートヒーター アダプティブクルーズコントロール 電動リアゲート 衝突被害軽減システム Buluetooth接続 パワーシート 純正AW</t>
        </is>
      </c>
      <c r="M597" s="7" t="inlineStr">
        <is>
          <t>https://www.carsensor.net/usedcar/detail/AU7441658254/index.html</t>
        </is>
      </c>
    </row>
    <row r="598">
      <c r="A598" s="11" t="n">
        <v>2021</v>
      </c>
      <c r="B598" s="12" t="inlineStr">
        <is>
          <t>2WD</t>
        </is>
      </c>
      <c r="C598" s="12" t="inlineStr">
        <is>
          <t>2.5 25S ブラックトーン</t>
        </is>
      </c>
      <c r="D598" s="13" t="n">
        <v>2.5</v>
      </c>
      <c r="E598" s="14" t="n">
        <v>234.9</v>
      </c>
      <c r="F598" s="14" t="n">
        <v>224.9</v>
      </c>
      <c r="G598" s="15" t="n">
        <v>7.8</v>
      </c>
      <c r="H598" s="12" t="inlineStr">
        <is>
          <t>なし</t>
        </is>
      </c>
      <c r="I598" s="12" t="inlineStr">
        <is>
          <t>車検整備付</t>
        </is>
      </c>
      <c r="J598" s="12" t="inlineStr">
        <is>
          <t>保証無</t>
        </is>
      </c>
      <c r="K598" s="16" t="inlineStr">
        <is>
          <t>走行が多め（7.8万km） / 修復歴なし / 車検整備付 / 同年式より安い（中央値 279万）</t>
        </is>
      </c>
      <c r="L598" s="16" t="inlineStr">
        <is>
          <t>CX-8 2.5 25S ブラックトーン エディション ワンオーナー 禁煙車 純正ナビ/フルセグTV 全周囲カメラ パワーバックドア ALPINEフリップダウンモニター 純正19AW ETC LEDヘッドランプ ヘッドアップディスプレイ パワーシート シートヒーター</t>
        </is>
      </c>
      <c r="M598" s="12" t="inlineStr">
        <is>
          <t>https://www.carsensor.net/usedcar/detail/AU7407388564/index.html</t>
        </is>
      </c>
    </row>
    <row r="599">
      <c r="A599" s="6" t="n">
        <v>2023</v>
      </c>
      <c r="B599" s="7" t="inlineStr">
        <is>
          <t>2WD</t>
        </is>
      </c>
      <c r="C599" s="7" t="inlineStr">
        <is>
          <t>2.5 25S ブラックトーン</t>
        </is>
      </c>
      <c r="D599" s="17" t="n">
        <v>1.5</v>
      </c>
      <c r="E599" s="9" t="n">
        <v>235</v>
      </c>
      <c r="F599" s="9" t="n">
        <v>214.9</v>
      </c>
      <c r="G599" s="10" t="n">
        <v>6.9</v>
      </c>
      <c r="H599" s="7" t="inlineStr">
        <is>
          <t>なし</t>
        </is>
      </c>
      <c r="I599" s="7" t="inlineStr">
        <is>
          <t>車検整備無</t>
        </is>
      </c>
      <c r="J599" s="7" t="inlineStr">
        <is>
          <t>保証無</t>
        </is>
      </c>
      <c r="K599" s="16" t="inlineStr">
        <is>
          <t>走行が多め（6.9万km） / 修復歴なし / 同年式より安い（中央値 348万）</t>
        </is>
      </c>
      <c r="L599" s="16" t="inlineStr">
        <is>
          <t>CX-8 2.5 25S ブラックトーン エディション 禁煙車 ハーフレザーシート 純正10.25インチナビ フルセグ 360度カメラ 衝突軽減 レーダークルーズコントロール クリアランスソナー レーンアシスト パークアシスト パワーシート 電動格納ミラー</t>
        </is>
      </c>
      <c r="M599" s="7" t="inlineStr">
        <is>
          <t>https://www.carsensor.net/usedcar/detail/AU7375132349/index.html</t>
        </is>
      </c>
    </row>
    <row r="600">
      <c r="A600" s="11" t="n">
        <v>2023</v>
      </c>
      <c r="B600" s="12" t="inlineStr">
        <is>
          <t>2WD</t>
        </is>
      </c>
      <c r="C600" s="12" t="inlineStr">
        <is>
          <t>2.5 25S ブラックトーン</t>
        </is>
      </c>
      <c r="D600" s="13" t="n">
        <v>0.5</v>
      </c>
      <c r="E600" s="14" t="n">
        <v>265</v>
      </c>
      <c r="F600" s="14" t="n">
        <v>256.6</v>
      </c>
      <c r="G600" s="15" t="n">
        <v>1.9</v>
      </c>
      <c r="H600" s="12" t="inlineStr">
        <is>
          <t>あり</t>
        </is>
      </c>
      <c r="I600" s="12" t="inlineStr">
        <is>
          <t>車検整備付</t>
        </is>
      </c>
      <c r="J600" s="12" t="inlineStr">
        <is>
          <t>保証付</t>
        </is>
      </c>
      <c r="K600" s="16" t="inlineStr">
        <is>
          <t>走行が少なめ（1.9万km） / 修復歴あり / 車検整備付 / 保証付 / 同年式より安い（中央値 348万）</t>
        </is>
      </c>
      <c r="L600" s="16" t="inlineStr">
        <is>
          <t>CX-8 2.5 25S ブラックトーン エディション 12ヵ月走行距離無制限CARTENDER保証 ドライブレコーダー ETC 全周囲カメラ クリアランスソナー オートクルーズコントロール レーンアシスト パワーシート 衝突被害軽減システム ナビ TV</t>
        </is>
      </c>
      <c r="M600" s="12" t="inlineStr">
        <is>
          <t>https://www.carsensor.net/usedcar/detail/AU7453637821/index.html</t>
        </is>
      </c>
    </row>
    <row r="601">
      <c r="A601" s="6" t="n">
        <v>2021</v>
      </c>
      <c r="B601" s="7" t="inlineStr">
        <is>
          <t>2WD</t>
        </is>
      </c>
      <c r="C601" s="7" t="inlineStr">
        <is>
          <t>2.5 25S ブラックトーン</t>
        </is>
      </c>
      <c r="D601" s="17" t="n">
        <v>-0.5</v>
      </c>
      <c r="E601" s="9" t="n">
        <v>259.9</v>
      </c>
      <c r="F601" s="9" t="n">
        <v>238</v>
      </c>
      <c r="G601" s="10" t="n">
        <v>2.9</v>
      </c>
      <c r="H601" s="7" t="inlineStr">
        <is>
          <t>あり</t>
        </is>
      </c>
      <c r="I601" s="7" t="inlineStr">
        <is>
          <t>車検整備付</t>
        </is>
      </c>
      <c r="J601" s="7" t="inlineStr">
        <is>
          <t>保証付</t>
        </is>
      </c>
      <c r="K601" s="16" t="inlineStr">
        <is>
          <t>走行が少なめ（2.9万km） / 修復歴あり / 車検整備付 / 保証付</t>
        </is>
      </c>
      <c r="L601" s="16" t="inlineStr">
        <is>
          <t>CX-8 2.5 25S ブラックトーン エディション 純正フルセグナビ・全方位モニター・衝突軽減ブレーキ・後側方車両検知・車線逸脱警報・シートヒーター・ハンドルヒーター・メモリー付電動シート・電動リアゲート・クリアランスソナー・ハーフレザー</t>
        </is>
      </c>
      <c r="M601" s="7" t="inlineStr">
        <is>
          <t>https://www.carsensor.net/usedcar/detail/AU7190442761/index.html</t>
        </is>
      </c>
    </row>
    <row r="602">
      <c r="A602" s="11" t="n">
        <v>2019</v>
      </c>
      <c r="B602" s="12" t="inlineStr">
        <is>
          <t>2WD</t>
        </is>
      </c>
      <c r="C602" s="12" t="inlineStr">
        <is>
          <t>2.5 25S プロアクティブ</t>
        </is>
      </c>
      <c r="D602" s="13" t="n">
        <v>7.4</v>
      </c>
      <c r="E602" s="14" t="n">
        <v>245.8</v>
      </c>
      <c r="F602" s="14" t="n">
        <v>239.4</v>
      </c>
      <c r="G602" s="15" t="n">
        <v>2.8</v>
      </c>
      <c r="H602" s="12" t="inlineStr">
        <is>
          <t>なし</t>
        </is>
      </c>
      <c r="I602" s="12" t="inlineStr">
        <is>
          <t>2028(R10)年03月</t>
        </is>
      </c>
      <c r="J602" s="12" t="inlineStr">
        <is>
          <t>保証付</t>
        </is>
      </c>
      <c r="K602" s="16" t="inlineStr">
        <is>
          <t>同年式の半分以下の走行（2.8万km） / 修復歴なし / 車検 2028/03 まで（残り17ヶ月） / 保証付</t>
        </is>
      </c>
      <c r="L602" s="16" t="inlineStr">
        <is>
          <t>CX-8 2.5 25S プロアクティブ 純正ナビ 後席モニター 全方位カメラ BOSEサウンド シートヒーター パワーシート BSM 純正19インチAW コーナーセンサー アクティブセンス レーダークルーズ HUD スマートキー ETC2.0</t>
        </is>
      </c>
      <c r="M602" s="12" t="inlineStr">
        <is>
          <t>https://www.carsensor.net/usedcar/detail/AU7334350548/index.html</t>
        </is>
      </c>
    </row>
    <row r="603">
      <c r="A603" s="6" t="n">
        <v>2019</v>
      </c>
      <c r="B603" s="7" t="inlineStr">
        <is>
          <t>2WD</t>
        </is>
      </c>
      <c r="C603" s="7" t="inlineStr">
        <is>
          <t>2.5 25S プロアクティブ</t>
        </is>
      </c>
      <c r="D603" s="17" t="n">
        <v>7.3</v>
      </c>
      <c r="E603" s="9" t="n">
        <v>237.8</v>
      </c>
      <c r="F603" s="9" t="n">
        <v>231.4</v>
      </c>
      <c r="G603" s="10" t="n">
        <v>2</v>
      </c>
      <c r="H603" s="7" t="inlineStr">
        <is>
          <t>なし</t>
        </is>
      </c>
      <c r="I603" s="7" t="inlineStr">
        <is>
          <t>2028(R10)年02月</t>
        </is>
      </c>
      <c r="J603" s="7" t="inlineStr">
        <is>
          <t>保証付</t>
        </is>
      </c>
      <c r="K603" s="16" t="inlineStr">
        <is>
          <t>同年式の半分以下の走行（2.0万km） / 修復歴なし / 車検 2028/02 まで（残り16ヶ月） / 保証付</t>
        </is>
      </c>
      <c r="L603" s="16" t="inlineStr">
        <is>
          <t>CX-8 2.5 25S プロアクティブ 純正メモリナビ 全方位カメラ i-ACTIVESENSE シートヒーター ステアヒーター パワーシート BSM LED 純正19インチAW コーナーセンサー レーダークルーズ HUD ETC 禁煙</t>
        </is>
      </c>
      <c r="M603" s="7" t="inlineStr">
        <is>
          <t>https://www.carsensor.net/usedcar/detail/AU7319910361/index.html</t>
        </is>
      </c>
    </row>
    <row r="604">
      <c r="A604" s="11" t="n">
        <v>2018</v>
      </c>
      <c r="B604" s="12" t="inlineStr">
        <is>
          <t>2WD</t>
        </is>
      </c>
      <c r="C604" s="12" t="inlineStr">
        <is>
          <t>2.5 25S プロアクティブ</t>
        </is>
      </c>
      <c r="D604" s="13" t="n">
        <v>7.1</v>
      </c>
      <c r="E604" s="14" t="n">
        <v>232.8</v>
      </c>
      <c r="F604" s="14" t="n">
        <v>219</v>
      </c>
      <c r="G604" s="15" t="n">
        <v>2.9</v>
      </c>
      <c r="H604" s="12" t="inlineStr">
        <is>
          <t>なし</t>
        </is>
      </c>
      <c r="I604" s="12" t="inlineStr">
        <is>
          <t>2027(R09)年11月</t>
        </is>
      </c>
      <c r="J604" s="12" t="inlineStr">
        <is>
          <t>保証付</t>
        </is>
      </c>
      <c r="K604" s="16" t="inlineStr">
        <is>
          <t>同年式の半分以下の走行（2.9万km） / 修復歴なし / 車検 2027/11 まで（残り13ヶ月） / 保証付</t>
        </is>
      </c>
      <c r="L604" s="16" t="inlineStr">
        <is>
          <t>CX-8 2.5 25S プロアクティブ ナビ・ETC・ドラレコ・6人乗り・スマホ接続可</t>
        </is>
      </c>
      <c r="M604" s="12" t="inlineStr">
        <is>
          <t>https://www.carsensor.net/usedcar/detail/AU7305261890/index.html</t>
        </is>
      </c>
    </row>
    <row r="605">
      <c r="A605" s="6" t="n">
        <v>2019</v>
      </c>
      <c r="B605" s="7" t="inlineStr">
        <is>
          <t>2WD</t>
        </is>
      </c>
      <c r="C605" s="7" t="inlineStr">
        <is>
          <t>2.5 25S プロアクティブ</t>
        </is>
      </c>
      <c r="D605" s="17" t="n">
        <v>7</v>
      </c>
      <c r="E605" s="9" t="n">
        <v>262.1</v>
      </c>
      <c r="F605" s="9" t="n">
        <v>245</v>
      </c>
      <c r="G605" s="10" t="n">
        <v>2.1</v>
      </c>
      <c r="H605" s="7" t="inlineStr">
        <is>
          <t>なし</t>
        </is>
      </c>
      <c r="I605" s="7" t="inlineStr">
        <is>
          <t>車検整備付</t>
        </is>
      </c>
      <c r="J605" s="7" t="inlineStr">
        <is>
          <t>保証付</t>
        </is>
      </c>
      <c r="K605" s="16" t="inlineStr">
        <is>
          <t>同年式の半分以下の走行（2.1万km） / 修復歴なし / 車検整備付 / 保証付</t>
        </is>
      </c>
      <c r="L605" s="16" t="inlineStr">
        <is>
          <t>CX-8 2.5 25S プロアクティブ マツダコネクト 全周囲カメラ 衝突被害軽減システム レーダークルーズ 禁煙車 ETC パワーシート シートヒーター コーナーセンサー スマートキー LEDヘッド リアオートエアコン 純正19インチAW</t>
        </is>
      </c>
      <c r="M605" s="7" t="inlineStr">
        <is>
          <t>https://www.carsensor.net/usedcar/detail/AU7446532850/index.html</t>
        </is>
      </c>
    </row>
    <row r="606">
      <c r="A606" s="11" t="n">
        <v>2019</v>
      </c>
      <c r="B606" s="12" t="inlineStr">
        <is>
          <t>2WD</t>
        </is>
      </c>
      <c r="C606" s="12" t="inlineStr">
        <is>
          <t>2.5 25S プロアクティブ</t>
        </is>
      </c>
      <c r="D606" s="13" t="n">
        <v>7</v>
      </c>
      <c r="E606" s="14" t="n">
        <v>224.4</v>
      </c>
      <c r="F606" s="14" t="n">
        <v>206.8</v>
      </c>
      <c r="G606" s="15" t="n">
        <v>2.4</v>
      </c>
      <c r="H606" s="12" t="inlineStr">
        <is>
          <t>なし</t>
        </is>
      </c>
      <c r="I606" s="12" t="inlineStr">
        <is>
          <t>車検整備付</t>
        </is>
      </c>
      <c r="J606" s="12" t="inlineStr">
        <is>
          <t>保証付</t>
        </is>
      </c>
      <c r="K606" s="16" t="inlineStr">
        <is>
          <t>同年式の半分以下の走行（2.4万km） / 修復歴なし / 車検整備付 / 保証付</t>
        </is>
      </c>
      <c r="L606" s="16" t="inlineStr">
        <is>
          <t>CX-8 2.5 25S プロアクティブ</t>
        </is>
      </c>
      <c r="M606" s="12" t="inlineStr">
        <is>
          <t>https://www.carsensor.net/usedcar/detail/AU7059141558/index.html</t>
        </is>
      </c>
    </row>
    <row r="607">
      <c r="A607" s="6" t="n">
        <v>2021</v>
      </c>
      <c r="B607" s="7" t="inlineStr">
        <is>
          <t>2WD</t>
        </is>
      </c>
      <c r="C607" s="7" t="inlineStr">
        <is>
          <t>2.5 25S プロアクティブ</t>
        </is>
      </c>
      <c r="D607" s="17" t="n">
        <v>7</v>
      </c>
      <c r="E607" s="9" t="n">
        <v>276.6</v>
      </c>
      <c r="F607" s="9" t="n">
        <v>261.6</v>
      </c>
      <c r="G607" s="10" t="n">
        <v>1.5</v>
      </c>
      <c r="H607" s="7" t="inlineStr">
        <is>
          <t>なし</t>
        </is>
      </c>
      <c r="I607" s="7" t="inlineStr">
        <is>
          <t>車検整備付</t>
        </is>
      </c>
      <c r="J607" s="7" t="inlineStr">
        <is>
          <t>保証付</t>
        </is>
      </c>
      <c r="K607" s="16" t="inlineStr">
        <is>
          <t>同年式の半分以下の走行（1.5万km） / 修復歴なし / 車検整備付 / 保証付</t>
        </is>
      </c>
      <c r="L607" s="16" t="inlineStr">
        <is>
          <t>CX-8 2.5 25S プロアクティブ ハンズフリー機能付きパワーリフトゲート</t>
        </is>
      </c>
      <c r="M607" s="7" t="inlineStr">
        <is>
          <t>https://www.carsensor.net/usedcar/detail/AU7409239362/index.html</t>
        </is>
      </c>
    </row>
    <row r="608">
      <c r="A608" s="11" t="n">
        <v>2021</v>
      </c>
      <c r="B608" s="12" t="inlineStr">
        <is>
          <t>2WD</t>
        </is>
      </c>
      <c r="C608" s="12" t="inlineStr">
        <is>
          <t>2.5 25S プロアクティブ</t>
        </is>
      </c>
      <c r="D608" s="13" t="n">
        <v>7</v>
      </c>
      <c r="E608" s="14" t="n">
        <v>263.1</v>
      </c>
      <c r="F608" s="14" t="n">
        <v>248</v>
      </c>
      <c r="G608" s="15" t="n">
        <v>1.7</v>
      </c>
      <c r="H608" s="12" t="inlineStr">
        <is>
          <t>なし</t>
        </is>
      </c>
      <c r="I608" s="12" t="inlineStr">
        <is>
          <t>車検整備付</t>
        </is>
      </c>
      <c r="J608" s="12" t="inlineStr">
        <is>
          <t>保証付</t>
        </is>
      </c>
      <c r="K608" s="16" t="inlineStr">
        <is>
          <t>同年式の半分以下の走行（1.7万km） / 修復歴なし / 車検整備付 / 保証付</t>
        </is>
      </c>
      <c r="L608" s="16" t="inlineStr">
        <is>
          <t>CX-8 2.5 25S プロアクティブ 7人 メモリーナビ 全周囲カメラ フルセグテレビ ETC2.0 純正アルミ シートヒーター ワンオーナー</t>
        </is>
      </c>
      <c r="M608" s="12" t="inlineStr">
        <is>
          <t>https://www.carsensor.net/usedcar/detail/AU7446055672/index.html</t>
        </is>
      </c>
    </row>
    <row r="609">
      <c r="A609" s="6" t="n">
        <v>2021</v>
      </c>
      <c r="B609" s="7" t="inlineStr">
        <is>
          <t>2WD</t>
        </is>
      </c>
      <c r="C609" s="7" t="inlineStr">
        <is>
          <t>2.5 25S プロアクティブ</t>
        </is>
      </c>
      <c r="D609" s="17" t="n">
        <v>7</v>
      </c>
      <c r="E609" s="9" t="n">
        <v>308.9</v>
      </c>
      <c r="F609" s="9" t="n">
        <v>289</v>
      </c>
      <c r="G609" s="10" t="n">
        <v>1.4</v>
      </c>
      <c r="H609" s="7" t="inlineStr">
        <is>
          <t>なし</t>
        </is>
      </c>
      <c r="I609" s="7" t="inlineStr">
        <is>
          <t>車検整備付</t>
        </is>
      </c>
      <c r="J609" s="7" t="inlineStr">
        <is>
          <t>保証付</t>
        </is>
      </c>
      <c r="K609" s="16" t="inlineStr">
        <is>
          <t>同年式の半分以下の走行（1.4万km） / 修復歴なし / 車検整備付 / 保証付</t>
        </is>
      </c>
      <c r="L609" s="16" t="inlineStr">
        <is>
          <t>CX-8 2.5 25S プロアクティブ CD/DVDデッキ 前後ドライブレコーダー 純正ナビ</t>
        </is>
      </c>
      <c r="M609" s="7" t="inlineStr">
        <is>
          <t>https://www.carsensor.net/usedcar/detail/AU6888414791/index.html</t>
        </is>
      </c>
    </row>
    <row r="610">
      <c r="A610" s="11" t="n">
        <v>2022</v>
      </c>
      <c r="B610" s="12" t="inlineStr">
        <is>
          <t>2WD</t>
        </is>
      </c>
      <c r="C610" s="12" t="inlineStr">
        <is>
          <t>2.5 25S プロアクティブ</t>
        </is>
      </c>
      <c r="D610" s="13" t="n">
        <v>6.9</v>
      </c>
      <c r="E610" s="14" t="n">
        <v>275</v>
      </c>
      <c r="F610" s="14" t="n">
        <v>265.4</v>
      </c>
      <c r="G610" s="15" t="n">
        <v>1.8</v>
      </c>
      <c r="H610" s="12" t="inlineStr">
        <is>
          <t>なし</t>
        </is>
      </c>
      <c r="I610" s="12" t="inlineStr">
        <is>
          <t>2027(R09)年09月</t>
        </is>
      </c>
      <c r="J610" s="12" t="inlineStr">
        <is>
          <t>保証付</t>
        </is>
      </c>
      <c r="K610" s="16" t="inlineStr">
        <is>
          <t>同年式の半分以下の走行（1.8万km） / 修復歴なし / 車検 2027/09 まで（残り11ヶ月） / 保証付</t>
        </is>
      </c>
      <c r="L610" s="16" t="inlineStr">
        <is>
          <t>CX-8 2.5 25S プロアクティブ 純正ナビ フルセグTV 全方位モニター パワーバックドア レーダークルコン 19インチアルミ ETC ドラレコ LEDライト シートヒーター ヘッドアップディスプレイ 衝突軽減</t>
        </is>
      </c>
      <c r="M610" s="12" t="inlineStr">
        <is>
          <t>https://www.carsensor.net/usedcar/detail/AU7438652432/index.html</t>
        </is>
      </c>
    </row>
    <row r="611">
      <c r="A611" s="6" t="n">
        <v>2019</v>
      </c>
      <c r="B611" s="7" t="inlineStr">
        <is>
          <t>2WD</t>
        </is>
      </c>
      <c r="C611" s="7" t="inlineStr">
        <is>
          <t>2.5 25S プロアクティブ</t>
        </is>
      </c>
      <c r="D611" s="17" t="n">
        <v>6.1</v>
      </c>
      <c r="E611" s="9" t="n">
        <v>234.9</v>
      </c>
      <c r="F611" s="9" t="n">
        <v>222.7</v>
      </c>
      <c r="G611" s="10" t="n">
        <v>3.3</v>
      </c>
      <c r="H611" s="7" t="inlineStr">
        <is>
          <t>なし</t>
        </is>
      </c>
      <c r="I611" s="7" t="inlineStr">
        <is>
          <t>2028(R10)年05月</t>
        </is>
      </c>
      <c r="J611" s="7" t="inlineStr">
        <is>
          <t>保証付</t>
        </is>
      </c>
      <c r="K611" s="16" t="inlineStr">
        <is>
          <t>走行が少なめ（3.3万km） / 修復歴なし / 車検 2028/05 まで（残り19ヶ月） / 保証付</t>
        </is>
      </c>
      <c r="L611" s="16" t="inlineStr">
        <is>
          <t>CX-8 2.5 25S プロアクティブ 後席モニター 全周囲カメラ 衝突被害軽減システム 電動リアゲート パワーシート ドラレコ コーナーセンサー スマートキー LEDヘッド ルーフレール ETC クルコン 純正19インチアルミ</t>
        </is>
      </c>
      <c r="M611" s="7" t="inlineStr">
        <is>
          <t>https://www.carsensor.net/usedcar/detail/AU7445449359/index.html</t>
        </is>
      </c>
    </row>
    <row r="612">
      <c r="A612" s="11" t="n">
        <v>2019</v>
      </c>
      <c r="B612" s="12" t="inlineStr">
        <is>
          <t>2WD</t>
        </is>
      </c>
      <c r="C612" s="12" t="inlineStr">
        <is>
          <t>2.5 25S プロアクティブ</t>
        </is>
      </c>
      <c r="D612" s="13" t="n">
        <v>5.8</v>
      </c>
      <c r="E612" s="14" t="n">
        <v>220.4</v>
      </c>
      <c r="F612" s="14" t="n">
        <v>209</v>
      </c>
      <c r="G612" s="15" t="n">
        <v>4</v>
      </c>
      <c r="H612" s="12" t="inlineStr">
        <is>
          <t>なし</t>
        </is>
      </c>
      <c r="I612" s="12" t="inlineStr">
        <is>
          <t>2028(R10)年01月</t>
        </is>
      </c>
      <c r="J612" s="12" t="inlineStr">
        <is>
          <t>保証付</t>
        </is>
      </c>
      <c r="K612" s="16" t="inlineStr">
        <is>
          <t>走行が少なめ（4.0万km） / 修復歴なし / 車検 2028/01 まで（残り15ヶ月） / 保証付</t>
        </is>
      </c>
      <c r="L612" s="16" t="inlineStr">
        <is>
          <t>CX-8 2.5 25S プロアクティブ ワンオーナー/ナビ/Bluetooth/USB/地デジフルセグ/全周囲カメラ/ETC/シートヒーター/スマートキー/ブラインドモニター/LEDヘッドライト/追従オートクルーズ/衝突被害軽減ブレーキ/</t>
        </is>
      </c>
      <c r="M612" s="12" t="inlineStr">
        <is>
          <t>https://www.carsensor.net/usedcar/detail/AU7101977875/index.html</t>
        </is>
      </c>
    </row>
    <row r="613">
      <c r="A613" s="6" t="n">
        <v>2018</v>
      </c>
      <c r="B613" s="7" t="inlineStr">
        <is>
          <t>2WD</t>
        </is>
      </c>
      <c r="C613" s="7" t="inlineStr">
        <is>
          <t>2.5 25S プロアクティブ</t>
        </is>
      </c>
      <c r="D613" s="17" t="n">
        <v>5.7</v>
      </c>
      <c r="E613" s="9" t="n">
        <v>188.8</v>
      </c>
      <c r="F613" s="9" t="n">
        <v>178.8</v>
      </c>
      <c r="G613" s="10" t="n">
        <v>4.7</v>
      </c>
      <c r="H613" s="7" t="inlineStr">
        <is>
          <t>なし</t>
        </is>
      </c>
      <c r="I613" s="7" t="inlineStr">
        <is>
          <t>2027(R09)年12月</t>
        </is>
      </c>
      <c r="J613" s="7" t="inlineStr">
        <is>
          <t>保証付</t>
        </is>
      </c>
      <c r="K613" s="16" t="inlineStr">
        <is>
          <t>走行が少なめ（4.7万km） / 修復歴なし / 車検 2027/12 まで（残り14ヶ月） / 保証付</t>
        </is>
      </c>
      <c r="L613" s="16" t="inlineStr">
        <is>
          <t>CX-8 2.5 25S プロアクティブ 弊社買取車両 ワンオーナー 360°ビューモニター アダプティブクルーズコントロール シートヒーター/ステアリングヒーター メモリー機能付パワーシート パワーバックドア 純正19インチAW</t>
        </is>
      </c>
      <c r="M613" s="7" t="inlineStr">
        <is>
          <t>https://www.carsensor.net/usedcar/detail/AU7415961687/index.html</t>
        </is>
      </c>
    </row>
    <row r="614">
      <c r="A614" s="11" t="n">
        <v>2019</v>
      </c>
      <c r="B614" s="12" t="inlineStr">
        <is>
          <t>2WD</t>
        </is>
      </c>
      <c r="C614" s="12" t="inlineStr">
        <is>
          <t>2.5 25S プロアクティブ</t>
        </is>
      </c>
      <c r="D614" s="13" t="n">
        <v>5.5</v>
      </c>
      <c r="E614" s="14" t="n">
        <v>238.9</v>
      </c>
      <c r="F614" s="14" t="n">
        <v>225.9</v>
      </c>
      <c r="G614" s="15" t="n">
        <v>3.7</v>
      </c>
      <c r="H614" s="12" t="inlineStr">
        <is>
          <t>なし</t>
        </is>
      </c>
      <c r="I614" s="12" t="inlineStr">
        <is>
          <t>車検整備付</t>
        </is>
      </c>
      <c r="J614" s="12" t="inlineStr">
        <is>
          <t>保証付</t>
        </is>
      </c>
      <c r="K614" s="16" t="inlineStr">
        <is>
          <t>走行が少なめ（3.7万km） / 修復歴なし / 車検整備付 / 保証付</t>
        </is>
      </c>
      <c r="L614" s="16" t="inlineStr">
        <is>
          <t>CX-8 2.5 25S プロアクティブ SDナビ/アイアクティブセンス/シートヒーター 前席/360°ビューモニター/車線逸脱防止支援システム/ヘッドランプ LED/Bluetooth接続/ETC/EBD付ABS</t>
        </is>
      </c>
      <c r="M614" s="12" t="inlineStr">
        <is>
          <t>https://www.carsensor.net/usedcar/detail/AU7415291918/index.html</t>
        </is>
      </c>
    </row>
    <row r="615">
      <c r="A615" s="6" t="n">
        <v>2019</v>
      </c>
      <c r="B615" s="7" t="inlineStr">
        <is>
          <t>2WD</t>
        </is>
      </c>
      <c r="C615" s="7" t="inlineStr">
        <is>
          <t>2.5 25S プロアクティブ</t>
        </is>
      </c>
      <c r="D615" s="17" t="n">
        <v>5.5</v>
      </c>
      <c r="E615" s="9" t="n">
        <v>249.9</v>
      </c>
      <c r="F615" s="9" t="n">
        <v>232.7</v>
      </c>
      <c r="G615" s="10" t="n">
        <v>4.3</v>
      </c>
      <c r="H615" s="7" t="inlineStr">
        <is>
          <t>なし</t>
        </is>
      </c>
      <c r="I615" s="7" t="inlineStr">
        <is>
          <t>車検整備付</t>
        </is>
      </c>
      <c r="J615" s="7" t="inlineStr">
        <is>
          <t>保証付</t>
        </is>
      </c>
      <c r="K615" s="16" t="inlineStr">
        <is>
          <t>走行が少なめ（4.3万km） / 修復歴なし / 車検整備付 / 保証付</t>
        </is>
      </c>
      <c r="L615" s="16" t="inlineStr">
        <is>
          <t>CX-8 2.5 25S プロアクティブ 純正8型ナビ 全周囲カメラ 7人乗り パワーバックドア パワーシート シートヒーター レーダークルーズ ドラレコ LEDヘッド ETC オートマチックハイビーム 禁煙車 純正19インチAW</t>
        </is>
      </c>
      <c r="M615" s="7" t="inlineStr">
        <is>
          <t>https://www.carsensor.net/usedcar/detail/AU7404216742/index.html</t>
        </is>
      </c>
    </row>
    <row r="616">
      <c r="A616" s="11" t="n">
        <v>2020</v>
      </c>
      <c r="B616" s="12" t="inlineStr">
        <is>
          <t>2WD</t>
        </is>
      </c>
      <c r="C616" s="12" t="inlineStr">
        <is>
          <t>2.5 25S プロアクティブ</t>
        </is>
      </c>
      <c r="D616" s="13" t="n">
        <v>5.5</v>
      </c>
      <c r="E616" s="14" t="n">
        <v>239.7</v>
      </c>
      <c r="F616" s="14" t="n">
        <v>225.5</v>
      </c>
      <c r="G616" s="15" t="n">
        <v>3.9</v>
      </c>
      <c r="H616" s="12" t="inlineStr">
        <is>
          <t>なし</t>
        </is>
      </c>
      <c r="I616" s="12" t="inlineStr">
        <is>
          <t>車検整備付</t>
        </is>
      </c>
      <c r="J616" s="12" t="inlineStr">
        <is>
          <t>保証付</t>
        </is>
      </c>
      <c r="K616" s="16" t="inlineStr">
        <is>
          <t>走行が少なめ（3.9万km） / 修復歴なし / 車検整備付 / 保証付</t>
        </is>
      </c>
      <c r="L616" s="16" t="inlineStr">
        <is>
          <t>CX-8 2.5 25S プロアクティブ ワンオーナー当社下取禁煙車・後席モニター</t>
        </is>
      </c>
      <c r="M616" s="12" t="inlineStr">
        <is>
          <t>https://www.carsensor.net/usedcar/detail/AU7401711129/index.html</t>
        </is>
      </c>
    </row>
    <row r="617">
      <c r="A617" s="6" t="n">
        <v>2021</v>
      </c>
      <c r="B617" s="7" t="inlineStr">
        <is>
          <t>2WD</t>
        </is>
      </c>
      <c r="C617" s="7" t="inlineStr">
        <is>
          <t>2.5 25S プロアクティブ</t>
        </is>
      </c>
      <c r="D617" s="17" t="n">
        <v>5.5</v>
      </c>
      <c r="E617" s="9" t="n">
        <v>273.3</v>
      </c>
      <c r="F617" s="9" t="n">
        <v>258.1</v>
      </c>
      <c r="G617" s="10" t="n">
        <v>2.7</v>
      </c>
      <c r="H617" s="7" t="inlineStr">
        <is>
          <t>なし</t>
        </is>
      </c>
      <c r="I617" s="7" t="inlineStr">
        <is>
          <t>車検整備付</t>
        </is>
      </c>
      <c r="J617" s="7" t="inlineStr">
        <is>
          <t>保証付</t>
        </is>
      </c>
      <c r="K617" s="16" t="inlineStr">
        <is>
          <t>走行が少なめ（2.7万km） / 修復歴なし / 車検整備付 / 保証付</t>
        </is>
      </c>
      <c r="L617" s="16" t="inlineStr">
        <is>
          <t>CX-8 2.5 25S プロアクティブ 地デジ 360°モニター ワンオーナー 電動リ</t>
        </is>
      </c>
      <c r="M617" s="7" t="inlineStr">
        <is>
          <t>https://www.carsensor.net/usedcar/detail/AU7184269770/index.html</t>
        </is>
      </c>
    </row>
    <row r="618">
      <c r="A618" s="11" t="n">
        <v>2019</v>
      </c>
      <c r="B618" s="12" t="inlineStr">
        <is>
          <t>2WD</t>
        </is>
      </c>
      <c r="C618" s="12" t="inlineStr">
        <is>
          <t>2.5 25S プロアクティブ</t>
        </is>
      </c>
      <c r="D618" s="13" t="n">
        <v>5.4</v>
      </c>
      <c r="E618" s="14" t="n">
        <v>195.7</v>
      </c>
      <c r="F618" s="14" t="n">
        <v>189.3</v>
      </c>
      <c r="G618" s="15" t="n">
        <v>5.9</v>
      </c>
      <c r="H618" s="12" t="inlineStr">
        <is>
          <t>なし</t>
        </is>
      </c>
      <c r="I618" s="12" t="inlineStr">
        <is>
          <t>2028(R10)年03月</t>
        </is>
      </c>
      <c r="J618" s="12" t="inlineStr">
        <is>
          <t>保証付</t>
        </is>
      </c>
      <c r="K618" s="16" t="inlineStr">
        <is>
          <t>修復歴なし / 車検 2028/03 まで（残り17ヶ月） / 保証付 / 同年式より安い（中央値 231万）</t>
        </is>
      </c>
      <c r="L618" s="16" t="inlineStr">
        <is>
          <t>CX-8 2.5 25S プロアクティブ 衝突軽減/全方位M/ナビ/ドラレコ/後席M</t>
        </is>
      </c>
      <c r="M618" s="12" t="inlineStr">
        <is>
          <t>https://www.carsensor.net/usedcar/detail/AU7370395626/index.html</t>
        </is>
      </c>
    </row>
    <row r="619">
      <c r="A619" s="6" t="n">
        <v>2022</v>
      </c>
      <c r="B619" s="7" t="inlineStr">
        <is>
          <t>2WD</t>
        </is>
      </c>
      <c r="C619" s="7" t="inlineStr">
        <is>
          <t>2.5 25S プロアクティブ</t>
        </is>
      </c>
      <c r="D619" s="17" t="n">
        <v>5.4</v>
      </c>
      <c r="E619" s="9" t="n">
        <v>270.8</v>
      </c>
      <c r="F619" s="9" t="n">
        <v>264.3</v>
      </c>
      <c r="G619" s="10" t="n">
        <v>2.5</v>
      </c>
      <c r="H619" s="7" t="inlineStr">
        <is>
          <t>なし</t>
        </is>
      </c>
      <c r="I619" s="7" t="inlineStr">
        <is>
          <t>2027(R09)年09月</t>
        </is>
      </c>
      <c r="J619" s="7" t="inlineStr">
        <is>
          <t>保証付</t>
        </is>
      </c>
      <c r="K619" s="16" t="inlineStr">
        <is>
          <t>走行が少なめ（2.5万km） / 修復歴なし / 車検 2027/09 まで（残り11ヶ月） / 保証付</t>
        </is>
      </c>
      <c r="L619" s="16" t="inlineStr">
        <is>
          <t>CX-8 2.5 25S プロアクティブ 純正9型メモリナビ 全方位カメラ シートヒーター ステアリングヒーター パワーシート BSM パワーバックドア LED 純正19インチAW コーナーセンサー レーダークルーズ HUD リアオートAC スマートキー</t>
        </is>
      </c>
      <c r="M619" s="7" t="inlineStr">
        <is>
          <t>https://www.carsensor.net/usedcar/detail/AU7297222395/index.html</t>
        </is>
      </c>
    </row>
    <row r="620">
      <c r="A620" s="11" t="n">
        <v>2019</v>
      </c>
      <c r="B620" s="12" t="inlineStr">
        <is>
          <t>2WD</t>
        </is>
      </c>
      <c r="C620" s="12" t="inlineStr">
        <is>
          <t>2.5 25S プロアクティブ</t>
        </is>
      </c>
      <c r="D620" s="13" t="n">
        <v>5.2</v>
      </c>
      <c r="E620" s="14" t="n">
        <v>206.9</v>
      </c>
      <c r="F620" s="14" t="n">
        <v>200.1</v>
      </c>
      <c r="G620" s="15" t="n">
        <v>7.3</v>
      </c>
      <c r="H620" s="12" t="inlineStr">
        <is>
          <t>なし</t>
        </is>
      </c>
      <c r="I620" s="12" t="inlineStr">
        <is>
          <t>2028(R10)年01月</t>
        </is>
      </c>
      <c r="J620" s="12" t="inlineStr">
        <is>
          <t>保証付</t>
        </is>
      </c>
      <c r="K620" s="16" t="inlineStr">
        <is>
          <t>修復歴なし / 車検 2028/01 まで（残り15ヶ月） / 保証付 / 同年式より安い（中央値 231万）</t>
        </is>
      </c>
      <c r="L620" s="16" t="inlineStr">
        <is>
          <t>CX-8 2.5 25S プロアクティブ SDナビ/衝突安全装置/シートヒーター/360°ビューモニター/車線逸脱防止支援システム/ドライブレコーダー 純正/ヘッドランプ LED/Bluetooth接続/ETC/EBD付ABS</t>
        </is>
      </c>
      <c r="M620" s="12" t="inlineStr">
        <is>
          <t>https://www.carsensor.net/usedcar/detail/AU7442165674/index.html</t>
        </is>
      </c>
    </row>
    <row r="621">
      <c r="A621" s="6" t="n">
        <v>2020</v>
      </c>
      <c r="B621" s="7" t="inlineStr">
        <is>
          <t>2WD</t>
        </is>
      </c>
      <c r="C621" s="7" t="inlineStr">
        <is>
          <t>2.5 25S プロアクティブ</t>
        </is>
      </c>
      <c r="D621" s="17" t="n">
        <v>4.8</v>
      </c>
      <c r="E621" s="9" t="n">
        <v>259.9</v>
      </c>
      <c r="F621" s="9" t="n">
        <v>248.5</v>
      </c>
      <c r="G621" s="10" t="n">
        <v>3.7</v>
      </c>
      <c r="H621" s="7" t="inlineStr">
        <is>
          <t>なし</t>
        </is>
      </c>
      <c r="I621" s="7" t="inlineStr">
        <is>
          <t>2027(R09)年02月</t>
        </is>
      </c>
      <c r="J621" s="7" t="inlineStr">
        <is>
          <t>保証付</t>
        </is>
      </c>
      <c r="K621" s="16" t="inlineStr">
        <is>
          <t>走行が少なめ（3.7万km） / 修復歴なし / 車検 2027/02 まで（残り4ヶ月） / 保証付</t>
        </is>
      </c>
      <c r="L621" s="16" t="inlineStr">
        <is>
          <t>CX-8 2.5 25S プロアクティブ 禁煙車 純正8型ナビ 全周囲カメラ 6人乗り ブラインドスポットモニター ヘッドアップディスプレイ ステアリングヒーター 電動リアゲート レーダークルーズ コーナーセンサー 純正19インチアルミ ETC</t>
        </is>
      </c>
      <c r="M621" s="7" t="inlineStr">
        <is>
          <t>https://www.carsensor.net/usedcar/detail/AU7425966356/index.html</t>
        </is>
      </c>
    </row>
    <row r="622">
      <c r="A622" s="11" t="n">
        <v>2019</v>
      </c>
      <c r="B622" s="12" t="inlineStr">
        <is>
          <t>2WD</t>
        </is>
      </c>
      <c r="C622" s="12" t="inlineStr">
        <is>
          <t>2.5 25S プロアクティブ</t>
        </is>
      </c>
      <c r="D622" s="13" t="n">
        <v>4.6</v>
      </c>
      <c r="E622" s="14" t="n">
        <v>226.9</v>
      </c>
      <c r="F622" s="14" t="n">
        <v>220.9</v>
      </c>
      <c r="G622" s="15" t="n">
        <v>3.8</v>
      </c>
      <c r="H622" s="12" t="inlineStr">
        <is>
          <t>なし</t>
        </is>
      </c>
      <c r="I622" s="12" t="inlineStr">
        <is>
          <t>2026(R08)年11月</t>
        </is>
      </c>
      <c r="J622" s="12" t="inlineStr">
        <is>
          <t>保証付</t>
        </is>
      </c>
      <c r="K622" s="16" t="inlineStr">
        <is>
          <t>走行が少なめ（3.8万km） / 修復歴なし / 車検 2026/11 まで（残り1ヶ月） / 保証付</t>
        </is>
      </c>
      <c r="L622" s="16" t="inlineStr">
        <is>
          <t>CX-8 2.5 25S プロアクティブ SDナビ/衝突安全装置/シートヒーター 前席/全方位モニター/車線逸脱防止支援システム/電動バックドア/ヘッドランプ LED/Bluetooth接続/ETC/EBD付ABS/横滑り防止装置</t>
        </is>
      </c>
      <c r="M622" s="12" t="inlineStr">
        <is>
          <t>https://www.carsensor.net/usedcar/detail/AU7393961254/index.html</t>
        </is>
      </c>
    </row>
    <row r="623">
      <c r="A623" s="6" t="n">
        <v>2019</v>
      </c>
      <c r="B623" s="7" t="inlineStr">
        <is>
          <t>2WD</t>
        </is>
      </c>
      <c r="C623" s="7" t="inlineStr">
        <is>
          <t>2.5 25S プロアクティブ</t>
        </is>
      </c>
      <c r="D623" s="17" t="n">
        <v>4.6</v>
      </c>
      <c r="E623" s="9" t="n">
        <v>229.8</v>
      </c>
      <c r="F623" s="9" t="n">
        <v>219.6</v>
      </c>
      <c r="G623" s="10" t="n">
        <v>4</v>
      </c>
      <c r="H623" s="7" t="inlineStr">
        <is>
          <t>なし</t>
        </is>
      </c>
      <c r="I623" s="7" t="inlineStr">
        <is>
          <t>2026(R08)年11月</t>
        </is>
      </c>
      <c r="J623" s="7" t="inlineStr">
        <is>
          <t>保証付</t>
        </is>
      </c>
      <c r="K623" s="16" t="inlineStr">
        <is>
          <t>走行が少なめ（4.0万km） / 修復歴なし / 車検 2026/11 まで（残り1ヶ月） / 保証付</t>
        </is>
      </c>
      <c r="L623" s="16" t="inlineStr">
        <is>
          <t>CX-8 2.5 25S プロアクティブ 純正ナビ/フルセグ/DVD/BT/全周囲/クルコン</t>
        </is>
      </c>
      <c r="M623" s="7" t="inlineStr">
        <is>
          <t>https://www.carsensor.net/usedcar/detail/AU7292130557/index.html</t>
        </is>
      </c>
    </row>
    <row r="624">
      <c r="A624" s="11" t="n">
        <v>2019</v>
      </c>
      <c r="B624" s="12" t="inlineStr">
        <is>
          <t>2WD</t>
        </is>
      </c>
      <c r="C624" s="12" t="inlineStr">
        <is>
          <t>2.5 25S プロアクティブ</t>
        </is>
      </c>
      <c r="D624" s="13" t="n">
        <v>4.5</v>
      </c>
      <c r="E624" s="14" t="n">
        <v>228.6</v>
      </c>
      <c r="F624" s="14" t="n">
        <v>215</v>
      </c>
      <c r="G624" s="15" t="n">
        <v>4</v>
      </c>
      <c r="H624" s="12" t="inlineStr">
        <is>
          <t>なし</t>
        </is>
      </c>
      <c r="I624" s="12" t="inlineStr">
        <is>
          <t>車検整備無</t>
        </is>
      </c>
      <c r="J624" s="12" t="inlineStr">
        <is>
          <t>保証付</t>
        </is>
      </c>
      <c r="K624" s="16" t="inlineStr">
        <is>
          <t>走行が少なめ（4.0万km） / 修復歴なし / 保証付</t>
        </is>
      </c>
      <c r="L624" s="16" t="inlineStr">
        <is>
          <t>CX-8 2.5 25S プロアクティブ 衝突軽減ブレーキ・SDナビ・フルセグ・ドラレコ・ETC・全方位カメラ</t>
        </is>
      </c>
      <c r="M624" s="12" t="inlineStr">
        <is>
          <t>https://www.carsensor.net/usedcar/detail/AU7263999146/index.html</t>
        </is>
      </c>
    </row>
    <row r="625">
      <c r="A625" s="6" t="n">
        <v>2020</v>
      </c>
      <c r="B625" s="7" t="inlineStr">
        <is>
          <t>2WD</t>
        </is>
      </c>
      <c r="C625" s="7" t="inlineStr">
        <is>
          <t>2.5 25S プロアクティブ</t>
        </is>
      </c>
      <c r="D625" s="17" t="n">
        <v>4.5</v>
      </c>
      <c r="E625" s="9" t="n">
        <v>264.8</v>
      </c>
      <c r="F625" s="9" t="n">
        <v>249.9</v>
      </c>
      <c r="G625" s="10" t="n">
        <v>3.4</v>
      </c>
      <c r="H625" s="7" t="inlineStr">
        <is>
          <t>なし</t>
        </is>
      </c>
      <c r="I625" s="7" t="inlineStr">
        <is>
          <t>車検整備無</t>
        </is>
      </c>
      <c r="J625" s="7" t="inlineStr">
        <is>
          <t>保証付</t>
        </is>
      </c>
      <c r="K625" s="16" t="inlineStr">
        <is>
          <t>走行が少なめ（3.4万km） / 修復歴なし / 保証付</t>
        </is>
      </c>
      <c r="L625" s="16" t="inlineStr">
        <is>
          <t>CX-8 2.5 25S プロアクティブ ワンオーナー パワーバックドア</t>
        </is>
      </c>
      <c r="M625" s="7" t="inlineStr">
        <is>
          <t>https://www.carsensor.net/usedcar/detail/AU6089395549/index.html</t>
        </is>
      </c>
    </row>
    <row r="626">
      <c r="A626" s="11" t="n">
        <v>2019</v>
      </c>
      <c r="B626" s="12" t="inlineStr">
        <is>
          <t>2WD</t>
        </is>
      </c>
      <c r="C626" s="12" t="inlineStr">
        <is>
          <t>2.5 25S プロアクティブ</t>
        </is>
      </c>
      <c r="D626" s="13" t="n">
        <v>4.4</v>
      </c>
      <c r="E626" s="14" t="n">
        <v>223.9</v>
      </c>
      <c r="F626" s="14" t="n">
        <v>217</v>
      </c>
      <c r="G626" s="15" t="n">
        <v>4.8</v>
      </c>
      <c r="H626" s="12" t="inlineStr">
        <is>
          <t>なし</t>
        </is>
      </c>
      <c r="I626" s="12" t="inlineStr">
        <is>
          <t>2028(R10)年03月</t>
        </is>
      </c>
      <c r="J626" s="12" t="inlineStr">
        <is>
          <t>保証付</t>
        </is>
      </c>
      <c r="K626" s="16" t="inlineStr">
        <is>
          <t>修復歴なし / 車検 2028/03 まで（残り17ヶ月） / 保証付</t>
        </is>
      </c>
      <c r="L626" s="16" t="inlineStr">
        <is>
          <t>CX-8 2.5 25S プロアクティブ 新品タイヤ/SDナビ/衝突安全装置/シートヒーター 前席/360°ビューモニター/車線逸脱防止支援システム/電動バックドア/ヘッドランプ LED/ETC/EBD付ABS</t>
        </is>
      </c>
      <c r="M626" s="12" t="inlineStr">
        <is>
          <t>https://www.carsensor.net/usedcar/detail/AU7354207507/index.html</t>
        </is>
      </c>
    </row>
    <row r="627">
      <c r="A627" s="6" t="n">
        <v>2019</v>
      </c>
      <c r="B627" s="7" t="inlineStr">
        <is>
          <t>2WD</t>
        </is>
      </c>
      <c r="C627" s="7" t="inlineStr">
        <is>
          <t>2.5 25S プロアクティブ</t>
        </is>
      </c>
      <c r="D627" s="17" t="n">
        <v>4.4</v>
      </c>
      <c r="E627" s="9" t="n">
        <v>219.9</v>
      </c>
      <c r="F627" s="9" t="n">
        <v>210</v>
      </c>
      <c r="G627" s="10" t="n">
        <v>5.2</v>
      </c>
      <c r="H627" s="7" t="inlineStr">
        <is>
          <t>なし</t>
        </is>
      </c>
      <c r="I627" s="7" t="inlineStr">
        <is>
          <t>2028(R10)年03月</t>
        </is>
      </c>
      <c r="J627" s="7" t="inlineStr">
        <is>
          <t>保証付</t>
        </is>
      </c>
      <c r="K627" s="16" t="inlineStr">
        <is>
          <t>修復歴なし / 車検 2028/03 まで（残り17ヶ月） / 保証付</t>
        </is>
      </c>
      <c r="L627" s="16" t="inlineStr">
        <is>
          <t>CX-8 2.5 25S プロアクティブ ワンオーナー 360°ビュー 電動リフトゲート</t>
        </is>
      </c>
      <c r="M627" s="7" t="inlineStr">
        <is>
          <t>https://www.carsensor.net/usedcar/detail/AU7338935557/index.html</t>
        </is>
      </c>
    </row>
    <row r="628">
      <c r="A628" s="11" t="n">
        <v>2019</v>
      </c>
      <c r="B628" s="12" t="inlineStr">
        <is>
          <t>2WD</t>
        </is>
      </c>
      <c r="C628" s="12" t="inlineStr">
        <is>
          <t>2.5 25S プロアクティブ</t>
        </is>
      </c>
      <c r="D628" s="13" t="n">
        <v>4.3</v>
      </c>
      <c r="E628" s="14" t="n">
        <v>215.9</v>
      </c>
      <c r="F628" s="14" t="n">
        <v>209</v>
      </c>
      <c r="G628" s="15" t="n">
        <v>5.8</v>
      </c>
      <c r="H628" s="12" t="inlineStr">
        <is>
          <t>なし</t>
        </is>
      </c>
      <c r="I628" s="12" t="inlineStr">
        <is>
          <t>2028(R10)年02月</t>
        </is>
      </c>
      <c r="J628" s="12" t="inlineStr">
        <is>
          <t>保証付</t>
        </is>
      </c>
      <c r="K628" s="16" t="inlineStr">
        <is>
          <t>修復歴なし / 車検 2028/02 まで（残り16ヶ月） / 保証付</t>
        </is>
      </c>
      <c r="L628" s="16" t="inlineStr">
        <is>
          <t>CX-8 2.5 25S プロアクティブ SDナビ/衝突安全装置/シートヒーター 前席/電動バックドア/ドライブレコーダー 社外/ヘッドランプ LED/USBジャック/Bluetooth接続/ETC/アイアクティブセンス</t>
        </is>
      </c>
      <c r="M628" s="12" t="inlineStr">
        <is>
          <t>https://www.carsensor.net/usedcar/detail/AU7139436768/index.html</t>
        </is>
      </c>
    </row>
    <row r="629">
      <c r="A629" s="6" t="n">
        <v>2019</v>
      </c>
      <c r="B629" s="7" t="inlineStr">
        <is>
          <t>2WD</t>
        </is>
      </c>
      <c r="C629" s="7" t="inlineStr">
        <is>
          <t>2.5 25S プロアクティブ</t>
        </is>
      </c>
      <c r="D629" s="17" t="n">
        <v>4.3</v>
      </c>
      <c r="E629" s="9" t="n">
        <v>232.3</v>
      </c>
      <c r="F629" s="9" t="n">
        <v>220.3</v>
      </c>
      <c r="G629" s="10" t="n">
        <v>4.5</v>
      </c>
      <c r="H629" s="7" t="inlineStr">
        <is>
          <t>なし</t>
        </is>
      </c>
      <c r="I629" s="7" t="inlineStr">
        <is>
          <t>2028(R10)年02月</t>
        </is>
      </c>
      <c r="J629" s="7" t="inlineStr">
        <is>
          <t>保証付</t>
        </is>
      </c>
      <c r="K629" s="16" t="inlineStr">
        <is>
          <t>修復歴なし / 車検 2028/02 まで（残り16ヶ月） / 保証付</t>
        </is>
      </c>
      <c r="L629" s="16" t="inlineStr">
        <is>
          <t>CX-8 2.5 25S プロアクティブ マツダコネクトナビ 全周囲カメラ 衝突軽減 BSM HUD レーダークルーズコントロール クリアランスソナー シートヒーター LEDヘッドライト ETC 純正19インチアルミ 車線逸脱警報</t>
        </is>
      </c>
      <c r="M629" s="7" t="inlineStr">
        <is>
          <t>https://www.carsensor.net/usedcar/detail/AU7422248047/index.html</t>
        </is>
      </c>
    </row>
    <row r="630">
      <c r="A630" s="11" t="n">
        <v>2019</v>
      </c>
      <c r="B630" s="12" t="inlineStr">
        <is>
          <t>2WD</t>
        </is>
      </c>
      <c r="C630" s="12" t="inlineStr">
        <is>
          <t>2.5 25S プロアクティブ</t>
        </is>
      </c>
      <c r="D630" s="13" t="n">
        <v>4.3</v>
      </c>
      <c r="E630" s="14" t="n">
        <v>229.9</v>
      </c>
      <c r="F630" s="14" t="n">
        <v>217.9</v>
      </c>
      <c r="G630" s="15" t="n">
        <v>5</v>
      </c>
      <c r="H630" s="12" t="inlineStr">
        <is>
          <t>なし</t>
        </is>
      </c>
      <c r="I630" s="12" t="inlineStr">
        <is>
          <t>2028(R10)年02月</t>
        </is>
      </c>
      <c r="J630" s="12" t="inlineStr">
        <is>
          <t>保証付</t>
        </is>
      </c>
      <c r="K630" s="16" t="inlineStr">
        <is>
          <t>修復歴なし / 車検 2028/02 まで（残り16ヶ月） / 保証付</t>
        </is>
      </c>
      <c r="L630" s="16" t="inlineStr">
        <is>
          <t>CX-8 2.5 25S プロアクティブ 禁煙車 マツダコネクトナビ 全周囲カメラ フルセグTV レーダークルーズコントロール メモリー付パワーシート ドライブレコーダー コーナーセンサー スマートキー LEDヘッド ETC シートヒーター</t>
        </is>
      </c>
      <c r="M630" s="12" t="inlineStr">
        <is>
          <t>https://www.carsensor.net/usedcar/detail/AU7193185946/index.html</t>
        </is>
      </c>
    </row>
    <row r="631">
      <c r="A631" s="6" t="n">
        <v>2018</v>
      </c>
      <c r="B631" s="7" t="inlineStr">
        <is>
          <t>2WD</t>
        </is>
      </c>
      <c r="C631" s="7" t="inlineStr">
        <is>
          <t>2.5 25S プロアクティブ</t>
        </is>
      </c>
      <c r="D631" s="17" t="n">
        <v>4.2</v>
      </c>
      <c r="E631" s="9" t="n">
        <v>234.8</v>
      </c>
      <c r="F631" s="9" t="n">
        <v>231</v>
      </c>
      <c r="G631" s="10" t="n">
        <v>6.7</v>
      </c>
      <c r="H631" s="7" t="inlineStr">
        <is>
          <t>なし</t>
        </is>
      </c>
      <c r="I631" s="7" t="inlineStr">
        <is>
          <t>2027(R09)年12月</t>
        </is>
      </c>
      <c r="J631" s="7" t="inlineStr">
        <is>
          <t>保証付</t>
        </is>
      </c>
      <c r="K631" s="16" t="inlineStr">
        <is>
          <t>修復歴なし / 車検 2027/12 まで（残り14ヶ月） / 保証付</t>
        </is>
      </c>
      <c r="L631" s="16" t="inlineStr">
        <is>
          <t>CX-8 2.5 25S プロアクティブ RAYZ 20インチアルミホイール・TEIN車高調・DAMDフロント.サイド.リアアンダーガーニッシュ・DAMDルーフスポイラー・純正デイライト・一文字テール・縦型フロントグリル・ALPINEフローティングナビ・360°カメラ</t>
        </is>
      </c>
      <c r="M631" s="7" t="inlineStr">
        <is>
          <t>https://www.carsensor.net/usedcar/detail/AU7301362503/index.html</t>
        </is>
      </c>
    </row>
    <row r="632">
      <c r="A632" s="11" t="n">
        <v>2018</v>
      </c>
      <c r="B632" s="12" t="inlineStr">
        <is>
          <t>2WD</t>
        </is>
      </c>
      <c r="C632" s="12" t="inlineStr">
        <is>
          <t>2.5 25S プロアクティブ</t>
        </is>
      </c>
      <c r="D632" s="13" t="n">
        <v>4.1</v>
      </c>
      <c r="E632" s="14" t="n">
        <v>188.2</v>
      </c>
      <c r="F632" s="14" t="n">
        <v>179.8</v>
      </c>
      <c r="G632" s="15" t="n">
        <v>7.7</v>
      </c>
      <c r="H632" s="12" t="inlineStr">
        <is>
          <t>なし</t>
        </is>
      </c>
      <c r="I632" s="12" t="inlineStr">
        <is>
          <t>2027(R09)年11月</t>
        </is>
      </c>
      <c r="J632" s="12" t="inlineStr">
        <is>
          <t>保証付</t>
        </is>
      </c>
      <c r="K632" s="16" t="inlineStr">
        <is>
          <t>修復歴なし / 車検 2027/11 まで（残り13ヶ月） / 保証付</t>
        </is>
      </c>
      <c r="L632" s="16" t="inlineStr">
        <is>
          <t>CX-8 2.5 25S プロアクティブ ワンオーナー ETC ドラレコ ナビ Fセグ 360°カメラ</t>
        </is>
      </c>
      <c r="M632" s="12" t="inlineStr">
        <is>
          <t>https://www.carsensor.net/usedcar/detail/AU7438661586/index.html</t>
        </is>
      </c>
    </row>
    <row r="633">
      <c r="A633" s="6" t="n">
        <v>2019</v>
      </c>
      <c r="B633" s="7" t="inlineStr">
        <is>
          <t>2WD</t>
        </is>
      </c>
      <c r="C633" s="7" t="inlineStr">
        <is>
          <t>2.5 25S プロアクティブ</t>
        </is>
      </c>
      <c r="D633" s="17" t="n">
        <v>4</v>
      </c>
      <c r="E633" s="9" t="n">
        <v>220.9</v>
      </c>
      <c r="F633" s="9" t="n">
        <v>212.1</v>
      </c>
      <c r="G633" s="10" t="n">
        <v>6</v>
      </c>
      <c r="H633" s="7" t="inlineStr">
        <is>
          <t>なし</t>
        </is>
      </c>
      <c r="I633" s="7" t="inlineStr">
        <is>
          <t>車検整備付</t>
        </is>
      </c>
      <c r="J633" s="7" t="inlineStr">
        <is>
          <t>保証付</t>
        </is>
      </c>
      <c r="K633" s="16" t="inlineStr">
        <is>
          <t>修復歴なし / 車検整備付 / 保証付</t>
        </is>
      </c>
      <c r="L633" s="16" t="inlineStr">
        <is>
          <t>CX-8 2.5 25S プロアクティブ 禁煙車・純正ナビ・全方位カメラ・バックモニター・フルセグTV・レーダークルーズコントロール・レーンキープアシスト・パワーシート・ステアリングスイッチ・プッシュスタート・スマートキー・スペアキー</t>
        </is>
      </c>
      <c r="M633" s="7" t="inlineStr">
        <is>
          <t>https://www.carsensor.net/usedcar/detail/AU7178685792/index.html</t>
        </is>
      </c>
    </row>
    <row r="634">
      <c r="A634" s="11" t="n">
        <v>2019</v>
      </c>
      <c r="B634" s="12" t="inlineStr">
        <is>
          <t>2WD</t>
        </is>
      </c>
      <c r="C634" s="12" t="inlineStr">
        <is>
          <t>2.5 25S プロアクティブ</t>
        </is>
      </c>
      <c r="D634" s="13" t="n">
        <v>4</v>
      </c>
      <c r="E634" s="14" t="n">
        <v>214.3</v>
      </c>
      <c r="F634" s="14" t="n">
        <v>198.9</v>
      </c>
      <c r="G634" s="15" t="n">
        <v>5.4</v>
      </c>
      <c r="H634" s="12" t="inlineStr">
        <is>
          <t>なし</t>
        </is>
      </c>
      <c r="I634" s="12" t="inlineStr">
        <is>
          <t>車検整備付</t>
        </is>
      </c>
      <c r="J634" s="12" t="inlineStr">
        <is>
          <t>保証付</t>
        </is>
      </c>
      <c r="K634" s="16" t="inlineStr">
        <is>
          <t>修復歴なし / 車検整備付 / 保証付</t>
        </is>
      </c>
      <c r="L634" s="16" t="inlineStr">
        <is>
          <t>CX-8 2.5 25S プロアクティブ メモリーナビ リアカメラ ETC</t>
        </is>
      </c>
      <c r="M634" s="12" t="inlineStr">
        <is>
          <t>https://www.carsensor.net/usedcar/detail/AU7234232829/index.html</t>
        </is>
      </c>
    </row>
    <row r="635">
      <c r="A635" s="6" t="n">
        <v>2020</v>
      </c>
      <c r="B635" s="7" t="inlineStr">
        <is>
          <t>2WD</t>
        </is>
      </c>
      <c r="C635" s="7" t="inlineStr">
        <is>
          <t>2.5 25S プロアクティブ</t>
        </is>
      </c>
      <c r="D635" s="17" t="n">
        <v>4</v>
      </c>
      <c r="E635" s="9" t="n">
        <v>244.9</v>
      </c>
      <c r="F635" s="9" t="n">
        <v>231.9</v>
      </c>
      <c r="G635" s="10" t="n">
        <v>5.8</v>
      </c>
      <c r="H635" s="7" t="inlineStr">
        <is>
          <t>なし</t>
        </is>
      </c>
      <c r="I635" s="7" t="inlineStr">
        <is>
          <t>車検整備付</t>
        </is>
      </c>
      <c r="J635" s="7" t="inlineStr">
        <is>
          <t>保証付</t>
        </is>
      </c>
      <c r="K635" s="16" t="inlineStr">
        <is>
          <t>修復歴なし / 車検整備付 / 保証付</t>
        </is>
      </c>
      <c r="L635" s="16" t="inlineStr">
        <is>
          <t>CX-8 2.5 25S プロアクティブ 新品タイヤ/ナビ/アイアクティブセンス/シートヒーター 前席/360°ビューモニター/車線逸脱防止支援システム/ドライブレコーダー 前後/ヘッドランプ LED</t>
        </is>
      </c>
      <c r="M635" s="7" t="inlineStr">
        <is>
          <t>https://www.carsensor.net/usedcar/detail/AU7448770339/index.html</t>
        </is>
      </c>
    </row>
    <row r="636">
      <c r="A636" s="11" t="n">
        <v>2020</v>
      </c>
      <c r="B636" s="12" t="inlineStr">
        <is>
          <t>2WD</t>
        </is>
      </c>
      <c r="C636" s="12" t="inlineStr">
        <is>
          <t>2.5 25S プロアクティブ</t>
        </is>
      </c>
      <c r="D636" s="13" t="n">
        <v>4</v>
      </c>
      <c r="E636" s="14" t="n">
        <v>256</v>
      </c>
      <c r="F636" s="14" t="n">
        <v>241.5</v>
      </c>
      <c r="G636" s="15" t="n">
        <v>4.7</v>
      </c>
      <c r="H636" s="12" t="inlineStr">
        <is>
          <t>なし</t>
        </is>
      </c>
      <c r="I636" s="12" t="inlineStr">
        <is>
          <t>車検整備付</t>
        </is>
      </c>
      <c r="J636" s="12" t="inlineStr">
        <is>
          <t>保証付</t>
        </is>
      </c>
      <c r="K636" s="16" t="inlineStr">
        <is>
          <t>修復歴なし / 車検整備付 / 保証付</t>
        </is>
      </c>
      <c r="L636" s="16" t="inlineStr">
        <is>
          <t>CX-8 2.5 25S プロアクティブ 自社下取 さわやか保証1年走行無制限 魂動デザイン 人馬一体 オルガンペダル 衝突被害軽減ブレーキ 全周囲カメラ</t>
        </is>
      </c>
      <c r="M636" s="12" t="inlineStr">
        <is>
          <t>https://www.carsensor.net/usedcar/detail/AU7373481605/index.html</t>
        </is>
      </c>
    </row>
    <row r="637">
      <c r="A637" s="6" t="n">
        <v>2018</v>
      </c>
      <c r="B637" s="7" t="inlineStr">
        <is>
          <t>2WD</t>
        </is>
      </c>
      <c r="C637" s="7" t="inlineStr">
        <is>
          <t>2.5 25S プロアクティブ</t>
        </is>
      </c>
      <c r="D637" s="17" t="n">
        <v>3.8</v>
      </c>
      <c r="E637" s="9" t="n">
        <v>191.9</v>
      </c>
      <c r="F637" s="9" t="n">
        <v>185.4</v>
      </c>
      <c r="G637" s="10" t="n">
        <v>8.199999999999999</v>
      </c>
      <c r="H637" s="7" t="inlineStr">
        <is>
          <t>なし</t>
        </is>
      </c>
      <c r="I637" s="7" t="inlineStr">
        <is>
          <t>2027(R09)年07月</t>
        </is>
      </c>
      <c r="J637" s="7" t="inlineStr">
        <is>
          <t>保証付</t>
        </is>
      </c>
      <c r="K637" s="16" t="inlineStr">
        <is>
          <t>修復歴なし / 車検 2027/07 まで（残り9ヶ月） / 保証付</t>
        </is>
      </c>
      <c r="L637" s="16" t="inlineStr">
        <is>
          <t>CX-8 2.5 25S プロアクティブ SDナビ/フリップダウン 社外 10.2インチ/アイアクティブセンス/シートヒーター/車線逸脱防止支援システム/ヘッドランプ LED/Bluetooth接続</t>
        </is>
      </c>
      <c r="M637" s="7" t="inlineStr">
        <is>
          <t>https://www.carsensor.net/usedcar/detail/AU7062181182/index.html</t>
        </is>
      </c>
    </row>
    <row r="638">
      <c r="A638" s="11" t="n">
        <v>2020</v>
      </c>
      <c r="B638" s="12" t="inlineStr">
        <is>
          <t>2WD</t>
        </is>
      </c>
      <c r="C638" s="12" t="inlineStr">
        <is>
          <t>2.5 25S プロアクティブ</t>
        </is>
      </c>
      <c r="D638" s="13" t="n">
        <v>3.8</v>
      </c>
      <c r="E638" s="14" t="n">
        <v>228</v>
      </c>
      <c r="F638" s="14" t="n">
        <v>207.9</v>
      </c>
      <c r="G638" s="15" t="n">
        <v>6.1</v>
      </c>
      <c r="H638" s="12" t="inlineStr">
        <is>
          <t>なし</t>
        </is>
      </c>
      <c r="I638" s="12" t="inlineStr">
        <is>
          <t>2027(R09)年08月</t>
        </is>
      </c>
      <c r="J638" s="12" t="inlineStr">
        <is>
          <t>保証付</t>
        </is>
      </c>
      <c r="K638" s="16" t="inlineStr">
        <is>
          <t>修復歴なし / 車検 2027/08 まで（残り10ヶ月） / 保証付</t>
        </is>
      </c>
      <c r="L638" s="16" t="inlineStr">
        <is>
          <t>CX-8 2.5 25S プロアクティブ</t>
        </is>
      </c>
      <c r="M638" s="12" t="inlineStr">
        <is>
          <t>https://www.carsensor.net/usedcar/detail/AU7350500188/index.html</t>
        </is>
      </c>
    </row>
    <row r="639">
      <c r="A639" s="6" t="n">
        <v>2022</v>
      </c>
      <c r="B639" s="7" t="inlineStr">
        <is>
          <t>2WD</t>
        </is>
      </c>
      <c r="C639" s="7" t="inlineStr">
        <is>
          <t>2.5 25S プロアクティブ</t>
        </is>
      </c>
      <c r="D639" s="17" t="n">
        <v>3.8</v>
      </c>
      <c r="E639" s="9" t="n">
        <v>269.1</v>
      </c>
      <c r="F639" s="9" t="n">
        <v>259.8</v>
      </c>
      <c r="G639" s="10" t="n">
        <v>4.2</v>
      </c>
      <c r="H639" s="7" t="inlineStr">
        <is>
          <t>なし</t>
        </is>
      </c>
      <c r="I639" s="7" t="inlineStr">
        <is>
          <t>2027(R09)年07月</t>
        </is>
      </c>
      <c r="J639" s="7" t="inlineStr">
        <is>
          <t>保証付</t>
        </is>
      </c>
      <c r="K639" s="16" t="inlineStr">
        <is>
          <t>修復歴なし / 車検 2027/07 まで（残り9ヶ月） / 保証付</t>
        </is>
      </c>
      <c r="L639" s="16" t="inlineStr">
        <is>
          <t>CX-8 2.5 25S プロアクティブ 評価書付中古車</t>
        </is>
      </c>
      <c r="M639" s="7" t="inlineStr">
        <is>
          <t>https://www.carsensor.net/usedcar/detail/AU7417166594/index.html</t>
        </is>
      </c>
    </row>
    <row r="640">
      <c r="A640" s="11" t="n">
        <v>2019</v>
      </c>
      <c r="B640" s="12" t="inlineStr">
        <is>
          <t>2WD</t>
        </is>
      </c>
      <c r="C640" s="12" t="inlineStr">
        <is>
          <t>2.5 25S プロアクティブ</t>
        </is>
      </c>
      <c r="D640" s="13" t="n">
        <v>3.7</v>
      </c>
      <c r="E640" s="14" t="n">
        <v>238.9</v>
      </c>
      <c r="F640" s="14" t="n">
        <v>228.8</v>
      </c>
      <c r="G640" s="15" t="n">
        <v>4.7</v>
      </c>
      <c r="H640" s="12" t="inlineStr">
        <is>
          <t>なし</t>
        </is>
      </c>
      <c r="I640" s="12" t="inlineStr">
        <is>
          <t>2027(R09)年06月</t>
        </is>
      </c>
      <c r="J640" s="12" t="inlineStr">
        <is>
          <t>保証付</t>
        </is>
      </c>
      <c r="K640" s="16" t="inlineStr">
        <is>
          <t>修復歴なし / 車検 2027/06 まで（残り8ヶ月） / 保証付</t>
        </is>
      </c>
      <c r="L640" s="16" t="inlineStr">
        <is>
          <t>CX-8 2.5 25S プロアクティブ</t>
        </is>
      </c>
      <c r="M640" s="12" t="inlineStr">
        <is>
          <t>https://www.carsensor.net/usedcar/detail/AU6637480213/index.html</t>
        </is>
      </c>
    </row>
    <row r="641">
      <c r="A641" s="6" t="n">
        <v>2019</v>
      </c>
      <c r="B641" s="7" t="inlineStr">
        <is>
          <t>2WD</t>
        </is>
      </c>
      <c r="C641" s="7" t="inlineStr">
        <is>
          <t>2.5 25S プロアクティブ</t>
        </is>
      </c>
      <c r="D641" s="17" t="n">
        <v>3.5</v>
      </c>
      <c r="E641" s="9" t="n">
        <v>219.9</v>
      </c>
      <c r="F641" s="9" t="n">
        <v>202.9</v>
      </c>
      <c r="G641" s="10" t="n">
        <v>4.2</v>
      </c>
      <c r="H641" s="7" t="inlineStr">
        <is>
          <t>なし</t>
        </is>
      </c>
      <c r="I641" s="7" t="inlineStr">
        <is>
          <t>車検整備無</t>
        </is>
      </c>
      <c r="J641" s="7" t="inlineStr">
        <is>
          <t>保証無</t>
        </is>
      </c>
      <c r="K641" s="16" t="inlineStr">
        <is>
          <t>走行が少なめ（4.2万km） / 修復歴なし</t>
        </is>
      </c>
      <c r="L641" s="16" t="inlineStr">
        <is>
          <t>CX-8 2.5 25S プロアクティブ マツダコネクト/衝突軽減/6人乗り/360度モニター/HUD/BSM/追従クルコン/フルセグTV/CD/DVD/BT/シートヒーター/パワーリフトゲート/ソナー/LED/純正19AW/車線逸脱警報/保証書</t>
        </is>
      </c>
      <c r="M641" s="7" t="inlineStr">
        <is>
          <t>https://www.carsensor.net/usedcar/detail/AU7348820104/index.html</t>
        </is>
      </c>
    </row>
    <row r="642">
      <c r="A642" s="11" t="n">
        <v>2022</v>
      </c>
      <c r="B642" s="12" t="inlineStr">
        <is>
          <t>2WD</t>
        </is>
      </c>
      <c r="C642" s="12" t="inlineStr">
        <is>
          <t>2.5 25S プロアクティブ</t>
        </is>
      </c>
      <c r="D642" s="13" t="n">
        <v>3.3</v>
      </c>
      <c r="E642" s="14" t="n">
        <v>276.8</v>
      </c>
      <c r="F642" s="14" t="n">
        <v>271</v>
      </c>
      <c r="G642" s="15" t="n">
        <v>4.2</v>
      </c>
      <c r="H642" s="12" t="inlineStr">
        <is>
          <t>なし</t>
        </is>
      </c>
      <c r="I642" s="12" t="inlineStr">
        <is>
          <t>2027(R09)年02月</t>
        </is>
      </c>
      <c r="J642" s="12" t="inlineStr">
        <is>
          <t>保証付</t>
        </is>
      </c>
      <c r="K642" s="16" t="inlineStr">
        <is>
          <t>修復歴なし / 車検 2027/02 まで（残り4ヶ月） / 保証付</t>
        </is>
      </c>
      <c r="L642" s="16" t="inlineStr">
        <is>
          <t>CX-8 2.5 25S プロアクティブ BOSEサウンド/パワーシート(運転席+助手席)/シートヒーター(全席)/純正ナビ/ALPINEフリップダウンモニター/全方位カメラ/クルーズコントロール/ヘッドアップディスプレイ/電動リアゲート</t>
        </is>
      </c>
      <c r="M642" s="12" t="inlineStr">
        <is>
          <t>https://www.carsensor.net/usedcar/detail/AU7353196278/index.html</t>
        </is>
      </c>
    </row>
    <row r="643">
      <c r="A643" s="6" t="n">
        <v>2022</v>
      </c>
      <c r="B643" s="7" t="inlineStr">
        <is>
          <t>2WD</t>
        </is>
      </c>
      <c r="C643" s="7" t="inlineStr">
        <is>
          <t>2.5 25S プロアクティブ</t>
        </is>
      </c>
      <c r="D643" s="17" t="n">
        <v>3.3</v>
      </c>
      <c r="E643" s="9" t="n">
        <v>266.8</v>
      </c>
      <c r="F643" s="9" t="n">
        <v>261</v>
      </c>
      <c r="G643" s="10" t="n">
        <v>5.6</v>
      </c>
      <c r="H643" s="7" t="inlineStr">
        <is>
          <t>なし</t>
        </is>
      </c>
      <c r="I643" s="7" t="inlineStr">
        <is>
          <t>2027(R09)年02月</t>
        </is>
      </c>
      <c r="J643" s="7" t="inlineStr">
        <is>
          <t>保証付</t>
        </is>
      </c>
      <c r="K643" s="16" t="inlineStr">
        <is>
          <t>修復歴なし / 車検 2027/02 まで（残り4ヶ月） / 保証付</t>
        </is>
      </c>
      <c r="L643" s="16" t="inlineStr">
        <is>
          <t>CX-8 2.5 25S プロアクティブ ワンオーナー 純正10.25インチマツダコネクトナビ 全方位カメラ BT ドライブレコーダー レーダークルーズコントロール 衝突軽減システム シートヒーター ステアリングヒーター パワーリアゲート</t>
        </is>
      </c>
      <c r="M643" s="7" t="inlineStr">
        <is>
          <t>https://www.carsensor.net/usedcar/detail/AU7301368250/index.html</t>
        </is>
      </c>
    </row>
    <row r="644">
      <c r="A644" s="11" t="n">
        <v>2022</v>
      </c>
      <c r="B644" s="12" t="inlineStr">
        <is>
          <t>2WD</t>
        </is>
      </c>
      <c r="C644" s="12" t="inlineStr">
        <is>
          <t>2.5 25S プロアクティブ</t>
        </is>
      </c>
      <c r="D644" s="13" t="n">
        <v>2</v>
      </c>
      <c r="E644" s="14" t="n">
        <v>193.9</v>
      </c>
      <c r="F644" s="14" t="n">
        <v>173.9</v>
      </c>
      <c r="G644" s="15" t="n">
        <v>1.5</v>
      </c>
      <c r="H644" s="12" t="inlineStr">
        <is>
          <t>あり</t>
        </is>
      </c>
      <c r="I644" s="12" t="inlineStr">
        <is>
          <t>車検整備付</t>
        </is>
      </c>
      <c r="J644" s="12" t="inlineStr">
        <is>
          <t>保証付</t>
        </is>
      </c>
      <c r="K644" s="16" t="inlineStr">
        <is>
          <t>同年式の半分以下の走行（1.5万km） / 修復歴あり / 車検整備付 / 保証付 / 同年式より安い（中央値 296万）</t>
        </is>
      </c>
      <c r="L644" s="16" t="inlineStr">
        <is>
          <t>CX-8 2.5 25S プロアクティブ ワンオーナー・フルセグナビ・全周囲カメラ・BTオーディオ・LEDライト・19AW・ACC・LKA・BSM・AHB・シートヒーター・本革ステアリング・ステアリングヒーター・Cソナー・アイドリングストップ</t>
        </is>
      </c>
      <c r="M644" s="12" t="inlineStr">
        <is>
          <t>https://www.carsensor.net/usedcar/detail/AU7234068440/index.html</t>
        </is>
      </c>
    </row>
    <row r="645">
      <c r="A645" s="6" t="n">
        <v>2022</v>
      </c>
      <c r="B645" s="7" t="inlineStr">
        <is>
          <t>2WD</t>
        </is>
      </c>
      <c r="C645" s="7" t="inlineStr">
        <is>
          <t>2.5 25S プロアクティブ</t>
        </is>
      </c>
      <c r="D645" s="17" t="n">
        <v>0.9</v>
      </c>
      <c r="E645" s="9" t="n">
        <v>197.2</v>
      </c>
      <c r="F645" s="9" t="n">
        <v>178</v>
      </c>
      <c r="G645" s="10" t="n">
        <v>1.4</v>
      </c>
      <c r="H645" s="7" t="inlineStr">
        <is>
          <t>あり</t>
        </is>
      </c>
      <c r="I645" s="7" t="inlineStr">
        <is>
          <t>2027(R09)年09月</t>
        </is>
      </c>
      <c r="J645" s="7" t="inlineStr">
        <is>
          <t>保証無</t>
        </is>
      </c>
      <c r="K645" s="16" t="inlineStr">
        <is>
          <t>同年式の半分以下の走行（1.4万km） / 修復歴あり / 車検 2027/09 まで（残り11ヶ月） / 同年式より安い（中央値 296万）</t>
        </is>
      </c>
      <c r="L645" s="16" t="inlineStr">
        <is>
          <t>CX-8 2.5 25S プロアクティブ 純正ナビ フルセグTV 後席フリップダウンモニター アラウンドビューモニター ドライブレコーダー前後 ETC Bluetooth DISC USB アダプティブクルーズコントロール レーンキープアシスト</t>
        </is>
      </c>
      <c r="M645" s="7" t="inlineStr">
        <is>
          <t>https://www.carsensor.net/usedcar/detail/AU7315388288/index.html</t>
        </is>
      </c>
    </row>
    <row r="646">
      <c r="A646" s="11" t="n">
        <v>2019</v>
      </c>
      <c r="B646" s="12" t="inlineStr">
        <is>
          <t>2WD</t>
        </is>
      </c>
      <c r="C646" s="12" t="inlineStr">
        <is>
          <t>2.5 25S ワンオーナー</t>
        </is>
      </c>
      <c r="D646" s="13" t="n">
        <v>4</v>
      </c>
      <c r="E646" s="14" t="n">
        <v>237.8</v>
      </c>
      <c r="F646" s="14" t="n">
        <v>227.7</v>
      </c>
      <c r="G646" s="15" t="n">
        <v>4.7</v>
      </c>
      <c r="H646" s="12" t="inlineStr">
        <is>
          <t>なし</t>
        </is>
      </c>
      <c r="I646" s="12" t="inlineStr">
        <is>
          <t>車検整備付</t>
        </is>
      </c>
      <c r="J646" s="12" t="inlineStr">
        <is>
          <t>保証付</t>
        </is>
      </c>
      <c r="K646" s="16" t="inlineStr">
        <is>
          <t>修復歴なし / 車検整備付 / 保証付</t>
        </is>
      </c>
      <c r="L646" s="16" t="inlineStr">
        <is>
          <t>CX-8 2.5 25S ワンオーナー 純正SDナビ 地デジ Bluetooth バックカメラ スマートシティブレーキサポート ブラインドスポットモニタリング ステアリングスイッチ ETC LEDヘッドライト ウインカーミラー コーナーセンサー</t>
        </is>
      </c>
      <c r="M646" s="12" t="inlineStr">
        <is>
          <t>https://www.carsensor.net/usedcar/detail/AU7351829523/index.html</t>
        </is>
      </c>
    </row>
    <row r="647">
      <c r="A647" s="6" t="n">
        <v>2022</v>
      </c>
      <c r="B647" s="7" t="inlineStr">
        <is>
          <t>2WD</t>
        </is>
      </c>
      <c r="C647" s="7" t="inlineStr">
        <is>
          <t>2.5 25S 新品タイヤ/SDナビ/アイアクティブセンス/360°ビューモニター/車線逸脱防止支援システム/ドライブレコーダー</t>
        </is>
      </c>
      <c r="D647" s="17" t="n">
        <v>7.5</v>
      </c>
      <c r="E647" s="9" t="n">
        <v>257.9</v>
      </c>
      <c r="F647" s="9" t="n">
        <v>251.5</v>
      </c>
      <c r="G647" s="10" t="n">
        <v>1.6</v>
      </c>
      <c r="H647" s="7" t="inlineStr">
        <is>
          <t>なし</t>
        </is>
      </c>
      <c r="I647" s="7" t="inlineStr">
        <is>
          <t>2027(R09)年04月</t>
        </is>
      </c>
      <c r="J647" s="7" t="inlineStr">
        <is>
          <t>保証付</t>
        </is>
      </c>
      <c r="K647" s="16" t="inlineStr">
        <is>
          <t>同年式の半分以下の走行（1.6万km） / 修復歴なし / 車検 2027/04 まで（残り6ヶ月） / 保証付 / 同年式より安い（中央値 296万）</t>
        </is>
      </c>
      <c r="L647" s="16" t="inlineStr">
        <is>
          <t>CX-8 2.5 25S 新品タイヤ/SDナビ/アイアクティブセンス/360°ビューモニター/車線逸脱防止支援システム/ドライブレコーダー 前後/ヘッドランプ LED/USBジャック</t>
        </is>
      </c>
      <c r="M647" s="7" t="inlineStr">
        <is>
          <t>https://www.carsensor.net/usedcar/detail/AU7315237439/index.html</t>
        </is>
      </c>
    </row>
    <row r="648">
      <c r="A648" s="11" t="n">
        <v>2020</v>
      </c>
      <c r="B648" s="12" t="inlineStr">
        <is>
          <t>2WD</t>
        </is>
      </c>
      <c r="C648" s="12" t="inlineStr">
        <is>
          <t>2.5 25S 新品タイヤ/ディスプレイオーディオ/アイアクティブセンス/車線逸脱防止支援システム/ヘッドランプ</t>
        </is>
      </c>
      <c r="D648" s="13" t="n">
        <v>4.3</v>
      </c>
      <c r="E648" s="14" t="n">
        <v>212.9</v>
      </c>
      <c r="F648" s="14" t="n">
        <v>206.7</v>
      </c>
      <c r="G648" s="15" t="n">
        <v>7</v>
      </c>
      <c r="H648" s="12" t="inlineStr">
        <is>
          <t>なし</t>
        </is>
      </c>
      <c r="I648" s="12" t="inlineStr">
        <is>
          <t>2027(R09)年02月</t>
        </is>
      </c>
      <c r="J648" s="12" t="inlineStr">
        <is>
          <t>保証付</t>
        </is>
      </c>
      <c r="K648" s="16" t="inlineStr">
        <is>
          <t>修復歴なし / 車検 2027/02 まで（残り4ヶ月） / 保証付 / 同年式より安い（中央値 250万）</t>
        </is>
      </c>
      <c r="L648" s="16" t="inlineStr">
        <is>
          <t>CX-8 2.5 25S 新品タイヤ/ディスプレイオーディオ/アイアクティブセンス/車線逸脱防止支援システム/ヘッドランプ LED/USBジャック/Bluetooth接続/ETC/EBD付ABS</t>
        </is>
      </c>
      <c r="M648" s="12" t="inlineStr">
        <is>
          <t>https://www.carsensor.net/usedcar/detail/AU7282616682/index.html</t>
        </is>
      </c>
    </row>
    <row r="649">
      <c r="A649" s="6" t="n">
        <v>2020</v>
      </c>
      <c r="B649" s="7" t="inlineStr">
        <is>
          <t>2WD</t>
        </is>
      </c>
      <c r="C649" s="7" t="inlineStr">
        <is>
          <t>2.5 25S 禁煙車</t>
        </is>
      </c>
      <c r="D649" s="17" t="n">
        <v>3.4</v>
      </c>
      <c r="E649" s="9" t="n">
        <v>234.9</v>
      </c>
      <c r="F649" s="9" t="n">
        <v>223.5</v>
      </c>
      <c r="G649" s="10" t="n">
        <v>6.3</v>
      </c>
      <c r="H649" s="7" t="inlineStr">
        <is>
          <t>なし</t>
        </is>
      </c>
      <c r="I649" s="7" t="inlineStr">
        <is>
          <t>2027(R09)年03月</t>
        </is>
      </c>
      <c r="J649" s="7" t="inlineStr">
        <is>
          <t>保証付</t>
        </is>
      </c>
      <c r="K649" s="16" t="inlineStr">
        <is>
          <t>修復歴なし / 車検 2027/03 まで（残り5ヶ月） / 保証付</t>
        </is>
      </c>
      <c r="L649" s="16" t="inlineStr">
        <is>
          <t>CX-8 2.5 25S 禁煙車 衝突軽減システム レーダークルーズ 純正8インチナビ 全周囲カメラ フルセグ ETC Bluetooth再生 ブラインドスポットモニター LEDヘッド レーンアシスト クリアランスソナー</t>
        </is>
      </c>
      <c r="M649" s="7" t="inlineStr">
        <is>
          <t>https://www.carsensor.net/usedcar/detail/AU7330344340/index.html</t>
        </is>
      </c>
    </row>
    <row r="650">
      <c r="A650" s="11" t="n">
        <v>2022</v>
      </c>
      <c r="B650" s="12" t="inlineStr">
        <is>
          <t>2WD</t>
        </is>
      </c>
      <c r="C650" s="12" t="inlineStr">
        <is>
          <t>2.5 25S 禁煙車</t>
        </is>
      </c>
      <c r="D650" s="13" t="n">
        <v>3</v>
      </c>
      <c r="E650" s="14" t="n">
        <v>189.7</v>
      </c>
      <c r="F650" s="14" t="n">
        <v>169.8</v>
      </c>
      <c r="G650" s="15" t="n">
        <v>4.8</v>
      </c>
      <c r="H650" s="12" t="inlineStr">
        <is>
          <t>なし</t>
        </is>
      </c>
      <c r="I650" s="12" t="inlineStr">
        <is>
          <t>車検整備無</t>
        </is>
      </c>
      <c r="J650" s="12" t="inlineStr">
        <is>
          <t>保証無</t>
        </is>
      </c>
      <c r="K650" s="16" t="inlineStr">
        <is>
          <t>修復歴なし / 同年式より安い（中央値 296万）</t>
        </is>
      </c>
      <c r="L650" s="16" t="inlineStr">
        <is>
          <t>CX-8 2.5 25S 禁煙車 純正10インチナビ フルセグTV 全周囲カメラ 衝突被害軽減システム アダプティブクルーズコントロール ETC 7人乗り ダブルエアコン レーンキープアシスト LEDヘッドライト 純正17AW</t>
        </is>
      </c>
      <c r="M650" s="12" t="inlineStr">
        <is>
          <t>https://www.carsensor.net/usedcar/detail/AU7229332989/index.html</t>
        </is>
      </c>
    </row>
    <row r="651">
      <c r="A651" s="6" t="n">
        <v>2022</v>
      </c>
      <c r="B651" s="7" t="inlineStr">
        <is>
          <t>2WD</t>
        </is>
      </c>
      <c r="C651" s="7" t="inlineStr">
        <is>
          <t>2.5 25S 禁煙車</t>
        </is>
      </c>
      <c r="D651" s="17" t="n">
        <v>3</v>
      </c>
      <c r="E651" s="9" t="n">
        <v>187.8</v>
      </c>
      <c r="F651" s="9" t="n">
        <v>168</v>
      </c>
      <c r="G651" s="10" t="n">
        <v>4.5</v>
      </c>
      <c r="H651" s="7" t="inlineStr">
        <is>
          <t>なし</t>
        </is>
      </c>
      <c r="I651" s="7" t="inlineStr">
        <is>
          <t>車検整備無</t>
        </is>
      </c>
      <c r="J651" s="7" t="inlineStr">
        <is>
          <t>保証無</t>
        </is>
      </c>
      <c r="K651" s="16" t="inlineStr">
        <is>
          <t>修復歴なし / 同年式より安い（中央値 296万）</t>
        </is>
      </c>
      <c r="L651" s="16" t="inlineStr">
        <is>
          <t>CX-8 2.5 25S 禁煙車 純正10型ナビ 360°カメラ LEDヘッドライト クルーズコントロール オートライト 純正17インチアルミホイール 電動格納式ミラー クルアランスソナー レンタカーアップ</t>
        </is>
      </c>
      <c r="M651" s="7" t="inlineStr">
        <is>
          <t>https://www.carsensor.net/usedcar/detail/AU7188505642/index.html</t>
        </is>
      </c>
    </row>
    <row r="652">
      <c r="A652" s="11" t="n">
        <v>2018</v>
      </c>
      <c r="B652" s="12" t="inlineStr">
        <is>
          <t>2WD</t>
        </is>
      </c>
      <c r="C652" s="12" t="inlineStr">
        <is>
          <t>2.5 25S 純正ナビ</t>
        </is>
      </c>
      <c r="D652" s="13" t="n">
        <v>4.2</v>
      </c>
      <c r="E652" s="14" t="n">
        <v>212.9</v>
      </c>
      <c r="F652" s="14" t="n">
        <v>206.6</v>
      </c>
      <c r="G652" s="15" t="n">
        <v>6</v>
      </c>
      <c r="H652" s="12" t="inlineStr">
        <is>
          <t>なし</t>
        </is>
      </c>
      <c r="I652" s="12" t="inlineStr">
        <is>
          <t>2027(R09)年12月</t>
        </is>
      </c>
      <c r="J652" s="12" t="inlineStr">
        <is>
          <t>保証付</t>
        </is>
      </c>
      <c r="K652" s="16" t="inlineStr">
        <is>
          <t>修復歴なし / 車検 2027/12 まで（残り14ヶ月） / 保証付</t>
        </is>
      </c>
      <c r="L652" s="16" t="inlineStr">
        <is>
          <t>CX-8 2.5 25S 純正ナビ 全方位 衝突軽減 スマートキー LED Bluetooth/USB/CD/DVD/TV・360°ビューモニター セーフティクルーズパッケージ スマートブレーキサポート レーダークルーズコントロール 全車速追従機能付 スマートキー</t>
        </is>
      </c>
      <c r="M652" s="12" t="inlineStr">
        <is>
          <t>https://www.carsensor.net/usedcar/detail/AU7396416287/index.html</t>
        </is>
      </c>
    </row>
    <row r="653">
      <c r="A653" s="6" t="n">
        <v>2019</v>
      </c>
      <c r="B653" s="7" t="inlineStr">
        <is>
          <t>2WD</t>
        </is>
      </c>
      <c r="C653" s="7" t="inlineStr">
        <is>
          <t>2.5 25S 衝突被害軽減システム</t>
        </is>
      </c>
      <c r="D653" s="17" t="n">
        <v>4.2</v>
      </c>
      <c r="E653" s="9" t="n">
        <v>219.7</v>
      </c>
      <c r="F653" s="9" t="n">
        <v>207.8</v>
      </c>
      <c r="G653" s="10" t="n">
        <v>5.1</v>
      </c>
      <c r="H653" s="7" t="inlineStr">
        <is>
          <t>なし</t>
        </is>
      </c>
      <c r="I653" s="7" t="inlineStr">
        <is>
          <t>2028(R10)年01月</t>
        </is>
      </c>
      <c r="J653" s="7" t="inlineStr">
        <is>
          <t>保証付</t>
        </is>
      </c>
      <c r="K653" s="16" t="inlineStr">
        <is>
          <t>修復歴なし / 車検 2028/01 まで（残り15ヶ月） / 保証付</t>
        </is>
      </c>
      <c r="L653" s="16" t="inlineStr">
        <is>
          <t>CX-8 2.5 25S 衝突被害軽減システム クルーズコントロール レーンアシスト パーキングアシスト BSM 純正メモリーナビ Bluetooth フルセグ バックカメラ 後席モニタ スマートキー 純正アルミ オートライト</t>
        </is>
      </c>
      <c r="M653" s="7" t="inlineStr">
        <is>
          <t>https://www.carsensor.net/usedcar/detail/AU7391454433/index.html</t>
        </is>
      </c>
    </row>
    <row r="654">
      <c r="A654" s="11" t="n">
        <v>2022</v>
      </c>
      <c r="B654" s="12" t="inlineStr">
        <is>
          <t>2WD</t>
        </is>
      </c>
      <c r="C654" s="12" t="inlineStr">
        <is>
          <t>2.5 25S 衝突軽減</t>
        </is>
      </c>
      <c r="D654" s="13" t="n">
        <v>6.5</v>
      </c>
      <c r="E654" s="14" t="n">
        <v>215.2</v>
      </c>
      <c r="F654" s="14" t="n">
        <v>197.9</v>
      </c>
      <c r="G654" s="15" t="n">
        <v>3</v>
      </c>
      <c r="H654" s="12" t="inlineStr">
        <is>
          <t>なし</t>
        </is>
      </c>
      <c r="I654" s="12" t="inlineStr">
        <is>
          <t>車検整備付</t>
        </is>
      </c>
      <c r="J654" s="12" t="inlineStr">
        <is>
          <t>保証付</t>
        </is>
      </c>
      <c r="K654" s="16" t="inlineStr">
        <is>
          <t>走行が少なめ（3.0万km） / 修復歴なし / 車検整備付 / 保証付 / 同年式より安い（中央値 296万）</t>
        </is>
      </c>
      <c r="L654" s="16" t="inlineStr">
        <is>
          <t>CX-8 2.5 25S 衝突軽減 レーンキープアシスト 全周囲カメラ アイドリングストップ スマートキープッシュスタート ETC コーナーセンサー クルーズコントロール LEDヘッドライト 電動格納ミラー</t>
        </is>
      </c>
      <c r="M654" s="12" t="inlineStr">
        <is>
          <t>https://www.carsensor.net/usedcar/detail/AU7419563280/index.html</t>
        </is>
      </c>
    </row>
    <row r="655">
      <c r="A655" s="6" t="n">
        <v>2020</v>
      </c>
      <c r="B655" s="7" t="inlineStr">
        <is>
          <t>2WD</t>
        </is>
      </c>
      <c r="C655" s="7" t="inlineStr">
        <is>
          <t>2.5 25T Lパッケージ</t>
        </is>
      </c>
      <c r="D655" s="17" t="n">
        <v>4</v>
      </c>
      <c r="E655" s="9" t="n">
        <v>251.5</v>
      </c>
      <c r="F655" s="9" t="n">
        <v>238</v>
      </c>
      <c r="G655" s="10" t="n">
        <v>4.9</v>
      </c>
      <c r="H655" s="7" t="inlineStr">
        <is>
          <t>なし</t>
        </is>
      </c>
      <c r="I655" s="7" t="inlineStr">
        <is>
          <t>車検整備付</t>
        </is>
      </c>
      <c r="J655" s="7" t="inlineStr">
        <is>
          <t>保証付</t>
        </is>
      </c>
      <c r="K655" s="16" t="inlineStr">
        <is>
          <t>修復歴なし / 車検整備付 / 保証付</t>
        </is>
      </c>
      <c r="L655" s="16" t="inlineStr">
        <is>
          <t>CX-8 2.5 25T Lパッケージ 衝突被害軽減ブレーキ 360°Pセンサー レーダークルールコントロール ETC2.0 BOSEサウンド</t>
        </is>
      </c>
      <c r="M655" s="7" t="inlineStr">
        <is>
          <t>https://www.carsensor.net/usedcar/detail/AU7364677750/index.html</t>
        </is>
      </c>
    </row>
    <row r="656">
      <c r="A656" s="11" t="n">
        <v>2019</v>
      </c>
      <c r="B656" s="12" t="inlineStr">
        <is>
          <t>2WD</t>
        </is>
      </c>
      <c r="C656" s="12" t="inlineStr">
        <is>
          <t>2.5 25T Lパッケージ</t>
        </is>
      </c>
      <c r="D656" s="13" t="n">
        <v>-3.9</v>
      </c>
      <c r="E656" s="14" t="n">
        <v>229.9</v>
      </c>
      <c r="F656" s="14" t="n">
        <v>219.9</v>
      </c>
      <c r="G656" s="15" t="n">
        <v>5.5</v>
      </c>
      <c r="H656" s="12" t="inlineStr">
        <is>
          <t>あり</t>
        </is>
      </c>
      <c r="I656" s="12" t="inlineStr">
        <is>
          <t>2026(R08)年11月</t>
        </is>
      </c>
      <c r="J656" s="12" t="inlineStr">
        <is>
          <t>保証無</t>
        </is>
      </c>
      <c r="K656" s="16" t="inlineStr">
        <is>
          <t>修復歴あり / 車検 2026/11 まで（残り1ヶ月）</t>
        </is>
      </c>
      <c r="L656" s="16" t="inlineStr">
        <is>
          <t>CX-8 2.5 25T Lパッケージ フリップダウンモニター/マツダコネクトナビ/BOSEサウンドシステム/360度ビューモニター/CD/DVD/フルセグTV/パワーバックドア/シートベンチレーション/アダプティブLEDヘッドランプ/ブラインドスポットモニター/禁煙</t>
        </is>
      </c>
      <c r="M656" s="12" t="inlineStr">
        <is>
          <t>https://www.carsensor.net/usedcar/detail/AU7442725154/index.html</t>
        </is>
      </c>
    </row>
    <row r="657">
      <c r="A657" s="6" t="n">
        <v>2021</v>
      </c>
      <c r="B657" s="7" t="inlineStr">
        <is>
          <t>2WD</t>
        </is>
      </c>
      <c r="C657" s="7" t="inlineStr">
        <is>
          <t>2.5 25T エクスクルーシブ</t>
        </is>
      </c>
      <c r="D657" s="17" t="n">
        <v>7</v>
      </c>
      <c r="E657" s="9" t="n">
        <v>333.3</v>
      </c>
      <c r="F657" s="9" t="n">
        <v>319.8</v>
      </c>
      <c r="G657" s="10" t="n">
        <v>2</v>
      </c>
      <c r="H657" s="7" t="inlineStr">
        <is>
          <t>なし</t>
        </is>
      </c>
      <c r="I657" s="7" t="inlineStr">
        <is>
          <t>車検整備付</t>
        </is>
      </c>
      <c r="J657" s="7" t="inlineStr">
        <is>
          <t>保証付</t>
        </is>
      </c>
      <c r="K657" s="16" t="inlineStr">
        <is>
          <t>同年式の半分以下の走行（2.0万km） / 修復歴なし / 車検整備付 / 保証付</t>
        </is>
      </c>
      <c r="L657" s="16" t="inlineStr">
        <is>
          <t>CX-8 2.5 25T エクスクルーシブ モード</t>
        </is>
      </c>
      <c r="M657" s="7" t="inlineStr">
        <is>
          <t>https://www.carsensor.net/usedcar/detail/AU7135083136/index.html</t>
        </is>
      </c>
    </row>
    <row r="658">
      <c r="A658" s="11" t="n">
        <v>2019</v>
      </c>
      <c r="B658" s="12" t="inlineStr">
        <is>
          <t>2WD</t>
        </is>
      </c>
      <c r="C658" s="12" t="inlineStr">
        <is>
          <t>2.5 25T エクスクルーシブ</t>
        </is>
      </c>
      <c r="D658" s="13" t="n">
        <v>5.5</v>
      </c>
      <c r="E658" s="14" t="n">
        <v>270.8</v>
      </c>
      <c r="F658" s="14" t="n">
        <v>259.8</v>
      </c>
      <c r="G658" s="15" t="n">
        <v>4.2</v>
      </c>
      <c r="H658" s="12" t="inlineStr">
        <is>
          <t>なし</t>
        </is>
      </c>
      <c r="I658" s="12" t="inlineStr">
        <is>
          <t>車検整備付</t>
        </is>
      </c>
      <c r="J658" s="12" t="inlineStr">
        <is>
          <t>保証付</t>
        </is>
      </c>
      <c r="K658" s="16" t="inlineStr">
        <is>
          <t>走行が少なめ（4.2万km） / 修復歴なし / 車検整備付 / 保証付</t>
        </is>
      </c>
      <c r="L658" s="16" t="inlineStr">
        <is>
          <t>CX-8 2.5 25T エクスクルーシブ モード AAC スマートキークルーズコントロール LEDヘッドライト アイドリングストップ コーナーセンサー フルセグTV メモリーナビ 全方位モニター ETC 衝突被害軽減ブレーキ イモビ 革シート</t>
        </is>
      </c>
      <c r="M658" s="12" t="inlineStr">
        <is>
          <t>https://www.carsensor.net/usedcar/detail/AU7325439300/index.html</t>
        </is>
      </c>
    </row>
    <row r="659">
      <c r="A659" s="6" t="n">
        <v>2021</v>
      </c>
      <c r="B659" s="7" t="inlineStr">
        <is>
          <t>2WD</t>
        </is>
      </c>
      <c r="C659" s="7" t="inlineStr">
        <is>
          <t>2.5 25T エクスクルーシブ</t>
        </is>
      </c>
      <c r="D659" s="17" t="n">
        <v>4</v>
      </c>
      <c r="E659" s="9" t="n">
        <v>314.1</v>
      </c>
      <c r="F659" s="9" t="n">
        <v>299.8</v>
      </c>
      <c r="G659" s="10" t="n">
        <v>4</v>
      </c>
      <c r="H659" s="7" t="inlineStr">
        <is>
          <t>なし</t>
        </is>
      </c>
      <c r="I659" s="7" t="inlineStr">
        <is>
          <t>車検整備付</t>
        </is>
      </c>
      <c r="J659" s="7" t="inlineStr">
        <is>
          <t>保証付</t>
        </is>
      </c>
      <c r="K659" s="16" t="inlineStr">
        <is>
          <t>修復歴なし / 車検整備付 / 保証付</t>
        </is>
      </c>
      <c r="L659" s="16" t="inlineStr">
        <is>
          <t>CX-8 2.5 25T エクスクルーシブ モード マツダ認定中古車 ETC車載器 BOSEサウンドシステム 衝突被害軽減ブレーキ コネクティッドサービス 360°ビューモニター</t>
        </is>
      </c>
      <c r="M659" s="7" t="inlineStr">
        <is>
          <t>https://www.carsensor.net/usedcar/detail/AU6906752232/index.html</t>
        </is>
      </c>
    </row>
    <row r="660">
      <c r="A660" s="11" t="n">
        <v>2021</v>
      </c>
      <c r="B660" s="12" t="inlineStr">
        <is>
          <t>2WD</t>
        </is>
      </c>
      <c r="C660" s="12" t="inlineStr">
        <is>
          <t>25S スマートエディション ディスプレイオーディオナビ</t>
        </is>
      </c>
      <c r="D660" s="13" t="n">
        <v>5</v>
      </c>
      <c r="E660" s="14" t="n">
        <v>244.9</v>
      </c>
      <c r="F660" s="14" t="n">
        <v>230</v>
      </c>
      <c r="G660" s="15" t="n">
        <v>3.8</v>
      </c>
      <c r="H660" s="12" t="inlineStr">
        <is>
          <t>なし</t>
        </is>
      </c>
      <c r="I660" s="12" t="inlineStr">
        <is>
          <t>車検整備付</t>
        </is>
      </c>
      <c r="J660" s="12" t="inlineStr">
        <is>
          <t>保証付</t>
        </is>
      </c>
      <c r="K660" s="16" t="inlineStr">
        <is>
          <t>修復歴なし / 車検整備付 / 保証付 / 同年式より安い（中央値 279万）</t>
        </is>
      </c>
      <c r="L660" s="16" t="inlineStr">
        <is>
          <t>CX-8 25S スマートエディション ディスプレイオーディオナビ 全周囲モニター ETC</t>
        </is>
      </c>
      <c r="M660" s="12" t="inlineStr">
        <is>
          <t>https://www.carsensor.net/usedcar/detail/AU7342458697/index.html</t>
        </is>
      </c>
    </row>
    <row r="661">
      <c r="A661" s="6" t="n">
        <v>2020</v>
      </c>
      <c r="B661" s="7" t="inlineStr">
        <is>
          <t>2WD</t>
        </is>
      </c>
      <c r="C661" s="7" t="inlineStr">
        <is>
          <t>CX-8 XDブラックトーンエディシ</t>
        </is>
      </c>
      <c r="D661" s="17" t="n">
        <v>4.2</v>
      </c>
      <c r="E661" s="9" t="n">
        <v>260.4</v>
      </c>
      <c r="F661" s="9" t="n">
        <v>251.5</v>
      </c>
      <c r="G661" s="10" t="n">
        <v>5.9</v>
      </c>
      <c r="H661" s="7" t="inlineStr">
        <is>
          <t>なし</t>
        </is>
      </c>
      <c r="I661" s="7" t="inlineStr">
        <is>
          <t>2027(R09)年12月</t>
        </is>
      </c>
      <c r="J661" s="7" t="inlineStr">
        <is>
          <t>保証付</t>
        </is>
      </c>
      <c r="K661" s="16" t="inlineStr">
        <is>
          <t>修復歴なし / 車検 2027/12 まで（残り14ヶ月） / 保証付</t>
        </is>
      </c>
      <c r="L661" s="16" t="inlineStr">
        <is>
          <t>CX-8 CX-8 XDブラックトーンエディシ</t>
        </is>
      </c>
      <c r="M661" s="7" t="inlineStr">
        <is>
          <t>https://www.carsensor.net/usedcar/detail/AU7425962874/index.html</t>
        </is>
      </c>
    </row>
    <row r="662">
      <c r="A662" s="11" t="n">
        <v>2017</v>
      </c>
      <c r="B662" s="12" t="inlineStr">
        <is>
          <t>2WD</t>
        </is>
      </c>
      <c r="C662" s="12" t="inlineStr">
        <is>
          <t>XD L Package</t>
        </is>
      </c>
      <c r="D662" s="13" t="n">
        <v>5.5</v>
      </c>
      <c r="E662" s="14" t="n">
        <v>195.8</v>
      </c>
      <c r="F662" s="14" t="n">
        <v>183.5</v>
      </c>
      <c r="G662" s="15" t="n">
        <v>4.8</v>
      </c>
      <c r="H662" s="12" t="inlineStr">
        <is>
          <t>なし</t>
        </is>
      </c>
      <c r="I662" s="12" t="inlineStr">
        <is>
          <t>車検整備付</t>
        </is>
      </c>
      <c r="J662" s="12" t="inlineStr">
        <is>
          <t>保証付</t>
        </is>
      </c>
      <c r="K662" s="16" t="inlineStr">
        <is>
          <t>走行が少なめ（4.8万km） / 修復歴なし / 車検整備付 / 保証付</t>
        </is>
      </c>
      <c r="L662" s="16" t="inlineStr">
        <is>
          <t>CX-8 XD L Package 全周囲 電動リアゲート 白本革 白革 全周囲カメラ 衝突軽減ブレーキ 追従式クルーズコントロール レーンキープ ヘッドアップディスプレイ シートヒーター ブラインドスポットモニター 電動リアゲート</t>
        </is>
      </c>
      <c r="M662" s="12" t="inlineStr">
        <is>
          <t>https://www.carsensor.net/usedcar/detail/AU7055996213/index.html</t>
        </is>
      </c>
    </row>
    <row r="663">
      <c r="A663" s="6" t="n">
        <v>2022</v>
      </c>
      <c r="B663" s="7" t="inlineStr">
        <is>
          <t>2WD</t>
        </is>
      </c>
      <c r="C663" s="7" t="inlineStr">
        <is>
          <t>XD Lパッケージ ディーゼル</t>
        </is>
      </c>
      <c r="D663" s="17" t="n">
        <v>4</v>
      </c>
      <c r="E663" s="9" t="n">
        <v>310.8</v>
      </c>
      <c r="F663" s="9" t="n">
        <v>298.8</v>
      </c>
      <c r="G663" s="10" t="n">
        <v>5.1</v>
      </c>
      <c r="H663" s="7" t="inlineStr">
        <is>
          <t>なし</t>
        </is>
      </c>
      <c r="I663" s="7" t="inlineStr">
        <is>
          <t>車検整備付</t>
        </is>
      </c>
      <c r="J663" s="7" t="inlineStr">
        <is>
          <t>保証付</t>
        </is>
      </c>
      <c r="K663" s="16" t="inlineStr">
        <is>
          <t>修復歴なし / 車検整備付 / 保証付</t>
        </is>
      </c>
      <c r="L663" s="16" t="inlineStr">
        <is>
          <t>CX-8 XD Lパッケージ ディーゼル レザーシート クルーズコントロール CD DVD シートヒーター ETC ドラレコ</t>
        </is>
      </c>
      <c r="M663" s="7" t="inlineStr">
        <is>
          <t>https://www.carsensor.net/usedcar/detail/AU7373051746/index.html</t>
        </is>
      </c>
    </row>
    <row r="664">
      <c r="A664" s="11" t="n">
        <v>2020</v>
      </c>
      <c r="B664" s="12" t="inlineStr">
        <is>
          <t>2WD</t>
        </is>
      </c>
      <c r="C664" s="12" t="inlineStr">
        <is>
          <t>XD プロアクティブSPK</t>
        </is>
      </c>
      <c r="D664" s="13" t="n">
        <v>7</v>
      </c>
      <c r="E664" s="14" t="n">
        <v>268.5</v>
      </c>
      <c r="F664" s="14" t="n">
        <v>255</v>
      </c>
      <c r="G664" s="15" t="n">
        <v>2.3</v>
      </c>
      <c r="H664" s="12" t="inlineStr">
        <is>
          <t>なし</t>
        </is>
      </c>
      <c r="I664" s="12" t="inlineStr">
        <is>
          <t>車検整備付</t>
        </is>
      </c>
      <c r="J664" s="12" t="inlineStr">
        <is>
          <t>保証付</t>
        </is>
      </c>
      <c r="K664" s="16" t="inlineStr">
        <is>
          <t>同年式の半分以下の走行（2.3万km） / 修復歴なし / 車検整備付 / 保証付</t>
        </is>
      </c>
      <c r="L664" s="16" t="inlineStr">
        <is>
          <t>CX-8 XD プロアクティブSPK</t>
        </is>
      </c>
      <c r="M664" s="12" t="inlineStr">
        <is>
          <t>https://www.carsensor.net/usedcar/detail/AU7443256468/index.html</t>
        </is>
      </c>
    </row>
    <row r="665">
      <c r="A665" s="6" t="n">
        <v>2019</v>
      </c>
      <c r="B665" s="7" t="inlineStr">
        <is>
          <t>2WD</t>
        </is>
      </c>
      <c r="C665" s="7" t="inlineStr">
        <is>
          <t>ディーゼル XD L</t>
        </is>
      </c>
      <c r="D665" s="17" t="n">
        <v>4.7</v>
      </c>
      <c r="E665" s="9" t="n">
        <v>255</v>
      </c>
      <c r="F665" s="9" t="n">
        <v>246</v>
      </c>
      <c r="G665" s="10" t="n">
        <v>2.9</v>
      </c>
      <c r="H665" s="7" t="inlineStr">
        <is>
          <t>なし</t>
        </is>
      </c>
      <c r="I665" s="7" t="inlineStr">
        <is>
          <t>2026(R08)年12月</t>
        </is>
      </c>
      <c r="J665" s="7" t="inlineStr">
        <is>
          <t>保証付</t>
        </is>
      </c>
      <c r="K665" s="16" t="inlineStr">
        <is>
          <t>走行が少なめ（2.9万km） / 修復歴なし / 車検 2026/12 まで（残り2ヶ月） / 保証付</t>
        </is>
      </c>
      <c r="L665" s="16" t="inlineStr">
        <is>
          <t>CX-8 ディーゼル XD L Package 7人乗り 1オーナ</t>
        </is>
      </c>
      <c r="M665" s="7" t="inlineStr">
        <is>
          <t>https://www.carsensor.net/usedcar/detail/AU7417813951/index.html</t>
        </is>
      </c>
    </row>
  </sheetData>
  <autoFilter ref="A1:M6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8" customWidth="1" min="4" max="4"/>
    <col width="18" customWidth="1" min="5" max="5"/>
    <col width="12" customWidth="1" min="6" max="6"/>
    <col width="16" customWidth="1" min="7" max="7"/>
    <col width="16" customWidth="1" min="8" max="8"/>
    <col width="20" customWidth="1" min="9" max="9"/>
    <col width="22" customWidth="1" min="10" max="10"/>
    <col width="10" customWidth="1" min="11" max="11"/>
    <col width="34" customWidth="1" min="12" max="12"/>
    <col width="18" customWidth="1" min="13" max="13"/>
    <col width="16" customWidth="1" min="14" max="14"/>
    <col width="12" customWidth="1" min="15" max="15"/>
  </cols>
  <sheetData>
    <row r="1" ht="32" customHeight="1">
      <c r="A1" s="5" t="inlineStr">
        <is>
          <t>年式</t>
        </is>
      </c>
      <c r="B1" s="5" t="inlineStr">
        <is>
          <t>車齢</t>
        </is>
      </c>
      <c r="C1" s="5" t="inlineStr">
        <is>
          <t>自動車税</t>
        </is>
      </c>
      <c r="D1" s="5" t="inlineStr">
        <is>
          <t>重量税(年割)</t>
        </is>
      </c>
      <c r="E1" s="5" t="inlineStr">
        <is>
          <t>自賠責(年割)</t>
        </is>
      </c>
      <c r="F1" s="5" t="inlineStr">
        <is>
          <t>任意保険</t>
        </is>
      </c>
      <c r="G1" s="5" t="inlineStr">
        <is>
          <t>車検(年割)</t>
        </is>
      </c>
      <c r="H1" s="5" t="inlineStr">
        <is>
          <t>整備・消耗品</t>
        </is>
      </c>
      <c r="I1" s="5" t="inlineStr">
        <is>
          <t>年間走行(km)</t>
        </is>
      </c>
      <c r="J1" s="5" t="inlineStr">
        <is>
          <t>実燃費(km/L)</t>
        </is>
      </c>
      <c r="K1" s="5" t="inlineStr">
        <is>
          <t>燃料</t>
        </is>
      </c>
      <c r="L1" s="5" t="inlineStr">
        <is>
          <t>保有中に来る故障</t>
        </is>
      </c>
      <c r="M1" s="5" t="inlineStr">
        <is>
          <t>整備予備費/年</t>
        </is>
      </c>
      <c r="N1" s="5" t="inlineStr">
        <is>
          <t>現金支出/年</t>
        </is>
      </c>
      <c r="O1" s="5" t="inlineStr">
        <is>
          <t>月あたり</t>
        </is>
      </c>
    </row>
    <row r="2">
      <c r="A2" s="11" t="n">
        <v>2017</v>
      </c>
      <c r="B2" s="11" t="n">
        <v>9</v>
      </c>
      <c r="C2" s="18" t="n">
        <v>45000</v>
      </c>
      <c r="D2" s="18" t="n">
        <v>16400</v>
      </c>
      <c r="E2" s="18" t="n">
        <v>8825</v>
      </c>
      <c r="F2" s="18" t="n">
        <v>60000</v>
      </c>
      <c r="G2" s="18" t="n">
        <v>30000</v>
      </c>
      <c r="H2" s="18" t="n">
        <v>30000</v>
      </c>
      <c r="I2" s="18" t="n">
        <v>8929</v>
      </c>
      <c r="J2" s="15" t="n">
        <v>13</v>
      </c>
      <c r="K2" s="18" t="n">
        <v>109890</v>
      </c>
      <c r="L2" s="16" t="inlineStr"/>
      <c r="M2" s="18" t="n">
        <v>53000</v>
      </c>
      <c r="N2" s="18" t="n">
        <v>353115</v>
      </c>
      <c r="O2" s="18" t="n">
        <v>29426</v>
      </c>
    </row>
    <row r="3">
      <c r="A3" s="6" t="n">
        <v>2018</v>
      </c>
      <c r="B3" s="6" t="n">
        <v>8</v>
      </c>
      <c r="C3" s="8" t="n">
        <v>45000</v>
      </c>
      <c r="D3" s="8" t="n">
        <v>16400</v>
      </c>
      <c r="E3" s="8" t="n">
        <v>8825</v>
      </c>
      <c r="F3" s="8" t="n">
        <v>60000</v>
      </c>
      <c r="G3" s="8" t="n">
        <v>30000</v>
      </c>
      <c r="H3" s="8" t="n">
        <v>30000</v>
      </c>
      <c r="I3" s="8" t="n">
        <v>8929</v>
      </c>
      <c r="J3" s="10" t="n">
        <v>13</v>
      </c>
      <c r="K3" s="8" t="n">
        <v>109890</v>
      </c>
      <c r="L3" s="16" t="inlineStr"/>
      <c r="M3" s="8" t="n">
        <v>53000</v>
      </c>
      <c r="N3" s="8" t="n">
        <v>353115</v>
      </c>
      <c r="O3" s="8" t="n">
        <v>29426</v>
      </c>
    </row>
    <row r="4">
      <c r="A4" s="11" t="n">
        <v>2019</v>
      </c>
      <c r="B4" s="11" t="n">
        <v>7</v>
      </c>
      <c r="C4" s="18" t="n">
        <v>43500</v>
      </c>
      <c r="D4" s="18" t="n">
        <v>16400</v>
      </c>
      <c r="E4" s="18" t="n">
        <v>8825</v>
      </c>
      <c r="F4" s="18" t="n">
        <v>60000</v>
      </c>
      <c r="G4" s="18" t="n">
        <v>30000</v>
      </c>
      <c r="H4" s="18" t="n">
        <v>30000</v>
      </c>
      <c r="I4" s="18" t="n">
        <v>8929</v>
      </c>
      <c r="J4" s="15" t="n">
        <v>13</v>
      </c>
      <c r="K4" s="18" t="n">
        <v>109890</v>
      </c>
      <c r="L4" s="16" t="inlineStr"/>
      <c r="M4" s="18" t="n">
        <v>53000</v>
      </c>
      <c r="N4" s="18" t="n">
        <v>351615</v>
      </c>
      <c r="O4" s="18" t="n">
        <v>29301</v>
      </c>
    </row>
    <row r="5">
      <c r="A5" s="6" t="n">
        <v>2020</v>
      </c>
      <c r="B5" s="6" t="n">
        <v>6</v>
      </c>
      <c r="C5" s="8" t="n">
        <v>43500</v>
      </c>
      <c r="D5" s="8" t="n">
        <v>16400</v>
      </c>
      <c r="E5" s="8" t="n">
        <v>8825</v>
      </c>
      <c r="F5" s="8" t="n">
        <v>60000</v>
      </c>
      <c r="G5" s="8" t="n">
        <v>30000</v>
      </c>
      <c r="H5" s="8" t="n">
        <v>30000</v>
      </c>
      <c r="I5" s="8" t="n">
        <v>8929</v>
      </c>
      <c r="J5" s="10" t="n">
        <v>13</v>
      </c>
      <c r="K5" s="8" t="n">
        <v>109890</v>
      </c>
      <c r="L5" s="16" t="inlineStr">
        <is>
          <t>乗車装置(53,145km)</t>
        </is>
      </c>
      <c r="M5" s="8" t="n">
        <v>53000</v>
      </c>
      <c r="N5" s="8" t="n">
        <v>351615</v>
      </c>
      <c r="O5" s="8" t="n">
        <v>29301</v>
      </c>
    </row>
    <row r="6">
      <c r="A6" s="11" t="n">
        <v>2021</v>
      </c>
      <c r="B6" s="11" t="n">
        <v>5</v>
      </c>
      <c r="C6" s="18" t="n">
        <v>43500</v>
      </c>
      <c r="D6" s="18" t="n">
        <v>16400</v>
      </c>
      <c r="E6" s="18" t="n">
        <v>8825</v>
      </c>
      <c r="F6" s="18" t="n">
        <v>60000</v>
      </c>
      <c r="G6" s="18" t="n">
        <v>30000</v>
      </c>
      <c r="H6" s="18" t="n">
        <v>30000</v>
      </c>
      <c r="I6" s="18" t="n">
        <v>8929</v>
      </c>
      <c r="J6" s="15" t="n">
        <v>13</v>
      </c>
      <c r="K6" s="18" t="n">
        <v>109890</v>
      </c>
      <c r="L6" s="16" t="inlineStr">
        <is>
          <t>乗車装置(53,145km)</t>
        </is>
      </c>
      <c r="M6" s="18" t="n">
        <v>53000</v>
      </c>
      <c r="N6" s="18" t="n">
        <v>351615</v>
      </c>
      <c r="O6" s="18" t="n">
        <v>29301</v>
      </c>
    </row>
    <row r="7">
      <c r="A7" s="6" t="n">
        <v>2022</v>
      </c>
      <c r="B7" s="6" t="n">
        <v>4</v>
      </c>
      <c r="C7" s="8" t="n">
        <v>43500</v>
      </c>
      <c r="D7" s="8" t="n">
        <v>16400</v>
      </c>
      <c r="E7" s="8" t="n">
        <v>8825</v>
      </c>
      <c r="F7" s="8" t="n">
        <v>60000</v>
      </c>
      <c r="G7" s="8" t="n">
        <v>30000</v>
      </c>
      <c r="H7" s="8" t="n">
        <v>30000</v>
      </c>
      <c r="I7" s="8" t="n">
        <v>8929</v>
      </c>
      <c r="J7" s="10" t="n">
        <v>13</v>
      </c>
      <c r="K7" s="8" t="n">
        <v>109890</v>
      </c>
      <c r="L7" s="16" t="inlineStr">
        <is>
          <t>乗車装置(53,145km)、保安灯火(41,500km)</t>
        </is>
      </c>
      <c r="M7" s="8" t="n">
        <v>53000</v>
      </c>
      <c r="N7" s="8" t="n">
        <v>351615</v>
      </c>
      <c r="O7" s="8" t="n">
        <v>29301</v>
      </c>
    </row>
    <row r="8">
      <c r="A8" s="11" t="n">
        <v>2023</v>
      </c>
      <c r="B8" s="11" t="n">
        <v>3</v>
      </c>
      <c r="C8" s="18" t="n">
        <v>43500</v>
      </c>
      <c r="D8" s="18" t="n">
        <v>16400</v>
      </c>
      <c r="E8" s="18" t="n">
        <v>8825</v>
      </c>
      <c r="F8" s="18" t="n">
        <v>60000</v>
      </c>
      <c r="G8" s="18" t="n">
        <v>30000</v>
      </c>
      <c r="H8" s="18" t="n">
        <v>30000</v>
      </c>
      <c r="I8" s="18" t="n">
        <v>8929</v>
      </c>
      <c r="J8" s="15" t="n">
        <v>13</v>
      </c>
      <c r="K8" s="18" t="n">
        <v>109890</v>
      </c>
      <c r="L8" s="16" t="inlineStr">
        <is>
          <t>乗車装置(53,145km)、その他(33,875km)、保安灯火(41,500km)</t>
        </is>
      </c>
      <c r="M8" s="18" t="n">
        <v>53000</v>
      </c>
      <c r="N8" s="18" t="n">
        <v>351615</v>
      </c>
      <c r="O8" s="18" t="n">
        <v>29301</v>
      </c>
    </row>
    <row r="9">
      <c r="A9" s="6" t="n">
        <v>2024</v>
      </c>
      <c r="B9" s="6" t="n">
        <v>2</v>
      </c>
      <c r="C9" s="8" t="n">
        <v>43500</v>
      </c>
      <c r="D9" s="8" t="n">
        <v>16400</v>
      </c>
      <c r="E9" s="8" t="n">
        <v>8825</v>
      </c>
      <c r="F9" s="8" t="n">
        <v>60000</v>
      </c>
      <c r="G9" s="8" t="n">
        <v>30000</v>
      </c>
      <c r="H9" s="8" t="n">
        <v>30000</v>
      </c>
      <c r="I9" s="8" t="n">
        <v>8929</v>
      </c>
      <c r="J9" s="10" t="n">
        <v>13</v>
      </c>
      <c r="K9" s="8" t="n">
        <v>109890</v>
      </c>
      <c r="L9" s="16" t="inlineStr">
        <is>
          <t>乗車装置(53,145km)、制動装置(26,000km)、その他(33,875km)、保安灯火(41,500km)</t>
        </is>
      </c>
      <c r="M9" s="8" t="n">
        <v>53000</v>
      </c>
      <c r="N9" s="8" t="n">
        <v>351615</v>
      </c>
      <c r="O9" s="8" t="n">
        <v>29301</v>
      </c>
    </row>
  </sheetData>
  <autoFilter ref="A1:O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8" customWidth="1" min="4" max="4"/>
    <col width="10" customWidth="1" min="5" max="5"/>
    <col width="10" customWidth="1" min="6" max="6"/>
    <col width="10" customWidth="1" min="7" max="7"/>
    <col width="34" customWidth="1" min="8" max="8"/>
    <col width="10" customWidth="1" min="9" max="9"/>
  </cols>
  <sheetData>
    <row r="1" ht="32" customHeight="1">
      <c r="A1" s="5" t="inlineStr">
        <is>
          <t>終了日</t>
        </is>
      </c>
      <c r="B1" s="5" t="inlineStr">
        <is>
          <t>年式</t>
        </is>
      </c>
      <c r="C1" s="5" t="inlineStr">
        <is>
          <t>落札額(万円)</t>
        </is>
      </c>
      <c r="D1" s="5" t="inlineStr">
        <is>
          <t>走行(万km)</t>
        </is>
      </c>
      <c r="E1" s="5" t="inlineStr">
        <is>
          <t>修復歴</t>
        </is>
      </c>
      <c r="F1" s="5" t="inlineStr">
        <is>
          <t>入札数</t>
        </is>
      </c>
      <c r="G1" s="5" t="inlineStr">
        <is>
          <t>出品者</t>
        </is>
      </c>
      <c r="H1" s="5" t="inlineStr">
        <is>
          <t>タイトル</t>
        </is>
      </c>
      <c r="I1" s="5" t="inlineStr">
        <is>
          <t>URL</t>
        </is>
      </c>
    </row>
    <row r="2">
      <c r="A2" s="12" t="inlineStr">
        <is>
          <t>2026-07-12</t>
        </is>
      </c>
      <c r="B2" s="11" t="n">
        <v>2018</v>
      </c>
      <c r="C2" s="14" t="n">
        <v>126.1</v>
      </c>
      <c r="D2" s="15" t="n">
        <v>9.6</v>
      </c>
      <c r="E2" s="12" t="inlineStr">
        <is>
          <t>不明</t>
        </is>
      </c>
      <c r="F2" s="18" t="n">
        <v>191</v>
      </c>
      <c r="G2" s="12" t="inlineStr">
        <is>
          <t>個人</t>
        </is>
      </c>
      <c r="H2" s="16" t="inlineStr">
        <is>
          <t>☆ＣＸ－８　ＸＤ　Ｌパッケージ　6人乗り　車検ロング☆</t>
        </is>
      </c>
      <c r="I2" s="12" t="inlineStr">
        <is>
          <t>https://page.auctions.yahoo.co.jp/jp/auction/f1235896878</t>
        </is>
      </c>
    </row>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8" customWidth="1" min="4" max="4"/>
    <col width="18" customWidth="1" min="5" max="5"/>
    <col width="18" customWidth="1" min="6" max="6"/>
    <col width="10" customWidth="1" min="7" max="7"/>
  </cols>
  <sheetData>
    <row r="1" ht="32" customHeight="1">
      <c r="A1" s="5" t="inlineStr">
        <is>
          <t>年式</t>
        </is>
      </c>
      <c r="B1" s="5" t="inlineStr">
        <is>
          <t>以前/以降まとめ</t>
        </is>
      </c>
      <c r="C1" s="5" t="inlineStr">
        <is>
          <t>掲載台数</t>
        </is>
      </c>
      <c r="D1" s="5" t="inlineStr">
        <is>
          <t>25%(万円)</t>
        </is>
      </c>
      <c r="E1" s="5" t="inlineStr">
        <is>
          <t>中央値(万円)</t>
        </is>
      </c>
      <c r="F1" s="5" t="inlineStr">
        <is>
          <t>75%(万円)</t>
        </is>
      </c>
      <c r="G1" s="5" t="inlineStr">
        <is>
          <t>URL</t>
        </is>
      </c>
    </row>
    <row r="2">
      <c r="A2" s="11" t="n">
        <v>2017</v>
      </c>
      <c r="B2" s="12" t="inlineStr"/>
      <c r="C2" s="18" t="n">
        <v>65</v>
      </c>
      <c r="D2" s="14" t="n">
        <v>146.5</v>
      </c>
      <c r="E2" s="14" t="n">
        <v>170</v>
      </c>
      <c r="F2" s="14" t="n">
        <v>191.7</v>
      </c>
      <c r="G2" s="12" t="inlineStr">
        <is>
          <t>https://www.carsensor.net/usedcar/souba/MA_S094/</t>
        </is>
      </c>
    </row>
    <row r="3">
      <c r="A3" s="6" t="n">
        <v>2018</v>
      </c>
      <c r="B3" s="7" t="inlineStr"/>
      <c r="C3" s="8" t="n">
        <v>268</v>
      </c>
      <c r="D3" s="9" t="n">
        <v>161.2</v>
      </c>
      <c r="E3" s="9" t="n">
        <v>186.7</v>
      </c>
      <c r="F3" s="9" t="n">
        <v>211.2</v>
      </c>
      <c r="G3" s="7" t="inlineStr">
        <is>
          <t>https://www.carsensor.net/usedcar/souba/MA_S094/</t>
        </is>
      </c>
    </row>
    <row r="4">
      <c r="A4" s="11" t="n">
        <v>2019</v>
      </c>
      <c r="B4" s="12" t="inlineStr"/>
      <c r="C4" s="18" t="n">
        <v>130</v>
      </c>
      <c r="D4" s="14" t="n">
        <v>203.8</v>
      </c>
      <c r="E4" s="14" t="n">
        <v>222.9</v>
      </c>
      <c r="F4" s="14" t="n">
        <v>242.2</v>
      </c>
      <c r="G4" s="12" t="inlineStr">
        <is>
          <t>https://www.carsensor.net/usedcar/souba/MA_S094/</t>
        </is>
      </c>
    </row>
    <row r="5">
      <c r="A5" s="6" t="n">
        <v>2020</v>
      </c>
      <c r="B5" s="7" t="inlineStr"/>
      <c r="C5" s="8" t="n">
        <v>114</v>
      </c>
      <c r="D5" s="9" t="n">
        <v>213.5</v>
      </c>
      <c r="E5" s="9" t="n">
        <v>241.2</v>
      </c>
      <c r="F5" s="9" t="n">
        <v>258.5</v>
      </c>
      <c r="G5" s="7" t="inlineStr">
        <is>
          <t>https://www.carsensor.net/usedcar/souba/MA_S094/</t>
        </is>
      </c>
    </row>
    <row r="6">
      <c r="A6" s="11" t="n">
        <v>2021</v>
      </c>
      <c r="B6" s="12" t="inlineStr"/>
      <c r="C6" s="18" t="n">
        <v>163</v>
      </c>
      <c r="D6" s="14" t="n">
        <v>230.9</v>
      </c>
      <c r="E6" s="14" t="n">
        <v>262.3</v>
      </c>
      <c r="F6" s="14" t="n">
        <v>289.5</v>
      </c>
      <c r="G6" s="12" t="inlineStr">
        <is>
          <t>https://www.carsensor.net/usedcar/souba/MA_S094/</t>
        </is>
      </c>
    </row>
    <row r="7">
      <c r="A7" s="6" t="n">
        <v>2022</v>
      </c>
      <c r="B7" s="7" t="inlineStr"/>
      <c r="C7" s="8" t="n">
        <v>135</v>
      </c>
      <c r="D7" s="9" t="n">
        <v>263.2</v>
      </c>
      <c r="E7" s="9" t="n">
        <v>284.4</v>
      </c>
      <c r="F7" s="9" t="n">
        <v>304.3</v>
      </c>
      <c r="G7" s="7" t="inlineStr">
        <is>
          <t>https://www.carsensor.net/usedcar/souba/MA_S094/</t>
        </is>
      </c>
    </row>
    <row r="8">
      <c r="A8" s="11" t="n">
        <v>2023</v>
      </c>
      <c r="B8" s="12" t="inlineStr"/>
      <c r="C8" s="18" t="n">
        <v>174</v>
      </c>
      <c r="D8" s="14" t="n">
        <v>299.5</v>
      </c>
      <c r="E8" s="14" t="n">
        <v>334.5</v>
      </c>
      <c r="F8" s="14" t="n">
        <v>365</v>
      </c>
      <c r="G8" s="12" t="inlineStr">
        <is>
          <t>https://www.carsensor.net/usedcar/souba/MA_S094/</t>
        </is>
      </c>
    </row>
    <row r="9">
      <c r="A9" s="6" t="n">
        <v>2024</v>
      </c>
      <c r="B9" s="7" t="inlineStr"/>
      <c r="C9" s="8" t="n">
        <v>4</v>
      </c>
      <c r="D9" s="9" t="n">
        <v>280</v>
      </c>
      <c r="E9" s="9" t="n">
        <v>300</v>
      </c>
      <c r="F9" s="9" t="n">
        <v>340</v>
      </c>
      <c r="G9" s="7" t="inlineStr">
        <is>
          <t>https://www.carsensor.net/usedcar/souba/MA_S094/</t>
        </is>
      </c>
    </row>
  </sheetData>
  <autoFilter ref="A1:G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24" customWidth="1" min="4" max="4"/>
    <col width="16" customWidth="1" min="5" max="5"/>
    <col width="16" customWidth="1" min="6" max="6"/>
    <col width="34" customWidth="1" min="7" max="7"/>
  </cols>
  <sheetData>
    <row r="1" ht="32" customHeight="1">
      <c r="A1" s="5" t="inlineStr">
        <is>
          <t>不具合装置</t>
        </is>
      </c>
      <c r="B1" s="5" t="inlineStr">
        <is>
          <t>通報件数</t>
        </is>
      </c>
      <c r="C1" s="5" t="inlineStr">
        <is>
          <t>構成比(%)</t>
        </is>
      </c>
      <c r="D1" s="5" t="inlineStr">
        <is>
          <t>発生時の走行距離
中央値(km)</t>
        </is>
      </c>
      <c r="E1" s="5" t="inlineStr">
        <is>
          <t>対象最古年式</t>
        </is>
      </c>
      <c r="F1" s="5" t="inlineStr">
        <is>
          <t>対象最新年式</t>
        </is>
      </c>
      <c r="G1" s="5" t="inlineStr">
        <is>
          <t>実際の症状</t>
        </is>
      </c>
    </row>
    <row r="2">
      <c r="A2" s="12" t="inlineStr">
        <is>
          <t>エンジン</t>
        </is>
      </c>
      <c r="B2" s="18" t="n">
        <v>11</v>
      </c>
      <c r="C2" s="15" t="n">
        <v>18.3</v>
      </c>
      <c r="D2" s="18" t="n">
        <v>15006</v>
      </c>
      <c r="E2" s="11" t="n">
        <v>2018</v>
      </c>
      <c r="F2" s="11" t="n">
        <v>2021</v>
      </c>
      <c r="G2" s="16" t="inlineStr"/>
    </row>
    <row r="3">
      <c r="A3" s="7" t="inlineStr">
        <is>
          <t>乗車装置</t>
        </is>
      </c>
      <c r="B3" s="8" t="n">
        <v>11</v>
      </c>
      <c r="C3" s="10" t="n">
        <v>18.3</v>
      </c>
      <c r="D3" s="8" t="n">
        <v>53145</v>
      </c>
      <c r="E3" s="6" t="n">
        <v>2017</v>
      </c>
      <c r="F3" s="6" t="n">
        <v>2021</v>
      </c>
      <c r="G3" s="16" t="inlineStr"/>
    </row>
    <row r="4">
      <c r="A4" s="12" t="inlineStr">
        <is>
          <t>制動装置</t>
        </is>
      </c>
      <c r="B4" s="18" t="n">
        <v>9</v>
      </c>
      <c r="C4" s="15" t="n">
        <v>15</v>
      </c>
      <c r="D4" s="18" t="n">
        <v>26000</v>
      </c>
      <c r="E4" s="11" t="n">
        <v>2018</v>
      </c>
      <c r="F4" s="11" t="n">
        <v>2023</v>
      </c>
      <c r="G4" s="16" t="inlineStr"/>
    </row>
    <row r="5">
      <c r="A5" s="7" t="inlineStr">
        <is>
          <t>電気装置</t>
        </is>
      </c>
      <c r="B5" s="8" t="n">
        <v>9</v>
      </c>
      <c r="C5" s="10" t="n">
        <v>15</v>
      </c>
      <c r="D5" s="8" t="n">
        <v>18748</v>
      </c>
      <c r="E5" s="6" t="n">
        <v>2018</v>
      </c>
      <c r="F5" s="6" t="n">
        <v>2023</v>
      </c>
      <c r="G5" s="16" t="inlineStr"/>
    </row>
    <row r="6">
      <c r="A6" s="12" t="inlineStr">
        <is>
          <t>その他</t>
        </is>
      </c>
      <c r="B6" s="18" t="n">
        <v>7</v>
      </c>
      <c r="C6" s="15" t="n">
        <v>11.7</v>
      </c>
      <c r="D6" s="18" t="n">
        <v>33875</v>
      </c>
      <c r="E6" s="11" t="n">
        <v>2017</v>
      </c>
      <c r="F6" s="11" t="n">
        <v>2020</v>
      </c>
      <c r="G6" s="16" t="inlineStr"/>
    </row>
    <row r="7">
      <c r="A7" s="7" t="inlineStr">
        <is>
          <t>保安灯火</t>
        </is>
      </c>
      <c r="B7" s="8" t="n">
        <v>6</v>
      </c>
      <c r="C7" s="10" t="n">
        <v>10</v>
      </c>
      <c r="D7" s="8" t="n">
        <v>41500</v>
      </c>
      <c r="E7" s="6" t="n">
        <v>2018</v>
      </c>
      <c r="F7" s="6" t="n">
        <v>2021</v>
      </c>
      <c r="G7" s="16" t="inlineStr"/>
    </row>
    <row r="8">
      <c r="A8" s="12" t="inlineStr">
        <is>
          <t>車枠・車体</t>
        </is>
      </c>
      <c r="B8" s="18" t="n">
        <v>3</v>
      </c>
      <c r="C8" s="15" t="n">
        <v>5</v>
      </c>
      <c r="D8" s="18" t="n">
        <v>110600</v>
      </c>
      <c r="E8" s="11" t="n">
        <v>2018</v>
      </c>
      <c r="F8" s="11" t="n">
        <v>2020</v>
      </c>
      <c r="G8" s="16" t="inlineStr"/>
    </row>
    <row r="9">
      <c r="A9" s="7" t="inlineStr">
        <is>
          <t>動力伝達</t>
        </is>
      </c>
      <c r="B9" s="8" t="n">
        <v>1</v>
      </c>
      <c r="C9" s="10" t="n">
        <v>1.7</v>
      </c>
      <c r="D9" s="8" t="n">
        <v>60</v>
      </c>
      <c r="E9" s="6" t="n">
        <v>2018</v>
      </c>
      <c r="F9" s="6" t="n">
        <v>2018</v>
      </c>
      <c r="G9" s="16" t="inlineStr"/>
    </row>
    <row r="10">
      <c r="A10" s="12" t="inlineStr">
        <is>
          <t>排ｶﾞｽ･騒音</t>
        </is>
      </c>
      <c r="B10" s="18" t="n">
        <v>1</v>
      </c>
      <c r="C10" s="15" t="n">
        <v>1.7</v>
      </c>
      <c r="D10" s="18" t="n">
        <v>115000</v>
      </c>
      <c r="E10" s="11" t="n">
        <v>2019</v>
      </c>
      <c r="F10" s="11" t="n">
        <v>2019</v>
      </c>
      <c r="G10" s="16" t="inlineStr"/>
    </row>
    <row r="11">
      <c r="A11" s="7" t="inlineStr">
        <is>
          <t>燃料装置</t>
        </is>
      </c>
      <c r="B11" s="8" t="n">
        <v>1</v>
      </c>
      <c r="C11" s="10" t="n">
        <v>1.7</v>
      </c>
      <c r="D11" s="8" t="n">
        <v>12895</v>
      </c>
      <c r="E11" s="6" t="n">
        <v>2025</v>
      </c>
      <c r="F11" s="6" t="n">
        <v>2025</v>
      </c>
      <c r="G11" s="16" t="inlineStr"/>
    </row>
    <row r="12">
      <c r="A12" s="12" t="inlineStr">
        <is>
          <t>電動機(モーター)</t>
        </is>
      </c>
      <c r="B12" s="18" t="n">
        <v>1</v>
      </c>
      <c r="C12" s="15" t="n">
        <v>1.7</v>
      </c>
      <c r="D12" s="18" t="n">
        <v>500</v>
      </c>
      <c r="E12" s="11" t="n">
        <v>2024</v>
      </c>
      <c r="F12" s="11" t="n">
        <v>2024</v>
      </c>
      <c r="G12" s="16" t="inlineStr"/>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34" customWidth="1" min="5" max="5"/>
    <col width="34" customWidth="1" min="6" max="6"/>
    <col width="18" customWidth="1" min="7" max="7"/>
    <col width="10" customWidth="1" min="8" max="8"/>
    <col width="34" customWidth="1" min="9" max="9"/>
    <col width="34" customWidth="1" min="10" max="10"/>
  </cols>
  <sheetData>
    <row r="1" ht="32" customHeight="1">
      <c r="A1" s="5" t="inlineStr">
        <is>
          <t>届出日</t>
        </is>
      </c>
      <c r="B1" s="5" t="inlineStr">
        <is>
          <t>届出番号</t>
        </is>
      </c>
      <c r="C1" s="5" t="inlineStr">
        <is>
          <t>不具合装置</t>
        </is>
      </c>
      <c r="D1" s="5" t="inlineStr">
        <is>
          <t>対象台数</t>
        </is>
      </c>
      <c r="E1" s="5" t="inlineStr">
        <is>
          <t>対象の通称名</t>
        </is>
      </c>
      <c r="F1" s="5" t="inlineStr">
        <is>
          <t>対象型式</t>
        </is>
      </c>
      <c r="G1" s="5" t="inlineStr">
        <is>
          <t>生産期間 から</t>
        </is>
      </c>
      <c r="H1" s="5" t="inlineStr">
        <is>
          <t>まで</t>
        </is>
      </c>
      <c r="I1" s="5" t="inlineStr">
        <is>
          <t>不具合の状況</t>
        </is>
      </c>
      <c r="J1" s="5" t="inlineStr">
        <is>
          <t>改善措置</t>
        </is>
      </c>
    </row>
    <row r="2">
      <c r="A2" s="12" t="inlineStr">
        <is>
          <t>2024/09/05</t>
        </is>
      </c>
      <c r="B2" s="12" t="inlineStr">
        <is>
          <t>1155290</t>
        </is>
      </c>
      <c r="C2" s="12" t="inlineStr">
        <is>
          <t>その他(その他)</t>
        </is>
      </c>
      <c r="D2" s="18" t="n">
        <v>9972</v>
      </c>
      <c r="E2" s="16" t="inlineStr">
        <is>
          <t>ＣＸ－８</t>
        </is>
      </c>
      <c r="F2" s="16" t="inlineStr">
        <is>
          <t>3DA-KG2P, 6BA-KG5P</t>
        </is>
      </c>
      <c r="G2" s="12" t="inlineStr">
        <is>
          <t>2023年10月 6日</t>
        </is>
      </c>
      <c r="H2" s="12" t="inlineStr">
        <is>
          <t>2024年1月10日</t>
        </is>
      </c>
      <c r="I2" s="16" t="inlineStr">
        <is>
          <t>センターディスプレイ（１０．２５インチタイプ）において、画面表示を補正するプログラムが不適切なため、テレビへの画面切り替えやテレビからナビ等の別画面への切り替え操作をした際、映像信号が乱れて補正できないことがある。そのため、乱れた映像信号により、画面に縞模様が表示され、カメラの映像を表示できないおそれがある。</t>
        </is>
      </c>
      <c r="J2" s="16" t="inlineStr">
        <is>
          <t>全車両、センターディスプレイの品番を点検し、該当品番の場合は対策品と交換する。</t>
        </is>
      </c>
    </row>
    <row r="3">
      <c r="A3" s="7" t="inlineStr">
        <is>
          <t>2024/07/30</t>
        </is>
      </c>
      <c r="B3" s="7" t="inlineStr">
        <is>
          <t>1155240</t>
        </is>
      </c>
      <c r="C3" s="7" t="inlineStr">
        <is>
          <t>その他(保安灯火)</t>
        </is>
      </c>
      <c r="D3" s="8" t="n">
        <v>3</v>
      </c>
      <c r="E3" s="16" t="inlineStr">
        <is>
          <t>ＣＸ－８</t>
        </is>
      </c>
      <c r="F3" s="16" t="inlineStr">
        <is>
          <t>3DA-KG2P, 6BA-KG5P</t>
        </is>
      </c>
      <c r="G3" s="7" t="inlineStr">
        <is>
          <t>2024年1月31日</t>
        </is>
      </c>
      <c r="H3" s="7" t="inlineStr">
        <is>
          <t>2024年2月26日</t>
        </is>
      </c>
      <c r="I3" s="16" t="inlineStr">
        <is>
          <t>道路作業車に備えた散光式警光灯において、電源スイッチの製造工程が不適切なため、スイッチ接点にグリスを塗布していないものがある。そのため、スイッチ操作を繰り返すと、最悪の場合、導通不良により散光式警光灯が点灯中に消灯するおそれがある。</t>
        </is>
      </c>
      <c r="J3" s="16" t="inlineStr">
        <is>
          <t>全車両、電源スイッチを良品に交換する。</t>
        </is>
      </c>
    </row>
    <row r="4">
      <c r="A4" s="12" t="inlineStr">
        <is>
          <t>2024/01/26</t>
        </is>
      </c>
      <c r="B4" s="12" t="inlineStr">
        <is>
          <t>1154360</t>
        </is>
      </c>
      <c r="C4" s="12" t="inlineStr">
        <is>
          <t>燃料ポンプ</t>
        </is>
      </c>
      <c r="D4" s="18" t="n">
        <v>146777</v>
      </c>
      <c r="E4" s="16" t="inlineStr">
        <is>
          <t>ＣＸ－８</t>
        </is>
      </c>
      <c r="F4" s="16" t="inlineStr">
        <is>
          <t>5BA-KG5P, 6BA-KG5P</t>
        </is>
      </c>
      <c r="G4" s="12" t="inlineStr">
        <is>
          <t>2017年6月19日</t>
        </is>
      </c>
      <c r="H4" s="12" t="inlineStr">
        <is>
          <t>2020年5月26日</t>
        </is>
      </c>
      <c r="I4"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J4" s="16" t="inlineStr">
        <is>
          <t>全車両、低圧燃料ポンプを対策品に交換する。なお、修理部品の準備に時間を要することから、部品の準備ができ次第、改めて案内する。</t>
        </is>
      </c>
    </row>
    <row r="5">
      <c r="A5" s="7" t="inlineStr">
        <is>
          <t>2021/11/12</t>
        </is>
      </c>
      <c r="B5" s="7" t="inlineStr">
        <is>
          <t>1150430</t>
        </is>
      </c>
      <c r="C5" s="7" t="inlineStr">
        <is>
          <t>燃料ポンプ</t>
        </is>
      </c>
      <c r="D5" s="8" t="n">
        <v>42505</v>
      </c>
      <c r="E5" s="16" t="inlineStr">
        <is>
          <t>ＣＸ－８</t>
        </is>
      </c>
      <c r="F5" s="16" t="inlineStr">
        <is>
          <t>6BA-KG5P</t>
        </is>
      </c>
      <c r="G5" s="7" t="inlineStr">
        <is>
          <t>2018年4月 3日</t>
        </is>
      </c>
      <c r="H5" s="7" t="inlineStr">
        <is>
          <t>2019年8月15日</t>
        </is>
      </c>
      <c r="I5"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J5" s="16" t="inlineStr">
        <is>
          <t>全車両、低圧燃料ポンプを対策品に交換する。なお、修理部品の準備に時間を要するため、部品の準備ができ次第、使用者に改めて修理入庫を通知する。</t>
        </is>
      </c>
    </row>
    <row r="6">
      <c r="A6" s="12" t="inlineStr">
        <is>
          <t>2018/11/08</t>
        </is>
      </c>
      <c r="B6" s="12" t="inlineStr">
        <is>
          <t>1143511</t>
        </is>
      </c>
      <c r="C6" s="12" t="inlineStr">
        <is>
          <t>その他(エンジン)</t>
        </is>
      </c>
      <c r="D6" s="18" t="n">
        <v>235293</v>
      </c>
      <c r="E6" s="16" t="inlineStr">
        <is>
          <t>ＣＸ－８</t>
        </is>
      </c>
      <c r="F6" s="16" t="inlineStr">
        <is>
          <t>3DA-KG2P</t>
        </is>
      </c>
      <c r="G6" s="12" t="inlineStr">
        <is>
          <t>2012年2月13日</t>
        </is>
      </c>
      <c r="H6" s="12" t="inlineStr">
        <is>
          <t>2018年7月 4日</t>
        </is>
      </c>
      <c r="I6" s="16" t="inlineStr">
        <is>
          <t>エンジンの吸気側バルブスプリングにおいて、スプリング荷重の設定が不適切なため、吸気バルブの閉じ力が弱く、吸気バルブとバルブシート間に挟まる煤を押し潰すことができず、圧縮不良となることがある。そのため、エンジン回転が不安定になり、最悪の場合、エンジンが停止するおそれがある。</t>
        </is>
      </c>
      <c r="J6" s="16" t="inlineStr">
        <is>
          <t>全車両、吸気側バルブスプリングを対策品と交換する。なお、交換に時間を要すため、年式の古い車両から順次交換する。</t>
        </is>
      </c>
    </row>
    <row r="7">
      <c r="A7" s="7" t="inlineStr">
        <is>
          <t>2018/11/08</t>
        </is>
      </c>
      <c r="B7" s="7" t="inlineStr">
        <is>
          <t>1143512</t>
        </is>
      </c>
      <c r="C7" s="7" t="inlineStr">
        <is>
          <t>コンピュータ(エンジ</t>
        </is>
      </c>
      <c r="D7" s="8" t="n">
        <v>235293</v>
      </c>
      <c r="E7" s="16" t="inlineStr">
        <is>
          <t>ＣＸ－８</t>
        </is>
      </c>
      <c r="F7" s="16" t="inlineStr">
        <is>
          <t>3DA-KG2P</t>
        </is>
      </c>
      <c r="G7" s="7" t="inlineStr">
        <is>
          <t>2012年2月13日</t>
        </is>
      </c>
      <c r="H7" s="7" t="inlineStr">
        <is>
          <t>2018年7月 4日</t>
        </is>
      </c>
      <c r="I7" s="16" t="inlineStr">
        <is>
          <t>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t>
        </is>
      </c>
      <c r="J7" s="16" t="inlineStr">
        <is>
          <t>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t>
        </is>
      </c>
    </row>
    <row r="8">
      <c r="A8" s="12" t="inlineStr">
        <is>
          <t>2018/11/08</t>
        </is>
      </c>
      <c r="B8" s="12" t="inlineStr">
        <is>
          <t>1143513</t>
        </is>
      </c>
      <c r="C8" s="12" t="inlineStr">
        <is>
          <t>コンピュータ(ｶﾞｽ･騒</t>
        </is>
      </c>
      <c r="D8" s="18" t="n">
        <v>235293</v>
      </c>
      <c r="E8" s="16" t="inlineStr">
        <is>
          <t>ＣＸ－８</t>
        </is>
      </c>
      <c r="F8" s="16" t="inlineStr">
        <is>
          <t>3DA-KG2P</t>
        </is>
      </c>
      <c r="G8" s="12" t="inlineStr">
        <is>
          <t>2012年2月13日</t>
        </is>
      </c>
      <c r="H8" s="12" t="inlineStr">
        <is>
          <t>2018年7月 4日</t>
        </is>
      </c>
      <c r="I8" s="16" t="inlineStr">
        <is>
          <t>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J8" s="16" t="inlineStr">
        <is>
          <t>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9">
      <c r="A9" s="7" t="inlineStr">
        <is>
          <t>2018/06/14</t>
        </is>
      </c>
      <c r="B9" s="7" t="inlineStr">
        <is>
          <t>1142790</t>
        </is>
      </c>
      <c r="C9" s="7" t="inlineStr">
        <is>
          <t>コンピュータ(エンジ</t>
        </is>
      </c>
      <c r="D9" s="8" t="n">
        <v>23208</v>
      </c>
      <c r="E9" s="16" t="inlineStr">
        <is>
          <t>ＣＸ－８</t>
        </is>
      </c>
      <c r="F9" s="16" t="inlineStr">
        <is>
          <t>3DA-KG2P</t>
        </is>
      </c>
      <c r="G9" s="7" t="inlineStr">
        <is>
          <t>2017年9月29日</t>
        </is>
      </c>
      <c r="H9" s="7" t="inlineStr">
        <is>
          <t>2018年5月 8日</t>
        </is>
      </c>
      <c r="I9" s="16" t="inlineStr">
        <is>
          <t>ディーゼルエンジンにおいて、エンジン制御プログラムが不適切なため、エンジンを停止させた際の僅かなエンジン回転を異常と判定し、エンジン制御コンピュータへの電源供給が停止しなくなる。そのため、スタート・ストップ・ユニットがスタータ回路の短絡と判定し、プッシュボタンスタートを押しても、電源ポジションがＯＮに切り替わらず、エンジンが始動できなくなるおそれがある。</t>
        </is>
      </c>
      <c r="J9" s="16" t="inlineStr">
        <is>
          <t>全車両、エンジン制御プログラムを対策プログラムに書き換える。</t>
        </is>
      </c>
    </row>
    <row r="10">
      <c r="A10" s="12" t="inlineStr">
        <is>
          <t>2018/03/08</t>
        </is>
      </c>
      <c r="B10" s="12" t="inlineStr">
        <is>
          <t>1142070</t>
        </is>
      </c>
      <c r="C10" s="12" t="inlineStr">
        <is>
          <t>コンピュータ</t>
        </is>
      </c>
      <c r="D10" s="18" t="n">
        <v>966</v>
      </c>
      <c r="E10" s="16" t="inlineStr">
        <is>
          <t>ＣＸ－８</t>
        </is>
      </c>
      <c r="F10" s="16" t="inlineStr">
        <is>
          <t>3DA-KG2P</t>
        </is>
      </c>
      <c r="G10" s="12" t="inlineStr">
        <is>
          <t>2017年10月 9日</t>
        </is>
      </c>
      <c r="H10" s="12" t="inlineStr">
        <is>
          <t>2017年12月15日</t>
        </is>
      </c>
      <c r="I10" s="16" t="inlineStr">
        <is>
          <t>コンビネーション・メータにおいて、通信用プログラムが不適切なため、通信信号が送受信できなくなり、マルチ・インフォメーション・ディスプレイにアドバンスト・スマート・シティ・ブレーキ・サポート等のシステム異常が表示され、当該装置が機能しないことがある。また、カメラの画像表示に切り替える操作をした場合でも、センター・ディスプレイにカメラの画像が表示されないため、車両の直前および直左等、周囲の状況が確認できず保安基準に適合しないおそれがある。</t>
        </is>
      </c>
      <c r="J10" s="16" t="inlineStr">
        <is>
          <t>全車両、コンビネーション・メータの通信用プログラムを対策プログラムに書き換える。</t>
        </is>
      </c>
    </row>
  </sheetData>
  <autoFilter ref="A1:J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2" customWidth="1" min="4" max="4"/>
    <col width="12" customWidth="1" min="5" max="5"/>
    <col width="10" customWidth="1" min="6" max="6"/>
    <col width="10" customWidth="1" min="7" max="7"/>
    <col width="34" customWidth="1" min="8" max="8"/>
    <col width="34" customWidth="1" min="9" max="9"/>
  </cols>
  <sheetData>
    <row r="1" ht="32" customHeight="1">
      <c r="A1" s="5" t="inlineStr">
        <is>
          <t>口コミ件数</t>
        </is>
      </c>
      <c r="B1" s="5" t="inlineStr">
        <is>
          <t>総合</t>
        </is>
      </c>
      <c r="C1" s="5" t="inlineStr">
        <is>
          <t>デザイン</t>
        </is>
      </c>
      <c r="D1" s="5" t="inlineStr">
        <is>
          <t>走行性能</t>
        </is>
      </c>
      <c r="E1" s="5" t="inlineStr">
        <is>
          <t>乗り心地</t>
        </is>
      </c>
      <c r="F1" s="5" t="inlineStr">
        <is>
          <t>価格</t>
        </is>
      </c>
      <c r="G1" s="5" t="inlineStr">
        <is>
          <t>燃費</t>
        </is>
      </c>
      <c r="H1" s="5" t="inlineStr">
        <is>
          <t>満足している点</t>
        </is>
      </c>
      <c r="I1" s="5" t="inlineStr">
        <is>
          <t>不満な点</t>
        </is>
      </c>
    </row>
    <row r="2">
      <c r="A2" s="18" t="n">
        <v>10</v>
      </c>
      <c r="B2" s="12" t="n">
        <v>4.9</v>
      </c>
      <c r="C2" s="12" t="n">
        <v>4.8</v>
      </c>
      <c r="D2" s="12" t="n">
        <v>4.8</v>
      </c>
      <c r="E2" s="12" t="n">
        <v>4.6</v>
      </c>
      <c r="F2" s="12" t="n">
        <v>4.1</v>
      </c>
      <c r="G2" s="12" t="n">
        <v>4</v>
      </c>
      <c r="H2" s="16" t="inlineStr">
        <is>
          <t>①乗車定員に余裕があるとこ CX5のリムジン（ストレッチ）的なデザインもお気に入り。 ②ディーゼルエンジンなとこ 太いトルクで楽に走れるので優しい運転になる。 燃料費がガソリンほどかからないのはやっぱり魅力。
---
トルクも馬力も申し分なく、燃費もこの車格ならいい
---
素直にカッコイイと思える魂動デザイン、上質な乗り心地、コスパに優れた秀逸なユーティリティカー！</t>
        </is>
      </c>
      <c r="I2" s="16" t="inlineStr">
        <is>
          <t>①ブランド力 年配の人にイジられる〜地獄（最近は聞かない）とか、みんな同じフロントまわり（鼓動デザイン？）とか、マイナスイメージを持たれてしまう。 ②煤問題 良く調べると、マツダ車だけでは無いようですが。 ③最小回転半径 ロングホイールベースのため、Uターン時は片側2車線必要になってしまうので、道を選ぶ。
---
マツコネがね… イコライザーなぜないの？
---
Android autoで使った時にタッチパネルが使えない事</t>
        </is>
      </c>
    </row>
  </sheetData>
  <autoFilter ref="A1:I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34" customWidth="1" min="4" max="4"/>
    <col width="34" customWidth="1" min="5" max="5"/>
    <col width="34" customWidth="1" min="6" max="6"/>
    <col width="10" customWidth="1" min="7" max="7"/>
  </cols>
  <sheetData>
    <row r="1" ht="32" customHeight="1">
      <c r="A1" s="5" t="inlineStr">
        <is>
          <t>年式</t>
        </is>
      </c>
      <c r="B1" s="5" t="inlineStr">
        <is>
          <t>グレード</t>
        </is>
      </c>
      <c r="C1" s="5" t="inlineStr">
        <is>
          <t>総合</t>
        </is>
      </c>
      <c r="D1" s="5" t="inlineStr">
        <is>
          <t>満足している点</t>
        </is>
      </c>
      <c r="E1" s="5" t="inlineStr">
        <is>
          <t>不満な点</t>
        </is>
      </c>
      <c r="F1" s="5" t="inlineStr">
        <is>
          <t>総評</t>
        </is>
      </c>
      <c r="G1" s="5" t="inlineStr">
        <is>
          <t>URL</t>
        </is>
      </c>
    </row>
    <row r="2">
      <c r="A2" s="11" t="n">
        <v>2020</v>
      </c>
      <c r="B2" s="12" t="inlineStr">
        <is>
          <t>XD Lパッケージ_7人乗り(AT_2.2)</t>
        </is>
      </c>
      <c r="C2" s="15" t="n">
        <v>5</v>
      </c>
      <c r="D2" s="16" t="n"/>
      <c r="E2" s="16" t="n"/>
      <c r="F2" s="16" t="n"/>
      <c r="G2" s="12" t="n"/>
    </row>
    <row r="3">
      <c r="A3" s="6" t="n">
        <v>2017</v>
      </c>
      <c r="B3" s="7" t="inlineStr">
        <is>
          <t>不明</t>
        </is>
      </c>
      <c r="C3" s="10" t="n">
        <v>4</v>
      </c>
      <c r="D3" s="16" t="inlineStr">
        <is>
          <t>①乗車定員に余裕があるとこ CX5のリムジン（ストレッチ）的なデザインもお気に入り。 ②ディーゼルエンジンなとこ 太いトルクで楽に走れるので優しい運転になる。 燃料費がガソリンほどかからないのはやっぱり魅力。</t>
        </is>
      </c>
      <c r="E3" s="16" t="inlineStr">
        <is>
          <t>①ブランド力 年配の人にイジられる〜地獄（最近は聞かない）とか、みんな同じフロントまわり（鼓動デザイン？）とか、マイナスイメージを持たれてしまう。 ②煤問題 良く調べると、マツダ車だけでは無いようですが。 ③最小回転半径 ロングホイールベースのため、Uターン時は片側2車線必要になってしまうので、道を選ぶ。</t>
        </is>
      </c>
      <c r="F3" s="16" t="n"/>
      <c r="G3" s="7" t="n"/>
    </row>
    <row r="4">
      <c r="A4" s="11" t="n">
        <v>2017</v>
      </c>
      <c r="B4" s="12" t="inlineStr">
        <is>
          <t>XD プロアクティブ_7人乗り_4WD(AT_2.2)</t>
        </is>
      </c>
      <c r="C4" s="15" t="n">
        <v>5</v>
      </c>
      <c r="D4" s="16" t="inlineStr">
        <is>
          <t>トルクも馬力も申し分なく、燃費もこの車格ならいい</t>
        </is>
      </c>
      <c r="E4" s="16" t="inlineStr">
        <is>
          <t>マツコネがね… イコライザーなぜないの？</t>
        </is>
      </c>
      <c r="F4" s="16" t="n"/>
      <c r="G4" s="12" t="n"/>
    </row>
    <row r="5">
      <c r="A5" s="6" t="n">
        <v>2020</v>
      </c>
      <c r="B5" s="7" t="inlineStr">
        <is>
          <t>25S スマートエディション_6人乗り_4WD(AT_2.5)</t>
        </is>
      </c>
      <c r="C5" s="10" t="n">
        <v>5</v>
      </c>
      <c r="D5" s="16" t="inlineStr">
        <is>
          <t>素直にカッコイイと思える魂動デザイン、上質な乗り心地、コスパに優れた秀逸なユーティリティカー！</t>
        </is>
      </c>
      <c r="E5" s="16" t="n"/>
      <c r="F5" s="16" t="n"/>
      <c r="G5" s="7" t="n"/>
    </row>
    <row r="6">
      <c r="A6" s="11" t="n">
        <v>2022</v>
      </c>
      <c r="B6" s="12" t="inlineStr">
        <is>
          <t>25T ブラックトーンエディション_6人乗り(AT_2.5)</t>
        </is>
      </c>
      <c r="C6" s="15" t="n">
        <v>5</v>
      </c>
      <c r="D6" s="16" t="n"/>
      <c r="E6" s="16" t="n"/>
      <c r="F6" s="16" t="n"/>
      <c r="G6" s="12" t="n"/>
    </row>
    <row r="7">
      <c r="A7" s="6" t="n">
        <v>2018</v>
      </c>
      <c r="B7" s="7" t="inlineStr">
        <is>
          <t>XD Lパッケージ_7人乗り_4WD(AT_2.2)</t>
        </is>
      </c>
      <c r="C7" s="10" t="n">
        <v>5</v>
      </c>
      <c r="D7" s="16" t="inlineStr">
        <is>
          <t>ディーゼルのトルクと燃費の良さ 3席目格納時の積載性 取り回しの良さ 雪道でのAWDの走破性</t>
        </is>
      </c>
      <c r="E7" s="16" t="inlineStr">
        <is>
          <t>Android autoで使った時にタッチパネルが使えない事</t>
        </is>
      </c>
      <c r="F7" s="16" t="n"/>
      <c r="G7" s="7" t="n"/>
    </row>
    <row r="8">
      <c r="A8" s="11" t="n">
        <v>2017</v>
      </c>
      <c r="B8" s="12" t="inlineStr">
        <is>
          <t>XD プロアクティブ_6人乗り_4WD(AT_2.2)</t>
        </is>
      </c>
      <c r="C8" s="15" t="n">
        <v>5</v>
      </c>
      <c r="D8" s="16" t="inlineStr">
        <is>
          <t>まず外観がかっこいい！マッスルなデザイン 車重を感じさせないエンジン、静粛性が高く、後ろも広い！家族にも好評 慣れると運転しやすい</t>
        </is>
      </c>
      <c r="E8" s="16" t="inlineStr">
        <is>
          <t>なぜかシートが体に合わない・・・ セカンドシートにドリンクホルダーがない・・・</t>
        </is>
      </c>
      <c r="F8" s="16" t="n"/>
      <c r="G8" s="12" t="n"/>
    </row>
    <row r="9">
      <c r="A9" s="6" t="n">
        <v>2022</v>
      </c>
      <c r="B9" s="7" t="inlineStr">
        <is>
          <t>XD スポーツアピアランス_6人乗り_4WD(AT_2.2)</t>
        </is>
      </c>
      <c r="C9" s="10" t="n">
        <v>5</v>
      </c>
      <c r="D9" s="16" t="inlineStr">
        <is>
          <t>内装の高級感、走りと積載性。</t>
        </is>
      </c>
      <c r="E9" s="16" t="inlineStr">
        <is>
          <t>足回りのコツコツ異音</t>
        </is>
      </c>
      <c r="F9" s="16" t="n"/>
      <c r="G9" s="7" t="n"/>
    </row>
    <row r="10">
      <c r="A10" s="11" t="n">
        <v>2022</v>
      </c>
      <c r="B10" s="12" t="inlineStr">
        <is>
          <t>XD エクスクルーシブモード_6人乗り_4WD(AT_2.2)</t>
        </is>
      </c>
      <c r="C10" s="15" t="n">
        <v>5</v>
      </c>
      <c r="D10" s="16" t="n"/>
      <c r="E10" s="16" t="n"/>
      <c r="F10" s="16" t="n"/>
      <c r="G10" s="12" t="n"/>
    </row>
    <row r="11">
      <c r="A11" s="6" t="n">
        <v>2022</v>
      </c>
      <c r="B11" s="7" t="inlineStr">
        <is>
          <t>XD ブラックトーンエディション_6人乗り(AT_2.2)</t>
        </is>
      </c>
      <c r="C11" s="10" t="n">
        <v>5</v>
      </c>
      <c r="D11" s="16" t="inlineStr">
        <is>
          <t>乗り心地がとにかく良い。アテンザワゴンから乗り換えなので当たり前かもですが、、、 後部座席も広く妻も大満足 三列目も座れなくはないのでよきです。 積載性も三列目を下げるとすごいたくさん積めます。またトランク下の収納も想像以上に大きい！BOSEにこだわらないので無しのもので正解でした。</t>
        </is>
      </c>
      <c r="E11" s="16" t="inlineStr">
        <is>
          <t>燃費は少し悪いですかね、、、大体13キロくらい。でも軽油なのであんまり気になりません。 三列目使用時の積載性もあまり期待はできません。</t>
        </is>
      </c>
      <c r="F11" s="16" t="n"/>
      <c r="G11" s="7" t="n"/>
    </row>
  </sheetData>
  <autoFilter ref="A1: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2026-10-26T09:18:08Z</dcterms:created>
  <dcterms:modified xmlns:dcterms="http://purl.org/dc/terms/" xmlns:xsi="http://www.w3.org/2001/XMLSchema-instance" xsi:type="dcterms:W3CDTF">2026-10-26T09:18:09Z</dcterms:modified>
</cp:coreProperties>
</file>