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と走行" sheetId="2" state="visible" r:id="rId2"/>
    <sheet xmlns:r="http://schemas.openxmlformats.org/officeDocument/2006/relationships" name="候補_60 TFSI" sheetId="3" state="visible" r:id="rId3"/>
    <sheet xmlns:r="http://schemas.openxmlformats.org/officeDocument/2006/relationships" name="他グレード" sheetId="4" state="visible" r:id="rId4"/>
    <sheet xmlns:r="http://schemas.openxmlformats.org/officeDocument/2006/relationships" name="年間維持費" sheetId="5" state="visible" r:id="rId5"/>
    <sheet xmlns:r="http://schemas.openxmlformats.org/officeDocument/2006/relationships" name="ヤフオク落札" sheetId="6" state="visible" r:id="rId6"/>
    <sheet xmlns:r="http://schemas.openxmlformats.org/officeDocument/2006/relationships" name="年式別相場" sheetId="7" state="visible" r:id="rId7"/>
    <sheet xmlns:r="http://schemas.openxmlformats.org/officeDocument/2006/relationships" name="壊れやすい点" sheetId="8" state="visible" r:id="rId8"/>
    <sheet xmlns:r="http://schemas.openxmlformats.org/officeDocument/2006/relationships" name="リコール" sheetId="9" state="visible" r:id="rId9"/>
    <sheet xmlns:r="http://schemas.openxmlformats.org/officeDocument/2006/relationships" name="口コミ" sheetId="10" state="visible" r:id="rId10"/>
    <sheet xmlns:r="http://schemas.openxmlformats.org/officeDocument/2006/relationships" name="口コミ_明細" sheetId="11" state="visible" r:id="rId11"/>
  </sheets>
  <definedNames>
    <definedName name="_xlnm._FilterDatabase" localSheetId="2" hidden="1">'候補_60 TFSI'!$A$1:$L$9</definedName>
    <definedName name="_xlnm._FilterDatabase" localSheetId="3" hidden="1">'他グレード'!$A$1:$L$19</definedName>
    <definedName name="_xlnm._FilterDatabase" localSheetId="4" hidden="1">'年間維持費'!$A$1:$O$4</definedName>
    <definedName name="_xlnm._FilterDatabase" localSheetId="5" hidden="1">'ヤフオク落札'!$A$1:$I$6</definedName>
    <definedName name="_xlnm._FilterDatabase" localSheetId="6" hidden="1">'年式別相場'!$A$1:$G$15</definedName>
    <definedName name="_xlnm._FilterDatabase" localSheetId="7" hidden="1">'壊れやすい点'!$A$1:$G$7</definedName>
    <definedName name="_xlnm._FilterDatabase" localSheetId="8" hidden="1">'リコール'!$A$1:$J$21</definedName>
    <definedName name="_xlnm._FilterDatabase" localSheetId="9" hidden="1">'口コミ'!$A$1:$I$2</definedName>
    <definedName name="_xlnm._FilterDatabase" localSheetId="10" hidden="1">'口コミ_明細'!$A$1:$G$11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5">
    <font>
      <name val="Calibri"/>
      <family val="2"/>
      <color theme="1"/>
      <sz val="11"/>
      <scheme val="minor"/>
    </font>
    <font>
      <b val="1"/>
      <sz val="14"/>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xf>
    <xf numFmtId="0" fontId="4"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1" fontId="0" fillId="3" borderId="1" pivotButton="0" quotePrefix="0" xfId="0"/>
    <xf numFmtId="0" fontId="0" fillId="3" borderId="1" pivotButton="0" quotePrefix="0" xfId="0"/>
    <xf numFmtId="166" fontId="0" fillId="3" borderId="1" pivotButton="0" quotePrefix="0" xfId="0"/>
    <xf numFmtId="164" fontId="0" fillId="3" borderId="1" pivotButton="0" quotePrefix="0" xfId="0"/>
    <xf numFmtId="165" fontId="0" fillId="3" borderId="1" pivotButton="0" quotePrefix="0" xfId="0"/>
    <xf numFmtId="0" fontId="0" fillId="0" borderId="1" applyAlignment="1" pivotButton="0" quotePrefix="0" xfId="0">
      <alignment vertical="top" wrapText="1"/>
    </xf>
    <xf numFmtId="1" fontId="0" fillId="0" borderId="1" pivotButton="0" quotePrefix="0" xfId="0"/>
    <xf numFmtId="166" fontId="0" fillId="0" borderId="1" pivotButton="0" quotePrefix="0" xfId="0"/>
    <xf numFmtId="3"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年式別の価格帯（万円）</a:t>
            </a:r>
          </a:p>
        </rich>
      </tx>
    </title>
    <plotArea>
      <barChart>
        <barDir val="bar"/>
        <grouping val="clustered"/>
        <ser>
          <idx val="0"/>
          <order val="0"/>
          <tx>
            <strRef>
              <f>'グラフ_価格と走行'!D4</f>
            </strRef>
          </tx>
          <spPr>
            <a:ln xmlns:a="http://schemas.openxmlformats.org/drawingml/2006/main">
              <a:prstDash val="solid"/>
            </a:ln>
          </spPr>
          <cat>
            <numRef>
              <f>'グラフ_価格と走行'!$B$5:$B$11</f>
            </numRef>
          </cat>
          <val>
            <numRef>
              <f>'グラフ_価格と走行'!$D$5:$D$11</f>
            </numRef>
          </val>
        </ser>
        <ser>
          <idx val="1"/>
          <order val="1"/>
          <tx>
            <strRef>
              <f>'グラフ_価格と走行'!E4</f>
            </strRef>
          </tx>
          <spPr>
            <a:ln xmlns:a="http://schemas.openxmlformats.org/drawingml/2006/main">
              <a:prstDash val="solid"/>
            </a:ln>
          </spPr>
          <cat>
            <numRef>
              <f>'グラフ_価格と走行'!$B$5:$B$11</f>
            </numRef>
          </cat>
          <val>
            <numRef>
              <f>'グラフ_価格と走行'!$E$5:$E$11</f>
            </numRef>
          </val>
        </ser>
        <ser>
          <idx val="2"/>
          <order val="2"/>
          <tx>
            <strRef>
              <f>'グラフ_価格と走行'!F4</f>
            </strRef>
          </tx>
          <spPr>
            <a:ln xmlns:a="http://schemas.openxmlformats.org/drawingml/2006/main">
              <a:prstDash val="solid"/>
            </a:ln>
          </spPr>
          <cat>
            <numRef>
              <f>'グラフ_価格と走行'!$B$5:$B$11</f>
            </numRef>
          </cat>
          <val>
            <numRef>
              <f>'グラフ_価格と走行'!$F$5:$F$11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4" customWidth="1" min="1" max="1"/>
    <col width="104" customWidth="1" min="2" max="2"/>
  </cols>
  <sheetData>
    <row r="1">
      <c r="A1" s="1" t="inlineStr">
        <is>
          <t>アウディ A8 60 TFSI（2018〜2021年式）を探す</t>
        </is>
      </c>
    </row>
    <row r="3">
      <c r="A3" t="inlineStr">
        <is>
          <t>生成日時</t>
        </is>
      </c>
      <c r="B3" s="2" t="inlineStr">
        <is>
          <t>2026-09-01 09:52</t>
        </is>
      </c>
    </row>
    <row r="4">
      <c r="A4" t="inlineStr">
        <is>
          <t>対象</t>
        </is>
      </c>
      <c r="B4" s="2" t="inlineStr">
        <is>
          <t>2018〜2021年式 / 60 TFSI / 全国</t>
        </is>
      </c>
    </row>
    <row r="5">
      <c r="A5" t="inlineStr">
        <is>
          <t>狙いのグレード</t>
        </is>
      </c>
      <c r="B5" s="2" t="inlineStr">
        <is>
          <t>8台（316〜458万円 / 走行 0.6〜10.7万km）</t>
        </is>
      </c>
    </row>
    <row r="6">
      <c r="A6" t="inlineStr">
        <is>
          <t>同年式の他グレード</t>
        </is>
      </c>
      <c r="B6" s="2" t="inlineStr">
        <is>
          <t>18台</t>
        </is>
      </c>
    </row>
    <row r="7">
      <c r="A7" t="inlineStr">
        <is>
          <t>排気量</t>
        </is>
      </c>
      <c r="B7" s="2" t="inlineStr">
        <is>
          <t>4.0L（自動車税・重量税・燃費はこれで決まる）</t>
        </is>
      </c>
    </row>
    <row r="8">
      <c r="A8" t="inlineStr"/>
      <c r="B8" s="2" t="inlineStr"/>
    </row>
    <row r="9">
      <c r="A9" s="1" t="inlineStr">
        <is>
          <t>■ シート</t>
        </is>
      </c>
      <c r="B9" s="2" t="inlineStr"/>
    </row>
    <row r="10">
      <c r="A10" t="inlineStr">
        <is>
          <t>候補_60 TFSI</t>
        </is>
      </c>
      <c r="B10" s="2" t="inlineStr">
        <is>
          <t>狙いのグレードの在庫を1台ずつ。状態スコア順。走行距離・修復歴・車検残・保証で採点している。</t>
        </is>
      </c>
    </row>
    <row r="11">
      <c r="A11" t="inlineStr">
        <is>
          <t>他グレード</t>
        </is>
      </c>
      <c r="B11" s="2" t="inlineStr">
        <is>
          <t>同じ車種・同じ年式の他グレード。狙いのグレードが少ないときの比較用。</t>
        </is>
      </c>
    </row>
    <row r="12">
      <c r="A12" t="inlineStr">
        <is>
          <t>グラフ_価格と走行</t>
        </is>
      </c>
      <c r="B12" s="2" t="inlineStr">
        <is>
          <t>年式ごとの価格帯と走行距離。他グレードとの差も並べてある。</t>
        </is>
      </c>
    </row>
    <row r="13">
      <c r="A13" t="inlineStr">
        <is>
          <t>年間維持費</t>
        </is>
      </c>
      <c r="B13" s="2" t="inlineStr">
        <is>
          <t>税・保険・車検・燃料・整備予備費の年額。</t>
        </is>
      </c>
    </row>
    <row r="14">
      <c r="A14" t="inlineStr">
        <is>
          <t>ヤフオク落札</t>
        </is>
      </c>
      <c r="B14" s="2" t="inlineStr">
        <is>
          <t>過去180日の落札実績。**この価格帯の車はほとんど出てこない**ので件数は期待できない。</t>
        </is>
      </c>
    </row>
    <row r="15">
      <c r="A15" t="inlineStr">
        <is>
          <t>年式別相場</t>
        </is>
      </c>
      <c r="B15" s="2" t="inlineStr">
        <is>
          <t>カーセンサー掲載の年式別価格分布（全グレード込み）。</t>
        </is>
      </c>
    </row>
    <row r="16">
      <c r="A16" t="inlineStr">
        <is>
          <t>壊れやすい点</t>
        </is>
      </c>
      <c r="B16" s="2" t="inlineStr">
        <is>
          <t>国交省の不具合通報を装置別に。発生時の走行距離つき。</t>
        </is>
      </c>
    </row>
    <row r="17">
      <c r="A17" t="inlineStr">
        <is>
          <t>リコール</t>
        </is>
      </c>
      <c r="B17" s="2" t="inlineStr">
        <is>
          <t>国交省リコール届出。**対象の通称名**の列を見て、自分のグレードが入っているか確認する。リコールはメーカー負担の無償修理なので費用はかからないが、未対策のまま流通していることがあるので購入前に販売店に聞くこと。</t>
        </is>
      </c>
    </row>
    <row r="18">
      <c r="A18" t="inlineStr">
        <is>
          <t>口コミ</t>
        </is>
      </c>
      <c r="B18" s="2" t="inlineStr">
        <is>
          <t>みんカラのレビュー集計と個票。</t>
        </is>
      </c>
    </row>
    <row r="19">
      <c r="A19" t="inlineStr"/>
      <c r="B19" s="2" t="inlineStr"/>
    </row>
    <row r="20">
      <c r="A20" s="1" t="inlineStr">
        <is>
          <t>■ グレードの判定について</t>
        </is>
      </c>
      <c r="B20" s="2" t="inlineStr"/>
    </row>
    <row r="21">
      <c r="A21" t="inlineStr">
        <is>
          <t>やり方</t>
        </is>
      </c>
      <c r="B21" s="2" t="inlineStr">
        <is>
          <t>カーセンサーの在庫検索にグレードで絞る軸が無いので、車種と年式で引いてから**出品タイトルの先頭でグレードを判定**している。タイトルは「A8 60 TFSI クワトロ 4WD …」のように 車種名→グレード→装備 と並ぶ。装備の羅列まで見ると「60」が別の意味で当たるので、先頭24文字だけを見ている。</t>
        </is>
      </c>
    </row>
    <row r="22">
      <c r="A22" t="inlineStr">
        <is>
          <t>取りこぼし</t>
        </is>
      </c>
      <c r="B22" s="2" t="inlineStr">
        <is>
          <t>販売店がグレードを書いていない出品は拾えない。「他グレード」シートに落ちているので、そちらも一度は目で見ること。</t>
        </is>
      </c>
    </row>
    <row r="23">
      <c r="A23" t="inlineStr"/>
      <c r="B23" s="2" t="inlineStr"/>
    </row>
    <row r="24">
      <c r="A24" s="1" t="inlineStr">
        <is>
          <t>■ 数字の注意</t>
        </is>
      </c>
      <c r="B24" s="2" t="inlineStr"/>
    </row>
    <row r="25">
      <c r="A25" t="inlineStr">
        <is>
          <t>維持費</t>
        </is>
      </c>
      <c r="B25" s="2" t="inlineStr">
        <is>
          <t>税・自賠責は法定。任意保険60,000円・車検基本料60,000円/2年・整備30,000円・175円/L・駐車場0円を仮定。輸入車は部品代と工賃が国産より高いので、**整備費は多めに見ておくこと**。</t>
        </is>
      </c>
    </row>
    <row r="26">
      <c r="A26" t="inlineStr">
        <is>
          <t>走行距離</t>
        </is>
      </c>
      <c r="B26" s="2" t="inlineStr">
        <is>
          <t>在庫の走行距離中央値を車齢で割って年間走行としている。この価格帯は落札実績がほとんど無いので、落札側からは取れない。</t>
        </is>
      </c>
    </row>
    <row r="27">
      <c r="A27" t="inlineStr">
        <is>
          <t>整備予備費</t>
        </is>
      </c>
      <c r="B27" s="2" t="inlineStr">
        <is>
          <t>国交省の不具合情報にある「装置ごとの発生時走行距離」を保有5年で通過するかで見積もったもの。**通報件数から発生確率は出せない**ので、通過する装置の修理費を全部足して 0.5 を掛けている。この 0.5 は素の仮定。この車種の通報は全部で13件で、母数が小さいぶん装置の並びもぶれる。</t>
        </is>
      </c>
    </row>
    <row r="28">
      <c r="A28" t="inlineStr">
        <is>
          <t>値落ち</t>
        </is>
      </c>
      <c r="B28" s="2" t="inlineStr">
        <is>
          <t>この本には入れていない。年式ごとの落札実績が無く、掲載価格だけでは1年でいくら落ちるかを出せないため。</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0" customWidth="1" min="1" max="1"/>
    <col width="15" customWidth="1" min="2" max="2"/>
    <col width="15" customWidth="1" min="3" max="3"/>
    <col width="15" customWidth="1" min="4" max="4"/>
    <col width="15" customWidth="1" min="5" max="5"/>
    <col width="15" customWidth="1" min="6" max="6"/>
    <col width="15" customWidth="1" min="7" max="7"/>
  </cols>
  <sheetData>
    <row r="1">
      <c r="A1" s="3" t="inlineStr">
        <is>
          <t>60 TFSI の在庫（年式別）と他グレードとの差</t>
        </is>
      </c>
    </row>
    <row r="2">
      <c r="A2" s="4" t="inlineStr">
        <is>
          <t>狙いのグレードが何台あって、いくらで、どれだけ走っているか。他グレードとの価格差が大きければ、そちらも選択肢に入る。</t>
        </is>
      </c>
    </row>
    <row r="4">
      <c r="A4" s="5" t="inlineStr">
        <is>
          <t>区分</t>
        </is>
      </c>
      <c r="B4" s="5" t="inlineStr">
        <is>
          <t>年式</t>
        </is>
      </c>
      <c r="C4" s="5" t="inlineStr">
        <is>
          <t>台数</t>
        </is>
      </c>
      <c r="D4" s="5" t="inlineStr">
        <is>
          <t>最安(万円)</t>
        </is>
      </c>
      <c r="E4" s="5" t="inlineStr">
        <is>
          <t>中央値(万円)</t>
        </is>
      </c>
      <c r="F4" s="5" t="inlineStr">
        <is>
          <t>最高(万円)</t>
        </is>
      </c>
      <c r="G4" s="5" t="inlineStr">
        <is>
          <t>走行中央値(万km)</t>
        </is>
      </c>
    </row>
    <row r="5">
      <c r="A5" s="6" t="inlineStr">
        <is>
          <t>狙い: 60 TFSI</t>
        </is>
      </c>
      <c r="B5" s="6" t="n">
        <v>2018</v>
      </c>
      <c r="C5" s="7" t="n">
        <v>1</v>
      </c>
      <c r="D5" s="8" t="n">
        <v>458.4</v>
      </c>
      <c r="E5" s="8" t="n">
        <v>458.4</v>
      </c>
      <c r="F5" s="8" t="n">
        <v>458.4</v>
      </c>
      <c r="G5" s="9" t="n">
        <v>0.6</v>
      </c>
    </row>
    <row r="6">
      <c r="A6" s="6" t="inlineStr">
        <is>
          <t>狙い: 60 TFSI</t>
        </is>
      </c>
      <c r="B6" s="6" t="n">
        <v>2019</v>
      </c>
      <c r="C6" s="7" t="n">
        <v>6</v>
      </c>
      <c r="D6" s="8" t="n">
        <v>316</v>
      </c>
      <c r="E6" s="8" t="n">
        <v>350.9</v>
      </c>
      <c r="F6" s="8" t="n">
        <v>439.9</v>
      </c>
      <c r="G6" s="9" t="n">
        <v>4.8</v>
      </c>
    </row>
    <row r="7">
      <c r="A7" s="6" t="inlineStr">
        <is>
          <t>狙い: 60 TFSI</t>
        </is>
      </c>
      <c r="B7" s="6" t="n">
        <v>2020</v>
      </c>
      <c r="C7" s="7" t="n">
        <v>1</v>
      </c>
      <c r="D7" s="8" t="n">
        <v>421.7</v>
      </c>
      <c r="E7" s="8" t="n">
        <v>421.7</v>
      </c>
      <c r="F7" s="8" t="n">
        <v>421.7</v>
      </c>
      <c r="G7" s="9" t="n">
        <v>5.7</v>
      </c>
    </row>
    <row r="8">
      <c r="A8" s="6" t="inlineStr">
        <is>
          <t>他グレード</t>
        </is>
      </c>
      <c r="B8" s="6" t="n">
        <v>2018</v>
      </c>
      <c r="C8" s="7" t="n">
        <v>8</v>
      </c>
      <c r="D8" s="8" t="n">
        <v>313.9</v>
      </c>
      <c r="E8" s="8" t="n">
        <v>344.8</v>
      </c>
      <c r="F8" s="8" t="n">
        <v>378</v>
      </c>
      <c r="G8" s="9" t="n">
        <v>6</v>
      </c>
    </row>
    <row r="9">
      <c r="A9" s="6" t="inlineStr">
        <is>
          <t>他グレード</t>
        </is>
      </c>
      <c r="B9" s="6" t="n">
        <v>2019</v>
      </c>
      <c r="C9" s="7" t="n">
        <v>5</v>
      </c>
      <c r="D9" s="8" t="n">
        <v>329.5</v>
      </c>
      <c r="E9" s="8" t="n">
        <v>397</v>
      </c>
      <c r="F9" s="8" t="n">
        <v>519</v>
      </c>
      <c r="G9" s="9" t="n">
        <v>4.2</v>
      </c>
    </row>
    <row r="10">
      <c r="A10" s="6" t="inlineStr">
        <is>
          <t>他グレード</t>
        </is>
      </c>
      <c r="B10" s="6" t="n">
        <v>2020</v>
      </c>
      <c r="C10" s="7" t="n">
        <v>3</v>
      </c>
      <c r="D10" s="8" t="n">
        <v>378</v>
      </c>
      <c r="E10" s="8" t="n">
        <v>398</v>
      </c>
      <c r="F10" s="8" t="n">
        <v>409.7</v>
      </c>
      <c r="G10" s="9" t="n">
        <v>4.6</v>
      </c>
    </row>
    <row r="11">
      <c r="A11" s="6" t="inlineStr">
        <is>
          <t>他グレード</t>
        </is>
      </c>
      <c r="B11" s="6" t="n">
        <v>2021</v>
      </c>
      <c r="C11" s="7" t="n">
        <v>2</v>
      </c>
      <c r="D11" s="8" t="n">
        <v>499.3</v>
      </c>
      <c r="E11" s="8" t="n">
        <v>510</v>
      </c>
      <c r="F11" s="8" t="n">
        <v>520.8</v>
      </c>
      <c r="G11" s="9" t="n">
        <v>2.5</v>
      </c>
    </row>
  </sheetData>
  <conditionalFormatting sqref="E5:E11">
    <cfRule type="colorScale" priority="1">
      <colorScale>
        <cfvo type="min"/>
        <cfvo type="percentile" val="50"/>
        <cfvo type="max"/>
        <color rgb="0063BE7B"/>
        <color rgb="00FFEB84"/>
        <color rgb="00F8696B"/>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4" customWidth="1" min="3" max="3"/>
    <col width="22" customWidth="1" min="4" max="4"/>
    <col width="22" customWidth="1" min="5" max="5"/>
    <col width="24" customWidth="1" min="6" max="6"/>
    <col width="10" customWidth="1" min="7" max="7"/>
    <col width="10" customWidth="1" min="8" max="8"/>
    <col width="10" customWidth="1" min="9" max="9"/>
    <col width="34" customWidth="1" min="10" max="10"/>
    <col width="34" customWidth="1" min="11" max="11"/>
    <col width="14" customWidth="1" min="12" max="12"/>
  </cols>
  <sheetData>
    <row r="1" ht="32" customHeight="1">
      <c r="A1" s="5" t="inlineStr">
        <is>
          <t>年式</t>
        </is>
      </c>
      <c r="B1" s="5" t="inlineStr">
        <is>
          <t>グレード</t>
        </is>
      </c>
      <c r="C1" s="5" t="inlineStr">
        <is>
          <t>状態スコア</t>
        </is>
      </c>
      <c r="D1" s="5" t="inlineStr">
        <is>
          <t>支払総額
(万円)</t>
        </is>
      </c>
      <c r="E1" s="5" t="inlineStr">
        <is>
          <t>車両本体
(万円)</t>
        </is>
      </c>
      <c r="F1" s="5" t="inlineStr">
        <is>
          <t>走行距離
(万km)</t>
        </is>
      </c>
      <c r="G1" s="5" t="inlineStr">
        <is>
          <t>修復歴</t>
        </is>
      </c>
      <c r="H1" s="5" t="inlineStr">
        <is>
          <t>車検</t>
        </is>
      </c>
      <c r="I1" s="5" t="inlineStr">
        <is>
          <t>保証</t>
        </is>
      </c>
      <c r="J1" s="5" t="inlineStr">
        <is>
          <t>評価の理由</t>
        </is>
      </c>
      <c r="K1" s="5" t="inlineStr">
        <is>
          <t>装備（出品タイトル）</t>
        </is>
      </c>
      <c r="L1" s="5" t="inlineStr">
        <is>
          <t>掲載URL</t>
        </is>
      </c>
    </row>
    <row r="2">
      <c r="A2" s="10" t="n">
        <v>2018</v>
      </c>
      <c r="B2" s="11" t="inlineStr">
        <is>
          <t>60 TFSI クワトロ</t>
        </is>
      </c>
      <c r="C2" s="12" t="n">
        <v>7.1</v>
      </c>
      <c r="D2" s="13" t="n">
        <v>458.4</v>
      </c>
      <c r="E2" s="13" t="n">
        <v>444</v>
      </c>
      <c r="F2" s="14" t="n">
        <v>0.6</v>
      </c>
      <c r="G2" s="11" t="inlineStr">
        <is>
          <t>なし</t>
        </is>
      </c>
      <c r="H2" s="11" t="inlineStr">
        <is>
          <t>2027(R09)年10月</t>
        </is>
      </c>
      <c r="I2" s="11" t="inlineStr">
        <is>
          <t>保証付</t>
        </is>
      </c>
      <c r="J2" s="15" t="inlineStr">
        <is>
          <t>同年式の半分以下の走行（0.6万km） / 修復歴なし / 車検 2027/10 まで（残り13ヶ月） / 保証付</t>
        </is>
      </c>
      <c r="K2" s="15" t="inlineStr">
        <is>
          <t>A8 60 TFSI クワトロ 4WD アシスタンスP コンフォートP プライバシーガラス スポーツP ダイナミックオールホイールステアリング HDマトリクスLEDヘッドライト アウディレーザーライトP</t>
        </is>
      </c>
      <c r="L2" s="11" t="inlineStr">
        <is>
          <t>https://www.carsensor.net/usedcar/detail/AU7272683542/index.html</t>
        </is>
      </c>
    </row>
    <row r="3">
      <c r="A3" s="16" t="n">
        <v>2019</v>
      </c>
      <c r="B3" s="6" t="inlineStr">
        <is>
          <t>60 TFSI クワトロ</t>
        </is>
      </c>
      <c r="C3" s="17" t="n">
        <v>5.5</v>
      </c>
      <c r="D3" s="8" t="n">
        <v>439.9</v>
      </c>
      <c r="E3" s="8" t="n">
        <v>418</v>
      </c>
      <c r="F3" s="9" t="n">
        <v>2.4</v>
      </c>
      <c r="G3" s="6" t="inlineStr">
        <is>
          <t>なし</t>
        </is>
      </c>
      <c r="H3" s="6" t="inlineStr">
        <is>
          <t>車検整備付</t>
        </is>
      </c>
      <c r="I3" s="6" t="inlineStr">
        <is>
          <t>保証付</t>
        </is>
      </c>
      <c r="J3" s="15" t="inlineStr">
        <is>
          <t>走行が少なめ（2.4万km） / 修復歴なし / 車検整備付 / 保証付</t>
        </is>
      </c>
      <c r="K3" s="15" t="inlineStr">
        <is>
          <t>A8 60 TFSI クワトロ 4WD 認定中古車 HDマトリクスLEDヘッドライト アシスタンスパッケージ コンフォートパッケージ ダイナミックオールホイールステアリング パノラミックルーフ マルチカラーアンビエントライト</t>
        </is>
      </c>
      <c r="L3" s="6" t="inlineStr">
        <is>
          <t>https://www.carsensor.net/usedcar/detail/AU7086382067/index.html</t>
        </is>
      </c>
    </row>
    <row r="4">
      <c r="A4" s="10" t="n">
        <v>2019</v>
      </c>
      <c r="B4" s="11" t="inlineStr">
        <is>
          <t>60 TFSI クワトロ</t>
        </is>
      </c>
      <c r="C4" s="12" t="n">
        <v>4.3</v>
      </c>
      <c r="D4" s="13" t="n">
        <v>341.9</v>
      </c>
      <c r="E4" s="13" t="n">
        <v>328</v>
      </c>
      <c r="F4" s="14" t="n">
        <v>5.1</v>
      </c>
      <c r="G4" s="11" t="inlineStr">
        <is>
          <t>なし</t>
        </is>
      </c>
      <c r="H4" s="11" t="inlineStr">
        <is>
          <t>2028(R10)年01月</t>
        </is>
      </c>
      <c r="I4" s="11" t="inlineStr">
        <is>
          <t>保証付</t>
        </is>
      </c>
      <c r="J4" s="15" t="inlineStr">
        <is>
          <t>修復歴なし / 車検 2028/01 まで（残り16ヶ月） / 保証付</t>
        </is>
      </c>
      <c r="K4" s="15" t="inlineStr">
        <is>
          <t>A8 60 TFSI クワトロ 4WD 4L V8 LEDライト シートヒーターベンチレーション ナビTV 全方位カメラ 前後ドラレコ Pトランク Pシート 禁煙車 記録簿 スペアキー</t>
        </is>
      </c>
      <c r="L4" s="11" t="inlineStr">
        <is>
          <t>https://www.carsensor.net/usedcar/detail/AU7151537028/index.html</t>
        </is>
      </c>
    </row>
    <row r="5">
      <c r="A5" s="16" t="n">
        <v>2020</v>
      </c>
      <c r="B5" s="6" t="inlineStr">
        <is>
          <t>60 TFSI クワトロ</t>
        </is>
      </c>
      <c r="C5" s="17" t="n">
        <v>4.2</v>
      </c>
      <c r="D5" s="8" t="n">
        <v>421.7</v>
      </c>
      <c r="E5" s="8" t="n">
        <v>398.8</v>
      </c>
      <c r="F5" s="9" t="n">
        <v>5.7</v>
      </c>
      <c r="G5" s="6" t="inlineStr">
        <is>
          <t>なし</t>
        </is>
      </c>
      <c r="H5" s="6" t="inlineStr">
        <is>
          <t>2027(R09)年12月</t>
        </is>
      </c>
      <c r="I5" s="6" t="inlineStr">
        <is>
          <t>保証付</t>
        </is>
      </c>
      <c r="J5" s="15" t="inlineStr">
        <is>
          <t>修復歴なし / 車検 2027/12 まで（残り15ヶ月） / 保証付</t>
        </is>
      </c>
      <c r="K5" s="15" t="inlineStr">
        <is>
          <t>A8 60 TFSI クワトロ 4WD Sラインパッケージ コンフォートスポーツレザーシート マトリクスヘッドライト Bang&amp;Olufsenサウンド ベンチレーションシート</t>
        </is>
      </c>
      <c r="L5" s="6" t="inlineStr">
        <is>
          <t>https://www.carsensor.net/usedcar/detail/AU6900995796/index.html</t>
        </is>
      </c>
    </row>
    <row r="6">
      <c r="A6" s="10" t="n">
        <v>2019</v>
      </c>
      <c r="B6" s="11" t="inlineStr">
        <is>
          <t>60 TFSI クワトロ</t>
        </is>
      </c>
      <c r="C6" s="12" t="n">
        <v>4</v>
      </c>
      <c r="D6" s="13" t="n">
        <v>359.8</v>
      </c>
      <c r="E6" s="13" t="n">
        <v>346.1</v>
      </c>
      <c r="F6" s="14" t="n">
        <v>4.5</v>
      </c>
      <c r="G6" s="11" t="inlineStr">
        <is>
          <t>なし</t>
        </is>
      </c>
      <c r="H6" s="11" t="inlineStr">
        <is>
          <t>車検整備付</t>
        </is>
      </c>
      <c r="I6" s="11" t="inlineStr">
        <is>
          <t>保証付</t>
        </is>
      </c>
      <c r="J6" s="15" t="inlineStr">
        <is>
          <t>修復歴なし / 車検整備付 / 保証付</t>
        </is>
      </c>
      <c r="K6" s="15" t="inlineStr">
        <is>
          <t>A8 60 TFSI クワトロ 4WD MMIナビゲーション サラウンドビューカメラ アダプティブクルーズコントロール アウディアクティブレーンアシスト アウディプレセンスシティ アウディサイドアシスト ベンチレーションマッサージ機能</t>
        </is>
      </c>
      <c r="L6" s="11" t="inlineStr">
        <is>
          <t>https://www.carsensor.net/usedcar/detail/AU7018942313/index.html</t>
        </is>
      </c>
    </row>
    <row r="7">
      <c r="A7" s="16" t="n">
        <v>2019</v>
      </c>
      <c r="B7" s="6" t="inlineStr">
        <is>
          <t>60 TFSI クワトロ</t>
        </is>
      </c>
      <c r="C7" s="17" t="n">
        <v>4</v>
      </c>
      <c r="D7" s="8" t="n">
        <v>359.8</v>
      </c>
      <c r="E7" s="8" t="n">
        <v>344.9</v>
      </c>
      <c r="F7" s="9" t="n">
        <v>4.1</v>
      </c>
      <c r="G7" s="6" t="inlineStr">
        <is>
          <t>なし</t>
        </is>
      </c>
      <c r="H7" s="6" t="inlineStr">
        <is>
          <t>車検整備付</t>
        </is>
      </c>
      <c r="I7" s="6" t="inlineStr">
        <is>
          <t>保証付</t>
        </is>
      </c>
      <c r="J7" s="15" t="inlineStr">
        <is>
          <t>修復歴なし / 車検整備付 / 保証付</t>
        </is>
      </c>
      <c r="K7" s="15" t="inlineStr">
        <is>
          <t>A8 60 TFSI クワトロ 4WD Bang&amp;Olufsen/レーザーライトPKG/黒革シート/フルセグTV/AppleCarPlay/全周囲カメラ/ヘッドアップディスプレイ/シートヒーター&amp;ベンチレーション/ドライブレコーダー/パドルシフト/アイドリングストップ/</t>
        </is>
      </c>
      <c r="L7" s="6" t="inlineStr">
        <is>
          <t>https://www.carsensor.net/usedcar/detail/AU7124460340/index.html</t>
        </is>
      </c>
    </row>
    <row r="8">
      <c r="A8" s="10" t="n">
        <v>2019</v>
      </c>
      <c r="B8" s="11" t="inlineStr">
        <is>
          <t>60 TFSI クワトロ</t>
        </is>
      </c>
      <c r="C8" s="12" t="n">
        <v>3.2</v>
      </c>
      <c r="D8" s="13" t="n">
        <v>316</v>
      </c>
      <c r="E8" s="13" t="n">
        <v>305</v>
      </c>
      <c r="F8" s="14" t="n">
        <v>10.7</v>
      </c>
      <c r="G8" s="11" t="inlineStr">
        <is>
          <t>なし</t>
        </is>
      </c>
      <c r="H8" s="11" t="inlineStr">
        <is>
          <t>2028(R10)年06月</t>
        </is>
      </c>
      <c r="I8" s="11" t="inlineStr">
        <is>
          <t>保証無</t>
        </is>
      </c>
      <c r="J8" s="15" t="inlineStr">
        <is>
          <t>走行が多め（10.7万km） / 修復歴なし / 車検 2028/06 まで（残り21ヶ月） / 同年式より安い（中央値 360万）</t>
        </is>
      </c>
      <c r="K8" s="15" t="inlineStr">
        <is>
          <t>A8 60 TFSI クワトロ 4WD アウディデザインセレクション B&amp;Oアドバンストオーディオ コンフォートパッケージ マトリクスLED マッサージ機能付きバルコナレザー ベンチレーター SR ヘッドアップディスプレイ 20AW</t>
        </is>
      </c>
      <c r="L8" s="11" t="inlineStr">
        <is>
          <t>https://www.carsensor.net/usedcar/detail/AU7039853611/index.html</t>
        </is>
      </c>
    </row>
    <row r="9">
      <c r="A9" s="16" t="n">
        <v>2019</v>
      </c>
      <c r="B9" s="6" t="inlineStr">
        <is>
          <t>60 TFSI クワトロ</t>
        </is>
      </c>
      <c r="C9" s="17" t="n">
        <v>1.5</v>
      </c>
      <c r="D9" s="8" t="n">
        <v>332</v>
      </c>
      <c r="E9" s="8" t="n">
        <v>318</v>
      </c>
      <c r="F9" s="9" t="n">
        <v>9</v>
      </c>
      <c r="G9" s="6" t="inlineStr">
        <is>
          <t>なし</t>
        </is>
      </c>
      <c r="H9" s="6" t="inlineStr">
        <is>
          <t>車検整備無</t>
        </is>
      </c>
      <c r="I9" s="6" t="inlineStr">
        <is>
          <t>保証付</t>
        </is>
      </c>
      <c r="J9" s="15" t="inlineStr">
        <is>
          <t>走行が多め（9.0万km） / 修復歴なし / 保証付</t>
        </is>
      </c>
      <c r="K9" s="15" t="inlineStr">
        <is>
          <t>A8 60 TFSI クワトロ 4WD アシスタンスPKG デザインセレクション Bang&amp;Olufsenアドバンストオーディオ ダイナミックオールホイールステアリング マッサージ機能付バルコナレザー ベンチレーター アルカンターラルーフ</t>
        </is>
      </c>
      <c r="L9" s="6" t="inlineStr">
        <is>
          <t>https://www.carsensor.net/usedcar/detail/AU7132974090/index.html</t>
        </is>
      </c>
    </row>
  </sheetData>
  <autoFilter ref="A1:L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4" customWidth="1" min="3" max="3"/>
    <col width="22" customWidth="1" min="4" max="4"/>
    <col width="22" customWidth="1" min="5" max="5"/>
    <col width="24" customWidth="1" min="6" max="6"/>
    <col width="10" customWidth="1" min="7" max="7"/>
    <col width="10" customWidth="1" min="8" max="8"/>
    <col width="10" customWidth="1" min="9" max="9"/>
    <col width="34" customWidth="1" min="10" max="10"/>
    <col width="34" customWidth="1" min="11" max="11"/>
    <col width="14" customWidth="1" min="12" max="12"/>
  </cols>
  <sheetData>
    <row r="1" ht="32" customHeight="1">
      <c r="A1" s="5" t="inlineStr">
        <is>
          <t>年式</t>
        </is>
      </c>
      <c r="B1" s="5" t="inlineStr">
        <is>
          <t>グレード</t>
        </is>
      </c>
      <c r="C1" s="5" t="inlineStr">
        <is>
          <t>状態スコア</t>
        </is>
      </c>
      <c r="D1" s="5" t="inlineStr">
        <is>
          <t>支払総額
(万円)</t>
        </is>
      </c>
      <c r="E1" s="5" t="inlineStr">
        <is>
          <t>車両本体
(万円)</t>
        </is>
      </c>
      <c r="F1" s="5" t="inlineStr">
        <is>
          <t>走行距離
(万km)</t>
        </is>
      </c>
      <c r="G1" s="5" t="inlineStr">
        <is>
          <t>修復歴</t>
        </is>
      </c>
      <c r="H1" s="5" t="inlineStr">
        <is>
          <t>車検</t>
        </is>
      </c>
      <c r="I1" s="5" t="inlineStr">
        <is>
          <t>保証</t>
        </is>
      </c>
      <c r="J1" s="5" t="inlineStr">
        <is>
          <t>評価の理由</t>
        </is>
      </c>
      <c r="K1" s="5" t="inlineStr">
        <is>
          <t>装備（出品タイトル）</t>
        </is>
      </c>
      <c r="L1" s="5" t="inlineStr">
        <is>
          <t>掲載URL</t>
        </is>
      </c>
    </row>
    <row r="2">
      <c r="A2" s="10" t="n">
        <v>2018</v>
      </c>
      <c r="B2" s="11" t="inlineStr">
        <is>
          <t>4.0 TFSI クワトロ</t>
        </is>
      </c>
      <c r="C2" s="12" t="n">
        <v>5.5</v>
      </c>
      <c r="D2" s="13" t="n">
        <v>322.7</v>
      </c>
      <c r="E2" s="13" t="n">
        <v>306</v>
      </c>
      <c r="F2" s="14" t="n">
        <v>4.5</v>
      </c>
      <c r="G2" s="11" t="inlineStr">
        <is>
          <t>なし</t>
        </is>
      </c>
      <c r="H2" s="11" t="inlineStr">
        <is>
          <t>車検整備付</t>
        </is>
      </c>
      <c r="I2" s="11" t="inlineStr">
        <is>
          <t>保証付</t>
        </is>
      </c>
      <c r="J2" s="15" t="inlineStr">
        <is>
          <t>走行が少なめ（4.5万km） / 修復歴なし / 車検整備付 / 保証付</t>
        </is>
      </c>
      <c r="K2" s="15" t="inlineStr">
        <is>
          <t>A8 4.0 TFSI クワトロ 4WD V8 4000ccターボ 8速オートマ 4WD S8プラススタイリングPKG アダプティブエアサスペンション アダプティブクルーズ サラウンドビューカメラ アルカンタラルーフ ベンチレーターシート 記録簿</t>
        </is>
      </c>
      <c r="L2" s="11" t="inlineStr">
        <is>
          <t>https://www.carsensor.net/usedcar/detail/AU7172630162/index.html</t>
        </is>
      </c>
    </row>
    <row r="3">
      <c r="A3" s="16" t="n">
        <v>2020</v>
      </c>
      <c r="B3" s="6" t="inlineStr">
        <is>
          <t>55 TFSI クワトロ</t>
        </is>
      </c>
      <c r="C3" s="17" t="n">
        <v>5.9</v>
      </c>
      <c r="D3" s="8" t="n">
        <v>409.7</v>
      </c>
      <c r="E3" s="8" t="n">
        <v>398</v>
      </c>
      <c r="F3" s="9" t="n">
        <v>3.1</v>
      </c>
      <c r="G3" s="6" t="inlineStr">
        <is>
          <t>なし</t>
        </is>
      </c>
      <c r="H3" s="6" t="inlineStr">
        <is>
          <t>2028(R10)年02月</t>
        </is>
      </c>
      <c r="I3" s="6" t="inlineStr">
        <is>
          <t>保証付</t>
        </is>
      </c>
      <c r="J3" s="15" t="inlineStr">
        <is>
          <t>走行が少なめ（3.1万km） / 修復歴なし / 車検 2028/02 まで（残り17ヶ月） / 保証付</t>
        </is>
      </c>
      <c r="K3" s="15" t="inlineStr">
        <is>
          <t>A8 55 TFSI クワトロ 4WD レーザーライトPKG 黒革 パノラマSR Bang&amp;Olufsenサラウンド デジタルマトリクスLEDヘッドランプ シートH ベンチレーション 純正MMiナビ 360°カメラ 純正19AW 禁煙 正規ディーラー車</t>
        </is>
      </c>
      <c r="L3" s="6" t="inlineStr">
        <is>
          <t>https://www.carsensor.net/usedcar/detail/AU7210360741/index.html</t>
        </is>
      </c>
    </row>
    <row r="4">
      <c r="A4" s="10" t="n">
        <v>2019</v>
      </c>
      <c r="B4" s="11" t="inlineStr">
        <is>
          <t>55 TFSI クワトロ</t>
        </is>
      </c>
      <c r="C4" s="12" t="n">
        <v>5.5</v>
      </c>
      <c r="D4" s="13" t="n">
        <v>519</v>
      </c>
      <c r="E4" s="13" t="n">
        <v>495</v>
      </c>
      <c r="F4" s="14" t="n">
        <v>3.2</v>
      </c>
      <c r="G4" s="11" t="inlineStr">
        <is>
          <t>なし</t>
        </is>
      </c>
      <c r="H4" s="11" t="inlineStr">
        <is>
          <t>車検整備付</t>
        </is>
      </c>
      <c r="I4" s="11" t="inlineStr">
        <is>
          <t>保証付</t>
        </is>
      </c>
      <c r="J4" s="15" t="inlineStr">
        <is>
          <t>走行が少なめ（3.2万km） / 修復歴なし / 車検整備付 / 保証付</t>
        </is>
      </c>
      <c r="K4" s="15" t="inlineStr">
        <is>
          <t>A8 55 TFSI クワトロ 4WD</t>
        </is>
      </c>
      <c r="L4" s="11" t="inlineStr">
        <is>
          <t>https://www.carsensor.net/usedcar/detail/AU0669261401/index.html</t>
        </is>
      </c>
    </row>
    <row r="5">
      <c r="A5" s="16" t="n">
        <v>2019</v>
      </c>
      <c r="B5" s="6" t="inlineStr">
        <is>
          <t>55 TFSI クワトロ</t>
        </is>
      </c>
      <c r="C5" s="17" t="n">
        <v>4.4</v>
      </c>
      <c r="D5" s="8" t="n">
        <v>329.5</v>
      </c>
      <c r="E5" s="8" t="n">
        <v>319</v>
      </c>
      <c r="F5" s="9" t="n">
        <v>5.4</v>
      </c>
      <c r="G5" s="6" t="inlineStr">
        <is>
          <t>なし</t>
        </is>
      </c>
      <c r="H5" s="6" t="inlineStr">
        <is>
          <t>2028(R10)年02月</t>
        </is>
      </c>
      <c r="I5" s="6" t="inlineStr">
        <is>
          <t>保証付</t>
        </is>
      </c>
      <c r="J5" s="15" t="inlineStr">
        <is>
          <t>修復歴なし / 車検 2028/02 まで（残り17ヶ月） / 保証付</t>
        </is>
      </c>
      <c r="K5" s="15" t="inlineStr">
        <is>
          <t>A8 55 TFSI クワトロ 4WD 1オーナー車 毎年ディーラー整備記録簿7枚 HDマトリクスLED 黒革 コンフォートシート 純正19インチAW バーチャルCP ACC サイドアシスト ヒーター&amp;ベンチレーション HUD リア電動シェード TV 前後パークセンサー ETC</t>
        </is>
      </c>
      <c r="L5" s="6" t="inlineStr">
        <is>
          <t>https://www.carsensor.net/usedcar/detail/AU7142067780/index.html</t>
        </is>
      </c>
    </row>
    <row r="6">
      <c r="A6" s="10" t="n">
        <v>2018</v>
      </c>
      <c r="B6" s="11" t="inlineStr">
        <is>
          <t>55 TFSI クワトロ</t>
        </is>
      </c>
      <c r="C6" s="12" t="n">
        <v>4.2</v>
      </c>
      <c r="D6" s="13" t="n">
        <v>313.9</v>
      </c>
      <c r="E6" s="13" t="n">
        <v>306.9</v>
      </c>
      <c r="F6" s="14" t="n">
        <v>5.1</v>
      </c>
      <c r="G6" s="11" t="inlineStr">
        <is>
          <t>なし</t>
        </is>
      </c>
      <c r="H6" s="11" t="inlineStr">
        <is>
          <t>2027(R09)年11月</t>
        </is>
      </c>
      <c r="I6" s="11" t="inlineStr">
        <is>
          <t>保証付</t>
        </is>
      </c>
      <c r="J6" s="15" t="inlineStr">
        <is>
          <t>修復歴なし / 車検 2027/11 まで（残り14ヶ月） / 保証付</t>
        </is>
      </c>
      <c r="K6" s="15" t="inlineStr">
        <is>
          <t>A8 55 TFSI クワトロ 4WD パノラマサンルーフ/アダプティブクルーズコントロール/プレセンス/LEDライト/純正ナビ地デジ/全方位カメラ/20AW/電動リアゲート/液晶メーター/茶レザーエアシート/ベンチレーション/Appleカープレイ/6か月保証付き</t>
        </is>
      </c>
      <c r="L6" s="11" t="inlineStr">
        <is>
          <t>https://www.carsensor.net/usedcar/detail/AU7283065310/index.html</t>
        </is>
      </c>
    </row>
    <row r="7">
      <c r="A7" s="16" t="n">
        <v>2018</v>
      </c>
      <c r="B7" s="6" t="inlineStr">
        <is>
          <t>55 TFSI クワトロ</t>
        </is>
      </c>
      <c r="C7" s="17" t="n">
        <v>4.2</v>
      </c>
      <c r="D7" s="8" t="n">
        <v>355</v>
      </c>
      <c r="E7" s="8" t="n">
        <v>345</v>
      </c>
      <c r="F7" s="9" t="n">
        <v>5.8</v>
      </c>
      <c r="G7" s="6" t="inlineStr">
        <is>
          <t>なし</t>
        </is>
      </c>
      <c r="H7" s="6" t="inlineStr">
        <is>
          <t>2027(R09)年12月</t>
        </is>
      </c>
      <c r="I7" s="6" t="inlineStr">
        <is>
          <t>保証付</t>
        </is>
      </c>
      <c r="J7" s="15" t="inlineStr">
        <is>
          <t>修復歴なし / 車検 2027/12 まで（残り15ヶ月） / 保証付</t>
        </is>
      </c>
      <c r="K7" s="15" t="inlineStr">
        <is>
          <t>A8 55 TFSI クワトロ 4WD 純正OP20AW カープレイ 地デジ バーチャルコックピット 全方位カメラ BANG&amp;OLUFSEN マトリクスLEDヘッドライト Frシートベンチレーションマッサージ マルチカラーアンビエントライト</t>
        </is>
      </c>
      <c r="L7" s="6" t="inlineStr">
        <is>
          <t>https://www.carsensor.net/usedcar/detail/AU7072567606/index.html</t>
        </is>
      </c>
    </row>
    <row r="8">
      <c r="A8" s="10" t="n">
        <v>2019</v>
      </c>
      <c r="B8" s="11" t="inlineStr">
        <is>
          <t>55 TFSI クワトロ</t>
        </is>
      </c>
      <c r="C8" s="12" t="n">
        <v>4</v>
      </c>
      <c r="D8" s="13" t="n">
        <v>418.5</v>
      </c>
      <c r="E8" s="13" t="n">
        <v>398</v>
      </c>
      <c r="F8" s="14" t="n">
        <v>3.9</v>
      </c>
      <c r="G8" s="11" t="inlineStr">
        <is>
          <t>なし</t>
        </is>
      </c>
      <c r="H8" s="11" t="inlineStr">
        <is>
          <t>車検整備付</t>
        </is>
      </c>
      <c r="I8" s="11" t="inlineStr">
        <is>
          <t>保証付</t>
        </is>
      </c>
      <c r="J8" s="15" t="inlineStr">
        <is>
          <t>修復歴なし / 車検整備付 / 保証付</t>
        </is>
      </c>
      <c r="K8" s="15" t="inlineStr">
        <is>
          <t>A8 55 TFSI クワトロ 4WD HDマトリクスLEDヘッドライト レーザーライトパッケージ アシスタンスパッケージ コンフォートP ダイナミックオールホイールステアリング プライバシーガラス マルチカラーアンビエントライト 認定中古車</t>
        </is>
      </c>
      <c r="L8" s="11" t="inlineStr">
        <is>
          <t>https://www.carsensor.net/usedcar/detail/AU7257071539/index.html</t>
        </is>
      </c>
    </row>
    <row r="9">
      <c r="A9" s="16" t="n">
        <v>2018</v>
      </c>
      <c r="B9" s="6" t="inlineStr">
        <is>
          <t>55 TFSI クワトロ</t>
        </is>
      </c>
      <c r="C9" s="17" t="n">
        <v>4</v>
      </c>
      <c r="D9" s="8" t="n">
        <v>336.7</v>
      </c>
      <c r="E9" s="8" t="n">
        <v>309</v>
      </c>
      <c r="F9" s="9" t="n">
        <v>7.6</v>
      </c>
      <c r="G9" s="6" t="inlineStr">
        <is>
          <t>なし</t>
        </is>
      </c>
      <c r="H9" s="6" t="inlineStr">
        <is>
          <t>車検整備付</t>
        </is>
      </c>
      <c r="I9" s="6" t="inlineStr">
        <is>
          <t>保証付</t>
        </is>
      </c>
      <c r="J9" s="15" t="inlineStr">
        <is>
          <t>修復歴なし / 車検整備付 / 保証付</t>
        </is>
      </c>
      <c r="K9" s="15" t="inlineStr">
        <is>
          <t>A8 55 TFSI クワトロ 4WD HDDナビ 360 カメラ 地デジ 黒革 パワーシート シートヒーターベンチレーション バーチャルコックピット アダプティブドライブアシスト 21インチS8純正ホイール アダプティブドライブアシスト</t>
        </is>
      </c>
      <c r="L9" s="6" t="inlineStr">
        <is>
          <t>https://www.carsensor.net/usedcar/detail/AU6694728130/index.html</t>
        </is>
      </c>
    </row>
    <row r="10">
      <c r="A10" s="10" t="n">
        <v>2019</v>
      </c>
      <c r="B10" s="11" t="inlineStr">
        <is>
          <t>55 TFSI クワトロ</t>
        </is>
      </c>
      <c r="C10" s="12" t="n">
        <v>4</v>
      </c>
      <c r="D10" s="13" t="n">
        <v>397</v>
      </c>
      <c r="E10" s="13" t="n">
        <v>378</v>
      </c>
      <c r="F10" s="14" t="n">
        <v>4.2</v>
      </c>
      <c r="G10" s="11" t="inlineStr">
        <is>
          <t>なし</t>
        </is>
      </c>
      <c r="H10" s="11" t="inlineStr">
        <is>
          <t>車検整備付</t>
        </is>
      </c>
      <c r="I10" s="11" t="inlineStr">
        <is>
          <t>保証付</t>
        </is>
      </c>
      <c r="J10" s="15" t="inlineStr">
        <is>
          <t>修復歴なし / 車検整備付 / 保証付</t>
        </is>
      </c>
      <c r="K10" s="15" t="inlineStr">
        <is>
          <t>A8 55 TFSI クワトロ 4WD</t>
        </is>
      </c>
      <c r="L10" s="11" t="inlineStr">
        <is>
          <t>https://www.carsensor.net/usedcar/detail/AU6719564812/index.html</t>
        </is>
      </c>
    </row>
    <row r="11">
      <c r="A11" s="16" t="n">
        <v>2018</v>
      </c>
      <c r="B11" s="6" t="inlineStr">
        <is>
          <t>55 TFSI クワトロ</t>
        </is>
      </c>
      <c r="C11" s="17" t="n">
        <v>3.3</v>
      </c>
      <c r="D11" s="8" t="n">
        <v>344.8</v>
      </c>
      <c r="E11" s="8" t="n">
        <v>324.8</v>
      </c>
      <c r="F11" s="9" t="n">
        <v>6.5</v>
      </c>
      <c r="G11" s="6" t="inlineStr">
        <is>
          <t>なし</t>
        </is>
      </c>
      <c r="H11" s="6" t="inlineStr">
        <is>
          <t>2028(R10)年01月</t>
        </is>
      </c>
      <c r="I11" s="6" t="inlineStr">
        <is>
          <t>保証無</t>
        </is>
      </c>
      <c r="J11" s="15" t="inlineStr">
        <is>
          <t>修復歴なし / 車検 2028/01 まで（残り16ヶ月）</t>
        </is>
      </c>
      <c r="K11" s="15" t="inlineStr">
        <is>
          <t>A8 55 TFSI クワトロ 4WD MMIナビゲーション 全方位カメラ ダイナミック オールホイール ステアリング BANG&amp;OLUFSEN マルチカラーアンビエントライト アダプティブクルーズコントロール コンフォートパッケージ</t>
        </is>
      </c>
      <c r="L11" s="6" t="inlineStr">
        <is>
          <t>https://www.carsensor.net/usedcar/detail/AU7212121668/index.html</t>
        </is>
      </c>
    </row>
    <row r="12">
      <c r="A12" s="10" t="n">
        <v>2020</v>
      </c>
      <c r="B12" s="11" t="inlineStr">
        <is>
          <t>55 TFSI クワトロ</t>
        </is>
      </c>
      <c r="C12" s="12" t="n">
        <v>3.2</v>
      </c>
      <c r="D12" s="13" t="n">
        <v>378</v>
      </c>
      <c r="E12" s="13" t="n">
        <v>358</v>
      </c>
      <c r="F12" s="14" t="n">
        <v>4.6</v>
      </c>
      <c r="G12" s="11" t="inlineStr">
        <is>
          <t>なし</t>
        </is>
      </c>
      <c r="H12" s="11" t="inlineStr">
        <is>
          <t>2027(R09)年12月</t>
        </is>
      </c>
      <c r="I12" s="11" t="inlineStr">
        <is>
          <t>保証無</t>
        </is>
      </c>
      <c r="J12" s="15" t="inlineStr">
        <is>
          <t>修復歴なし / 車検 2027/12 まで（残り15ヶ月）</t>
        </is>
      </c>
      <c r="K12" s="15" t="inlineStr">
        <is>
          <t>A8 55 TFSI クワトロ 4WD コンフォートPKG・エアクオリティPKG・B&amp;O・ダイナミックホイールステアリング・アンビエントライト・スマートフォンワイヤレスチャージング・20inch 20スポークデザインAW・ブルカラーバーチャルコックピット</t>
        </is>
      </c>
      <c r="L12" s="11" t="inlineStr">
        <is>
          <t>https://www.carsensor.net/usedcar/detail/AU6696496050/index.html</t>
        </is>
      </c>
    </row>
    <row r="13">
      <c r="A13" s="16" t="n">
        <v>2018</v>
      </c>
      <c r="B13" s="6" t="inlineStr">
        <is>
          <t>55 TFSI クワトロ</t>
        </is>
      </c>
      <c r="C13" s="17" t="n">
        <v>3.2</v>
      </c>
      <c r="D13" s="8" t="n">
        <v>378</v>
      </c>
      <c r="E13" s="8" t="n">
        <v>368</v>
      </c>
      <c r="F13" s="9" t="n">
        <v>5.4</v>
      </c>
      <c r="G13" s="6" t="inlineStr">
        <is>
          <t>なし</t>
        </is>
      </c>
      <c r="H13" s="6" t="inlineStr">
        <is>
          <t>2027(R09)年12月</t>
        </is>
      </c>
      <c r="I13" s="6" t="inlineStr">
        <is>
          <t>保証無</t>
        </is>
      </c>
      <c r="J13" s="15" t="inlineStr">
        <is>
          <t>修復歴なし / 車検 2027/12 まで（残り15ヶ月）</t>
        </is>
      </c>
      <c r="K13" s="15" t="inlineStr">
        <is>
          <t>A8 55 TFSI クワトロ 4WD コンフォートパッケージ/アシスタンスパッケージ/バーチャルコックピット/地デジ/全方位カメラ/ブラインドスポットモニター/ETC2.0/イージークローザー/ヘッドアップディスプレイ</t>
        </is>
      </c>
      <c r="L13" s="6" t="inlineStr">
        <is>
          <t>https://www.carsensor.net/usedcar/detail/AU6614060918/index.html</t>
        </is>
      </c>
    </row>
    <row r="14">
      <c r="A14" s="10" t="n">
        <v>2018</v>
      </c>
      <c r="B14" s="11" t="inlineStr">
        <is>
          <t>55 TFSI クワトロ</t>
        </is>
      </c>
      <c r="C14" s="12" t="n">
        <v>3.1</v>
      </c>
      <c r="D14" s="13" t="n">
        <v>344.7</v>
      </c>
      <c r="E14" s="13" t="n">
        <v>334.7</v>
      </c>
      <c r="F14" s="14" t="n">
        <v>6.2</v>
      </c>
      <c r="G14" s="11" t="inlineStr">
        <is>
          <t>なし</t>
        </is>
      </c>
      <c r="H14" s="11" t="inlineStr">
        <is>
          <t>2027(R09)年10月</t>
        </is>
      </c>
      <c r="I14" s="11" t="inlineStr">
        <is>
          <t>保証無</t>
        </is>
      </c>
      <c r="J14" s="15" t="inlineStr">
        <is>
          <t>修復歴なし / 車検 2027/10 まで（残り13ヶ月）</t>
        </is>
      </c>
      <c r="K14" s="15" t="inlineStr">
        <is>
          <t>A8 55 TFSI クワトロ 4WD バーチャルコックピット・茶革電動シート・サンルーフ・21インチアルミ・アダプティブクルーズコントロール・レーダー探知機・全周囲カメラ・エアサス・電動リアゲート・シートベンチレーション・ETC2.0</t>
        </is>
      </c>
      <c r="L14" s="11" t="inlineStr">
        <is>
          <t>https://www.carsensor.net/usedcar/detail/AU7199799146/index.html</t>
        </is>
      </c>
    </row>
    <row r="15">
      <c r="A15" s="16" t="n">
        <v>2018</v>
      </c>
      <c r="B15" s="6" t="inlineStr">
        <is>
          <t>55 TFSI クワトロ</t>
        </is>
      </c>
      <c r="C15" s="17" t="n">
        <v>2.8</v>
      </c>
      <c r="D15" s="8" t="n">
        <v>345</v>
      </c>
      <c r="E15" s="8" t="n">
        <v>335</v>
      </c>
      <c r="F15" s="9" t="n">
        <v>6.3</v>
      </c>
      <c r="G15" s="6" t="inlineStr">
        <is>
          <t>なし</t>
        </is>
      </c>
      <c r="H15" s="6" t="inlineStr">
        <is>
          <t>2027(R09)年06月</t>
        </is>
      </c>
      <c r="I15" s="6" t="inlineStr">
        <is>
          <t>保証無</t>
        </is>
      </c>
      <c r="J15" s="15" t="inlineStr">
        <is>
          <t>修復歴なし / 車検 2027/06 まで（残り9ヶ月）</t>
        </is>
      </c>
      <c r="K15" s="15" t="inlineStr">
        <is>
          <t>A8 55 TFSI クワトロ 4WD コンフォートパッケージ 360°カメラ</t>
        </is>
      </c>
      <c r="L15" s="6" t="inlineStr">
        <is>
          <t>https://www.carsensor.net/usedcar/detail/AU6335342378/index.html</t>
        </is>
      </c>
    </row>
    <row r="16">
      <c r="A16" s="10" t="n">
        <v>2019</v>
      </c>
      <c r="B16" s="11" t="inlineStr">
        <is>
          <t>55 TFSI クワトロ</t>
        </is>
      </c>
      <c r="C16" s="12" t="n">
        <v>2.4</v>
      </c>
      <c r="D16" s="13" t="n">
        <v>343.8</v>
      </c>
      <c r="E16" s="13" t="n">
        <v>333.3</v>
      </c>
      <c r="F16" s="14" t="n">
        <v>6</v>
      </c>
      <c r="G16" s="11" t="inlineStr">
        <is>
          <t>なし</t>
        </is>
      </c>
      <c r="H16" s="11" t="inlineStr">
        <is>
          <t>2027(R09)年02月</t>
        </is>
      </c>
      <c r="I16" s="11" t="inlineStr">
        <is>
          <t>保証無</t>
        </is>
      </c>
      <c r="J16" s="15" t="inlineStr">
        <is>
          <t>修復歴なし / 車検 2027/02 まで（残り5ヶ月）</t>
        </is>
      </c>
      <c r="K16" s="15" t="inlineStr">
        <is>
          <t>A8 55 TFSI クワトロ 4WD</t>
        </is>
      </c>
      <c r="L16" s="11" t="inlineStr">
        <is>
          <t>https://www.carsensor.net/usedcar/detail/AU7106160514/index.html</t>
        </is>
      </c>
    </row>
    <row r="17">
      <c r="A17" s="16" t="n">
        <v>2020</v>
      </c>
      <c r="B17" s="6" t="inlineStr">
        <is>
          <t>55 TFSI クワトロ</t>
        </is>
      </c>
      <c r="C17" s="17" t="n">
        <v>2</v>
      </c>
      <c r="D17" s="8" t="n">
        <v>398</v>
      </c>
      <c r="E17" s="8" t="n">
        <v>388</v>
      </c>
      <c r="F17" s="9" t="n">
        <v>8.199999999999999</v>
      </c>
      <c r="G17" s="6" t="inlineStr">
        <is>
          <t>なし</t>
        </is>
      </c>
      <c r="H17" s="6" t="inlineStr">
        <is>
          <t>2027(R09)年03月</t>
        </is>
      </c>
      <c r="I17" s="6" t="inlineStr">
        <is>
          <t>保証付</t>
        </is>
      </c>
      <c r="J17" s="15" t="inlineStr">
        <is>
          <t>走行が多め（8.2万km） / 修復歴なし / 車検 2027/03 まで（残り6ヶ月） / 保証付</t>
        </is>
      </c>
      <c r="K17" s="15" t="inlineStr">
        <is>
          <t>A8 55 TFSI クワトロ 4WD 1年無制限距離保証付 法人ユーザー様買取車</t>
        </is>
      </c>
      <c r="L17" s="6" t="inlineStr">
        <is>
          <t>https://www.carsensor.net/usedcar/detail/AU6576451958/index.html</t>
        </is>
      </c>
    </row>
    <row r="18">
      <c r="A18" s="10" t="n">
        <v>2021</v>
      </c>
      <c r="B18" s="11" t="inlineStr">
        <is>
          <t>グランド ツーリング リミテッド</t>
        </is>
      </c>
      <c r="C18" s="12" t="n">
        <v>5.5</v>
      </c>
      <c r="D18" s="13" t="n">
        <v>520.8</v>
      </c>
      <c r="E18" s="13" t="n">
        <v>506.5</v>
      </c>
      <c r="F18" s="14" t="n">
        <v>1.7</v>
      </c>
      <c r="G18" s="11" t="inlineStr">
        <is>
          <t>なし</t>
        </is>
      </c>
      <c r="H18" s="11" t="inlineStr">
        <is>
          <t>車検整備付</t>
        </is>
      </c>
      <c r="I18" s="11" t="inlineStr">
        <is>
          <t>保証付</t>
        </is>
      </c>
      <c r="J18" s="15" t="inlineStr">
        <is>
          <t>走行が少なめ（1.7万km） / 修復歴なし / 車検整備付 / 保証付</t>
        </is>
      </c>
      <c r="K18" s="15" t="inlineStr">
        <is>
          <t>A8 グランド ツーリング リミテッド 4WD 限定50台/BANG&amp;OLUFSENサウンド/レーザーライト/AppleCarPlay/全周囲カメラ/電動リアゲート/シートヒーター&amp;ベンチレーション/ヘッドアップディスプレイ/レーダークルーズ/ブラインドスポット/ETC/純正アルミ/</t>
        </is>
      </c>
      <c r="L18" s="11" t="inlineStr">
        <is>
          <t>https://www.carsensor.net/usedcar/detail/AU7248266605/index.html</t>
        </is>
      </c>
    </row>
    <row r="19">
      <c r="A19" s="16" t="n">
        <v>2021</v>
      </c>
      <c r="B19" s="6" t="inlineStr">
        <is>
          <t>グランド ツーリング リミテッド</t>
        </is>
      </c>
      <c r="C19" s="17" t="n">
        <v>4</v>
      </c>
      <c r="D19" s="8" t="n">
        <v>499.3</v>
      </c>
      <c r="E19" s="8" t="n">
        <v>482</v>
      </c>
      <c r="F19" s="9" t="n">
        <v>3.2</v>
      </c>
      <c r="G19" s="6" t="inlineStr">
        <is>
          <t>なし</t>
        </is>
      </c>
      <c r="H19" s="6" t="inlineStr">
        <is>
          <t>車検整備付</t>
        </is>
      </c>
      <c r="I19" s="6" t="inlineStr">
        <is>
          <t>保証付</t>
        </is>
      </c>
      <c r="J19" s="15" t="inlineStr">
        <is>
          <t>修復歴なし / 車検整備付 / 保証付</t>
        </is>
      </c>
      <c r="K19" s="15" t="inlineStr">
        <is>
          <t>A8 グランド ツーリング リミテッド 4WD 正規D車 国内限定50台 外装色:スズカグレーメタリック ブラックスタイリング/AudiレーザーライトPKG スポーツエクステリア アダプティブエアサス ブラックレザーシート/ヒーター B&amp;Oサウンド</t>
        </is>
      </c>
      <c r="L19" s="6" t="inlineStr">
        <is>
          <t>https://www.carsensor.net/usedcar/detail/AU7196484260/index.html</t>
        </is>
      </c>
    </row>
  </sheetData>
  <autoFilter ref="A1:L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8" customWidth="1" min="4" max="4"/>
    <col width="18" customWidth="1" min="5" max="5"/>
    <col width="12" customWidth="1" min="6" max="6"/>
    <col width="16" customWidth="1" min="7" max="7"/>
    <col width="16" customWidth="1" min="8" max="8"/>
    <col width="20" customWidth="1" min="9" max="9"/>
    <col width="22" customWidth="1" min="10" max="10"/>
    <col width="10" customWidth="1" min="11" max="11"/>
    <col width="34" customWidth="1" min="12" max="12"/>
    <col width="18" customWidth="1" min="13" max="13"/>
    <col width="16" customWidth="1" min="14" max="14"/>
    <col width="12" customWidth="1" min="15" max="15"/>
  </cols>
  <sheetData>
    <row r="1" ht="32" customHeight="1">
      <c r="A1" s="5" t="inlineStr">
        <is>
          <t>年式</t>
        </is>
      </c>
      <c r="B1" s="5" t="inlineStr">
        <is>
          <t>車齢</t>
        </is>
      </c>
      <c r="C1" s="5" t="inlineStr">
        <is>
          <t>自動車税</t>
        </is>
      </c>
      <c r="D1" s="5" t="inlineStr">
        <is>
          <t>重量税(年割)</t>
        </is>
      </c>
      <c r="E1" s="5" t="inlineStr">
        <is>
          <t>自賠責(年割)</t>
        </is>
      </c>
      <c r="F1" s="5" t="inlineStr">
        <is>
          <t>任意保険</t>
        </is>
      </c>
      <c r="G1" s="5" t="inlineStr">
        <is>
          <t>車検(年割)</t>
        </is>
      </c>
      <c r="H1" s="5" t="inlineStr">
        <is>
          <t>整備・消耗品</t>
        </is>
      </c>
      <c r="I1" s="5" t="inlineStr">
        <is>
          <t>年間走行(km)</t>
        </is>
      </c>
      <c r="J1" s="5" t="inlineStr">
        <is>
          <t>実燃費(km/L)</t>
        </is>
      </c>
      <c r="K1" s="5" t="inlineStr">
        <is>
          <t>燃料</t>
        </is>
      </c>
      <c r="L1" s="5" t="inlineStr">
        <is>
          <t>保有中に来る故障</t>
        </is>
      </c>
      <c r="M1" s="5" t="inlineStr">
        <is>
          <t>整備予備費/年</t>
        </is>
      </c>
      <c r="N1" s="5" t="inlineStr">
        <is>
          <t>現金支出/年</t>
        </is>
      </c>
      <c r="O1" s="5" t="inlineStr">
        <is>
          <t>月あたり</t>
        </is>
      </c>
    </row>
    <row r="2">
      <c r="A2" s="10" t="n">
        <v>2018</v>
      </c>
      <c r="B2" s="10" t="n">
        <v>8</v>
      </c>
      <c r="C2" s="18" t="n">
        <v>66500</v>
      </c>
      <c r="D2" s="18" t="n">
        <v>20500</v>
      </c>
      <c r="E2" s="18" t="n">
        <v>8825</v>
      </c>
      <c r="F2" s="18" t="n">
        <v>60000</v>
      </c>
      <c r="G2" s="18" t="n">
        <v>30000</v>
      </c>
      <c r="H2" s="18" t="n">
        <v>30000</v>
      </c>
      <c r="I2" s="18" t="n">
        <v>6857</v>
      </c>
      <c r="J2" s="14" t="n">
        <v>7</v>
      </c>
      <c r="K2" s="18" t="n">
        <v>171429</v>
      </c>
      <c r="L2" s="15" t="inlineStr">
        <is>
          <t>電気装置(35,000km)、動力伝達(12,000km)</t>
        </is>
      </c>
      <c r="M2" s="18" t="n">
        <v>36000</v>
      </c>
      <c r="N2" s="18" t="n">
        <v>423254</v>
      </c>
      <c r="O2" s="18" t="n">
        <v>35271</v>
      </c>
    </row>
    <row r="3">
      <c r="A3" s="16" t="n">
        <v>2019</v>
      </c>
      <c r="B3" s="16" t="n">
        <v>7</v>
      </c>
      <c r="C3" s="7" t="n">
        <v>65500</v>
      </c>
      <c r="D3" s="7" t="n">
        <v>20500</v>
      </c>
      <c r="E3" s="7" t="n">
        <v>8825</v>
      </c>
      <c r="F3" s="7" t="n">
        <v>60000</v>
      </c>
      <c r="G3" s="7" t="n">
        <v>30000</v>
      </c>
      <c r="H3" s="7" t="n">
        <v>30000</v>
      </c>
      <c r="I3" s="7" t="n">
        <v>6857</v>
      </c>
      <c r="J3" s="9" t="n">
        <v>7</v>
      </c>
      <c r="K3" s="7" t="n">
        <v>171429</v>
      </c>
      <c r="L3" s="15" t="inlineStr">
        <is>
          <t>エンジン(50,000km)、燃料装置(65,000km)、車枠・車体(82,000km)</t>
        </is>
      </c>
      <c r="M3" s="7" t="n">
        <v>78000</v>
      </c>
      <c r="N3" s="7" t="n">
        <v>464254</v>
      </c>
      <c r="O3" s="7" t="n">
        <v>38688</v>
      </c>
    </row>
    <row r="4">
      <c r="A4" s="10" t="n">
        <v>2020</v>
      </c>
      <c r="B4" s="10" t="n">
        <v>6</v>
      </c>
      <c r="C4" s="18" t="n">
        <v>65500</v>
      </c>
      <c r="D4" s="18" t="n">
        <v>20500</v>
      </c>
      <c r="E4" s="18" t="n">
        <v>8825</v>
      </c>
      <c r="F4" s="18" t="n">
        <v>60000</v>
      </c>
      <c r="G4" s="18" t="n">
        <v>30000</v>
      </c>
      <c r="H4" s="18" t="n">
        <v>30000</v>
      </c>
      <c r="I4" s="18" t="n">
        <v>6857</v>
      </c>
      <c r="J4" s="14" t="n">
        <v>7</v>
      </c>
      <c r="K4" s="18" t="n">
        <v>171429</v>
      </c>
      <c r="L4" s="15" t="inlineStr">
        <is>
          <t>燃料装置(65,000km)、車枠・車体(82,000km)</t>
        </is>
      </c>
      <c r="M4" s="18" t="n">
        <v>78000</v>
      </c>
      <c r="N4" s="18" t="n">
        <v>464254</v>
      </c>
      <c r="O4" s="18" t="n">
        <v>38688</v>
      </c>
    </row>
  </sheetData>
  <autoFilter ref="A1:O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8" customWidth="1" min="3" max="3"/>
    <col width="18" customWidth="1" min="4" max="4"/>
    <col width="10" customWidth="1" min="5" max="5"/>
    <col width="10" customWidth="1" min="6" max="6"/>
    <col width="10" customWidth="1" min="7" max="7"/>
    <col width="34" customWidth="1" min="8" max="8"/>
    <col width="10" customWidth="1" min="9" max="9"/>
  </cols>
  <sheetData>
    <row r="1" ht="32" customHeight="1">
      <c r="A1" s="5" t="inlineStr">
        <is>
          <t>終了日</t>
        </is>
      </c>
      <c r="B1" s="5" t="inlineStr">
        <is>
          <t>年式</t>
        </is>
      </c>
      <c r="C1" s="5" t="inlineStr">
        <is>
          <t>落札額(万円)</t>
        </is>
      </c>
      <c r="D1" s="5" t="inlineStr">
        <is>
          <t>走行(万km)</t>
        </is>
      </c>
      <c r="E1" s="5" t="inlineStr">
        <is>
          <t>修復歴</t>
        </is>
      </c>
      <c r="F1" s="5" t="inlineStr">
        <is>
          <t>入札数</t>
        </is>
      </c>
      <c r="G1" s="5" t="inlineStr">
        <is>
          <t>出品者</t>
        </is>
      </c>
      <c r="H1" s="5" t="inlineStr">
        <is>
          <t>タイトル</t>
        </is>
      </c>
      <c r="I1" s="5" t="inlineStr">
        <is>
          <t>URL</t>
        </is>
      </c>
    </row>
    <row r="2">
      <c r="A2" s="11" t="inlineStr">
        <is>
          <t>2026-08-09</t>
        </is>
      </c>
      <c r="B2" s="10" t="n">
        <v>2012</v>
      </c>
      <c r="C2" s="13" t="n">
        <v>69</v>
      </c>
      <c r="D2" s="14" t="n">
        <v>11.7</v>
      </c>
      <c r="E2" s="11" t="inlineStr">
        <is>
          <t>なし</t>
        </is>
      </c>
      <c r="F2" s="18" t="n">
        <v>1</v>
      </c>
      <c r="G2" s="11" t="inlineStr">
        <is>
          <t>個人</t>
        </is>
      </c>
      <c r="H2" s="15" t="inlineStr">
        <is>
          <t>2013年モデル ガレージ保管 ブラックカラー 本日試乗済 アウディ A8 4.0TFSI クワトロ プレセンスPKG 正規ディーラー車 出品中現車確認可能</t>
        </is>
      </c>
      <c r="I2" s="11" t="inlineStr">
        <is>
          <t>https://page.auctions.yahoo.co.jp/jp/auction/r1226760580</t>
        </is>
      </c>
    </row>
    <row r="3">
      <c r="A3" s="6" t="inlineStr">
        <is>
          <t>2026-07-16</t>
        </is>
      </c>
      <c r="B3" s="16" t="n">
        <v>2017</v>
      </c>
      <c r="C3" s="8" t="n">
        <v>150</v>
      </c>
      <c r="D3" s="9" t="n">
        <v>5.8</v>
      </c>
      <c r="E3" s="6" t="inlineStr">
        <is>
          <t>なし</t>
        </is>
      </c>
      <c r="F3" s="7" t="n">
        <v>1</v>
      </c>
      <c r="G3" s="6" t="inlineStr">
        <is>
          <t>個人</t>
        </is>
      </c>
      <c r="H3" s="15" t="inlineStr">
        <is>
          <t>★H29年アウディA8 3.0TFSIクワトロ★サンルーフ★純正ナビ・地デジ・Bletooth・F＆Rカメラキャンセラー★BOSEサウンド★ACC★車検R10年7月</t>
        </is>
      </c>
      <c r="I3" s="6" t="inlineStr">
        <is>
          <t>https://page.auctions.yahoo.co.jp/jp/auction/u1233497857</t>
        </is>
      </c>
    </row>
    <row r="4">
      <c r="A4" s="11" t="inlineStr">
        <is>
          <t>2026-07-01</t>
        </is>
      </c>
      <c r="B4" s="10" t="n">
        <v>2011</v>
      </c>
      <c r="C4" s="13" t="n">
        <v>40.6</v>
      </c>
      <c r="D4" s="14" t="n">
        <v>11.8</v>
      </c>
      <c r="E4" s="11" t="inlineStr">
        <is>
          <t>不明</t>
        </is>
      </c>
      <c r="F4" s="18" t="n">
        <v>128</v>
      </c>
      <c r="G4" s="11" t="inlineStr">
        <is>
          <t>個人</t>
        </is>
      </c>
      <c r="H4" s="15" t="inlineStr">
        <is>
          <t>アウディA8 2011年式　走行118000km 4wd クワトロ　車検切れ　スーパーチャージャー　 4.2Lのオプション付き　シートクーラー　サンルーフ</t>
        </is>
      </c>
      <c r="I4" s="11" t="inlineStr">
        <is>
          <t>https://page.auctions.yahoo.co.jp/jp/auction/1234601041</t>
        </is>
      </c>
    </row>
    <row r="5">
      <c r="A5" s="6" t="inlineStr">
        <is>
          <t>2026-06-04</t>
        </is>
      </c>
      <c r="B5" s="16" t="n">
        <v>2014</v>
      </c>
      <c r="C5" s="8" t="n">
        <v>133</v>
      </c>
      <c r="D5" s="9" t="n">
        <v>7.8</v>
      </c>
      <c r="E5" s="6" t="inlineStr">
        <is>
          <t>なし</t>
        </is>
      </c>
      <c r="F5" s="7" t="n">
        <v>1</v>
      </c>
      <c r="G5" s="6" t="inlineStr">
        <is>
          <t>個人</t>
        </is>
      </c>
      <c r="H5" s="15" t="inlineStr">
        <is>
          <t>人気のホワイト 必見の1台 アウディ Ａ８ ４．０ＴＦＳＩクワトロ 正規ディーラー車 出品中の現車確認可能</t>
        </is>
      </c>
      <c r="I5" s="6" t="inlineStr">
        <is>
          <t>https://page.auctions.yahoo.co.jp/jp/auction/s1223623745</t>
        </is>
      </c>
    </row>
    <row r="6">
      <c r="A6" s="11" t="inlineStr">
        <is>
          <t>2026-05-09</t>
        </is>
      </c>
      <c r="B6" s="10" t="n">
        <v>2018</v>
      </c>
      <c r="C6" s="13" t="n">
        <v>230.4</v>
      </c>
      <c r="D6" s="14" t="n">
        <v>7.2</v>
      </c>
      <c r="E6" s="11" t="inlineStr">
        <is>
          <t>なし</t>
        </is>
      </c>
      <c r="F6" s="18" t="n">
        <v>75</v>
      </c>
      <c r="G6" s="11" t="inlineStr">
        <is>
          <t>個人</t>
        </is>
      </c>
      <c r="H6" s="15" t="inlineStr">
        <is>
          <t>極上車！Audi A8 55 TFSI クワトロ V6 48Vマイルドハイブリッドシステム ガレージ保管</t>
        </is>
      </c>
      <c r="I6" s="11" t="inlineStr">
        <is>
          <t>https://page.auctions.yahoo.co.jp/jp/auction/t1225231089</t>
        </is>
      </c>
    </row>
  </sheetData>
  <autoFilter ref="A1:I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2" customWidth="1" min="3" max="3"/>
    <col width="18" customWidth="1" min="4" max="4"/>
    <col width="18" customWidth="1" min="5" max="5"/>
    <col width="18" customWidth="1" min="6" max="6"/>
    <col width="10" customWidth="1" min="7" max="7"/>
  </cols>
  <sheetData>
    <row r="1" ht="32" customHeight="1">
      <c r="A1" s="5" t="inlineStr">
        <is>
          <t>年式</t>
        </is>
      </c>
      <c r="B1" s="5" t="inlineStr">
        <is>
          <t>以前/以降まとめ</t>
        </is>
      </c>
      <c r="C1" s="5" t="inlineStr">
        <is>
          <t>掲載台数</t>
        </is>
      </c>
      <c r="D1" s="5" t="inlineStr">
        <is>
          <t>25%(万円)</t>
        </is>
      </c>
      <c r="E1" s="5" t="inlineStr">
        <is>
          <t>中央値(万円)</t>
        </is>
      </c>
      <c r="F1" s="5" t="inlineStr">
        <is>
          <t>75%(万円)</t>
        </is>
      </c>
      <c r="G1" s="5" t="inlineStr">
        <is>
          <t>URL</t>
        </is>
      </c>
    </row>
    <row r="2">
      <c r="A2" s="10" t="n">
        <v>2012</v>
      </c>
      <c r="B2" s="11" t="inlineStr">
        <is>
          <t>○</t>
        </is>
      </c>
      <c r="C2" s="18" t="n">
        <v>10</v>
      </c>
      <c r="D2" s="13" t="n">
        <v>87</v>
      </c>
      <c r="E2" s="13" t="n">
        <v>97</v>
      </c>
      <c r="F2" s="13" t="n">
        <v>115</v>
      </c>
      <c r="G2" s="11" t="inlineStr">
        <is>
          <t>https://www.carsensor.net/usedcar/souba/AD_S022/</t>
        </is>
      </c>
    </row>
    <row r="3">
      <c r="A3" s="16" t="n">
        <v>2013</v>
      </c>
      <c r="B3" s="6" t="inlineStr"/>
      <c r="C3" s="7" t="n">
        <v>3</v>
      </c>
      <c r="D3" s="8" t="n">
        <v>140</v>
      </c>
      <c r="E3" s="8" t="n">
        <v>155</v>
      </c>
      <c r="F3" s="8" t="n">
        <v>170</v>
      </c>
      <c r="G3" s="6" t="inlineStr">
        <is>
          <t>https://www.carsensor.net/usedcar/souba/AD_S022/</t>
        </is>
      </c>
    </row>
    <row r="4">
      <c r="A4" s="10" t="n">
        <v>2014</v>
      </c>
      <c r="B4" s="11" t="inlineStr"/>
      <c r="C4" s="18" t="n">
        <v>6</v>
      </c>
      <c r="D4" s="13" t="n">
        <v>175</v>
      </c>
      <c r="E4" s="13" t="n">
        <v>195</v>
      </c>
      <c r="F4" s="13" t="n">
        <v>215</v>
      </c>
      <c r="G4" s="11" t="inlineStr">
        <is>
          <t>https://www.carsensor.net/usedcar/souba/AD_S022/</t>
        </is>
      </c>
    </row>
    <row r="5">
      <c r="A5" s="16" t="n">
        <v>2015</v>
      </c>
      <c r="B5" s="6" t="inlineStr"/>
      <c r="C5" s="7" t="n">
        <v>4</v>
      </c>
      <c r="D5" s="8" t="n">
        <v>145</v>
      </c>
      <c r="E5" s="8" t="n">
        <v>185</v>
      </c>
      <c r="F5" s="8" t="n">
        <v>205</v>
      </c>
      <c r="G5" s="6" t="inlineStr">
        <is>
          <t>https://www.carsensor.net/usedcar/souba/AD_S022/</t>
        </is>
      </c>
    </row>
    <row r="6">
      <c r="A6" s="10" t="n">
        <v>2016</v>
      </c>
      <c r="B6" s="11" t="inlineStr"/>
      <c r="C6" s="18" t="n">
        <v>3</v>
      </c>
      <c r="D6" s="13" t="n">
        <v>152.5</v>
      </c>
      <c r="E6" s="13" t="n">
        <v>160</v>
      </c>
      <c r="F6" s="13" t="n">
        <v>250</v>
      </c>
      <c r="G6" s="11" t="inlineStr">
        <is>
          <t>https://www.carsensor.net/usedcar/souba/AD_S022/</t>
        </is>
      </c>
    </row>
    <row r="7">
      <c r="A7" s="16" t="n">
        <v>2017</v>
      </c>
      <c r="B7" s="6" t="inlineStr"/>
      <c r="C7" s="7" t="n">
        <v>4</v>
      </c>
      <c r="D7" s="8" t="n">
        <v>185</v>
      </c>
      <c r="E7" s="8" t="n">
        <v>211.7</v>
      </c>
      <c r="F7" s="8" t="n">
        <v>218.3</v>
      </c>
      <c r="G7" s="6" t="inlineStr">
        <is>
          <t>https://www.carsensor.net/usedcar/souba/AD_S022/</t>
        </is>
      </c>
    </row>
    <row r="8">
      <c r="A8" s="10" t="n">
        <v>2018</v>
      </c>
      <c r="B8" s="11" t="inlineStr"/>
      <c r="C8" s="18" t="n">
        <v>9</v>
      </c>
      <c r="D8" s="13" t="n">
        <v>316.2</v>
      </c>
      <c r="E8" s="13" t="n">
        <v>330</v>
      </c>
      <c r="F8" s="13" t="n">
        <v>360</v>
      </c>
      <c r="G8" s="11" t="inlineStr">
        <is>
          <t>https://www.carsensor.net/usedcar/souba/AD_S022/</t>
        </is>
      </c>
    </row>
    <row r="9">
      <c r="A9" s="16" t="n">
        <v>2019</v>
      </c>
      <c r="B9" s="6" t="inlineStr"/>
      <c r="C9" s="7" t="n">
        <v>11</v>
      </c>
      <c r="D9" s="8" t="n">
        <v>323.3</v>
      </c>
      <c r="E9" s="8" t="n">
        <v>341.7</v>
      </c>
      <c r="F9" s="8" t="n">
        <v>390</v>
      </c>
      <c r="G9" s="6" t="inlineStr">
        <is>
          <t>https://www.carsensor.net/usedcar/souba/AD_S022/</t>
        </is>
      </c>
    </row>
    <row r="10">
      <c r="A10" s="10" t="n">
        <v>2020</v>
      </c>
      <c r="B10" s="11" t="inlineStr"/>
      <c r="C10" s="18" t="n">
        <v>4</v>
      </c>
      <c r="D10" s="13" t="n">
        <v>365</v>
      </c>
      <c r="E10" s="13" t="n">
        <v>391.7</v>
      </c>
      <c r="F10" s="13" t="n">
        <v>398.3</v>
      </c>
      <c r="G10" s="11" t="inlineStr">
        <is>
          <t>https://www.carsensor.net/usedcar/souba/AD_S022/</t>
        </is>
      </c>
    </row>
    <row r="11">
      <c r="A11" s="16" t="n">
        <v>2021</v>
      </c>
      <c r="B11" s="6" t="inlineStr"/>
      <c r="C11" s="7" t="n">
        <v>2</v>
      </c>
      <c r="D11" s="8" t="n">
        <v>475</v>
      </c>
      <c r="E11" s="8" t="n">
        <v>485</v>
      </c>
      <c r="F11" s="8" t="n">
        <v>515</v>
      </c>
      <c r="G11" s="6" t="inlineStr">
        <is>
          <t>https://www.carsensor.net/usedcar/souba/AD_S022/</t>
        </is>
      </c>
    </row>
    <row r="12">
      <c r="A12" s="10" t="n">
        <v>2022</v>
      </c>
      <c r="B12" s="11" t="inlineStr"/>
      <c r="C12" s="18" t="n">
        <v>3</v>
      </c>
      <c r="D12" s="13" t="n">
        <v>460</v>
      </c>
      <c r="E12" s="13" t="n">
        <v>555</v>
      </c>
      <c r="F12" s="13" t="n">
        <v>630</v>
      </c>
      <c r="G12" s="11" t="inlineStr">
        <is>
          <t>https://www.carsensor.net/usedcar/souba/AD_S022/</t>
        </is>
      </c>
    </row>
    <row r="13">
      <c r="A13" s="16" t="n">
        <v>2023</v>
      </c>
      <c r="B13" s="6" t="inlineStr"/>
      <c r="C13" s="7" t="n">
        <v>3</v>
      </c>
      <c r="D13" s="8" t="n">
        <v>700</v>
      </c>
      <c r="E13" s="8" t="n">
        <v>975</v>
      </c>
      <c r="F13" s="8" t="n">
        <v>1090</v>
      </c>
      <c r="G13" s="6" t="inlineStr">
        <is>
          <t>https://www.carsensor.net/usedcar/souba/AD_S022/</t>
        </is>
      </c>
    </row>
    <row r="14">
      <c r="A14" s="10" t="n">
        <v>2024</v>
      </c>
      <c r="B14" s="11" t="inlineStr"/>
      <c r="C14" s="18" t="n">
        <v>7</v>
      </c>
      <c r="D14" s="13" t="n">
        <v>720</v>
      </c>
      <c r="E14" s="13" t="n">
        <v>875</v>
      </c>
      <c r="F14" s="13" t="n">
        <v>990</v>
      </c>
      <c r="G14" s="11" t="inlineStr">
        <is>
          <t>https://www.carsensor.net/usedcar/souba/AD_S022/</t>
        </is>
      </c>
    </row>
    <row r="15">
      <c r="A15" s="16" t="n">
        <v>2025</v>
      </c>
      <c r="B15" s="6" t="inlineStr"/>
      <c r="C15" s="7" t="n">
        <v>20</v>
      </c>
      <c r="D15" s="8" t="n">
        <v>851.7</v>
      </c>
      <c r="E15" s="8" t="n">
        <v>891.7</v>
      </c>
      <c r="F15" s="8" t="n">
        <v>945</v>
      </c>
      <c r="G15" s="6" t="inlineStr">
        <is>
          <t>https://www.carsensor.net/usedcar/souba/AD_S022/</t>
        </is>
      </c>
    </row>
  </sheetData>
  <autoFilter ref="A1:G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6" customWidth="1" min="3" max="3"/>
    <col width="24" customWidth="1" min="4" max="4"/>
    <col width="16" customWidth="1" min="5" max="5"/>
    <col width="16" customWidth="1" min="6" max="6"/>
    <col width="34" customWidth="1" min="7" max="7"/>
  </cols>
  <sheetData>
    <row r="1" ht="32" customHeight="1">
      <c r="A1" s="5" t="inlineStr">
        <is>
          <t>不具合装置</t>
        </is>
      </c>
      <c r="B1" s="5" t="inlineStr">
        <is>
          <t>通報件数</t>
        </is>
      </c>
      <c r="C1" s="5" t="inlineStr">
        <is>
          <t>構成比(%)</t>
        </is>
      </c>
      <c r="D1" s="5" t="inlineStr">
        <is>
          <t>発生時の走行距離
中央値(km)</t>
        </is>
      </c>
      <c r="E1" s="5" t="inlineStr">
        <is>
          <t>対象最古年式</t>
        </is>
      </c>
      <c r="F1" s="5" t="inlineStr">
        <is>
          <t>対象最新年式</t>
        </is>
      </c>
      <c r="G1" s="5" t="inlineStr">
        <is>
          <t>実際の症状</t>
        </is>
      </c>
    </row>
    <row r="2">
      <c r="A2" s="11" t="inlineStr">
        <is>
          <t>エンジン</t>
        </is>
      </c>
      <c r="B2" s="18" t="n">
        <v>4</v>
      </c>
      <c r="C2" s="14" t="n">
        <v>30.8</v>
      </c>
      <c r="D2" s="18" t="n">
        <v>50000</v>
      </c>
      <c r="E2" s="10" t="n">
        <v>1997</v>
      </c>
      <c r="F2" s="10" t="n">
        <v>2017</v>
      </c>
      <c r="G2" s="15" t="inlineStr"/>
    </row>
    <row r="3">
      <c r="A3" s="6" t="inlineStr">
        <is>
          <t>電気装置</t>
        </is>
      </c>
      <c r="B3" s="7" t="n">
        <v>3</v>
      </c>
      <c r="C3" s="9" t="n">
        <v>23.1</v>
      </c>
      <c r="D3" s="7" t="n">
        <v>35000</v>
      </c>
      <c r="E3" s="16" t="n">
        <v>2007</v>
      </c>
      <c r="F3" s="16" t="n">
        <v>2018</v>
      </c>
      <c r="G3" s="15" t="inlineStr"/>
    </row>
    <row r="4">
      <c r="A4" s="11" t="inlineStr">
        <is>
          <t>その他</t>
        </is>
      </c>
      <c r="B4" s="18" t="n">
        <v>2</v>
      </c>
      <c r="C4" s="14" t="n">
        <v>15.4</v>
      </c>
      <c r="D4" s="18" t="n"/>
      <c r="E4" s="10" t="n">
        <v>2011</v>
      </c>
      <c r="F4" s="10" t="n">
        <v>2011</v>
      </c>
      <c r="G4" s="15" t="inlineStr"/>
    </row>
    <row r="5">
      <c r="A5" s="6" t="inlineStr">
        <is>
          <t>動力伝達</t>
        </is>
      </c>
      <c r="B5" s="7" t="n">
        <v>2</v>
      </c>
      <c r="C5" s="9" t="n">
        <v>15.4</v>
      </c>
      <c r="D5" s="7" t="n">
        <v>12000</v>
      </c>
      <c r="E5" s="16" t="n">
        <v>2017</v>
      </c>
      <c r="F5" s="16" t="n">
        <v>2017</v>
      </c>
      <c r="G5" s="15" t="inlineStr"/>
    </row>
    <row r="6">
      <c r="A6" s="11" t="inlineStr">
        <is>
          <t>燃料装置</t>
        </is>
      </c>
      <c r="B6" s="18" t="n">
        <v>1</v>
      </c>
      <c r="C6" s="14" t="n">
        <v>7.7</v>
      </c>
      <c r="D6" s="18" t="n">
        <v>65000</v>
      </c>
      <c r="E6" s="10" t="n">
        <v>2010</v>
      </c>
      <c r="F6" s="10" t="n">
        <v>2010</v>
      </c>
      <c r="G6" s="15" t="inlineStr"/>
    </row>
    <row r="7">
      <c r="A7" s="6" t="inlineStr">
        <is>
          <t>車枠・車体</t>
        </is>
      </c>
      <c r="B7" s="7" t="n">
        <v>1</v>
      </c>
      <c r="C7" s="9" t="n">
        <v>7.7</v>
      </c>
      <c r="D7" s="7" t="n">
        <v>82000</v>
      </c>
      <c r="E7" s="16" t="n">
        <v>2007</v>
      </c>
      <c r="F7" s="16" t="n">
        <v>2007</v>
      </c>
      <c r="G7" s="15" t="inlineStr"/>
    </row>
  </sheetData>
  <autoFilter ref="A1:G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4" customWidth="1" min="3" max="3"/>
    <col width="12" customWidth="1" min="4" max="4"/>
    <col width="34" customWidth="1" min="5" max="5"/>
    <col width="34" customWidth="1" min="6" max="6"/>
    <col width="18" customWidth="1" min="7" max="7"/>
    <col width="10" customWidth="1" min="8" max="8"/>
    <col width="34" customWidth="1" min="9" max="9"/>
    <col width="34" customWidth="1" min="10" max="10"/>
  </cols>
  <sheetData>
    <row r="1" ht="32" customHeight="1">
      <c r="A1" s="5" t="inlineStr">
        <is>
          <t>届出日</t>
        </is>
      </c>
      <c r="B1" s="5" t="inlineStr">
        <is>
          <t>届出番号</t>
        </is>
      </c>
      <c r="C1" s="5" t="inlineStr">
        <is>
          <t>不具合装置</t>
        </is>
      </c>
      <c r="D1" s="5" t="inlineStr">
        <is>
          <t>対象台数</t>
        </is>
      </c>
      <c r="E1" s="5" t="inlineStr">
        <is>
          <t>対象の通称名</t>
        </is>
      </c>
      <c r="F1" s="5" t="inlineStr">
        <is>
          <t>対象型式</t>
        </is>
      </c>
      <c r="G1" s="5" t="inlineStr">
        <is>
          <t>生産期間 から</t>
        </is>
      </c>
      <c r="H1" s="5" t="inlineStr">
        <is>
          <t>まで</t>
        </is>
      </c>
      <c r="I1" s="5" t="inlineStr">
        <is>
          <t>不具合の状況</t>
        </is>
      </c>
      <c r="J1" s="5" t="inlineStr">
        <is>
          <t>改善措置</t>
        </is>
      </c>
    </row>
    <row r="2">
      <c r="A2" s="11" t="inlineStr">
        <is>
          <t>2025/11/28</t>
        </is>
      </c>
      <c r="B2" s="11" t="inlineStr">
        <is>
          <t>1241070</t>
        </is>
      </c>
      <c r="C2" s="11" t="inlineStr">
        <is>
          <t>バッテリー</t>
        </is>
      </c>
      <c r="D2" s="18" t="n">
        <v>134</v>
      </c>
      <c r="E2" s="15" t="inlineStr">
        <is>
          <t>アウディ　Ａ８　６０ｅ</t>
        </is>
      </c>
      <c r="F2" s="15" t="inlineStr">
        <is>
          <t>3LA-F8CZSF</t>
        </is>
      </c>
      <c r="G2" s="11" t="inlineStr">
        <is>
          <t>2023年4月 6日</t>
        </is>
      </c>
      <c r="H2" s="11" t="inlineStr">
        <is>
          <t>2024年9月24日</t>
        </is>
      </c>
      <c r="I2" s="15" t="inlineStr">
        <is>
          <t>高電圧バッテリーモジュールにおいて、製造工程が不適切なため、使用過程で重要な技術パラメータに偏差が生じることがある。 そのため、高電圧バッテリーの充電時に当該モジュールが過熱し、最悪の場合、火災に至るおそれがある。</t>
        </is>
      </c>
      <c r="J2" s="15" t="inlineStr">
        <is>
          <t>全車両、バッテリーコントロールユニットを、車両自己診断機能を備えた対策プログラムに書き換える。 なお、当該対策プログラムにより高電圧バッテリーモジュールの異常が確認された場合は、高電圧バッテリーの点検を行い、必要に応じてバッテリーモジュールを良品と交換する。</t>
        </is>
      </c>
    </row>
    <row r="3">
      <c r="A3" s="6" t="inlineStr">
        <is>
          <t>2025/04/22</t>
        </is>
      </c>
      <c r="B3" s="6" t="inlineStr">
        <is>
          <t>1239860</t>
        </is>
      </c>
      <c r="C3" s="6" t="inlineStr">
        <is>
          <t>スピードメータ</t>
        </is>
      </c>
      <c r="D3" s="7" t="n">
        <v>1716</v>
      </c>
      <c r="E3" s="15" t="inlineStr">
        <is>
          <t>アウディ　Ａ８　５５Ｔｑ, アウディ　Ａ８　６０Ｔｑ</t>
        </is>
      </c>
      <c r="F3" s="15" t="inlineStr">
        <is>
          <t>3AA-F8CXYF, 3AA-F8CZSF</t>
        </is>
      </c>
      <c r="G3" s="6" t="inlineStr">
        <is>
          <t>2020年11月13日</t>
        </is>
      </c>
      <c r="H3" s="6" t="inlineStr">
        <is>
          <t>2021年7月27日</t>
        </is>
      </c>
      <c r="I3" s="15" t="inlineStr">
        <is>
          <t>運転者席の液晶ディスプレイ（バーチャルコックピット）の制御プログラムにおいて、設計検討が不十分なため、走行中の振動等により内部のケーブル抵抗値が増加することにより、ディスプレイを制御するプログラムが故障と検知することがある。そのため、速度計、総走行距離計及びエアバッグ警告灯等が表示されないおそれがある。</t>
        </is>
      </c>
      <c r="J3" s="15" t="inlineStr">
        <is>
          <t>全車両、当該制御プログラムを対策プログラムに書き換える。</t>
        </is>
      </c>
    </row>
    <row r="4">
      <c r="A4" s="11" t="inlineStr">
        <is>
          <t>2025/03/06</t>
        </is>
      </c>
      <c r="B4" s="11" t="inlineStr">
        <is>
          <t>1239600</t>
        </is>
      </c>
      <c r="C4" s="11" t="inlineStr">
        <is>
          <t>コンピュータ(エンジン)</t>
        </is>
      </c>
      <c r="D4" s="18" t="n">
        <v>996</v>
      </c>
      <c r="E4" s="15" t="inlineStr">
        <is>
          <t>アウディ　Ａ８　６０Ｔｑ</t>
        </is>
      </c>
      <c r="F4" s="15" t="inlineStr">
        <is>
          <t>3AA-F8CXYF, AAA-F8CXYF</t>
        </is>
      </c>
      <c r="G4" s="11" t="inlineStr">
        <is>
          <t>2018年3月26日</t>
        </is>
      </c>
      <c r="H4" s="11" t="inlineStr">
        <is>
          <t>2022年10月31日</t>
        </is>
      </c>
      <c r="I4" s="15" t="inlineStr">
        <is>
          <t>エンジンコントロールユニットにおいて、故障診断プログラムが不適切なため、エンジン冷間時でエンジン回転数が２，５００ｒｐｍ以上になると、正しくクランク角度を検出できず、失火検知診断が制限されることがある。そのため、エンジンが失火した場合に検知できず、エミッションコントロールシステム警告灯（ＭＩＬ）が点灯しないおそれがある。</t>
        </is>
      </c>
      <c r="J4" s="15" t="inlineStr">
        <is>
          <t>全車両、エンジンコントロールユニットを対策プログラムに書き換える。</t>
        </is>
      </c>
    </row>
    <row r="5">
      <c r="A5" s="6" t="inlineStr">
        <is>
          <t>2024/07/25</t>
        </is>
      </c>
      <c r="B5" s="6" t="inlineStr">
        <is>
          <t>1238440</t>
        </is>
      </c>
      <c r="C5" s="6" t="inlineStr">
        <is>
          <t>前照灯</t>
        </is>
      </c>
      <c r="D5" s="7" t="n">
        <v>1059</v>
      </c>
      <c r="E5" s="15" t="inlineStr">
        <is>
          <t>アウディ　Ａ８　５５Ｔｑ, アウディ　Ａ８　６０Ｔｑ, アウディ　Ａ８　６０ｅ</t>
        </is>
      </c>
      <c r="F5" s="15" t="inlineStr">
        <is>
          <t>3AA-F8CXYF, 3AA-F8CZSF, 3LA-F8CZSF</t>
        </is>
      </c>
      <c r="G5" s="6" t="inlineStr">
        <is>
          <t>2022年3月 4日</t>
        </is>
      </c>
      <c r="H5" s="6" t="inlineStr">
        <is>
          <t>2024年5月17日</t>
        </is>
      </c>
      <c r="I5" s="15" t="inlineStr">
        <is>
          <t>ヘッドライトコントロールユニットにおいて、ソフトウェアが不適切なため、オートライトにより配光可変型前照灯を点灯した状態で車両を後退させた場合、配光可変型前照灯のコーナリングライト機能が作動する状態となる。そのため、協定規則第４８号の技術的な要件に適合しない。</t>
        </is>
      </c>
      <c r="J5" s="15" t="inlineStr">
        <is>
          <t>全車両、ヘッドライトコントロールユニットを対策プログラムに書き換える。</t>
        </is>
      </c>
    </row>
    <row r="6">
      <c r="A6" s="11" t="inlineStr">
        <is>
          <t>2022/09/01</t>
        </is>
      </c>
      <c r="B6" s="11" t="inlineStr">
        <is>
          <t>1234660</t>
        </is>
      </c>
      <c r="C6" s="11" t="inlineStr">
        <is>
          <t>潤滑装置</t>
        </is>
      </c>
      <c r="D6" s="18" t="n">
        <v>3209</v>
      </c>
      <c r="E6" s="15" t="inlineStr">
        <is>
          <t>アウディ　Ａ８　４．０Ｔｑ</t>
        </is>
      </c>
      <c r="F6" s="15" t="inlineStr">
        <is>
          <t>ABA-4HCEUF, ABA-4HCTGF</t>
        </is>
      </c>
      <c r="G6" s="11" t="inlineStr">
        <is>
          <t>2012年7月20日</t>
        </is>
      </c>
      <c r="H6" s="11" t="inlineStr">
        <is>
          <t>2017年5月17日</t>
        </is>
      </c>
      <c r="I6" s="15" t="inlineStr">
        <is>
          <t>ターボチャージャーへのオイル供給ラインに取り付けられているオイルストレーナーにおいて、当該ストレーナーのメッシュサイズが小さすぎるため、オイルストレーナーにオイルの沈殿物が付着することがある。長期間、車両を使用することにより沈殿物が増加すると、オイルストレーナーがつまり、ターボチャージャーへ十分なオイルを供給できなくなり、最悪の場合、エンジンの出力低下やエンジンが停止するおそれがある。</t>
        </is>
      </c>
      <c r="J6" s="15" t="inlineStr">
        <is>
          <t>全車両、当該オイルストレーナーを対策品と交換する。</t>
        </is>
      </c>
    </row>
    <row r="7">
      <c r="A7" s="6" t="inlineStr">
        <is>
          <t>2022/03/31</t>
        </is>
      </c>
      <c r="B7" s="6" t="inlineStr">
        <is>
          <t>1233640</t>
        </is>
      </c>
      <c r="C7" s="6" t="inlineStr">
        <is>
          <t>タイヤ</t>
        </is>
      </c>
      <c r="D7" s="7" t="n">
        <v>1149</v>
      </c>
      <c r="E7" s="15" t="inlineStr">
        <is>
          <t>アウディ　Ａ８　５５Ｔｑ, アウディ　Ａ８　６０Ｔｑ</t>
        </is>
      </c>
      <c r="F7" s="15" t="inlineStr">
        <is>
          <t>3AA-F8CZSF, AAA-F8CXYF, AAA-F8CZSF</t>
        </is>
      </c>
      <c r="G7" s="6" t="inlineStr">
        <is>
          <t>2019年12月26日</t>
        </is>
      </c>
      <c r="H7" s="6" t="inlineStr">
        <is>
          <t>2021年5月24日</t>
        </is>
      </c>
      <c r="I7" s="15" t="inlineStr">
        <is>
          <t>外－３２７６（令和３年９月２２日付け）のリコール届出において、作業指示が不適切なため、リヤサスペンションアームを固定するナットを交換後にアライメント調整がされていないことがある。そのため、タイヤが早期に摩耗し、最悪の場合、異常摩耗によりタイヤがパンクするおそれがある。</t>
        </is>
      </c>
      <c r="J7" s="15" t="inlineStr">
        <is>
          <t>全車両、アライメント点検をして必要に応じて調整する。また、タイヤに異常摩耗が発生している場合は新品に交換する。</t>
        </is>
      </c>
    </row>
    <row r="8">
      <c r="A8" s="11" t="inlineStr">
        <is>
          <t>2021/09/22</t>
        </is>
      </c>
      <c r="B8" s="11" t="inlineStr">
        <is>
          <t>1232760</t>
        </is>
      </c>
      <c r="C8" s="11" t="inlineStr">
        <is>
          <t>緩衝アーム/ロッド</t>
        </is>
      </c>
      <c r="D8" s="18" t="n">
        <v>1896</v>
      </c>
      <c r="E8" s="15" t="inlineStr">
        <is>
          <t>アウディ　Ａ８　５５Ｔｑ, アウディ　Ａ８　６０Ｔｑ</t>
        </is>
      </c>
      <c r="F8" s="15" t="inlineStr">
        <is>
          <t>3AA-F8CXYF, 3AA-F8CZSF, AAA-F8CXYF, AAA-F8CZSF</t>
        </is>
      </c>
      <c r="G8" s="11" t="inlineStr">
        <is>
          <t>2019年12月26日</t>
        </is>
      </c>
      <c r="H8" s="11" t="inlineStr">
        <is>
          <t>2021年6月18日</t>
        </is>
      </c>
      <c r="I8" s="15" t="inlineStr">
        <is>
          <t>緩衝装置において、リヤサスペンションアームを固定するナットの材料が不適切なため、早期に腐食割れが生じるものがある。そのため、アーム固定部のネジが緩むことでがたつき、異音が発生し、最悪の場合、ハンドル操作が正常に行えなくなるおそれがある。</t>
        </is>
      </c>
      <c r="J8" s="15" t="inlineStr">
        <is>
          <t>全車両、該当するナットを良品に交換する。また、ボルト側ネジ部やアーム類に損傷が生じている場合は新品に交換する。</t>
        </is>
      </c>
    </row>
    <row r="9">
      <c r="A9" s="6" t="inlineStr">
        <is>
          <t>2021/05/18</t>
        </is>
      </c>
      <c r="B9" s="6" t="inlineStr">
        <is>
          <t>1232140</t>
        </is>
      </c>
      <c r="C9" s="6" t="inlineStr">
        <is>
          <t>シートベルト</t>
        </is>
      </c>
      <c r="D9" s="7" t="n">
        <v>830</v>
      </c>
      <c r="E9" s="15" t="inlineStr">
        <is>
          <t>アウディ　Ａ８　５５Ｔｑ, アウディ　Ａ８　６０Ｔｑ</t>
        </is>
      </c>
      <c r="F9" s="15" t="inlineStr">
        <is>
          <t>3AA-F8CXYF, 3AA-F8CZSF</t>
        </is>
      </c>
      <c r="G9" s="6" t="inlineStr">
        <is>
          <t>2020年9月 1日</t>
        </is>
      </c>
      <c r="H9" s="6" t="inlineStr">
        <is>
          <t>2020年12月17日</t>
        </is>
      </c>
      <c r="I9" s="15" t="inlineStr">
        <is>
          <t>ダッシュパネルインサートにおいて、コントロールユニットのプログラムが不適切なため、シートベルト非着用時、シートベルト警告灯が１回あるいは短時間のみしか点灯せず、警告音も１回しか鳴らないおそれがある。</t>
        </is>
      </c>
      <c r="J9" s="15" t="inlineStr">
        <is>
          <t>全車両、ダッシュパネルインサートのコントロールユニットのプログラムを対策プログラムに書き換える。</t>
        </is>
      </c>
    </row>
    <row r="10">
      <c r="A10" s="11" t="inlineStr">
        <is>
          <t>2021/04/07</t>
        </is>
      </c>
      <c r="B10" s="11" t="inlineStr">
        <is>
          <t>1231980</t>
        </is>
      </c>
      <c r="C10" s="11" t="inlineStr">
        <is>
          <t>コンピュータ(エンジ</t>
        </is>
      </c>
      <c r="D10" s="18" t="n">
        <v>6</v>
      </c>
      <c r="E10" s="15" t="inlineStr">
        <is>
          <t>アウディ　Ａ８　６０Ｔｑ</t>
        </is>
      </c>
      <c r="F10" s="15" t="inlineStr">
        <is>
          <t>AAA-F8CXYF</t>
        </is>
      </c>
      <c r="G10" s="11" t="inlineStr">
        <is>
          <t>2018年10月 2日</t>
        </is>
      </c>
      <c r="H10" s="11" t="inlineStr">
        <is>
          <t>2020年8月14日</t>
        </is>
      </c>
      <c r="I10" s="15" t="inlineStr">
        <is>
          <t>エンジンコントロールユニットにおいて、作業工程管理が不適切なため、配線コネクターの端子にシールピンが取り付けられていないものがある。そのため、コネクター内部に水分が浸入し、コネクター、若しくは当該ユニットの端子に錆が発生して、最悪の場合、エンジン警告灯が点灯し、緊急走行モードによりエンジン出力が低下するおそれがある。</t>
        </is>
      </c>
      <c r="J10" s="15" t="inlineStr">
        <is>
          <t>全車両、エンジンコントロールユニットの配線コネクターの端子を点検し、シールピンが取り付けられていない場合はシールピンを取り付ける。 なお、エンジコントロールユニットおよび配線コネクター端子に錆が発生している場合は、当該ユニットを新品に交換する。</t>
        </is>
      </c>
    </row>
    <row r="11">
      <c r="A11" s="6" t="inlineStr">
        <is>
          <t>2020/12/08</t>
        </is>
      </c>
      <c r="B11" s="6" t="inlineStr">
        <is>
          <t>1231340</t>
        </is>
      </c>
      <c r="C11" s="6" t="inlineStr">
        <is>
          <t>車体</t>
        </is>
      </c>
      <c r="D11" s="7" t="n">
        <v>1730</v>
      </c>
      <c r="E11" s="15" t="inlineStr">
        <is>
          <t>アウディ　Ａ８　４．０Ｔｑ</t>
        </is>
      </c>
      <c r="F11" s="15" t="inlineStr">
        <is>
          <t>ABA-4HCEUF, ABA-4HCTGF</t>
        </is>
      </c>
      <c r="G11" s="6" t="inlineStr">
        <is>
          <t>2012年7月27日</t>
        </is>
      </c>
      <c r="H11" s="6" t="inlineStr">
        <is>
          <t>2018年1月18日</t>
        </is>
      </c>
      <c r="I11" s="15" t="inlineStr">
        <is>
          <t>エンジンルームのラバーシールにおいて、耐熱性が不足しているため、ターボチャージャーが繰り返し高温になると、ラバーシールが熱により硬化することがある。そのため、ラバーシールが割れ、破片が脱落し、エンジンの高温部位に接触して、最悪の場合、火災に至るおそれがある。</t>
        </is>
      </c>
      <c r="J11" s="15" t="inlineStr">
        <is>
          <t>全車両、ラバーシール下部に脱落防止ブラケットを取り付ける。なお、熱による影響でラバーシールが損傷している場合は、当該ラバーシールを新品に交換する。</t>
        </is>
      </c>
    </row>
    <row r="12">
      <c r="A12" s="11" t="inlineStr">
        <is>
          <t>2020/01/29</t>
        </is>
      </c>
      <c r="B12" s="11" t="inlineStr">
        <is>
          <t>1229710</t>
        </is>
      </c>
      <c r="C12" s="11" t="inlineStr">
        <is>
          <t>パワーステアリング</t>
        </is>
      </c>
      <c r="D12" s="18" t="n">
        <v>1413</v>
      </c>
      <c r="E12" s="15" t="inlineStr">
        <is>
          <t>アウディ　Ａ８　３．０Ｔｑ, アウディ　Ａ８　４．０　Ｔｑ, アウディ　Ａ８　４．２ｑ, アウディ　Ａ８　６．３ｑ</t>
        </is>
      </c>
      <c r="F12" s="15" t="inlineStr">
        <is>
          <t>ABA-4HCDRF, ABA-4HCEJL, ABA-4HCEUF, ABA-4HCGWF, DBA-4HCGWF</t>
        </is>
      </c>
      <c r="G12" s="11" t="inlineStr">
        <is>
          <t>2010年12月 7日</t>
        </is>
      </c>
      <c r="H12" s="11" t="inlineStr">
        <is>
          <t>2013年12月13日</t>
        </is>
      </c>
      <c r="I12" s="15" t="inlineStr">
        <is>
          <t>低圧側パワーステアリングホースにおいて、製造工程管理が不適切なため、当該ホースの長さが短くなっているものがある。そのため、取り回し角度が大きくなることで車両振動等により当該ホースが損傷し、最悪の場合、パワーステアリングオイルが漏れ、ハンドルの操舵力が増大するおそれがある。</t>
        </is>
      </c>
      <c r="J12" s="15" t="inlineStr">
        <is>
          <t>全車両、パワーステアリングホースを良品に交換する。</t>
        </is>
      </c>
    </row>
    <row r="13">
      <c r="A13" s="6" t="inlineStr">
        <is>
          <t>2019/04/17</t>
        </is>
      </c>
      <c r="B13" s="6" t="inlineStr">
        <is>
          <t>1228180</t>
        </is>
      </c>
      <c r="C13" s="6" t="inlineStr">
        <is>
          <t>燃料ホース/パイプ</t>
        </is>
      </c>
      <c r="D13" s="7" t="n">
        <v>2566</v>
      </c>
      <c r="E13" s="15" t="inlineStr">
        <is>
          <t>アウディ　Ａ８　３．０Ｔｑ</t>
        </is>
      </c>
      <c r="F13" s="15" t="inlineStr">
        <is>
          <t>DBA-4HCREF</t>
        </is>
      </c>
      <c r="G13" s="6" t="inlineStr">
        <is>
          <t>2013年12月13日</t>
        </is>
      </c>
      <c r="H13" s="6" t="inlineStr">
        <is>
          <t>2017年6月23日</t>
        </is>
      </c>
      <c r="I13" s="15" t="inlineStr">
        <is>
          <t>燃料装置において、樹脂製燃料パイプ端部の設計時の強度検討が不十分なため、耐久性が不足している。そのため、走行振動等により、当該パイプ端部の樹脂製エンドキャップ部が破損し、最悪の場合、燃料が漏れるおそれがある。</t>
        </is>
      </c>
      <c r="J13" s="15" t="inlineStr">
        <is>
          <t>全車両、燃料パイプを対策品に交換する。</t>
        </is>
      </c>
    </row>
    <row r="14">
      <c r="A14" s="11" t="inlineStr">
        <is>
          <t>2017/05/24</t>
        </is>
      </c>
      <c r="B14" s="11" t="inlineStr">
        <is>
          <t>1224790</t>
        </is>
      </c>
      <c r="C14" s="11" t="inlineStr">
        <is>
          <t>エアバッグ</t>
        </is>
      </c>
      <c r="D14" s="18" t="n">
        <v>126</v>
      </c>
      <c r="E14" s="15" t="inlineStr">
        <is>
          <t>アウディ　Ａ８　４．０Ｔｑ</t>
        </is>
      </c>
      <c r="F14" s="15" t="inlineStr">
        <is>
          <t>ABA-4HCTGF</t>
        </is>
      </c>
      <c r="G14" s="11" t="inlineStr">
        <is>
          <t>2016年9月 3日</t>
        </is>
      </c>
      <c r="H14" s="11" t="inlineStr">
        <is>
          <t>2016年12月12日</t>
        </is>
      </c>
      <c r="I14" s="15" t="inlineStr">
        <is>
          <t>エアバッグのインフレータ（膨張装置）およびシートベルトプリテンショナーにおいて、製造管理が不適切なため、点火剤が設計通り調合されていないものがある。そのため、衝突時にエアバッグの展開およびシートベルトの弛みを巻き取ることができず、乗員が過度の傷害を負うおそれがある。</t>
        </is>
      </c>
      <c r="J14" s="15" t="inlineStr">
        <is>
          <t>車両により不具合のあるエアバックおよびシートベルトの位置が異なるため、車両によって以下の改善措置をおこなう。 ①助手席用エアバッグユニットを良品と交換する。 ②左側カーテンエアバッグユニットを良品と交換する。 ③左右もしくは、どちらか片側のプリテンショナー内蔵シートベルトを良品と交換する。</t>
        </is>
      </c>
    </row>
    <row r="15">
      <c r="A15" s="6" t="inlineStr">
        <is>
          <t>2016/04/06</t>
        </is>
      </c>
      <c r="B15" s="6" t="inlineStr">
        <is>
          <t>2204910</t>
        </is>
      </c>
      <c r="C15" s="6" t="inlineStr">
        <is>
          <t>コンピュータ(かじ取</t>
        </is>
      </c>
      <c r="D15" s="7" t="n">
        <v>161</v>
      </c>
      <c r="E15" s="15" t="inlineStr">
        <is>
          <t>アウディ　Ａ８　４．０Ｔｑ</t>
        </is>
      </c>
      <c r="F15" s="15" t="inlineStr">
        <is>
          <t>ABA-4HCTGF</t>
        </is>
      </c>
      <c r="G15" s="6" t="inlineStr">
        <is>
          <t>2015年10月17日</t>
        </is>
      </c>
      <c r="H15" s="6" t="inlineStr">
        <is>
          <t>2016年1月22日</t>
        </is>
      </c>
      <c r="I15" s="15" t="inlineStr">
        <is>
          <t>パワーステアリングコントロールユニットにおいて、防水用のダイヤフラムが不適切なため、防水効果が得られないものがある。そのため、そのままの状態で使用を続けると、当該ユニット内部に水分が浸入し、電子基板が水分の影響から損傷して、パワーステアリング警告灯が点灯、最悪の場合、パワーステアリングのアシスト機能が停止し、ステアリングの操作力が増大するおそれがある。</t>
        </is>
      </c>
      <c r="J15" s="15" t="inlineStr">
        <is>
          <t>全車両、点検キットにて確認作業を実施し、不適切なダイヤフラムが貼付されている場合はパワーステアリングギアボックスを交換する。</t>
        </is>
      </c>
    </row>
    <row r="16">
      <c r="A16" s="11" t="inlineStr">
        <is>
          <t>2015/03/25</t>
        </is>
      </c>
      <c r="B16" s="11" t="inlineStr">
        <is>
          <t>1221601</t>
        </is>
      </c>
      <c r="C16" s="11" t="inlineStr">
        <is>
          <t>燃料ホース/パイプ</t>
        </is>
      </c>
      <c r="D16" s="18" t="n">
        <v>1944</v>
      </c>
      <c r="E16" s="15" t="inlineStr">
        <is>
          <t>アウディ　Ａ８　３．０Ｔｑ</t>
        </is>
      </c>
      <c r="F16" s="15" t="inlineStr">
        <is>
          <t>ABA-4HCGWF, DBA-4HCGWF</t>
        </is>
      </c>
      <c r="G16" s="11" t="inlineStr">
        <is>
          <t>2011年5月 6日</t>
        </is>
      </c>
      <c r="H16" s="11" t="inlineStr">
        <is>
          <t>2012年4月 3日</t>
        </is>
      </c>
      <c r="I16" s="15" t="inlineStr">
        <is>
          <t>燃料装置において、燃料パイプとインジェクタ構成部品の製造時の公差により、燃料パイプとインジェクタを適正に取り付けられないものがある。 そのため、使用過程において取付部に隙間が生じて燃料が漏れ、最悪の場合、火災に至るおそれがある。</t>
        </is>
      </c>
      <c r="J16" s="15" t="inlineStr">
        <is>
          <t>全車両、燃料パイプ及びインジェクタのスペーサーリングを対策品に交換し、インジェクタのＯリング及びサポートエレメントを新品に交換する。</t>
        </is>
      </c>
    </row>
    <row r="17">
      <c r="A17" s="6" t="inlineStr">
        <is>
          <t>2015/03/25</t>
        </is>
      </c>
      <c r="B17" s="6" t="inlineStr">
        <is>
          <t>1221602</t>
        </is>
      </c>
      <c r="C17" s="6" t="inlineStr">
        <is>
          <t>冷却装置</t>
        </is>
      </c>
      <c r="D17" s="7" t="n">
        <v>1944</v>
      </c>
      <c r="E17" s="15" t="inlineStr">
        <is>
          <t>アウディ　Ａ８　３．０Ｔｑ</t>
        </is>
      </c>
      <c r="F17" s="15" t="inlineStr">
        <is>
          <t>ABA-4HCGWF, DBA-4HCGWF</t>
        </is>
      </c>
      <c r="G17" s="6" t="inlineStr">
        <is>
          <t>2011年5月 6日</t>
        </is>
      </c>
      <c r="H17" s="6" t="inlineStr">
        <is>
          <t>2012年4月 3日</t>
        </is>
      </c>
      <c r="I17" s="15" t="inlineStr">
        <is>
          <t>サーモスタットの内部部品の材質が不適切なため、使用過程において腐食するものがある。そのため、そのままの状態で使用を続けると、腐食が進行し、最悪の場合、サーモスタットが開かなくなり、冷却水が冷却されず、オーバーヒートになるおそれがある。</t>
        </is>
      </c>
      <c r="J17" s="15" t="inlineStr">
        <is>
          <t>全車両、サーモスタットを点検し、不具合品の場合は対策品に交換する。</t>
        </is>
      </c>
    </row>
    <row r="18">
      <c r="A18" s="11" t="inlineStr">
        <is>
          <t>2013/11/06</t>
        </is>
      </c>
      <c r="B18" s="11" t="inlineStr">
        <is>
          <t>1219700</t>
        </is>
      </c>
      <c r="C18" s="11" t="inlineStr">
        <is>
          <t>車室内</t>
        </is>
      </c>
      <c r="D18" s="18" t="n">
        <v>29</v>
      </c>
      <c r="E18" s="15" t="inlineStr">
        <is>
          <t>アウディ　Ａ８　３．０Ｔｑ, アウディ　Ａ８　４．０Ｔｑ</t>
        </is>
      </c>
      <c r="F18" s="15" t="inlineStr">
        <is>
          <t>ABA-4HCEUF, DBA-4HCGWF</t>
        </is>
      </c>
      <c r="G18" s="11" t="inlineStr">
        <is>
          <t>2013年5月14日</t>
        </is>
      </c>
      <c r="H18" s="11" t="inlineStr">
        <is>
          <t>2013年7月18日</t>
        </is>
      </c>
      <c r="I18" s="15" t="inlineStr">
        <is>
          <t>サンルーフ付き車両において、サンルーフガラスの製造工程が不適切なため、強度が不足しており、ドアを強く開閉する等の衝撃により、当該ガラスが破損するおそれがある。最悪の場合、破損したガラスにより乗員が負傷するおそれがある。</t>
        </is>
      </c>
      <c r="J18" s="15" t="inlineStr">
        <is>
          <t>全車両、サンルーフガラスの製造年月を確認し、該当する場合は、良品と交換する。</t>
        </is>
      </c>
    </row>
    <row r="19">
      <c r="A19" s="6" t="inlineStr">
        <is>
          <t>2009/03/11</t>
        </is>
      </c>
      <c r="B19" s="6" t="inlineStr">
        <is>
          <t>1215620</t>
        </is>
      </c>
      <c r="C19" s="6" t="inlineStr">
        <is>
          <t>点火コイル</t>
        </is>
      </c>
      <c r="D19" s="7" t="n">
        <v>6158</v>
      </c>
      <c r="E19" s="15" t="inlineStr">
        <is>
          <t>Ａ８　３．２　ＦＳＩ　クワトロ, Ａ８　４．２　ＦＳＩ　クワトロ, Ａ８　Ｌ　４．２　ＦＳＩ　クワトロ</t>
        </is>
      </c>
      <c r="F19" s="15" t="inlineStr">
        <is>
          <t>ABA-4EBVJF, ABA-4EBVJL, GH-4EBPKF</t>
        </is>
      </c>
      <c r="G19" s="6" t="inlineStr">
        <is>
          <t>2006年6月12日</t>
        </is>
      </c>
      <c r="H19" s="6" t="inlineStr">
        <is>
          <t>2007年6月12日</t>
        </is>
      </c>
      <c r="I19" s="15"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J19" s="15" t="inlineStr">
        <is>
          <t>全車両、点火コイルの部品番号を点検し、対象となるものは対策品と交換する。</t>
        </is>
      </c>
    </row>
    <row r="20">
      <c r="A20" s="11" t="inlineStr">
        <is>
          <t>2008/11/19</t>
        </is>
      </c>
      <c r="B20" s="11" t="inlineStr">
        <is>
          <t>1215290</t>
        </is>
      </c>
      <c r="C20" s="11" t="inlineStr">
        <is>
          <t>点火コイル</t>
        </is>
      </c>
      <c r="D20" s="18" t="n">
        <v>53814</v>
      </c>
      <c r="E20" s="15" t="inlineStr">
        <is>
          <t>Ａ８　３．２　ＦＳＩ　クワトロ, Ａ８　３．７　クワトロ, Ａ８　４．２　クワトロ, Ａ８　６．０　クワトロ, Ａ８　Ｌ　４．２　クワトロ, Ａ８　Ｌ　６．０　クワトロ</t>
        </is>
      </c>
      <c r="F20" s="15" t="inlineStr">
        <is>
          <t>GH-4EBFLF, GH-4EBFMF, GH-4EBFML, GH-4EBHTF, GH-4EBHTN, GH-4EBPKF</t>
        </is>
      </c>
      <c r="G20" s="11" t="inlineStr">
        <is>
          <t>2000年10月16日</t>
        </is>
      </c>
      <c r="H20" s="11" t="inlineStr">
        <is>
          <t>2006年7月13日</t>
        </is>
      </c>
      <c r="I20" s="15"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J20" s="15" t="inlineStr">
        <is>
          <t>全車両、点火コイルの部品番号を点検し、対策品と交換する。</t>
        </is>
      </c>
    </row>
    <row r="21">
      <c r="A21" s="6" t="inlineStr">
        <is>
          <t>2001/04/12</t>
        </is>
      </c>
      <c r="B21" s="6" t="inlineStr">
        <is>
          <t>1208630</t>
        </is>
      </c>
      <c r="C21" s="6" t="inlineStr">
        <is>
          <t>かじ取リンク機構</t>
        </is>
      </c>
      <c r="D21" s="7" t="n">
        <v>8970</v>
      </c>
      <c r="E21" s="15" t="inlineStr">
        <is>
          <t>アウディ　Ａ８　３．７, アウディ　Ａ８　４．２　クワトロ</t>
        </is>
      </c>
      <c r="F21" s="15" t="inlineStr">
        <is>
          <t>E-4DABZ, E-4DAEW, GF-4DAQF</t>
        </is>
      </c>
      <c r="G21" s="6" t="inlineStr">
        <is>
          <t>1997年10月14日</t>
        </is>
      </c>
      <c r="H21" s="6" t="inlineStr">
        <is>
          <t>1999年7月13日</t>
        </is>
      </c>
      <c r="I21" s="15" t="inlineStr">
        <is>
          <t>かじ取り装置において、ステアリングギアボックスとステアリングナックルアームを接続 するアルミニウム製の継手部に強度不足のものがあるため、そのままの状態で使用を続け ると、当該継手部が外れ、最悪の場合、操舵ができなくなるおそれがある。</t>
        </is>
      </c>
      <c r="J21" s="15" t="inlineStr">
        <is>
          <t>全車両、当該継手部の材質を点検し、アルミニウム製の継手が装着されていた場合は、鉄 製の継手と交換する。</t>
        </is>
      </c>
    </row>
  </sheetData>
  <autoFilter ref="A1:J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2" customWidth="1" min="4" max="4"/>
    <col width="12" customWidth="1" min="5" max="5"/>
    <col width="10" customWidth="1" min="6" max="6"/>
    <col width="10" customWidth="1" min="7" max="7"/>
    <col width="34" customWidth="1" min="8" max="8"/>
    <col width="34" customWidth="1" min="9" max="9"/>
  </cols>
  <sheetData>
    <row r="1" ht="32" customHeight="1">
      <c r="A1" s="5" t="inlineStr">
        <is>
          <t>口コミ件数</t>
        </is>
      </c>
      <c r="B1" s="5" t="inlineStr">
        <is>
          <t>総合</t>
        </is>
      </c>
      <c r="C1" s="5" t="inlineStr">
        <is>
          <t>デザイン</t>
        </is>
      </c>
      <c r="D1" s="5" t="inlineStr">
        <is>
          <t>走行性能</t>
        </is>
      </c>
      <c r="E1" s="5" t="inlineStr">
        <is>
          <t>乗り心地</t>
        </is>
      </c>
      <c r="F1" s="5" t="inlineStr">
        <is>
          <t>価格</t>
        </is>
      </c>
      <c r="G1" s="5" t="inlineStr">
        <is>
          <t>燃費</t>
        </is>
      </c>
      <c r="H1" s="5" t="inlineStr">
        <is>
          <t>満足している点</t>
        </is>
      </c>
      <c r="I1" s="5" t="inlineStr">
        <is>
          <t>不満な点</t>
        </is>
      </c>
    </row>
    <row r="2">
      <c r="A2" s="18" t="n">
        <v>10</v>
      </c>
      <c r="B2" s="11" t="n">
        <v>4.8</v>
      </c>
      <c r="C2" s="11" t="n">
        <v>4.8</v>
      </c>
      <c r="D2" s="11" t="n">
        <v>4.9</v>
      </c>
      <c r="E2" s="11" t="n">
        <v>4.8</v>
      </c>
      <c r="F2" s="11" t="n">
        <v>3.75</v>
      </c>
      <c r="G2" s="11" t="n">
        <v>3.89</v>
      </c>
      <c r="H2" s="15" t="inlineStr">
        <is>
          <t>価格と性能とデザインのバランスが優れていた2010年代の車。 古さを感じさせないエアロパーツ要素をそぎ落としたデザイン。 アウディSモデルやRSモデルに搭載されているV8 4000cc ツインターボエンジンを積んだ、435馬力を誇るドライバーズカー。 当時同クラスの車両でも極めて抜き出た室内デザインと内装クオリティ。
---
欧州車ならではの足回りとハンドリングがとても良いです
---
乗り心地最高です。静粛性も高めで、クアトロなので高速安定性は抜群です。</t>
        </is>
      </c>
      <c r="I2" s="15" t="inlineStr">
        <is>
          <t>A8はフラッグシップセダンともあって、静寂性を重視したモデルなのでV8エンジンの排気音もかなり控えめなところ。
---
日本で乗るには大きいのが難点、駐車スペースに苦労が多いです。
---
ナビが使えません。サーバがドイツにあるので結構トラブルあります。目的地入力してもとんでもない道を教えます。 BMWと比較したら比べものにはなりません。</t>
        </is>
      </c>
    </row>
  </sheetData>
  <autoFilter ref="A1:I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34" customWidth="1" min="4" max="4"/>
    <col width="34" customWidth="1" min="5" max="5"/>
    <col width="34" customWidth="1" min="6" max="6"/>
    <col width="10" customWidth="1" min="7" max="7"/>
  </cols>
  <sheetData>
    <row r="1" ht="32" customHeight="1">
      <c r="A1" s="5" t="inlineStr">
        <is>
          <t>年式</t>
        </is>
      </c>
      <c r="B1" s="5" t="inlineStr">
        <is>
          <t>グレード</t>
        </is>
      </c>
      <c r="C1" s="5" t="inlineStr">
        <is>
          <t>総合</t>
        </is>
      </c>
      <c r="D1" s="5" t="inlineStr">
        <is>
          <t>満足している点</t>
        </is>
      </c>
      <c r="E1" s="5" t="inlineStr">
        <is>
          <t>不満な点</t>
        </is>
      </c>
      <c r="F1" s="5" t="inlineStr">
        <is>
          <t>総評</t>
        </is>
      </c>
      <c r="G1" s="5" t="inlineStr">
        <is>
          <t>URL</t>
        </is>
      </c>
    </row>
    <row r="2">
      <c r="A2" s="10" t="n">
        <v>2014</v>
      </c>
      <c r="B2" s="11" t="inlineStr">
        <is>
          <t>4.0 TFSI クワトロ_RHD_4WD(AT_4.0)</t>
        </is>
      </c>
      <c r="C2" s="14" t="n">
        <v>4</v>
      </c>
      <c r="D2" s="15" t="inlineStr">
        <is>
          <t>価格と性能とデザインのバランスが優れていた2010年代の車。 古さを感じさせないエアロパーツ要素をそぎ落としたデザイン。 アウディSモデルやRSモデルに搭載されているV8 4000cc ツインターボエンジンを積んだ、435馬力を誇るドライバーズカー。 当時同クラスの車両でも極めて抜き出た室内デザインと内装クオリティ。</t>
        </is>
      </c>
      <c r="E2" s="15" t="inlineStr">
        <is>
          <t>A8はフラッグシップセダンともあって、静寂性を重視したモデルなのでV8エンジンの排気音もかなり控えめなところ。</t>
        </is>
      </c>
      <c r="F2" s="15" t="n"/>
      <c r="G2" s="11" t="n"/>
    </row>
    <row r="3">
      <c r="A3" s="16" t="n">
        <v>2011</v>
      </c>
      <c r="B3" s="6" t="inlineStr">
        <is>
          <t>L 4.2 FSI クワトロ_RHD_4WD(AT_4.2)</t>
        </is>
      </c>
      <c r="C3" s="9" t="n">
        <v>5</v>
      </c>
      <c r="D3" s="15" t="inlineStr">
        <is>
          <t>欧州車ならではの足回りとハンドリングがとても良いです</t>
        </is>
      </c>
      <c r="E3" s="15" t="inlineStr">
        <is>
          <t>日本で乗るには大きいのが難点、駐車スペースに苦労が多いです。</t>
        </is>
      </c>
      <c r="F3" s="15" t="n"/>
      <c r="G3" s="6" t="n"/>
    </row>
    <row r="4">
      <c r="A4" s="10" t="n">
        <v>2021</v>
      </c>
      <c r="B4" s="11" t="inlineStr">
        <is>
          <t>A8 55 TFSI クワトロ_RHD_4WD(ティプトロニック_3.0)</t>
        </is>
      </c>
      <c r="C4" s="14" t="n">
        <v>5</v>
      </c>
      <c r="D4" s="15" t="inlineStr">
        <is>
          <t>乗り心地最高です。静粛性も高めで、クアトロなので高速安定性は抜群です。</t>
        </is>
      </c>
      <c r="E4" s="15" t="inlineStr">
        <is>
          <t>ナビが使えません。サーバがドイツにあるので結構トラブルあります。目的地入力してもとんでもない道を教えます。 BMWと比較したら比べものにはなりません。</t>
        </is>
      </c>
      <c r="F4" s="15" t="n"/>
      <c r="G4" s="11" t="n"/>
    </row>
    <row r="5">
      <c r="A5" s="16" t="n">
        <v>2024</v>
      </c>
      <c r="B5" s="6" t="inlineStr">
        <is>
          <t>A8 グランドツーリングリミテッド_RHD_4WD(ティプトロニック_3.0)</t>
        </is>
      </c>
      <c r="C5" s="9" t="n">
        <v>5</v>
      </c>
      <c r="D5" s="15" t="inlineStr">
        <is>
          <t>AWS付きですので小回りができます。 大人4人とチャイルドシート付きでも余裕です。 運転しやすいです。</t>
        </is>
      </c>
      <c r="E5" s="15" t="inlineStr">
        <is>
          <t>燃費くらい</t>
        </is>
      </c>
      <c r="F5" s="15" t="n"/>
      <c r="G5" s="6" t="n"/>
    </row>
    <row r="6">
      <c r="A6" s="10" t="n">
        <v>2014</v>
      </c>
      <c r="B6" s="11" t="inlineStr">
        <is>
          <t>4.0 TFSI クワトロ_LHD_4WD(AT_4.0)</t>
        </is>
      </c>
      <c r="C6" s="14" t="n">
        <v>5</v>
      </c>
      <c r="D6" s="15" t="inlineStr">
        <is>
          <t>スノーシーズンに車高調整して快適に走れるところ</t>
        </is>
      </c>
      <c r="E6" s="15" t="n"/>
      <c r="F6" s="15" t="n"/>
      <c r="G6" s="11" t="n"/>
    </row>
    <row r="7">
      <c r="A7" s="16" t="n">
        <v>2015</v>
      </c>
      <c r="B7" s="6" t="inlineStr">
        <is>
          <t>4.0 TFSI クワトロ スポーツエディション_RHD_4WD(AT_4.0)</t>
        </is>
      </c>
      <c r="C7" s="9" t="n">
        <v>5</v>
      </c>
      <c r="D7" s="15" t="inlineStr">
        <is>
          <t>プレーンながらもクリーンな３BOXセダンスタイル。 Fセグメントにありがちなオラオラ感とは無縁なスタイルは好みは分かれると思うが、押出感満載な車に食傷気味な私には、とても魅力的なデザイン。 V8ツインターボエンジンは有り余るトルクでどの速度域からも加速していく。 そのエンジンと相まってquattroの安定感は抜群で、大雨だろうが凍結路だろうが何事もないかのようにしずしずと、神経を使うことなく足ることが出来る。</t>
        </is>
      </c>
      <c r="E7" s="15" t="inlineStr">
        <is>
          <t>前期モデルヘッドランプの独創的デザインから見ると若干、後退した感じが否めない。 個人的にダイナミックインジケータは好みではないがAudiのアイデンティティとなっているため、変更したくても出来ない点。</t>
        </is>
      </c>
      <c r="F7" s="15" t="n"/>
      <c r="G7" s="6" t="n"/>
    </row>
    <row r="8">
      <c r="A8" s="10" t="n">
        <v>2015</v>
      </c>
      <c r="B8" s="11" t="inlineStr">
        <is>
          <t>4.0 TFSI クワトロ スポーツエディション_RHD_4WD(AT_4.0)</t>
        </is>
      </c>
      <c r="C8" s="14" t="n">
        <v>5</v>
      </c>
      <c r="D8" s="15" t="inlineStr">
        <is>
          <t>素晴らしい乗り味とエクステリアとインテリア</t>
        </is>
      </c>
      <c r="E8" s="15" t="inlineStr">
        <is>
          <t>燃費はやっぱり…</t>
        </is>
      </c>
      <c r="F8" s="15" t="n"/>
      <c r="G8" s="11" t="n"/>
    </row>
    <row r="9">
      <c r="A9" s="16" t="n">
        <v>2021</v>
      </c>
      <c r="B9" s="6" t="inlineStr">
        <is>
          <t>A8 55 TFSI クワトロ_RHD_4WD(ティプトロニック_3.0)</t>
        </is>
      </c>
      <c r="C9" s="9" t="n">
        <v>5</v>
      </c>
      <c r="D9" s="15" t="n"/>
      <c r="E9" s="15" t="inlineStr">
        <is>
          <t>昨日会社の機械式駐車場で勝手にトランクが開きリアガラスを破損。会社にはいなかったので誤作動と思いますが。勝手にトランク開くのですか</t>
        </is>
      </c>
      <c r="F9" s="15" t="n"/>
      <c r="G9" s="6" t="n"/>
    </row>
    <row r="10">
      <c r="A10" s="10" t="n">
        <v>2015</v>
      </c>
      <c r="B10" s="11" t="inlineStr">
        <is>
          <t>L 4.0 TFSI クワトロ ショーファースペシャルエディション_RHD_4WD(AT_4.0)</t>
        </is>
      </c>
      <c r="C10" s="14" t="n">
        <v>4</v>
      </c>
      <c r="D10" s="15" t="inlineStr">
        <is>
          <t>2015年のA8L 中古で300万前後で買えるお得感 ショーファーでありながら、しっかりとしたドライバーズサルーン。 Mercedes: Maybach S63 S550 BMW: 740i 760iL これまで乗った同じ立ち位置にいるドイツ車で比べても、1番好きなフィーリング。 2トン越えのボディとは思えないほど軽快な走り。 ロングなので、後席でもゆとりもある。 ドアを閉めた時の質感。 スイッチを押した時のフィーリング。 次にどこに行くか分かってるかのようなハンドリング。 スポーツカーの様な加速をさせるエンジンにミッション。 お世辞抜きにいい車ですね。</t>
        </is>
      </c>
      <c r="E10" s="15" t="inlineStr">
        <is>
          <t>中古車故のトラブルも含めて。 ① エンブレが弱すぎるので、ブレーキも必要とする。 ②ブレーキの効きポイントが若干奥であること。 ショーファー故なのか、もう少し手前で効かせて欲しいですね。 よく言えばレーシングカーのよう。 踏めば止まります。 ③シフトの癖が凄い。 ここはアナログでも良かったかな。 切り返しの際、DからRにいれたいのだが、Pになりやすい。 これは慣れなのであろうが… 実にやりにくい。 ④リアモニターが角度によってはカタカタカタとなってる。 ⑤運転席のマッサージユニットからなのか、定期的に作動音的なものが聞こえて耳障り ⑥ナビの更新がもうできないのでほぼ使い物にならない。 ⑦モニターが同世代のメーカーと比べても明らかに荒い。 リアモニターでお世辞にもテレビ等見る気にならない。 ⑧後席のオットマンを出す際、助手席のヘッドレストも倒れ座席も限界まで前に出るのですが、僕のシートポジションだと、ちょうど左サイドミラーがヘッドレストで見えなくなる。 これはかなりの不満ですね。</t>
        </is>
      </c>
      <c r="F10" s="15" t="n"/>
      <c r="G10" s="11" t="n"/>
    </row>
    <row r="11">
      <c r="A11" s="16" t="n">
        <v>2015</v>
      </c>
      <c r="B11" s="6" t="inlineStr">
        <is>
          <t>L 4.0 TFSI クワトロ ショーファースペシャルエディション_RHD_4WD(AT_4.0)</t>
        </is>
      </c>
      <c r="C11" s="9" t="n">
        <v>5</v>
      </c>
      <c r="D11" s="15" t="n"/>
      <c r="E11" s="15" t="n"/>
      <c r="F11" s="15" t="n"/>
      <c r="G11" s="6" t="n"/>
    </row>
  </sheetData>
  <autoFilter ref="A1:G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2026-09-01T00:52:10Z</dcterms:created>
  <dcterms:modified xmlns:dcterms="http://purl.org/dc/terms/" xmlns:xsi="http://www.w3.org/2001/XMLSchema-instance" xsi:type="dcterms:W3CDTF">2026-09-01T00:52:11Z</dcterms:modified>
</cp:coreProperties>
</file>