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価格と走行" sheetId="2" state="visible" r:id="rId2"/>
    <sheet xmlns:r="http://schemas.openxmlformats.org/officeDocument/2006/relationships" name="候補_60 TFSI" sheetId="3" state="visible" r:id="rId3"/>
    <sheet xmlns:r="http://schemas.openxmlformats.org/officeDocument/2006/relationships" name="他グレード" sheetId="4" state="visible" r:id="rId4"/>
    <sheet xmlns:r="http://schemas.openxmlformats.org/officeDocument/2006/relationships" name="年間維持費" sheetId="5" state="visible" r:id="rId5"/>
    <sheet xmlns:r="http://schemas.openxmlformats.org/officeDocument/2006/relationships" name="ヤフオク落札" sheetId="6" state="visible" r:id="rId6"/>
    <sheet xmlns:r="http://schemas.openxmlformats.org/officeDocument/2006/relationships" name="年式別相場" sheetId="7" state="visible" r:id="rId7"/>
    <sheet xmlns:r="http://schemas.openxmlformats.org/officeDocument/2006/relationships" name="壊れやすい点" sheetId="8" state="visible" r:id="rId8"/>
    <sheet xmlns:r="http://schemas.openxmlformats.org/officeDocument/2006/relationships" name="口コミ" sheetId="9" state="visible" r:id="rId9"/>
  </sheets>
  <definedNames>
    <definedName name="_xlnm._FilterDatabase" localSheetId="2" hidden="1">'候補_60 TFSI'!$A$1:$L$9</definedName>
    <definedName name="_xlnm._FilterDatabase" localSheetId="3" hidden="1">'他グレード'!$A$1:$L$19</definedName>
    <definedName name="_xlnm._FilterDatabase" localSheetId="4" hidden="1">'年間維持費'!$A$1:$O$4</definedName>
    <definedName name="_xlnm._FilterDatabase" localSheetId="5" hidden="1">'ヤフオク落札'!$A$1:$I$6</definedName>
    <definedName name="_xlnm._FilterDatabase" localSheetId="6" hidden="1">'年式別相場'!$A$1:$G$15</definedName>
    <definedName name="_xlnm._FilterDatabase" localSheetId="7" hidden="1">'壊れやすい点'!$A$1:$G$7</definedName>
    <definedName name="_xlnm._FilterDatabase" localSheetId="8" hidden="1">'口コミ'!$A$1:$I$2</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5">
    <font>
      <name val="Calibri"/>
      <family val="2"/>
      <color theme="1"/>
      <sz val="11"/>
      <scheme val="minor"/>
    </font>
    <font>
      <b val="1"/>
      <sz val="14"/>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4"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1" fontId="0" fillId="3" borderId="1" pivotButton="0" quotePrefix="0" xfId="0"/>
    <xf numFmtId="0" fontId="0" fillId="3" borderId="1" pivotButton="0" quotePrefix="0" xfId="0"/>
    <xf numFmtId="166" fontId="0" fillId="3" borderId="1" pivotButton="0" quotePrefix="0" xfId="0"/>
    <xf numFmtId="164" fontId="0" fillId="3" borderId="1" pivotButton="0" quotePrefix="0" xfId="0"/>
    <xf numFmtId="165" fontId="0" fillId="3" borderId="1" pivotButton="0" quotePrefix="0" xfId="0"/>
    <xf numFmtId="0" fontId="0" fillId="0" borderId="1" applyAlignment="1" pivotButton="0" quotePrefix="0" xfId="0">
      <alignment vertical="top" wrapText="1"/>
    </xf>
    <xf numFmtId="1" fontId="0" fillId="0" borderId="1" pivotButton="0" quotePrefix="0" xfId="0"/>
    <xf numFmtId="166" fontId="0" fillId="0" borderId="1" pivotButton="0" quotePrefix="0" xfId="0"/>
    <xf numFmtId="3"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年式別の価格帯（万円）</a:t>
            </a:r>
          </a:p>
        </rich>
      </tx>
    </title>
    <plotArea>
      <barChart>
        <barDir val="bar"/>
        <grouping val="clustered"/>
        <ser>
          <idx val="0"/>
          <order val="0"/>
          <tx>
            <strRef>
              <f>'グラフ_価格と走行'!D4</f>
            </strRef>
          </tx>
          <spPr>
            <a:ln xmlns:a="http://schemas.openxmlformats.org/drawingml/2006/main">
              <a:prstDash val="solid"/>
            </a:ln>
          </spPr>
          <cat>
            <numRef>
              <f>'グラフ_価格と走行'!$B$5:$B$11</f>
            </numRef>
          </cat>
          <val>
            <numRef>
              <f>'グラフ_価格と走行'!$D$5:$D$11</f>
            </numRef>
          </val>
        </ser>
        <ser>
          <idx val="1"/>
          <order val="1"/>
          <tx>
            <strRef>
              <f>'グラフ_価格と走行'!E4</f>
            </strRef>
          </tx>
          <spPr>
            <a:ln xmlns:a="http://schemas.openxmlformats.org/drawingml/2006/main">
              <a:prstDash val="solid"/>
            </a:ln>
          </spPr>
          <cat>
            <numRef>
              <f>'グラフ_価格と走行'!$B$5:$B$11</f>
            </numRef>
          </cat>
          <val>
            <numRef>
              <f>'グラフ_価格と走行'!$E$5:$E$11</f>
            </numRef>
          </val>
        </ser>
        <ser>
          <idx val="2"/>
          <order val="2"/>
          <tx>
            <strRef>
              <f>'グラフ_価格と走行'!F4</f>
            </strRef>
          </tx>
          <spPr>
            <a:ln xmlns:a="http://schemas.openxmlformats.org/drawingml/2006/main">
              <a:prstDash val="solid"/>
            </a:ln>
          </spPr>
          <cat>
            <numRef>
              <f>'グラフ_価格と走行'!$B$5:$B$11</f>
            </numRef>
          </cat>
          <val>
            <numRef>
              <f>'グラフ_価格と走行'!$F$5:$F$11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104" customWidth="1" min="2" max="2"/>
  </cols>
  <sheetData>
    <row r="1">
      <c r="A1" s="1" t="inlineStr">
        <is>
          <t>アウディ A8 60 TFSI（2018〜2021年式）を探す</t>
        </is>
      </c>
    </row>
    <row r="3">
      <c r="A3" t="inlineStr">
        <is>
          <t>生成日時</t>
        </is>
      </c>
      <c r="B3" s="2" t="inlineStr">
        <is>
          <t>2026-09-01 09:29</t>
        </is>
      </c>
    </row>
    <row r="4">
      <c r="A4" t="inlineStr">
        <is>
          <t>対象</t>
        </is>
      </c>
      <c r="B4" s="2" t="inlineStr">
        <is>
          <t>2018〜2021年式 / 60 TFSI / 全国</t>
        </is>
      </c>
    </row>
    <row r="5">
      <c r="A5" t="inlineStr">
        <is>
          <t>狙いのグレード</t>
        </is>
      </c>
      <c r="B5" s="2" t="inlineStr">
        <is>
          <t>8台（316〜458万円 / 走行 0.6〜10.7万km）</t>
        </is>
      </c>
    </row>
    <row r="6">
      <c r="A6" t="inlineStr">
        <is>
          <t>同年式の他グレード</t>
        </is>
      </c>
      <c r="B6" s="2" t="inlineStr">
        <is>
          <t>18台</t>
        </is>
      </c>
    </row>
    <row r="7">
      <c r="A7" t="inlineStr">
        <is>
          <t>排気量</t>
        </is>
      </c>
      <c r="B7" s="2" t="inlineStr">
        <is>
          <t>4.0L（自動車税・重量税・燃費はこれで決まる）</t>
        </is>
      </c>
    </row>
    <row r="8">
      <c r="A8" t="inlineStr"/>
      <c r="B8" s="2" t="inlineStr"/>
    </row>
    <row r="9">
      <c r="A9" s="1" t="inlineStr">
        <is>
          <t>■ シート</t>
        </is>
      </c>
      <c r="B9" s="2" t="inlineStr"/>
    </row>
    <row r="10">
      <c r="A10" t="inlineStr">
        <is>
          <t>候補_60 TFSI</t>
        </is>
      </c>
      <c r="B10" s="2" t="inlineStr">
        <is>
          <t>狙いのグレードの在庫を1台ずつ。状態スコア順。走行距離・修復歴・車検残・保証で採点している。</t>
        </is>
      </c>
    </row>
    <row r="11">
      <c r="A11" t="inlineStr">
        <is>
          <t>他グレード</t>
        </is>
      </c>
      <c r="B11" s="2" t="inlineStr">
        <is>
          <t>同じ車種・同じ年式の他グレード。狙いのグレードが少ないときの比較用。</t>
        </is>
      </c>
    </row>
    <row r="12">
      <c r="A12" t="inlineStr">
        <is>
          <t>グラフ_価格と走行</t>
        </is>
      </c>
      <c r="B12" s="2" t="inlineStr">
        <is>
          <t>年式ごとの価格帯と走行距離。他グレードとの差も並べてある。</t>
        </is>
      </c>
    </row>
    <row r="13">
      <c r="A13" t="inlineStr">
        <is>
          <t>年間維持費</t>
        </is>
      </c>
      <c r="B13" s="2" t="inlineStr">
        <is>
          <t>税・保険・車検・燃料・整備予備費の年額。</t>
        </is>
      </c>
    </row>
    <row r="14">
      <c r="A14" t="inlineStr">
        <is>
          <t>ヤフオク落札</t>
        </is>
      </c>
      <c r="B14" s="2" t="inlineStr">
        <is>
          <t>過去180日の落札実績。**この価格帯の車はほとんど出てこない**ので件数は期待できない。</t>
        </is>
      </c>
    </row>
    <row r="15">
      <c r="A15" t="inlineStr">
        <is>
          <t>年式別相場</t>
        </is>
      </c>
      <c r="B15" s="2" t="inlineStr">
        <is>
          <t>カーセンサー掲載の年式別価格分布（全グレード込み）。</t>
        </is>
      </c>
    </row>
    <row r="16">
      <c r="A16" t="inlineStr">
        <is>
          <t>壊れやすい点</t>
        </is>
      </c>
      <c r="B16" s="2" t="inlineStr">
        <is>
          <t>国交省の不具合通報を装置別に。発生時の走行距離つき。</t>
        </is>
      </c>
    </row>
    <row r="17">
      <c r="A17" t="inlineStr"/>
      <c r="B17" s="2" t="inlineStr"/>
    </row>
    <row r="18">
      <c r="A18" s="1" t="inlineStr">
        <is>
          <t>■ グレードの判定について</t>
        </is>
      </c>
      <c r="B18" s="2" t="inlineStr"/>
    </row>
    <row r="19">
      <c r="A19" t="inlineStr">
        <is>
          <t>やり方</t>
        </is>
      </c>
      <c r="B19" s="2" t="inlineStr">
        <is>
          <t>カーセンサーの在庫検索にグレードで絞る軸が無いので、車種と年式で引いてから**出品タイトルの先頭でグレードを判定**している。タイトルは「A8 60 TFSI クワトロ 4WD …」のように 車種名→グレード→装備 と並ぶ。装備の羅列まで見ると「60」が別の意味で当たるので、先頭24文字だけを見ている。</t>
        </is>
      </c>
    </row>
    <row r="20">
      <c r="A20" t="inlineStr">
        <is>
          <t>取りこぼし</t>
        </is>
      </c>
      <c r="B20" s="2" t="inlineStr">
        <is>
          <t>販売店がグレードを書いていない出品は拾えない。「他グレード」シートに落ちているので、そちらも一度は目で見ること。</t>
        </is>
      </c>
    </row>
    <row r="21">
      <c r="A21" t="inlineStr"/>
      <c r="B21" s="2" t="inlineStr"/>
    </row>
    <row r="22">
      <c r="A22" s="1" t="inlineStr">
        <is>
          <t>■ 数字の注意</t>
        </is>
      </c>
      <c r="B22" s="2" t="inlineStr"/>
    </row>
    <row r="23">
      <c r="A23" t="inlineStr">
        <is>
          <t>維持費</t>
        </is>
      </c>
      <c r="B23" s="2" t="inlineStr">
        <is>
          <t>税・自賠責は法定。任意保険60,000円・車検基本料60,000円/2年・整備30,000円・175円/L・駐車場0円を仮定。輸入車は部品代と工賃が国産より高いので、**整備費は多めに見ておくこと**。</t>
        </is>
      </c>
    </row>
    <row r="24">
      <c r="A24" t="inlineStr">
        <is>
          <t>走行距離</t>
        </is>
      </c>
      <c r="B24" s="2" t="inlineStr">
        <is>
          <t>在庫の走行距離中央値を車齢で割って年間走行としている。この価格帯は落札実績がほとんど無いので、落札側からは取れない。</t>
        </is>
      </c>
    </row>
    <row r="25">
      <c r="A25" t="inlineStr">
        <is>
          <t>整備予備費</t>
        </is>
      </c>
      <c r="B25" s="2" t="inlineStr">
        <is>
          <t>国交省の不具合情報にある「装置ごとの発生時走行距離」を保有5年で通過するかで見積もったもの。**通報件数から発生確率は出せない**ので、通過する装置の修理費を全部足して 0.5 を掛けている。この 0.5 は素の仮定。この車種の通報は全部で13件で、母数が小さいぶん装置の並びもぶれる。</t>
        </is>
      </c>
    </row>
    <row r="26">
      <c r="A26" t="inlineStr">
        <is>
          <t>値落ち</t>
        </is>
      </c>
      <c r="B26" s="2" t="inlineStr">
        <is>
          <t>この本には入れていない。年式ごとの落札実績が無く、掲載価格だけでは1年でいくら落ちるかを出せないため。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s>
  <sheetData>
    <row r="1">
      <c r="A1" s="3" t="inlineStr">
        <is>
          <t>60 TFSI の在庫（年式別）と他グレードとの差</t>
        </is>
      </c>
    </row>
    <row r="2">
      <c r="A2" s="4" t="inlineStr">
        <is>
          <t>狙いのグレードが何台あって、いくらで、どれだけ走っているか。他グレードとの価格差が大きければ、そちらも選択肢に入る。</t>
        </is>
      </c>
    </row>
    <row r="4">
      <c r="A4" s="5" t="inlineStr">
        <is>
          <t>区分</t>
        </is>
      </c>
      <c r="B4" s="5" t="inlineStr">
        <is>
          <t>年式</t>
        </is>
      </c>
      <c r="C4" s="5" t="inlineStr">
        <is>
          <t>台数</t>
        </is>
      </c>
      <c r="D4" s="5" t="inlineStr">
        <is>
          <t>最安(万円)</t>
        </is>
      </c>
      <c r="E4" s="5" t="inlineStr">
        <is>
          <t>中央値(万円)</t>
        </is>
      </c>
      <c r="F4" s="5" t="inlineStr">
        <is>
          <t>最高(万円)</t>
        </is>
      </c>
      <c r="G4" s="5" t="inlineStr">
        <is>
          <t>走行中央値(万km)</t>
        </is>
      </c>
    </row>
    <row r="5">
      <c r="A5" s="6" t="inlineStr">
        <is>
          <t>狙い: 60 TFSI</t>
        </is>
      </c>
      <c r="B5" s="6" t="n">
        <v>2018</v>
      </c>
      <c r="C5" s="7" t="n">
        <v>1</v>
      </c>
      <c r="D5" s="8" t="n">
        <v>458.4</v>
      </c>
      <c r="E5" s="8" t="n">
        <v>458.4</v>
      </c>
      <c r="F5" s="8" t="n">
        <v>458.4</v>
      </c>
      <c r="G5" s="9" t="n">
        <v>0.6</v>
      </c>
    </row>
    <row r="6">
      <c r="A6" s="6" t="inlineStr">
        <is>
          <t>狙い: 60 TFSI</t>
        </is>
      </c>
      <c r="B6" s="6" t="n">
        <v>2019</v>
      </c>
      <c r="C6" s="7" t="n">
        <v>6</v>
      </c>
      <c r="D6" s="8" t="n">
        <v>316</v>
      </c>
      <c r="E6" s="8" t="n">
        <v>350.9</v>
      </c>
      <c r="F6" s="8" t="n">
        <v>439.9</v>
      </c>
      <c r="G6" s="9" t="n">
        <v>4.8</v>
      </c>
    </row>
    <row r="7">
      <c r="A7" s="6" t="inlineStr">
        <is>
          <t>狙い: 60 TFSI</t>
        </is>
      </c>
      <c r="B7" s="6" t="n">
        <v>2020</v>
      </c>
      <c r="C7" s="7" t="n">
        <v>1</v>
      </c>
      <c r="D7" s="8" t="n">
        <v>421.7</v>
      </c>
      <c r="E7" s="8" t="n">
        <v>421.7</v>
      </c>
      <c r="F7" s="8" t="n">
        <v>421.7</v>
      </c>
      <c r="G7" s="9" t="n">
        <v>5.7</v>
      </c>
    </row>
    <row r="8">
      <c r="A8" s="6" t="inlineStr">
        <is>
          <t>他グレード</t>
        </is>
      </c>
      <c r="B8" s="6" t="n">
        <v>2018</v>
      </c>
      <c r="C8" s="7" t="n">
        <v>8</v>
      </c>
      <c r="D8" s="8" t="n">
        <v>313.9</v>
      </c>
      <c r="E8" s="8" t="n">
        <v>344.8</v>
      </c>
      <c r="F8" s="8" t="n">
        <v>378</v>
      </c>
      <c r="G8" s="9" t="n">
        <v>6</v>
      </c>
    </row>
    <row r="9">
      <c r="A9" s="6" t="inlineStr">
        <is>
          <t>他グレード</t>
        </is>
      </c>
      <c r="B9" s="6" t="n">
        <v>2019</v>
      </c>
      <c r="C9" s="7" t="n">
        <v>5</v>
      </c>
      <c r="D9" s="8" t="n">
        <v>329.5</v>
      </c>
      <c r="E9" s="8" t="n">
        <v>397</v>
      </c>
      <c r="F9" s="8" t="n">
        <v>519</v>
      </c>
      <c r="G9" s="9" t="n">
        <v>4.2</v>
      </c>
    </row>
    <row r="10">
      <c r="A10" s="6" t="inlineStr">
        <is>
          <t>他グレード</t>
        </is>
      </c>
      <c r="B10" s="6" t="n">
        <v>2020</v>
      </c>
      <c r="C10" s="7" t="n">
        <v>3</v>
      </c>
      <c r="D10" s="8" t="n">
        <v>378</v>
      </c>
      <c r="E10" s="8" t="n">
        <v>398</v>
      </c>
      <c r="F10" s="8" t="n">
        <v>409.7</v>
      </c>
      <c r="G10" s="9" t="n">
        <v>4.6</v>
      </c>
    </row>
    <row r="11">
      <c r="A11" s="6" t="inlineStr">
        <is>
          <t>他グレード</t>
        </is>
      </c>
      <c r="B11" s="6" t="n">
        <v>2021</v>
      </c>
      <c r="C11" s="7" t="n">
        <v>2</v>
      </c>
      <c r="D11" s="8" t="n">
        <v>499.3</v>
      </c>
      <c r="E11" s="8" t="n">
        <v>510</v>
      </c>
      <c r="F11" s="8" t="n">
        <v>520.8</v>
      </c>
      <c r="G11" s="9" t="n">
        <v>2.5</v>
      </c>
    </row>
  </sheetData>
  <conditionalFormatting sqref="E5:E11">
    <cfRule type="colorScale" priority="1">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22" customWidth="1" min="4" max="4"/>
    <col width="22" customWidth="1" min="5" max="5"/>
    <col width="24" customWidth="1" min="6" max="6"/>
    <col width="10" customWidth="1" min="7" max="7"/>
    <col width="10" customWidth="1" min="8" max="8"/>
    <col width="10" customWidth="1" min="9" max="9"/>
    <col width="34" customWidth="1" min="10" max="10"/>
    <col width="34" customWidth="1" min="11" max="11"/>
    <col width="14" customWidth="1" min="12" max="12"/>
  </cols>
  <sheetData>
    <row r="1" ht="32" customHeight="1">
      <c r="A1" s="5" t="inlineStr">
        <is>
          <t>年式</t>
        </is>
      </c>
      <c r="B1" s="5" t="inlineStr">
        <is>
          <t>グレード</t>
        </is>
      </c>
      <c r="C1" s="5" t="inlineStr">
        <is>
          <t>状態スコア</t>
        </is>
      </c>
      <c r="D1" s="5" t="inlineStr">
        <is>
          <t>支払総額
(万円)</t>
        </is>
      </c>
      <c r="E1" s="5" t="inlineStr">
        <is>
          <t>車両本体
(万円)</t>
        </is>
      </c>
      <c r="F1" s="5" t="inlineStr">
        <is>
          <t>走行距離
(万km)</t>
        </is>
      </c>
      <c r="G1" s="5" t="inlineStr">
        <is>
          <t>修復歴</t>
        </is>
      </c>
      <c r="H1" s="5" t="inlineStr">
        <is>
          <t>車検</t>
        </is>
      </c>
      <c r="I1" s="5" t="inlineStr">
        <is>
          <t>保証</t>
        </is>
      </c>
      <c r="J1" s="5" t="inlineStr">
        <is>
          <t>評価の理由</t>
        </is>
      </c>
      <c r="K1" s="5" t="inlineStr">
        <is>
          <t>装備（出品タイトル）</t>
        </is>
      </c>
      <c r="L1" s="5" t="inlineStr">
        <is>
          <t>掲載URL</t>
        </is>
      </c>
    </row>
    <row r="2">
      <c r="A2" s="10" t="n">
        <v>2018</v>
      </c>
      <c r="B2" s="11" t="inlineStr">
        <is>
          <t>60 TFSI クワトロ</t>
        </is>
      </c>
      <c r="C2" s="12" t="n">
        <v>7.1</v>
      </c>
      <c r="D2" s="13" t="n">
        <v>458.4</v>
      </c>
      <c r="E2" s="13" t="n">
        <v>444</v>
      </c>
      <c r="F2" s="14" t="n">
        <v>0.6</v>
      </c>
      <c r="G2" s="11" t="inlineStr">
        <is>
          <t>なし</t>
        </is>
      </c>
      <c r="H2" s="11" t="inlineStr">
        <is>
          <t>2027(R09)年10月</t>
        </is>
      </c>
      <c r="I2" s="11" t="inlineStr">
        <is>
          <t>保証付</t>
        </is>
      </c>
      <c r="J2" s="15" t="inlineStr">
        <is>
          <t>同年式の半分以下の走行（0.6万km） / 修復歴なし / 車検 2027/10 まで（残り13ヶ月） / 保証付</t>
        </is>
      </c>
      <c r="K2" s="15" t="inlineStr">
        <is>
          <t>A8 60 TFSI クワトロ 4WD アシスタンスP コンフォートP プライバシーガラス スポーツP ダイナミックオールホイールステアリング HDマトリクスLEDヘッドライト アウディレーザーライトP</t>
        </is>
      </c>
      <c r="L2" s="11" t="inlineStr">
        <is>
          <t>https://www.carsensor.net/usedcar/detail/AU7272683542/index.html</t>
        </is>
      </c>
    </row>
    <row r="3">
      <c r="A3" s="16" t="n">
        <v>2019</v>
      </c>
      <c r="B3" s="6" t="inlineStr">
        <is>
          <t>60 TFSI クワトロ</t>
        </is>
      </c>
      <c r="C3" s="17" t="n">
        <v>5.5</v>
      </c>
      <c r="D3" s="8" t="n">
        <v>439.9</v>
      </c>
      <c r="E3" s="8" t="n">
        <v>418</v>
      </c>
      <c r="F3" s="9" t="n">
        <v>2.4</v>
      </c>
      <c r="G3" s="6" t="inlineStr">
        <is>
          <t>なし</t>
        </is>
      </c>
      <c r="H3" s="6" t="inlineStr">
        <is>
          <t>車検整備付</t>
        </is>
      </c>
      <c r="I3" s="6" t="inlineStr">
        <is>
          <t>保証付</t>
        </is>
      </c>
      <c r="J3" s="15" t="inlineStr">
        <is>
          <t>走行が少なめ（2.4万km） / 修復歴なし / 車検整備付 / 保証付</t>
        </is>
      </c>
      <c r="K3" s="15" t="inlineStr">
        <is>
          <t>A8 60 TFSI クワトロ 4WD 認定中古車 HDマトリクスLEDヘッドライト アシスタンスパッケージ コンフォートパッケージ ダイナミックオールホイールステアリング パノラミックルーフ マルチカラーアンビエントライト</t>
        </is>
      </c>
      <c r="L3" s="6" t="inlineStr">
        <is>
          <t>https://www.carsensor.net/usedcar/detail/AU7086382067/index.html</t>
        </is>
      </c>
    </row>
    <row r="4">
      <c r="A4" s="10" t="n">
        <v>2019</v>
      </c>
      <c r="B4" s="11" t="inlineStr">
        <is>
          <t>60 TFSI クワトロ</t>
        </is>
      </c>
      <c r="C4" s="12" t="n">
        <v>4.3</v>
      </c>
      <c r="D4" s="13" t="n">
        <v>341.9</v>
      </c>
      <c r="E4" s="13" t="n">
        <v>328</v>
      </c>
      <c r="F4" s="14" t="n">
        <v>5.1</v>
      </c>
      <c r="G4" s="11" t="inlineStr">
        <is>
          <t>なし</t>
        </is>
      </c>
      <c r="H4" s="11" t="inlineStr">
        <is>
          <t>2028(R10)年01月</t>
        </is>
      </c>
      <c r="I4" s="11" t="inlineStr">
        <is>
          <t>保証付</t>
        </is>
      </c>
      <c r="J4" s="15" t="inlineStr">
        <is>
          <t>修復歴なし / 車検 2028/01 まで（残り16ヶ月） / 保証付</t>
        </is>
      </c>
      <c r="K4" s="15" t="inlineStr">
        <is>
          <t>A8 60 TFSI クワトロ 4WD 4L V8 LEDライト シートヒーターベンチレーション ナビTV 全方位カメラ 前後ドラレコ Pトランク Pシート 禁煙車 記録簿 スペアキー</t>
        </is>
      </c>
      <c r="L4" s="11" t="inlineStr">
        <is>
          <t>https://www.carsensor.net/usedcar/detail/AU7151537028/index.html</t>
        </is>
      </c>
    </row>
    <row r="5">
      <c r="A5" s="16" t="n">
        <v>2020</v>
      </c>
      <c r="B5" s="6" t="inlineStr">
        <is>
          <t>60 TFSI クワトロ</t>
        </is>
      </c>
      <c r="C5" s="17" t="n">
        <v>4.2</v>
      </c>
      <c r="D5" s="8" t="n">
        <v>421.7</v>
      </c>
      <c r="E5" s="8" t="n">
        <v>398.8</v>
      </c>
      <c r="F5" s="9" t="n">
        <v>5.7</v>
      </c>
      <c r="G5" s="6" t="inlineStr">
        <is>
          <t>なし</t>
        </is>
      </c>
      <c r="H5" s="6" t="inlineStr">
        <is>
          <t>2027(R09)年12月</t>
        </is>
      </c>
      <c r="I5" s="6" t="inlineStr">
        <is>
          <t>保証付</t>
        </is>
      </c>
      <c r="J5" s="15" t="inlineStr">
        <is>
          <t>修復歴なし / 車検 2027/12 まで（残り15ヶ月） / 保証付</t>
        </is>
      </c>
      <c r="K5" s="15" t="inlineStr">
        <is>
          <t>A8 60 TFSI クワトロ 4WD Sラインパッケージ コンフォートスポーツレザーシート マトリクスヘッドライト Bang&amp;Olufsenサウンド ベンチレーションシート</t>
        </is>
      </c>
      <c r="L5" s="6" t="inlineStr">
        <is>
          <t>https://www.carsensor.net/usedcar/detail/AU6900995796/index.html</t>
        </is>
      </c>
    </row>
    <row r="6">
      <c r="A6" s="10" t="n">
        <v>2019</v>
      </c>
      <c r="B6" s="11" t="inlineStr">
        <is>
          <t>60 TFSI クワトロ</t>
        </is>
      </c>
      <c r="C6" s="12" t="n">
        <v>4</v>
      </c>
      <c r="D6" s="13" t="n">
        <v>359.8</v>
      </c>
      <c r="E6" s="13" t="n">
        <v>346.1</v>
      </c>
      <c r="F6" s="14" t="n">
        <v>4.5</v>
      </c>
      <c r="G6" s="11" t="inlineStr">
        <is>
          <t>なし</t>
        </is>
      </c>
      <c r="H6" s="11" t="inlineStr">
        <is>
          <t>車検整備付</t>
        </is>
      </c>
      <c r="I6" s="11" t="inlineStr">
        <is>
          <t>保証付</t>
        </is>
      </c>
      <c r="J6" s="15" t="inlineStr">
        <is>
          <t>修復歴なし / 車検整備付 / 保証付</t>
        </is>
      </c>
      <c r="K6" s="15" t="inlineStr">
        <is>
          <t>A8 60 TFSI クワトロ 4WD MMIナビゲーション サラウンドビューカメラ アダプティブクルーズコントロール アウディアクティブレーンアシスト アウディプレセンスシティ アウディサイドアシスト ベンチレーションマッサージ機能</t>
        </is>
      </c>
      <c r="L6" s="11" t="inlineStr">
        <is>
          <t>https://www.carsensor.net/usedcar/detail/AU7018942313/index.html</t>
        </is>
      </c>
    </row>
    <row r="7">
      <c r="A7" s="16" t="n">
        <v>2019</v>
      </c>
      <c r="B7" s="6" t="inlineStr">
        <is>
          <t>60 TFSI クワトロ</t>
        </is>
      </c>
      <c r="C7" s="17" t="n">
        <v>4</v>
      </c>
      <c r="D7" s="8" t="n">
        <v>359.8</v>
      </c>
      <c r="E7" s="8" t="n">
        <v>344.9</v>
      </c>
      <c r="F7" s="9" t="n">
        <v>4.1</v>
      </c>
      <c r="G7" s="6" t="inlineStr">
        <is>
          <t>なし</t>
        </is>
      </c>
      <c r="H7" s="6" t="inlineStr">
        <is>
          <t>車検整備付</t>
        </is>
      </c>
      <c r="I7" s="6" t="inlineStr">
        <is>
          <t>保証付</t>
        </is>
      </c>
      <c r="J7" s="15" t="inlineStr">
        <is>
          <t>修復歴なし / 車検整備付 / 保証付</t>
        </is>
      </c>
      <c r="K7" s="15" t="inlineStr">
        <is>
          <t>A8 60 TFSI クワトロ 4WD Bang&amp;Olufsen/レーザーライトPKG/黒革シート/フルセグTV/AppleCarPlay/全周囲カメラ/ヘッドアップディスプレイ/シートヒーター&amp;ベンチレーション/ドライブレコーダー/パドルシフト/アイドリングストップ/</t>
        </is>
      </c>
      <c r="L7" s="6" t="inlineStr">
        <is>
          <t>https://www.carsensor.net/usedcar/detail/AU7124460340/index.html</t>
        </is>
      </c>
    </row>
    <row r="8">
      <c r="A8" s="10" t="n">
        <v>2019</v>
      </c>
      <c r="B8" s="11" t="inlineStr">
        <is>
          <t>60 TFSI クワトロ</t>
        </is>
      </c>
      <c r="C8" s="12" t="n">
        <v>3.2</v>
      </c>
      <c r="D8" s="13" t="n">
        <v>316</v>
      </c>
      <c r="E8" s="13" t="n">
        <v>305</v>
      </c>
      <c r="F8" s="14" t="n">
        <v>10.7</v>
      </c>
      <c r="G8" s="11" t="inlineStr">
        <is>
          <t>なし</t>
        </is>
      </c>
      <c r="H8" s="11" t="inlineStr">
        <is>
          <t>2028(R10)年06月</t>
        </is>
      </c>
      <c r="I8" s="11" t="inlineStr">
        <is>
          <t>保証無</t>
        </is>
      </c>
      <c r="J8" s="15" t="inlineStr">
        <is>
          <t>走行が多め（10.7万km） / 修復歴なし / 車検 2028/06 まで（残り21ヶ月） / 同年式より安い（中央値 360万）</t>
        </is>
      </c>
      <c r="K8" s="15" t="inlineStr">
        <is>
          <t>A8 60 TFSI クワトロ 4WD アウディデザインセレクション B&amp;Oアドバンストオーディオ コンフォートパッケージ マトリクスLED マッサージ機能付きバルコナレザー ベンチレーター SR ヘッドアップディスプレイ 20AW</t>
        </is>
      </c>
      <c r="L8" s="11" t="inlineStr">
        <is>
          <t>https://www.carsensor.net/usedcar/detail/AU7039853611/index.html</t>
        </is>
      </c>
    </row>
    <row r="9">
      <c r="A9" s="16" t="n">
        <v>2019</v>
      </c>
      <c r="B9" s="6" t="inlineStr">
        <is>
          <t>60 TFSI クワトロ</t>
        </is>
      </c>
      <c r="C9" s="17" t="n">
        <v>1.5</v>
      </c>
      <c r="D9" s="8" t="n">
        <v>332</v>
      </c>
      <c r="E9" s="8" t="n">
        <v>318</v>
      </c>
      <c r="F9" s="9" t="n">
        <v>9</v>
      </c>
      <c r="G9" s="6" t="inlineStr">
        <is>
          <t>なし</t>
        </is>
      </c>
      <c r="H9" s="6" t="inlineStr">
        <is>
          <t>車検整備無</t>
        </is>
      </c>
      <c r="I9" s="6" t="inlineStr">
        <is>
          <t>保証付</t>
        </is>
      </c>
      <c r="J9" s="15" t="inlineStr">
        <is>
          <t>走行が多め（9.0万km） / 修復歴なし / 保証付</t>
        </is>
      </c>
      <c r="K9" s="15" t="inlineStr">
        <is>
          <t>A8 60 TFSI クワトロ 4WD アシスタンスPKG デザインセレクション Bang&amp;Olufsenアドバンストオーディオ ダイナミックオールホイールステアリング マッサージ機能付バルコナレザー ベンチレーター アルカンターラルーフ</t>
        </is>
      </c>
      <c r="L9" s="6" t="inlineStr">
        <is>
          <t>https://www.carsensor.net/usedcar/detail/AU7132974090/index.html</t>
        </is>
      </c>
    </row>
  </sheetData>
  <autoFilter ref="A1:L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22" customWidth="1" min="4" max="4"/>
    <col width="22" customWidth="1" min="5" max="5"/>
    <col width="24" customWidth="1" min="6" max="6"/>
    <col width="10" customWidth="1" min="7" max="7"/>
    <col width="10" customWidth="1" min="8" max="8"/>
    <col width="10" customWidth="1" min="9" max="9"/>
    <col width="34" customWidth="1" min="10" max="10"/>
    <col width="34" customWidth="1" min="11" max="11"/>
    <col width="14" customWidth="1" min="12" max="12"/>
  </cols>
  <sheetData>
    <row r="1" ht="32" customHeight="1">
      <c r="A1" s="5" t="inlineStr">
        <is>
          <t>年式</t>
        </is>
      </c>
      <c r="B1" s="5" t="inlineStr">
        <is>
          <t>グレード</t>
        </is>
      </c>
      <c r="C1" s="5" t="inlineStr">
        <is>
          <t>状態スコア</t>
        </is>
      </c>
      <c r="D1" s="5" t="inlineStr">
        <is>
          <t>支払総額
(万円)</t>
        </is>
      </c>
      <c r="E1" s="5" t="inlineStr">
        <is>
          <t>車両本体
(万円)</t>
        </is>
      </c>
      <c r="F1" s="5" t="inlineStr">
        <is>
          <t>走行距離
(万km)</t>
        </is>
      </c>
      <c r="G1" s="5" t="inlineStr">
        <is>
          <t>修復歴</t>
        </is>
      </c>
      <c r="H1" s="5" t="inlineStr">
        <is>
          <t>車検</t>
        </is>
      </c>
      <c r="I1" s="5" t="inlineStr">
        <is>
          <t>保証</t>
        </is>
      </c>
      <c r="J1" s="5" t="inlineStr">
        <is>
          <t>評価の理由</t>
        </is>
      </c>
      <c r="K1" s="5" t="inlineStr">
        <is>
          <t>装備（出品タイトル）</t>
        </is>
      </c>
      <c r="L1" s="5" t="inlineStr">
        <is>
          <t>掲載URL</t>
        </is>
      </c>
    </row>
    <row r="2">
      <c r="A2" s="10" t="n">
        <v>2018</v>
      </c>
      <c r="B2" s="11" t="inlineStr">
        <is>
          <t>4.0 TFSI クワトロ</t>
        </is>
      </c>
      <c r="C2" s="12" t="n">
        <v>5.5</v>
      </c>
      <c r="D2" s="13" t="n">
        <v>322.7</v>
      </c>
      <c r="E2" s="13" t="n">
        <v>306</v>
      </c>
      <c r="F2" s="14" t="n">
        <v>4.5</v>
      </c>
      <c r="G2" s="11" t="inlineStr">
        <is>
          <t>なし</t>
        </is>
      </c>
      <c r="H2" s="11" t="inlineStr">
        <is>
          <t>車検整備付</t>
        </is>
      </c>
      <c r="I2" s="11" t="inlineStr">
        <is>
          <t>保証付</t>
        </is>
      </c>
      <c r="J2" s="15" t="inlineStr">
        <is>
          <t>走行が少なめ（4.5万km） / 修復歴なし / 車検整備付 / 保証付</t>
        </is>
      </c>
      <c r="K2" s="15" t="inlineStr">
        <is>
          <t>A8 4.0 TFSI クワトロ 4WD V8 4000ccターボ 8速オートマ 4WD S8プラススタイリングPKG アダプティブエアサスペンション アダプティブクルーズ サラウンドビューカメラ アルカンタラルーフ ベンチレーターシート 記録簿</t>
        </is>
      </c>
      <c r="L2" s="11" t="inlineStr">
        <is>
          <t>https://www.carsensor.net/usedcar/detail/AU7172630162/index.html</t>
        </is>
      </c>
    </row>
    <row r="3">
      <c r="A3" s="16" t="n">
        <v>2020</v>
      </c>
      <c r="B3" s="6" t="inlineStr">
        <is>
          <t>55 TFSI クワトロ</t>
        </is>
      </c>
      <c r="C3" s="17" t="n">
        <v>5.9</v>
      </c>
      <c r="D3" s="8" t="n">
        <v>409.7</v>
      </c>
      <c r="E3" s="8" t="n">
        <v>398</v>
      </c>
      <c r="F3" s="9" t="n">
        <v>3.1</v>
      </c>
      <c r="G3" s="6" t="inlineStr">
        <is>
          <t>なし</t>
        </is>
      </c>
      <c r="H3" s="6" t="inlineStr">
        <is>
          <t>2028(R10)年02月</t>
        </is>
      </c>
      <c r="I3" s="6" t="inlineStr">
        <is>
          <t>保証付</t>
        </is>
      </c>
      <c r="J3" s="15" t="inlineStr">
        <is>
          <t>走行が少なめ（3.1万km） / 修復歴なし / 車検 2028/02 まで（残り17ヶ月） / 保証付</t>
        </is>
      </c>
      <c r="K3" s="15" t="inlineStr">
        <is>
          <t>A8 55 TFSI クワトロ 4WD レーザーライトPKG 黒革 パノラマSR Bang&amp;Olufsenサラウンド デジタルマトリクスLEDヘッドランプ シートH ベンチレーション 純正MMiナビ 360°カメラ 純正19AW 禁煙 正規ディーラー車</t>
        </is>
      </c>
      <c r="L3" s="6" t="inlineStr">
        <is>
          <t>https://www.carsensor.net/usedcar/detail/AU7210360741/index.html</t>
        </is>
      </c>
    </row>
    <row r="4">
      <c r="A4" s="10" t="n">
        <v>2019</v>
      </c>
      <c r="B4" s="11" t="inlineStr">
        <is>
          <t>55 TFSI クワトロ</t>
        </is>
      </c>
      <c r="C4" s="12" t="n">
        <v>5.5</v>
      </c>
      <c r="D4" s="13" t="n">
        <v>519</v>
      </c>
      <c r="E4" s="13" t="n">
        <v>495</v>
      </c>
      <c r="F4" s="14" t="n">
        <v>3.2</v>
      </c>
      <c r="G4" s="11" t="inlineStr">
        <is>
          <t>なし</t>
        </is>
      </c>
      <c r="H4" s="11" t="inlineStr">
        <is>
          <t>車検整備付</t>
        </is>
      </c>
      <c r="I4" s="11" t="inlineStr">
        <is>
          <t>保証付</t>
        </is>
      </c>
      <c r="J4" s="15" t="inlineStr">
        <is>
          <t>走行が少なめ（3.2万km） / 修復歴なし / 車検整備付 / 保証付</t>
        </is>
      </c>
      <c r="K4" s="15" t="inlineStr">
        <is>
          <t>A8 55 TFSI クワトロ 4WD</t>
        </is>
      </c>
      <c r="L4" s="11" t="inlineStr">
        <is>
          <t>https://www.carsensor.net/usedcar/detail/AU0669261401/index.html</t>
        </is>
      </c>
    </row>
    <row r="5">
      <c r="A5" s="16" t="n">
        <v>2019</v>
      </c>
      <c r="B5" s="6" t="inlineStr">
        <is>
          <t>55 TFSI クワトロ</t>
        </is>
      </c>
      <c r="C5" s="17" t="n">
        <v>4.4</v>
      </c>
      <c r="D5" s="8" t="n">
        <v>329.5</v>
      </c>
      <c r="E5" s="8" t="n">
        <v>319</v>
      </c>
      <c r="F5" s="9" t="n">
        <v>5.4</v>
      </c>
      <c r="G5" s="6" t="inlineStr">
        <is>
          <t>なし</t>
        </is>
      </c>
      <c r="H5" s="6" t="inlineStr">
        <is>
          <t>2028(R10)年02月</t>
        </is>
      </c>
      <c r="I5" s="6" t="inlineStr">
        <is>
          <t>保証付</t>
        </is>
      </c>
      <c r="J5" s="15" t="inlineStr">
        <is>
          <t>修復歴なし / 車検 2028/02 まで（残り17ヶ月） / 保証付</t>
        </is>
      </c>
      <c r="K5" s="15" t="inlineStr">
        <is>
          <t>A8 55 TFSI クワトロ 4WD 1オーナー車 毎年ディーラー整備記録簿7枚 HDマトリクスLED 黒革 コンフォートシート 純正19インチAW バーチャルCP ACC サイドアシスト ヒーター&amp;ベンチレーション HUD リア電動シェード TV 前後パークセンサー ETC</t>
        </is>
      </c>
      <c r="L5" s="6" t="inlineStr">
        <is>
          <t>https://www.carsensor.net/usedcar/detail/AU7142067780/index.html</t>
        </is>
      </c>
    </row>
    <row r="6">
      <c r="A6" s="10" t="n">
        <v>2018</v>
      </c>
      <c r="B6" s="11" t="inlineStr">
        <is>
          <t>55 TFSI クワトロ</t>
        </is>
      </c>
      <c r="C6" s="12" t="n">
        <v>4.2</v>
      </c>
      <c r="D6" s="13" t="n">
        <v>313.9</v>
      </c>
      <c r="E6" s="13" t="n">
        <v>306.9</v>
      </c>
      <c r="F6" s="14" t="n">
        <v>5.1</v>
      </c>
      <c r="G6" s="11" t="inlineStr">
        <is>
          <t>なし</t>
        </is>
      </c>
      <c r="H6" s="11" t="inlineStr">
        <is>
          <t>2027(R09)年11月</t>
        </is>
      </c>
      <c r="I6" s="11" t="inlineStr">
        <is>
          <t>保証付</t>
        </is>
      </c>
      <c r="J6" s="15" t="inlineStr">
        <is>
          <t>修復歴なし / 車検 2027/11 まで（残り14ヶ月） / 保証付</t>
        </is>
      </c>
      <c r="K6" s="15" t="inlineStr">
        <is>
          <t>A8 55 TFSI クワトロ 4WD パノラマサンルーフ/アダプティブクルーズコントロール/プレセンス/LEDライト/純正ナビ地デジ/全方位カメラ/20AW/電動リアゲート/液晶メーター/茶レザーエアシート/ベンチレーション/Appleカープレイ/6か月保証付き</t>
        </is>
      </c>
      <c r="L6" s="11" t="inlineStr">
        <is>
          <t>https://www.carsensor.net/usedcar/detail/AU7283065310/index.html</t>
        </is>
      </c>
    </row>
    <row r="7">
      <c r="A7" s="16" t="n">
        <v>2018</v>
      </c>
      <c r="B7" s="6" t="inlineStr">
        <is>
          <t>55 TFSI クワトロ</t>
        </is>
      </c>
      <c r="C7" s="17" t="n">
        <v>4.2</v>
      </c>
      <c r="D7" s="8" t="n">
        <v>355</v>
      </c>
      <c r="E7" s="8" t="n">
        <v>345</v>
      </c>
      <c r="F7" s="9" t="n">
        <v>5.8</v>
      </c>
      <c r="G7" s="6" t="inlineStr">
        <is>
          <t>なし</t>
        </is>
      </c>
      <c r="H7" s="6" t="inlineStr">
        <is>
          <t>2027(R09)年12月</t>
        </is>
      </c>
      <c r="I7" s="6" t="inlineStr">
        <is>
          <t>保証付</t>
        </is>
      </c>
      <c r="J7" s="15" t="inlineStr">
        <is>
          <t>修復歴なし / 車検 2027/12 まで（残り15ヶ月） / 保証付</t>
        </is>
      </c>
      <c r="K7" s="15" t="inlineStr">
        <is>
          <t>A8 55 TFSI クワトロ 4WD 純正OP20AW カープレイ 地デジ バーチャルコックピット 全方位カメラ BANG&amp;OLUFSEN マトリクスLEDヘッドライト Frシートベンチレーションマッサージ マルチカラーアンビエントライト</t>
        </is>
      </c>
      <c r="L7" s="6" t="inlineStr">
        <is>
          <t>https://www.carsensor.net/usedcar/detail/AU7072567606/index.html</t>
        </is>
      </c>
    </row>
    <row r="8">
      <c r="A8" s="10" t="n">
        <v>2019</v>
      </c>
      <c r="B8" s="11" t="inlineStr">
        <is>
          <t>55 TFSI クワトロ</t>
        </is>
      </c>
      <c r="C8" s="12" t="n">
        <v>4</v>
      </c>
      <c r="D8" s="13" t="n">
        <v>418.5</v>
      </c>
      <c r="E8" s="13" t="n">
        <v>398</v>
      </c>
      <c r="F8" s="14" t="n">
        <v>3.9</v>
      </c>
      <c r="G8" s="11" t="inlineStr">
        <is>
          <t>なし</t>
        </is>
      </c>
      <c r="H8" s="11" t="inlineStr">
        <is>
          <t>車検整備付</t>
        </is>
      </c>
      <c r="I8" s="11" t="inlineStr">
        <is>
          <t>保証付</t>
        </is>
      </c>
      <c r="J8" s="15" t="inlineStr">
        <is>
          <t>修復歴なし / 車検整備付 / 保証付</t>
        </is>
      </c>
      <c r="K8" s="15" t="inlineStr">
        <is>
          <t>A8 55 TFSI クワトロ 4WD HDマトリクスLEDヘッドライト レーザーライトパッケージ アシスタンスパッケージ コンフォートP ダイナミックオールホイールステアリング プライバシーガラス マルチカラーアンビエントライト 認定中古車</t>
        </is>
      </c>
      <c r="L8" s="11" t="inlineStr">
        <is>
          <t>https://www.carsensor.net/usedcar/detail/AU7257071539/index.html</t>
        </is>
      </c>
    </row>
    <row r="9">
      <c r="A9" s="16" t="n">
        <v>2018</v>
      </c>
      <c r="B9" s="6" t="inlineStr">
        <is>
          <t>55 TFSI クワトロ</t>
        </is>
      </c>
      <c r="C9" s="17" t="n">
        <v>4</v>
      </c>
      <c r="D9" s="8" t="n">
        <v>336.7</v>
      </c>
      <c r="E9" s="8" t="n">
        <v>309</v>
      </c>
      <c r="F9" s="9" t="n">
        <v>7.6</v>
      </c>
      <c r="G9" s="6" t="inlineStr">
        <is>
          <t>なし</t>
        </is>
      </c>
      <c r="H9" s="6" t="inlineStr">
        <is>
          <t>車検整備付</t>
        </is>
      </c>
      <c r="I9" s="6" t="inlineStr">
        <is>
          <t>保証付</t>
        </is>
      </c>
      <c r="J9" s="15" t="inlineStr">
        <is>
          <t>修復歴なし / 車検整備付 / 保証付</t>
        </is>
      </c>
      <c r="K9" s="15" t="inlineStr">
        <is>
          <t>A8 55 TFSI クワトロ 4WD HDDナビ 360 カメラ 地デジ 黒革 パワーシート シートヒーターベンチレーション バーチャルコックピット アダプティブドライブアシスト 21インチS8純正ホイール アダプティブドライブアシスト</t>
        </is>
      </c>
      <c r="L9" s="6" t="inlineStr">
        <is>
          <t>https://www.carsensor.net/usedcar/detail/AU6694728130/index.html</t>
        </is>
      </c>
    </row>
    <row r="10">
      <c r="A10" s="10" t="n">
        <v>2019</v>
      </c>
      <c r="B10" s="11" t="inlineStr">
        <is>
          <t>55 TFSI クワトロ</t>
        </is>
      </c>
      <c r="C10" s="12" t="n">
        <v>4</v>
      </c>
      <c r="D10" s="13" t="n">
        <v>397</v>
      </c>
      <c r="E10" s="13" t="n">
        <v>378</v>
      </c>
      <c r="F10" s="14" t="n">
        <v>4.2</v>
      </c>
      <c r="G10" s="11" t="inlineStr">
        <is>
          <t>なし</t>
        </is>
      </c>
      <c r="H10" s="11" t="inlineStr">
        <is>
          <t>車検整備付</t>
        </is>
      </c>
      <c r="I10" s="11" t="inlineStr">
        <is>
          <t>保証付</t>
        </is>
      </c>
      <c r="J10" s="15" t="inlineStr">
        <is>
          <t>修復歴なし / 車検整備付 / 保証付</t>
        </is>
      </c>
      <c r="K10" s="15" t="inlineStr">
        <is>
          <t>A8 55 TFSI クワトロ 4WD</t>
        </is>
      </c>
      <c r="L10" s="11" t="inlineStr">
        <is>
          <t>https://www.carsensor.net/usedcar/detail/AU6719564812/index.html</t>
        </is>
      </c>
    </row>
    <row r="11">
      <c r="A11" s="16" t="n">
        <v>2018</v>
      </c>
      <c r="B11" s="6" t="inlineStr">
        <is>
          <t>55 TFSI クワトロ</t>
        </is>
      </c>
      <c r="C11" s="17" t="n">
        <v>3.3</v>
      </c>
      <c r="D11" s="8" t="n">
        <v>344.8</v>
      </c>
      <c r="E11" s="8" t="n">
        <v>324.8</v>
      </c>
      <c r="F11" s="9" t="n">
        <v>6.5</v>
      </c>
      <c r="G11" s="6" t="inlineStr">
        <is>
          <t>なし</t>
        </is>
      </c>
      <c r="H11" s="6" t="inlineStr">
        <is>
          <t>2028(R10)年01月</t>
        </is>
      </c>
      <c r="I11" s="6" t="inlineStr">
        <is>
          <t>保証無</t>
        </is>
      </c>
      <c r="J11" s="15" t="inlineStr">
        <is>
          <t>修復歴なし / 車検 2028/01 まで（残り16ヶ月）</t>
        </is>
      </c>
      <c r="K11" s="15" t="inlineStr">
        <is>
          <t>A8 55 TFSI クワトロ 4WD MMIナビゲーション 全方位カメラ ダイナミック オールホイール ステアリング BANG&amp;OLUFSEN マルチカラーアンビエントライト アダプティブクルーズコントロール コンフォートパッケージ</t>
        </is>
      </c>
      <c r="L11" s="6" t="inlineStr">
        <is>
          <t>https://www.carsensor.net/usedcar/detail/AU7212121668/index.html</t>
        </is>
      </c>
    </row>
    <row r="12">
      <c r="A12" s="10" t="n">
        <v>2020</v>
      </c>
      <c r="B12" s="11" t="inlineStr">
        <is>
          <t>55 TFSI クワトロ</t>
        </is>
      </c>
      <c r="C12" s="12" t="n">
        <v>3.2</v>
      </c>
      <c r="D12" s="13" t="n">
        <v>378</v>
      </c>
      <c r="E12" s="13" t="n">
        <v>358</v>
      </c>
      <c r="F12" s="14" t="n">
        <v>4.6</v>
      </c>
      <c r="G12" s="11" t="inlineStr">
        <is>
          <t>なし</t>
        </is>
      </c>
      <c r="H12" s="11" t="inlineStr">
        <is>
          <t>2027(R09)年12月</t>
        </is>
      </c>
      <c r="I12" s="11" t="inlineStr">
        <is>
          <t>保証無</t>
        </is>
      </c>
      <c r="J12" s="15" t="inlineStr">
        <is>
          <t>修復歴なし / 車検 2027/12 まで（残り15ヶ月）</t>
        </is>
      </c>
      <c r="K12" s="15" t="inlineStr">
        <is>
          <t>A8 55 TFSI クワトロ 4WD コンフォートPKG・エアクオリティPKG・B&amp;O・ダイナミックホイールステアリング・アンビエントライト・スマートフォンワイヤレスチャージング・20inch 20スポークデザインAW・ブルカラーバーチャルコックピット</t>
        </is>
      </c>
      <c r="L12" s="11" t="inlineStr">
        <is>
          <t>https://www.carsensor.net/usedcar/detail/AU6696496050/index.html</t>
        </is>
      </c>
    </row>
    <row r="13">
      <c r="A13" s="16" t="n">
        <v>2018</v>
      </c>
      <c r="B13" s="6" t="inlineStr">
        <is>
          <t>55 TFSI クワトロ</t>
        </is>
      </c>
      <c r="C13" s="17" t="n">
        <v>3.2</v>
      </c>
      <c r="D13" s="8" t="n">
        <v>378</v>
      </c>
      <c r="E13" s="8" t="n">
        <v>368</v>
      </c>
      <c r="F13" s="9" t="n">
        <v>5.4</v>
      </c>
      <c r="G13" s="6" t="inlineStr">
        <is>
          <t>なし</t>
        </is>
      </c>
      <c r="H13" s="6" t="inlineStr">
        <is>
          <t>2027(R09)年12月</t>
        </is>
      </c>
      <c r="I13" s="6" t="inlineStr">
        <is>
          <t>保証無</t>
        </is>
      </c>
      <c r="J13" s="15" t="inlineStr">
        <is>
          <t>修復歴なし / 車検 2027/12 まで（残り15ヶ月）</t>
        </is>
      </c>
      <c r="K13" s="15" t="inlineStr">
        <is>
          <t>A8 55 TFSI クワトロ 4WD コンフォートパッケージ/アシスタンスパッケージ/バーチャルコックピット/地デジ/全方位カメラ/ブラインドスポットモニター/ETC2.0/イージークローザー/ヘッドアップディスプレイ</t>
        </is>
      </c>
      <c r="L13" s="6" t="inlineStr">
        <is>
          <t>https://www.carsensor.net/usedcar/detail/AU6614060918/index.html</t>
        </is>
      </c>
    </row>
    <row r="14">
      <c r="A14" s="10" t="n">
        <v>2018</v>
      </c>
      <c r="B14" s="11" t="inlineStr">
        <is>
          <t>55 TFSI クワトロ</t>
        </is>
      </c>
      <c r="C14" s="12" t="n">
        <v>3.1</v>
      </c>
      <c r="D14" s="13" t="n">
        <v>344.7</v>
      </c>
      <c r="E14" s="13" t="n">
        <v>334.7</v>
      </c>
      <c r="F14" s="14" t="n">
        <v>6.2</v>
      </c>
      <c r="G14" s="11" t="inlineStr">
        <is>
          <t>なし</t>
        </is>
      </c>
      <c r="H14" s="11" t="inlineStr">
        <is>
          <t>2027(R09)年10月</t>
        </is>
      </c>
      <c r="I14" s="11" t="inlineStr">
        <is>
          <t>保証無</t>
        </is>
      </c>
      <c r="J14" s="15" t="inlineStr">
        <is>
          <t>修復歴なし / 車検 2027/10 まで（残り13ヶ月）</t>
        </is>
      </c>
      <c r="K14" s="15" t="inlineStr">
        <is>
          <t>A8 55 TFSI クワトロ 4WD バーチャルコックピット・茶革電動シート・サンルーフ・21インチアルミ・アダプティブクルーズコントロール・レーダー探知機・全周囲カメラ・エアサス・電動リアゲート・シートベンチレーション・ETC2.0</t>
        </is>
      </c>
      <c r="L14" s="11" t="inlineStr">
        <is>
          <t>https://www.carsensor.net/usedcar/detail/AU7199799146/index.html</t>
        </is>
      </c>
    </row>
    <row r="15">
      <c r="A15" s="16" t="n">
        <v>2018</v>
      </c>
      <c r="B15" s="6" t="inlineStr">
        <is>
          <t>55 TFSI クワトロ</t>
        </is>
      </c>
      <c r="C15" s="17" t="n">
        <v>2.8</v>
      </c>
      <c r="D15" s="8" t="n">
        <v>345</v>
      </c>
      <c r="E15" s="8" t="n">
        <v>335</v>
      </c>
      <c r="F15" s="9" t="n">
        <v>6.3</v>
      </c>
      <c r="G15" s="6" t="inlineStr">
        <is>
          <t>なし</t>
        </is>
      </c>
      <c r="H15" s="6" t="inlineStr">
        <is>
          <t>2027(R09)年06月</t>
        </is>
      </c>
      <c r="I15" s="6" t="inlineStr">
        <is>
          <t>保証無</t>
        </is>
      </c>
      <c r="J15" s="15" t="inlineStr">
        <is>
          <t>修復歴なし / 車検 2027/06 まで（残り9ヶ月）</t>
        </is>
      </c>
      <c r="K15" s="15" t="inlineStr">
        <is>
          <t>A8 55 TFSI クワトロ 4WD コンフォートパッケージ 360°カメラ</t>
        </is>
      </c>
      <c r="L15" s="6" t="inlineStr">
        <is>
          <t>https://www.carsensor.net/usedcar/detail/AU6335342378/index.html</t>
        </is>
      </c>
    </row>
    <row r="16">
      <c r="A16" s="10" t="n">
        <v>2019</v>
      </c>
      <c r="B16" s="11" t="inlineStr">
        <is>
          <t>55 TFSI クワトロ</t>
        </is>
      </c>
      <c r="C16" s="12" t="n">
        <v>2.4</v>
      </c>
      <c r="D16" s="13" t="n">
        <v>343.8</v>
      </c>
      <c r="E16" s="13" t="n">
        <v>333.3</v>
      </c>
      <c r="F16" s="14" t="n">
        <v>6</v>
      </c>
      <c r="G16" s="11" t="inlineStr">
        <is>
          <t>なし</t>
        </is>
      </c>
      <c r="H16" s="11" t="inlineStr">
        <is>
          <t>2027(R09)年02月</t>
        </is>
      </c>
      <c r="I16" s="11" t="inlineStr">
        <is>
          <t>保証無</t>
        </is>
      </c>
      <c r="J16" s="15" t="inlineStr">
        <is>
          <t>修復歴なし / 車検 2027/02 まで（残り5ヶ月）</t>
        </is>
      </c>
      <c r="K16" s="15" t="inlineStr">
        <is>
          <t>A8 55 TFSI クワトロ 4WD</t>
        </is>
      </c>
      <c r="L16" s="11" t="inlineStr">
        <is>
          <t>https://www.carsensor.net/usedcar/detail/AU7106160514/index.html</t>
        </is>
      </c>
    </row>
    <row r="17">
      <c r="A17" s="16" t="n">
        <v>2020</v>
      </c>
      <c r="B17" s="6" t="inlineStr">
        <is>
          <t>55 TFSI クワトロ</t>
        </is>
      </c>
      <c r="C17" s="17" t="n">
        <v>2</v>
      </c>
      <c r="D17" s="8" t="n">
        <v>398</v>
      </c>
      <c r="E17" s="8" t="n">
        <v>388</v>
      </c>
      <c r="F17" s="9" t="n">
        <v>8.199999999999999</v>
      </c>
      <c r="G17" s="6" t="inlineStr">
        <is>
          <t>なし</t>
        </is>
      </c>
      <c r="H17" s="6" t="inlineStr">
        <is>
          <t>2027(R09)年03月</t>
        </is>
      </c>
      <c r="I17" s="6" t="inlineStr">
        <is>
          <t>保証付</t>
        </is>
      </c>
      <c r="J17" s="15" t="inlineStr">
        <is>
          <t>走行が多め（8.2万km） / 修復歴なし / 車検 2027/03 まで（残り6ヶ月） / 保証付</t>
        </is>
      </c>
      <c r="K17" s="15" t="inlineStr">
        <is>
          <t>A8 55 TFSI クワトロ 4WD 1年無制限距離保証付 法人ユーザー様買取車</t>
        </is>
      </c>
      <c r="L17" s="6" t="inlineStr">
        <is>
          <t>https://www.carsensor.net/usedcar/detail/AU6576451958/index.html</t>
        </is>
      </c>
    </row>
    <row r="18">
      <c r="A18" s="10" t="n">
        <v>2021</v>
      </c>
      <c r="B18" s="11" t="inlineStr">
        <is>
          <t>グランド ツーリング リミテッド</t>
        </is>
      </c>
      <c r="C18" s="12" t="n">
        <v>5.5</v>
      </c>
      <c r="D18" s="13" t="n">
        <v>520.8</v>
      </c>
      <c r="E18" s="13" t="n">
        <v>506.5</v>
      </c>
      <c r="F18" s="14" t="n">
        <v>1.7</v>
      </c>
      <c r="G18" s="11" t="inlineStr">
        <is>
          <t>なし</t>
        </is>
      </c>
      <c r="H18" s="11" t="inlineStr">
        <is>
          <t>車検整備付</t>
        </is>
      </c>
      <c r="I18" s="11" t="inlineStr">
        <is>
          <t>保証付</t>
        </is>
      </c>
      <c r="J18" s="15" t="inlineStr">
        <is>
          <t>走行が少なめ（1.7万km） / 修復歴なし / 車検整備付 / 保証付</t>
        </is>
      </c>
      <c r="K18" s="15" t="inlineStr">
        <is>
          <t>A8 グランド ツーリング リミテッド 4WD 限定50台/BANG&amp;OLUFSENサウンド/レーザーライト/AppleCarPlay/全周囲カメラ/電動リアゲート/シートヒーター&amp;ベンチレーション/ヘッドアップディスプレイ/レーダークルーズ/ブラインドスポット/ETC/純正アルミ/</t>
        </is>
      </c>
      <c r="L18" s="11" t="inlineStr">
        <is>
          <t>https://www.carsensor.net/usedcar/detail/AU7248266605/index.html</t>
        </is>
      </c>
    </row>
    <row r="19">
      <c r="A19" s="16" t="n">
        <v>2021</v>
      </c>
      <c r="B19" s="6" t="inlineStr">
        <is>
          <t>グランド ツーリング リミテッド</t>
        </is>
      </c>
      <c r="C19" s="17" t="n">
        <v>4</v>
      </c>
      <c r="D19" s="8" t="n">
        <v>499.3</v>
      </c>
      <c r="E19" s="8" t="n">
        <v>482</v>
      </c>
      <c r="F19" s="9" t="n">
        <v>3.2</v>
      </c>
      <c r="G19" s="6" t="inlineStr">
        <is>
          <t>なし</t>
        </is>
      </c>
      <c r="H19" s="6" t="inlineStr">
        <is>
          <t>車検整備付</t>
        </is>
      </c>
      <c r="I19" s="6" t="inlineStr">
        <is>
          <t>保証付</t>
        </is>
      </c>
      <c r="J19" s="15" t="inlineStr">
        <is>
          <t>修復歴なし / 車検整備付 / 保証付</t>
        </is>
      </c>
      <c r="K19" s="15" t="inlineStr">
        <is>
          <t>A8 グランド ツーリング リミテッド 4WD 正規D車 国内限定50台 外装色:スズカグレーメタリック ブラックスタイリング/AudiレーザーライトPKG スポーツエクステリア アダプティブエアサス ブラックレザーシート/ヒーター B&amp;Oサウンド</t>
        </is>
      </c>
      <c r="L19" s="6" t="inlineStr">
        <is>
          <t>https://www.carsensor.net/usedcar/detail/AU7196484260/index.html</t>
        </is>
      </c>
    </row>
  </sheetData>
  <autoFilter ref="A1:L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8" customWidth="1" min="4" max="4"/>
    <col width="18" customWidth="1" min="5" max="5"/>
    <col width="12" customWidth="1" min="6" max="6"/>
    <col width="16" customWidth="1" min="7" max="7"/>
    <col width="16" customWidth="1" min="8" max="8"/>
    <col width="20" customWidth="1" min="9" max="9"/>
    <col width="22" customWidth="1" min="10" max="10"/>
    <col width="10" customWidth="1" min="11" max="11"/>
    <col width="34" customWidth="1" min="12" max="12"/>
    <col width="18" customWidth="1" min="13" max="13"/>
    <col width="16" customWidth="1" min="14" max="14"/>
    <col width="12" customWidth="1" min="15" max="15"/>
  </cols>
  <sheetData>
    <row r="1" ht="32" customHeight="1">
      <c r="A1" s="5" t="inlineStr">
        <is>
          <t>年式</t>
        </is>
      </c>
      <c r="B1" s="5" t="inlineStr">
        <is>
          <t>車齢</t>
        </is>
      </c>
      <c r="C1" s="5" t="inlineStr">
        <is>
          <t>自動車税</t>
        </is>
      </c>
      <c r="D1" s="5" t="inlineStr">
        <is>
          <t>重量税(年割)</t>
        </is>
      </c>
      <c r="E1" s="5" t="inlineStr">
        <is>
          <t>自賠責(年割)</t>
        </is>
      </c>
      <c r="F1" s="5" t="inlineStr">
        <is>
          <t>任意保険</t>
        </is>
      </c>
      <c r="G1" s="5" t="inlineStr">
        <is>
          <t>車検(年割)</t>
        </is>
      </c>
      <c r="H1" s="5" t="inlineStr">
        <is>
          <t>整備・消耗品</t>
        </is>
      </c>
      <c r="I1" s="5" t="inlineStr">
        <is>
          <t>年間走行(km)</t>
        </is>
      </c>
      <c r="J1" s="5" t="inlineStr">
        <is>
          <t>実燃費(km/L)</t>
        </is>
      </c>
      <c r="K1" s="5" t="inlineStr">
        <is>
          <t>燃料</t>
        </is>
      </c>
      <c r="L1" s="5" t="inlineStr">
        <is>
          <t>保有中に来る故障</t>
        </is>
      </c>
      <c r="M1" s="5" t="inlineStr">
        <is>
          <t>整備予備費/年</t>
        </is>
      </c>
      <c r="N1" s="5" t="inlineStr">
        <is>
          <t>現金支出/年</t>
        </is>
      </c>
      <c r="O1" s="5" t="inlineStr">
        <is>
          <t>月あたり</t>
        </is>
      </c>
    </row>
    <row r="2">
      <c r="A2" s="10" t="n">
        <v>2018</v>
      </c>
      <c r="B2" s="10" t="n">
        <v>8</v>
      </c>
      <c r="C2" s="18" t="n">
        <v>66500</v>
      </c>
      <c r="D2" s="18" t="n">
        <v>20500</v>
      </c>
      <c r="E2" s="18" t="n">
        <v>8825</v>
      </c>
      <c r="F2" s="18" t="n">
        <v>60000</v>
      </c>
      <c r="G2" s="18" t="n">
        <v>30000</v>
      </c>
      <c r="H2" s="18" t="n">
        <v>30000</v>
      </c>
      <c r="I2" s="18" t="n">
        <v>6857</v>
      </c>
      <c r="J2" s="14" t="n">
        <v>7</v>
      </c>
      <c r="K2" s="18" t="n">
        <v>171429</v>
      </c>
      <c r="L2" s="15" t="inlineStr">
        <is>
          <t>電気装置(35,000km)、動力伝達(12,000km)</t>
        </is>
      </c>
      <c r="M2" s="18" t="n">
        <v>36000</v>
      </c>
      <c r="N2" s="18" t="n">
        <v>423254</v>
      </c>
      <c r="O2" s="18" t="n">
        <v>35271</v>
      </c>
    </row>
    <row r="3">
      <c r="A3" s="16" t="n">
        <v>2019</v>
      </c>
      <c r="B3" s="16" t="n">
        <v>7</v>
      </c>
      <c r="C3" s="7" t="n">
        <v>65500</v>
      </c>
      <c r="D3" s="7" t="n">
        <v>20500</v>
      </c>
      <c r="E3" s="7" t="n">
        <v>8825</v>
      </c>
      <c r="F3" s="7" t="n">
        <v>60000</v>
      </c>
      <c r="G3" s="7" t="n">
        <v>30000</v>
      </c>
      <c r="H3" s="7" t="n">
        <v>30000</v>
      </c>
      <c r="I3" s="7" t="n">
        <v>6857</v>
      </c>
      <c r="J3" s="9" t="n">
        <v>7</v>
      </c>
      <c r="K3" s="7" t="n">
        <v>171429</v>
      </c>
      <c r="L3" s="15" t="inlineStr">
        <is>
          <t>エンジン(50,000km)、燃料装置(65,000km)、車枠・車体(82,000km)</t>
        </is>
      </c>
      <c r="M3" s="7" t="n">
        <v>78000</v>
      </c>
      <c r="N3" s="7" t="n">
        <v>464254</v>
      </c>
      <c r="O3" s="7" t="n">
        <v>38688</v>
      </c>
    </row>
    <row r="4">
      <c r="A4" s="10" t="n">
        <v>2020</v>
      </c>
      <c r="B4" s="10" t="n">
        <v>6</v>
      </c>
      <c r="C4" s="18" t="n">
        <v>65500</v>
      </c>
      <c r="D4" s="18" t="n">
        <v>20500</v>
      </c>
      <c r="E4" s="18" t="n">
        <v>8825</v>
      </c>
      <c r="F4" s="18" t="n">
        <v>60000</v>
      </c>
      <c r="G4" s="18" t="n">
        <v>30000</v>
      </c>
      <c r="H4" s="18" t="n">
        <v>30000</v>
      </c>
      <c r="I4" s="18" t="n">
        <v>6857</v>
      </c>
      <c r="J4" s="14" t="n">
        <v>7</v>
      </c>
      <c r="K4" s="18" t="n">
        <v>171429</v>
      </c>
      <c r="L4" s="15" t="inlineStr">
        <is>
          <t>燃料装置(65,000km)、車枠・車体(82,000km)</t>
        </is>
      </c>
      <c r="M4" s="18" t="n">
        <v>78000</v>
      </c>
      <c r="N4" s="18" t="n">
        <v>464254</v>
      </c>
      <c r="O4" s="18" t="n">
        <v>38688</v>
      </c>
    </row>
  </sheetData>
  <autoFilter ref="A1:O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8" customWidth="1" min="4" max="4"/>
    <col width="10" customWidth="1" min="5" max="5"/>
    <col width="10" customWidth="1" min="6" max="6"/>
    <col width="10" customWidth="1" min="7" max="7"/>
    <col width="34" customWidth="1" min="8" max="8"/>
    <col width="10" customWidth="1" min="9" max="9"/>
  </cols>
  <sheetData>
    <row r="1" ht="32" customHeight="1">
      <c r="A1" s="5" t="inlineStr">
        <is>
          <t>終了日</t>
        </is>
      </c>
      <c r="B1" s="5" t="inlineStr">
        <is>
          <t>年式</t>
        </is>
      </c>
      <c r="C1" s="5" t="inlineStr">
        <is>
          <t>落札額(万円)</t>
        </is>
      </c>
      <c r="D1" s="5" t="inlineStr">
        <is>
          <t>走行(万km)</t>
        </is>
      </c>
      <c r="E1" s="5" t="inlineStr">
        <is>
          <t>修復歴</t>
        </is>
      </c>
      <c r="F1" s="5" t="inlineStr">
        <is>
          <t>入札数</t>
        </is>
      </c>
      <c r="G1" s="5" t="inlineStr">
        <is>
          <t>出品者</t>
        </is>
      </c>
      <c r="H1" s="5" t="inlineStr">
        <is>
          <t>タイトル</t>
        </is>
      </c>
      <c r="I1" s="5" t="inlineStr">
        <is>
          <t>URL</t>
        </is>
      </c>
    </row>
    <row r="2">
      <c r="A2" s="11" t="inlineStr">
        <is>
          <t>2026-08-09</t>
        </is>
      </c>
      <c r="B2" s="10" t="n">
        <v>2012</v>
      </c>
      <c r="C2" s="13" t="n">
        <v>69</v>
      </c>
      <c r="D2" s="14" t="n">
        <v>11.7</v>
      </c>
      <c r="E2" s="11" t="inlineStr">
        <is>
          <t>なし</t>
        </is>
      </c>
      <c r="F2" s="18" t="n">
        <v>1</v>
      </c>
      <c r="G2" s="11" t="inlineStr">
        <is>
          <t>個人</t>
        </is>
      </c>
      <c r="H2" s="15" t="inlineStr">
        <is>
          <t>2013年モデル ガレージ保管 ブラックカラー 本日試乗済 アウディ A8 4.0TFSI クワトロ プレセンスPKG 正規ディーラー車 出品中現車確認可能</t>
        </is>
      </c>
      <c r="I2" s="11" t="inlineStr">
        <is>
          <t>https://page.auctions.yahoo.co.jp/jp/auction/r1226760580</t>
        </is>
      </c>
    </row>
    <row r="3">
      <c r="A3" s="6" t="inlineStr">
        <is>
          <t>2026-07-16</t>
        </is>
      </c>
      <c r="B3" s="16" t="n">
        <v>2017</v>
      </c>
      <c r="C3" s="8" t="n">
        <v>150</v>
      </c>
      <c r="D3" s="9" t="n">
        <v>5.8</v>
      </c>
      <c r="E3" s="6" t="inlineStr">
        <is>
          <t>なし</t>
        </is>
      </c>
      <c r="F3" s="7" t="n">
        <v>1</v>
      </c>
      <c r="G3" s="6" t="inlineStr">
        <is>
          <t>個人</t>
        </is>
      </c>
      <c r="H3" s="15" t="inlineStr">
        <is>
          <t>★H29年アウディA8 3.0TFSIクワトロ★サンルーフ★純正ナビ・地デジ・Bletooth・F＆Rカメラキャンセラー★BOSEサウンド★ACC★車検R10年7月</t>
        </is>
      </c>
      <c r="I3" s="6" t="inlineStr">
        <is>
          <t>https://page.auctions.yahoo.co.jp/jp/auction/u1233497857</t>
        </is>
      </c>
    </row>
    <row r="4">
      <c r="A4" s="11" t="inlineStr">
        <is>
          <t>2026-07-01</t>
        </is>
      </c>
      <c r="B4" s="10" t="n">
        <v>2011</v>
      </c>
      <c r="C4" s="13" t="n">
        <v>40.6</v>
      </c>
      <c r="D4" s="14" t="n">
        <v>11.8</v>
      </c>
      <c r="E4" s="11" t="inlineStr">
        <is>
          <t>不明</t>
        </is>
      </c>
      <c r="F4" s="18" t="n">
        <v>128</v>
      </c>
      <c r="G4" s="11" t="inlineStr">
        <is>
          <t>個人</t>
        </is>
      </c>
      <c r="H4" s="15" t="inlineStr">
        <is>
          <t>アウディA8 2011年式　走行118000km 4wd クワトロ　車検切れ　スーパーチャージャー　 4.2Lのオプション付き　シートクーラー　サンルーフ</t>
        </is>
      </c>
      <c r="I4" s="11" t="inlineStr">
        <is>
          <t>https://page.auctions.yahoo.co.jp/jp/auction/1234601041</t>
        </is>
      </c>
    </row>
    <row r="5">
      <c r="A5" s="6" t="inlineStr">
        <is>
          <t>2026-06-04</t>
        </is>
      </c>
      <c r="B5" s="16" t="n">
        <v>2014</v>
      </c>
      <c r="C5" s="8" t="n">
        <v>133</v>
      </c>
      <c r="D5" s="9" t="n">
        <v>7.8</v>
      </c>
      <c r="E5" s="6" t="inlineStr">
        <is>
          <t>なし</t>
        </is>
      </c>
      <c r="F5" s="7" t="n">
        <v>1</v>
      </c>
      <c r="G5" s="6" t="inlineStr">
        <is>
          <t>個人</t>
        </is>
      </c>
      <c r="H5" s="15" t="inlineStr">
        <is>
          <t>人気のホワイト 必見の1台 アウディ Ａ８ ４．０ＴＦＳＩクワトロ 正規ディーラー車 出品中の現車確認可能</t>
        </is>
      </c>
      <c r="I5" s="6" t="inlineStr">
        <is>
          <t>https://page.auctions.yahoo.co.jp/jp/auction/s1223623745</t>
        </is>
      </c>
    </row>
    <row r="6">
      <c r="A6" s="11" t="inlineStr">
        <is>
          <t>2026-05-09</t>
        </is>
      </c>
      <c r="B6" s="10" t="n">
        <v>2018</v>
      </c>
      <c r="C6" s="13" t="n">
        <v>230.4</v>
      </c>
      <c r="D6" s="14" t="n">
        <v>7.2</v>
      </c>
      <c r="E6" s="11" t="inlineStr">
        <is>
          <t>なし</t>
        </is>
      </c>
      <c r="F6" s="18" t="n">
        <v>75</v>
      </c>
      <c r="G6" s="11" t="inlineStr">
        <is>
          <t>個人</t>
        </is>
      </c>
      <c r="H6" s="15" t="inlineStr">
        <is>
          <t>極上車！Audi A8 55 TFSI クワトロ V6 48Vマイルドハイブリッドシステム ガレージ保管</t>
        </is>
      </c>
      <c r="I6" s="11" t="inlineStr">
        <is>
          <t>https://page.auctions.yahoo.co.jp/jp/auction/t1225231089</t>
        </is>
      </c>
    </row>
  </sheetData>
  <autoFilter ref="A1:I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8" customWidth="1" min="4" max="4"/>
    <col width="18" customWidth="1" min="5" max="5"/>
    <col width="18" customWidth="1" min="6" max="6"/>
    <col width="10" customWidth="1" min="7" max="7"/>
  </cols>
  <sheetData>
    <row r="1" ht="32" customHeight="1">
      <c r="A1" s="5" t="inlineStr">
        <is>
          <t>年式</t>
        </is>
      </c>
      <c r="B1" s="5" t="inlineStr">
        <is>
          <t>以前/以降まとめ</t>
        </is>
      </c>
      <c r="C1" s="5" t="inlineStr">
        <is>
          <t>掲載台数</t>
        </is>
      </c>
      <c r="D1" s="5" t="inlineStr">
        <is>
          <t>25%(万円)</t>
        </is>
      </c>
      <c r="E1" s="5" t="inlineStr">
        <is>
          <t>中央値(万円)</t>
        </is>
      </c>
      <c r="F1" s="5" t="inlineStr">
        <is>
          <t>75%(万円)</t>
        </is>
      </c>
      <c r="G1" s="5" t="inlineStr">
        <is>
          <t>URL</t>
        </is>
      </c>
    </row>
    <row r="2">
      <c r="A2" s="10" t="n">
        <v>2012</v>
      </c>
      <c r="B2" s="11" t="inlineStr">
        <is>
          <t>○</t>
        </is>
      </c>
      <c r="C2" s="18" t="n">
        <v>10</v>
      </c>
      <c r="D2" s="13" t="n">
        <v>87</v>
      </c>
      <c r="E2" s="13" t="n">
        <v>97</v>
      </c>
      <c r="F2" s="13" t="n">
        <v>115</v>
      </c>
      <c r="G2" s="11" t="inlineStr">
        <is>
          <t>https://www.carsensor.net/usedcar/souba/AD_S022/</t>
        </is>
      </c>
    </row>
    <row r="3">
      <c r="A3" s="16" t="n">
        <v>2013</v>
      </c>
      <c r="B3" s="6" t="inlineStr"/>
      <c r="C3" s="7" t="n">
        <v>3</v>
      </c>
      <c r="D3" s="8" t="n">
        <v>140</v>
      </c>
      <c r="E3" s="8" t="n">
        <v>155</v>
      </c>
      <c r="F3" s="8" t="n">
        <v>170</v>
      </c>
      <c r="G3" s="6" t="inlineStr">
        <is>
          <t>https://www.carsensor.net/usedcar/souba/AD_S022/</t>
        </is>
      </c>
    </row>
    <row r="4">
      <c r="A4" s="10" t="n">
        <v>2014</v>
      </c>
      <c r="B4" s="11" t="inlineStr"/>
      <c r="C4" s="18" t="n">
        <v>6</v>
      </c>
      <c r="D4" s="13" t="n">
        <v>175</v>
      </c>
      <c r="E4" s="13" t="n">
        <v>195</v>
      </c>
      <c r="F4" s="13" t="n">
        <v>215</v>
      </c>
      <c r="G4" s="11" t="inlineStr">
        <is>
          <t>https://www.carsensor.net/usedcar/souba/AD_S022/</t>
        </is>
      </c>
    </row>
    <row r="5">
      <c r="A5" s="16" t="n">
        <v>2015</v>
      </c>
      <c r="B5" s="6" t="inlineStr"/>
      <c r="C5" s="7" t="n">
        <v>4</v>
      </c>
      <c r="D5" s="8" t="n">
        <v>145</v>
      </c>
      <c r="E5" s="8" t="n">
        <v>185</v>
      </c>
      <c r="F5" s="8" t="n">
        <v>205</v>
      </c>
      <c r="G5" s="6" t="inlineStr">
        <is>
          <t>https://www.carsensor.net/usedcar/souba/AD_S022/</t>
        </is>
      </c>
    </row>
    <row r="6">
      <c r="A6" s="10" t="n">
        <v>2016</v>
      </c>
      <c r="B6" s="11" t="inlineStr"/>
      <c r="C6" s="18" t="n">
        <v>3</v>
      </c>
      <c r="D6" s="13" t="n">
        <v>152.5</v>
      </c>
      <c r="E6" s="13" t="n">
        <v>160</v>
      </c>
      <c r="F6" s="13" t="n">
        <v>250</v>
      </c>
      <c r="G6" s="11" t="inlineStr">
        <is>
          <t>https://www.carsensor.net/usedcar/souba/AD_S022/</t>
        </is>
      </c>
    </row>
    <row r="7">
      <c r="A7" s="16" t="n">
        <v>2017</v>
      </c>
      <c r="B7" s="6" t="inlineStr"/>
      <c r="C7" s="7" t="n">
        <v>4</v>
      </c>
      <c r="D7" s="8" t="n">
        <v>185</v>
      </c>
      <c r="E7" s="8" t="n">
        <v>211.7</v>
      </c>
      <c r="F7" s="8" t="n">
        <v>218.3</v>
      </c>
      <c r="G7" s="6" t="inlineStr">
        <is>
          <t>https://www.carsensor.net/usedcar/souba/AD_S022/</t>
        </is>
      </c>
    </row>
    <row r="8">
      <c r="A8" s="10" t="n">
        <v>2018</v>
      </c>
      <c r="B8" s="11" t="inlineStr"/>
      <c r="C8" s="18" t="n">
        <v>9</v>
      </c>
      <c r="D8" s="13" t="n">
        <v>316.2</v>
      </c>
      <c r="E8" s="13" t="n">
        <v>330</v>
      </c>
      <c r="F8" s="13" t="n">
        <v>360</v>
      </c>
      <c r="G8" s="11" t="inlineStr">
        <is>
          <t>https://www.carsensor.net/usedcar/souba/AD_S022/</t>
        </is>
      </c>
    </row>
    <row r="9">
      <c r="A9" s="16" t="n">
        <v>2019</v>
      </c>
      <c r="B9" s="6" t="inlineStr"/>
      <c r="C9" s="7" t="n">
        <v>11</v>
      </c>
      <c r="D9" s="8" t="n">
        <v>323.3</v>
      </c>
      <c r="E9" s="8" t="n">
        <v>341.7</v>
      </c>
      <c r="F9" s="8" t="n">
        <v>390</v>
      </c>
      <c r="G9" s="6" t="inlineStr">
        <is>
          <t>https://www.carsensor.net/usedcar/souba/AD_S022/</t>
        </is>
      </c>
    </row>
    <row r="10">
      <c r="A10" s="10" t="n">
        <v>2020</v>
      </c>
      <c r="B10" s="11" t="inlineStr"/>
      <c r="C10" s="18" t="n">
        <v>4</v>
      </c>
      <c r="D10" s="13" t="n">
        <v>365</v>
      </c>
      <c r="E10" s="13" t="n">
        <v>391.7</v>
      </c>
      <c r="F10" s="13" t="n">
        <v>398.3</v>
      </c>
      <c r="G10" s="11" t="inlineStr">
        <is>
          <t>https://www.carsensor.net/usedcar/souba/AD_S022/</t>
        </is>
      </c>
    </row>
    <row r="11">
      <c r="A11" s="16" t="n">
        <v>2021</v>
      </c>
      <c r="B11" s="6" t="inlineStr"/>
      <c r="C11" s="7" t="n">
        <v>2</v>
      </c>
      <c r="D11" s="8" t="n">
        <v>475</v>
      </c>
      <c r="E11" s="8" t="n">
        <v>485</v>
      </c>
      <c r="F11" s="8" t="n">
        <v>515</v>
      </c>
      <c r="G11" s="6" t="inlineStr">
        <is>
          <t>https://www.carsensor.net/usedcar/souba/AD_S022/</t>
        </is>
      </c>
    </row>
    <row r="12">
      <c r="A12" s="10" t="n">
        <v>2022</v>
      </c>
      <c r="B12" s="11" t="inlineStr"/>
      <c r="C12" s="18" t="n">
        <v>3</v>
      </c>
      <c r="D12" s="13" t="n">
        <v>460</v>
      </c>
      <c r="E12" s="13" t="n">
        <v>555</v>
      </c>
      <c r="F12" s="13" t="n">
        <v>630</v>
      </c>
      <c r="G12" s="11" t="inlineStr">
        <is>
          <t>https://www.carsensor.net/usedcar/souba/AD_S022/</t>
        </is>
      </c>
    </row>
    <row r="13">
      <c r="A13" s="16" t="n">
        <v>2023</v>
      </c>
      <c r="B13" s="6" t="inlineStr"/>
      <c r="C13" s="7" t="n">
        <v>3</v>
      </c>
      <c r="D13" s="8" t="n">
        <v>700</v>
      </c>
      <c r="E13" s="8" t="n">
        <v>975</v>
      </c>
      <c r="F13" s="8" t="n">
        <v>1090</v>
      </c>
      <c r="G13" s="6" t="inlineStr">
        <is>
          <t>https://www.carsensor.net/usedcar/souba/AD_S022/</t>
        </is>
      </c>
    </row>
    <row r="14">
      <c r="A14" s="10" t="n">
        <v>2024</v>
      </c>
      <c r="B14" s="11" t="inlineStr"/>
      <c r="C14" s="18" t="n">
        <v>7</v>
      </c>
      <c r="D14" s="13" t="n">
        <v>720</v>
      </c>
      <c r="E14" s="13" t="n">
        <v>875</v>
      </c>
      <c r="F14" s="13" t="n">
        <v>990</v>
      </c>
      <c r="G14" s="11" t="inlineStr">
        <is>
          <t>https://www.carsensor.net/usedcar/souba/AD_S022/</t>
        </is>
      </c>
    </row>
    <row r="15">
      <c r="A15" s="16" t="n">
        <v>2025</v>
      </c>
      <c r="B15" s="6" t="inlineStr"/>
      <c r="C15" s="7" t="n">
        <v>20</v>
      </c>
      <c r="D15" s="8" t="n">
        <v>851.7</v>
      </c>
      <c r="E15" s="8" t="n">
        <v>891.7</v>
      </c>
      <c r="F15" s="8" t="n">
        <v>945</v>
      </c>
      <c r="G15" s="6" t="inlineStr">
        <is>
          <t>https://www.carsensor.net/usedcar/souba/AD_S022/</t>
        </is>
      </c>
    </row>
  </sheetData>
  <autoFilter ref="A1:G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24" customWidth="1" min="4" max="4"/>
    <col width="16" customWidth="1" min="5" max="5"/>
    <col width="16" customWidth="1" min="6" max="6"/>
    <col width="34" customWidth="1" min="7" max="7"/>
  </cols>
  <sheetData>
    <row r="1" ht="32" customHeight="1">
      <c r="A1" s="5" t="inlineStr">
        <is>
          <t>不具合装置</t>
        </is>
      </c>
      <c r="B1" s="5" t="inlineStr">
        <is>
          <t>通報件数</t>
        </is>
      </c>
      <c r="C1" s="5" t="inlineStr">
        <is>
          <t>構成比(%)</t>
        </is>
      </c>
      <c r="D1" s="5" t="inlineStr">
        <is>
          <t>発生時の走行距離
中央値(km)</t>
        </is>
      </c>
      <c r="E1" s="5" t="inlineStr">
        <is>
          <t>対象最古年式</t>
        </is>
      </c>
      <c r="F1" s="5" t="inlineStr">
        <is>
          <t>対象最新年式</t>
        </is>
      </c>
      <c r="G1" s="5" t="inlineStr">
        <is>
          <t>実際の症状</t>
        </is>
      </c>
    </row>
    <row r="2">
      <c r="A2" s="11" t="inlineStr">
        <is>
          <t>エンジン</t>
        </is>
      </c>
      <c r="B2" s="18" t="n">
        <v>4</v>
      </c>
      <c r="C2" s="14" t="n">
        <v>30.8</v>
      </c>
      <c r="D2" s="18" t="n">
        <v>50000</v>
      </c>
      <c r="E2" s="10" t="n">
        <v>1997</v>
      </c>
      <c r="F2" s="10" t="n">
        <v>2017</v>
      </c>
      <c r="G2" s="15" t="inlineStr"/>
    </row>
    <row r="3">
      <c r="A3" s="6" t="inlineStr">
        <is>
          <t>電気装置</t>
        </is>
      </c>
      <c r="B3" s="7" t="n">
        <v>3</v>
      </c>
      <c r="C3" s="9" t="n">
        <v>23.1</v>
      </c>
      <c r="D3" s="7" t="n">
        <v>35000</v>
      </c>
      <c r="E3" s="16" t="n">
        <v>2007</v>
      </c>
      <c r="F3" s="16" t="n">
        <v>2018</v>
      </c>
      <c r="G3" s="15" t="inlineStr"/>
    </row>
    <row r="4">
      <c r="A4" s="11" t="inlineStr">
        <is>
          <t>その他</t>
        </is>
      </c>
      <c r="B4" s="18" t="n">
        <v>2</v>
      </c>
      <c r="C4" s="14" t="n">
        <v>15.4</v>
      </c>
      <c r="D4" s="18" t="n"/>
      <c r="E4" s="10" t="n">
        <v>2011</v>
      </c>
      <c r="F4" s="10" t="n">
        <v>2011</v>
      </c>
      <c r="G4" s="15" t="inlineStr"/>
    </row>
    <row r="5">
      <c r="A5" s="6" t="inlineStr">
        <is>
          <t>動力伝達</t>
        </is>
      </c>
      <c r="B5" s="7" t="n">
        <v>2</v>
      </c>
      <c r="C5" s="9" t="n">
        <v>15.4</v>
      </c>
      <c r="D5" s="7" t="n">
        <v>12000</v>
      </c>
      <c r="E5" s="16" t="n">
        <v>2017</v>
      </c>
      <c r="F5" s="16" t="n">
        <v>2017</v>
      </c>
      <c r="G5" s="15" t="inlineStr"/>
    </row>
    <row r="6">
      <c r="A6" s="11" t="inlineStr">
        <is>
          <t>燃料装置</t>
        </is>
      </c>
      <c r="B6" s="18" t="n">
        <v>1</v>
      </c>
      <c r="C6" s="14" t="n">
        <v>7.7</v>
      </c>
      <c r="D6" s="18" t="n">
        <v>65000</v>
      </c>
      <c r="E6" s="10" t="n">
        <v>2010</v>
      </c>
      <c r="F6" s="10" t="n">
        <v>2010</v>
      </c>
      <c r="G6" s="15" t="inlineStr"/>
    </row>
    <row r="7">
      <c r="A7" s="6" t="inlineStr">
        <is>
          <t>車枠・車体</t>
        </is>
      </c>
      <c r="B7" s="7" t="n">
        <v>1</v>
      </c>
      <c r="C7" s="9" t="n">
        <v>7.7</v>
      </c>
      <c r="D7" s="7" t="n">
        <v>82000</v>
      </c>
      <c r="E7" s="16" t="n">
        <v>2007</v>
      </c>
      <c r="F7" s="16" t="n">
        <v>2007</v>
      </c>
      <c r="G7" s="15" t="inlineStr"/>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2" customWidth="1" min="4" max="4"/>
    <col width="12" customWidth="1" min="5" max="5"/>
    <col width="10" customWidth="1" min="6" max="6"/>
    <col width="10" customWidth="1" min="7" max="7"/>
    <col width="34" customWidth="1" min="8" max="8"/>
    <col width="34" customWidth="1" min="9" max="9"/>
  </cols>
  <sheetData>
    <row r="1" ht="32" customHeight="1">
      <c r="A1" s="5" t="inlineStr">
        <is>
          <t>口コミ件数</t>
        </is>
      </c>
      <c r="B1" s="5" t="inlineStr">
        <is>
          <t>総合</t>
        </is>
      </c>
      <c r="C1" s="5" t="inlineStr">
        <is>
          <t>デザイン</t>
        </is>
      </c>
      <c r="D1" s="5" t="inlineStr">
        <is>
          <t>走行性能</t>
        </is>
      </c>
      <c r="E1" s="5" t="inlineStr">
        <is>
          <t>乗り心地</t>
        </is>
      </c>
      <c r="F1" s="5" t="inlineStr">
        <is>
          <t>価格</t>
        </is>
      </c>
      <c r="G1" s="5" t="inlineStr">
        <is>
          <t>燃費</t>
        </is>
      </c>
      <c r="H1" s="5" t="inlineStr">
        <is>
          <t>満足している点</t>
        </is>
      </c>
      <c r="I1" s="5" t="inlineStr">
        <is>
          <t>不満な点</t>
        </is>
      </c>
    </row>
    <row r="2">
      <c r="A2" s="18" t="n">
        <v>10</v>
      </c>
      <c r="B2" s="11" t="n">
        <v>4.8</v>
      </c>
      <c r="C2" s="11" t="n">
        <v>4.8</v>
      </c>
      <c r="D2" s="11" t="n">
        <v>4.9</v>
      </c>
      <c r="E2" s="11" t="n">
        <v>4.8</v>
      </c>
      <c r="F2" s="11" t="n">
        <v>3.75</v>
      </c>
      <c r="G2" s="11" t="n">
        <v>3.89</v>
      </c>
      <c r="H2" s="15" t="inlineStr">
        <is>
          <t>価格と性能とデザインのバランスが優れていた2010年代の車。 古さを感じさせないエアロパーツ要素をそぎ落としたデザイン。 アウディSモデルやRSモデルに搭載されているV8 4000cc ツインターボエンジンを積んだ、435馬力を誇るドライバーズカー。 当時同クラスの車両でも極めて抜き出た室内デザインと内装クオリティ。
---
欧州車ならではの足回りとハンドリングがとても良いです
---
乗り心地最高です。静粛性も高めで、クアトロなので高速安定性は抜群です。</t>
        </is>
      </c>
      <c r="I2" s="15" t="inlineStr">
        <is>
          <t>A8はフラッグシップセダンともあって、静寂性を重視したモデルなのでV8エンジンの排気音もかなり控えめなところ。
---
日本で乗るには大きいのが難点、駐車スペースに苦労が多いです。
---
ナビが使えません。サーバがドイツにあるので結構トラブルあります。目的地入力してもとんでもない道を教えます。 BMWと比較したら比べものにはなりません。</t>
        </is>
      </c>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2026-09-01T00:29:18Z</dcterms:created>
  <dcterms:modified xmlns:dcterms="http://purl.org/dc/terms/" xmlns:xsi="http://www.w3.org/2001/XMLSchema-instance" xsi:type="dcterms:W3CDTF">2026-09-01T00:29:18Z</dcterms:modified>
</cp:coreProperties>
</file>